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535f6731e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结论" sheetId="1" r:id="R9568b2357e8547a3"/>
    <x:sheet xmlns:r="http://schemas.openxmlformats.org/officeDocument/2006/relationships" name="交易核验" sheetId="2" r:id="R6be9407cbe5b49eb"/>
    <x:sheet xmlns:r="http://schemas.openxmlformats.org/officeDocument/2006/relationships" name="策略日权益" sheetId="3" r:id="R7376d0e492f74109"/>
    <x:sheet xmlns:r="http://schemas.openxmlformats.org/officeDocument/2006/relationships" name="基准日权益" sheetId="4" r:id="R210ae6c95a6c4601"/>
    <x:sheet xmlns:r="http://schemas.openxmlformats.org/officeDocument/2006/relationships" name="交易明细" sheetId="5" r:id="Ra2132614efdf48c8"/>
    <x:sheet xmlns:r="http://schemas.openxmlformats.org/officeDocument/2006/relationships" name="情景比较" sheetId="6" r:id="R653a097dce834b8a"/>
    <x:sheet xmlns:r="http://schemas.openxmlformats.org/officeDocument/2006/relationships" name="匿名R" sheetId="7" r:id="Re5747ab8e42a403b"/>
    <x:sheet xmlns:r="http://schemas.openxmlformats.org/officeDocument/2006/relationships" name="历史摘录" sheetId="8" r:id="R67ce3927c24248fc"/>
    <x:sheet xmlns:r="http://schemas.openxmlformats.org/officeDocument/2006/relationships" name="使用说明" sheetId="9" r:id="Rfefbc779a58e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#,##0.00;[Red](#,##0.00);0.00"/>
    <x:numFmt numFmtId="202" formatCode="#,##0"/>
    <x:numFmt numFmtId="203" formatCode="0.00%;[Red](0.00%);0.00%"/>
    <x:numFmt numFmtId="204" formatCode="0.000"/>
    <x:numFmt numFmtId="205" formatCode="0"/>
    <x:numFmt numFmtId="206" formatCode="0.00000"/>
    <x:numFmt numFmtId="207" formatCode="0.000%"/>
  </x:numFmts>
  <x:fonts count="7">
    <x:font>
      <x:sz val="11"/>
      <x:name val="Carlito"/>
    </x:font>
    <x:font>
      <x:sz val="11"/>
      <x:name val="Source Han Sans SC"/>
    </x:font>
    <x:font>
      <x:sz val="16"/>
      <x:name val="Source Han Sans SC"/>
    </x:font>
    <x:font>
      <x:b/>
      <x:sz val="16"/>
      <x:name val="Source Han Sans SC"/>
    </x:font>
    <x:font>
      <x:sz val="11"/>
      <x:color rgb="FF52616D"/>
      <x:name val="Source Han Sans SC"/>
    </x:font>
    <x:font>
      <x:sz val="11"/>
      <x:color rgb="FFFFFFFF"/>
      <x:name val="Source Han Sans SC"/>
    </x:font>
    <x:font>
      <x:b/>
      <x:sz val="11"/>
      <x:color rgb="FFFFFFFF"/>
      <x:name val="Source Han Sans SC"/>
    </x:font>
  </x:fonts>
  <x:fills count="4">
    <x:fill>
      <x:patternFill patternType="none"/>
    </x:fill>
    <x:fill>
      <x:patternFill patternType="gray125"/>
    </x:fill>
    <x:fill>
      <x:patternFill patternType="solid">
        <x:fgColor rgb="FF245B83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5" fontId="1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7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010d9c32b466c" /><Relationship Type="http://schemas.openxmlformats.org/officeDocument/2006/relationships/theme" Target="/xl/theme/theme1.xml" Id="Rf7e0cd7c772146b0" /><Relationship Type="http://schemas.openxmlformats.org/officeDocument/2006/relationships/sharedStrings" Target="/xl/sharedStrings.xml" Id="R7a6c4af161734aac" /><Relationship Type="http://schemas.openxmlformats.org/officeDocument/2006/relationships/worksheet" Target="/xl/worksheets/sheet1.xml" Id="R9568b2357e8547a3" /><Relationship Type="http://schemas.openxmlformats.org/officeDocument/2006/relationships/worksheet" Target="/xl/worksheets/sheet2.xml" Id="R6be9407cbe5b49eb" /><Relationship Type="http://schemas.openxmlformats.org/officeDocument/2006/relationships/worksheet" Target="/xl/worksheets/sheet3.xml" Id="R7376d0e492f74109" /><Relationship Type="http://schemas.openxmlformats.org/officeDocument/2006/relationships/worksheet" Target="/xl/worksheets/sheet4.xml" Id="R210ae6c95a6c4601" /><Relationship Type="http://schemas.openxmlformats.org/officeDocument/2006/relationships/worksheet" Target="/xl/worksheets/sheet5.xml" Id="Ra2132614efdf48c8" /><Relationship Type="http://schemas.openxmlformats.org/officeDocument/2006/relationships/worksheet" Target="/xl/worksheets/sheet6.xml" Id="R653a097dce834b8a" /><Relationship Type="http://schemas.openxmlformats.org/officeDocument/2006/relationships/worksheet" Target="/xl/worksheets/sheet7.xml" Id="Re5747ab8e42a403b" /><Relationship Type="http://schemas.openxmlformats.org/officeDocument/2006/relationships/worksheet" Target="/xl/worksheets/sheet8.xml" Id="R67ce3927c24248fc" /><Relationship Type="http://schemas.openxmlformats.org/officeDocument/2006/relationships/worksheet" Target="/xl/worksheets/sheet9.xml" Id="Rfefbc779a58e4b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B83"/>
  </x:sheetPr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4" t="str">
        <x:v>第7章 SPY教学案例 研究结果</x:v>
      </x:c>
      <x:c r="B2" s="2"/>
      <x:c r="C2" s="2"/>
      <x:c r="D2" s="2"/>
      <x:c r="E2" s="2"/>
      <x:c r="F2" s="2"/>
      <x:c r="G2" s="2"/>
    </x:row>
    <x:row r="3" ht="23" customHeight="1">
      <x:c r="A3" s="5" t="str">
        <x:v>初始100,000美元，50日均线，单边10 bp，2015–2025年。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36" customHeight="1">
      <x:c r="A5" s="10" t="str">
        <x:v>指标</x:v>
      </x:c>
      <x:c r="B5" s="10" t="str">
        <x:v>50日规则</x:v>
      </x:c>
      <x:c r="C5" s="10" t="str">
        <x:v>买入持有</x:v>
      </x:c>
      <x:c r="D5" s="2"/>
      <x:c r="E5" s="2"/>
      <x:c r="F5" s="2"/>
      <x:c r="G5" s="2"/>
    </x:row>
    <x:row r="6" ht="23" customHeight="1">
      <x:c r="A6" s="2" t="str">
        <x:v>期末权益（美元）</x:v>
      </x:c>
      <x:c r="B6" s="12" t="n">
        <x:f>'策略日权益'!F2771</x:f>
        <x:v>163159.422949</x:v>
      </x:c>
      <x:c r="C6" s="12" t="n">
        <x:f>'基准日权益'!F2771</x:f>
        <x:v>360541.70313599997</x:v>
      </x:c>
      <x:c r="D6" s="2"/>
      <x:c r="E6" s="2"/>
      <x:c r="F6" s="2"/>
      <x:c r="G6" s="2"/>
    </x:row>
    <x:row r="7" ht="23" customHeight="1">
      <x:c r="A7" s="2" t="str">
        <x:v>累计收益</x:v>
      </x:c>
      <x:c r="B7" s="14" t="n">
        <x:f>B6/100000-1</x:f>
        <x:v>0.6315942294900001</x:v>
      </x:c>
      <x:c r="C7" s="14" t="n">
        <x:f>C6/100000-1</x:f>
        <x:v>2.6054170313599996</x:v>
      </x:c>
      <x:c r="D7" s="2"/>
      <x:c r="E7" s="2"/>
      <x:c r="F7" s="2"/>
      <x:c r="G7" s="2"/>
    </x:row>
    <x:row r="8" ht="23" customHeight="1">
      <x:c r="A8" s="2" t="str">
        <x:v>年化收益</x:v>
      </x:c>
      <x:c r="B8" s="14" t="n">
        <x:f>(B6/100000)^(365.25/('策略日权益'!A2771-'策略日权益'!A6))-1</x:f>
        <x:v>0.04553072685234549</x:v>
      </x:c>
      <x:c r="C8" s="14" t="n">
        <x:f>(C6/100000)^(365.25/('基准日权益'!A2771-'基准日权益'!A6))-1</x:f>
        <x:v>0.12371035292374222</x:v>
      </x:c>
      <x:c r="D8" s="2"/>
      <x:c r="E8" s="2"/>
      <x:c r="F8" s="2"/>
      <x:c r="G8" s="2"/>
    </x:row>
    <x:row r="9" ht="23" customHeight="1">
      <x:c r="A9" s="2" t="str">
        <x:v>最大回撤</x:v>
      </x:c>
      <x:c r="B9" s="14" t="n">
        <x:f>MIN('策略日权益'!H6:H2771)</x:f>
        <x:v>-0.22101630503366332</x:v>
      </x:c>
      <x:c r="C9" s="14" t="n">
        <x:f>MIN('基准日权益'!H6:H2771)</x:f>
        <x:v>-0.3143262633602564</x:v>
      </x:c>
      <x:c r="D9" s="2"/>
      <x:c r="E9" s="2"/>
      <x:c r="F9" s="2"/>
      <x:c r="G9" s="2"/>
    </x:row>
    <x:row r="10" ht="23" customHeight="1">
      <x:c r="A10" s="2" t="str">
        <x:v>年化波动</x:v>
      </x:c>
      <x:c r="B10" s="14" t="n">
        <x:f>STDEV('策略日权益'!I6:I2771)*SQRT(252)</x:f>
        <x:v>0.10353658645448861</x:v>
      </x:c>
      <x:c r="C10" s="14" t="n">
        <x:f>STDEV('基准日权益'!I6:I2771)*SQRT(252)</x:f>
        <x:v>0.16479540358936354</x:v>
      </x:c>
      <x:c r="D10" s="2"/>
      <x:c r="E10" s="2"/>
      <x:c r="F10" s="2"/>
      <x:c r="G10" s="2"/>
    </x:row>
    <x:row r="11" ht="23" customHeight="1">
      <x:c r="A11" s="2" t="str">
        <x:v>期末现金（美元）</x:v>
      </x:c>
      <x:c r="B11" s="12" t="n">
        <x:f>'策略日权益'!B2771</x:f>
        <x:v>180.542949</x:v>
      </x:c>
      <x:c r="C11" s="12" t="n">
        <x:f>'基准日权益'!B2771</x:f>
        <x:v>29527.633024</x:v>
      </x:c>
      <x:c r="D11" s="2"/>
      <x:c r="E11" s="2"/>
      <x:c r="F11" s="2"/>
      <x:c r="G11" s="2"/>
    </x:row>
    <x:row r="12" ht="23" customHeight="1">
      <x:c r="A12" s="2" t="str">
        <x:v>期末份额</x:v>
      </x:c>
      <x:c r="B12" s="13" t="n">
        <x:f>'策略日权益'!C2771</x:f>
        <x:v>239</x:v>
      </x:c>
      <x:c r="C12" s="13" t="n">
        <x:f>'基准日权益'!C2771</x:f>
        <x:v>484</x:v>
      </x:c>
      <x:c r="D12" s="2"/>
      <x:c r="E12" s="2"/>
      <x:c r="F12" s="2"/>
      <x:c r="G12" s="2"/>
    </x:row>
    <x:row r="13" ht="23" customHeight="1">
      <x:c r="A13" s="2" t="str">
        <x:v>期末应收（美元）</x:v>
      </x:c>
      <x:c r="B13" s="12" t="n">
        <x:f>'策略日权益'!E2771</x:f>
        <x:v>0</x:v>
      </x:c>
      <x:c r="C13" s="12" t="n">
        <x:f>'基准日权益'!E2771</x:f>
        <x:v>964.790112</x:v>
      </x:c>
      <x:c r="D13" s="2"/>
      <x:c r="E13" s="2"/>
      <x:c r="F13" s="2"/>
      <x:c r="G13" s="2"/>
    </x:row>
    <x:row r="14" ht="23" customHeight="1">
      <x:c r="A14" s="2" t="str">
        <x:v>已结束交易笔数</x:v>
      </x:c>
      <x:c r="B14" s="13" t="n">
        <x:f>SUM('交易明细'!L6:L103)</x:f>
        <x:v>97</x:v>
      </x:c>
      <x:c r="C14" s="18" t="n">
        <x:v>0</x:v>
      </x:c>
      <x:c r="D14" s="2"/>
      <x:c r="E14" s="2"/>
      <x:c r="F14" s="2"/>
      <x:c r="G14" s="2"/>
    </x:row>
    <x:row r="15" ht="23" customHeight="1">
      <x:c r="A15" s="2" t="str">
        <x:v>胜率</x:v>
      </x:c>
      <x:c r="B15" s="14" t="n">
        <x:f>COUNTIFS('交易明细'!I6:I102,"&gt;0")/B14</x:f>
        <x:v>0.32989690721649484</x:v>
      </x:c>
      <x:c r="C15" s="19" t="str">
        <x:v>不适用</x:v>
      </x:c>
      <x:c r="D15" s="2"/>
      <x:c r="E15" s="2"/>
      <x:c r="F15" s="2"/>
      <x:c r="G15" s="2"/>
    </x:row>
    <x:row r="16" ht="23" customHeight="1">
      <x:c r="A16" s="2" t="str">
        <x:v>利润因子</x:v>
      </x:c>
      <x:c r="B16" s="17" t="n">
        <x:f>SUMIFS('交易明细'!I6:I102,'交易明细'!I6:I102,"&gt;0")/-SUMIFS('交易明细'!I6:I102,'交易明细'!I6:I102,"&lt;0")</x:f>
        <x:v>1.6859701691329885</x:v>
      </x:c>
      <x:c r="C16" s="20" t="str">
        <x:v>不适用</x:v>
      </x:c>
      <x:c r="D16" s="2"/>
      <x:c r="E16" s="2"/>
      <x:c r="F16" s="2"/>
      <x:c r="G16" s="2"/>
    </x:row>
    <x:row r="17" ht="23" customHeight="1">
      <x:c r="A17" s="2" t="str">
        <x:v>单笔收益均值</x:v>
      </x:c>
      <x:c r="B17" s="14" t="n">
        <x:f>AVERAGE('交易明细'!K6:K102)</x:f>
        <x:v>0.0057628529962583195</x:v>
      </x:c>
      <x:c r="C17" s="19" t="str">
        <x:v>不适用</x:v>
      </x:c>
      <x:c r="D17" s="2"/>
      <x:c r="E17" s="2"/>
      <x:c r="F17" s="2"/>
      <x:c r="G17" s="2"/>
    </x:row>
    <x:row r="18" ht="23" customHeight="1">
      <x:c r="A18" s="2" t="str">
        <x:v>单笔收益中位数</x:v>
      </x:c>
      <x:c r="B18" s="14" t="n">
        <x:f>MEDIAN('交易明细'!K6:K102)</x:f>
        <x:v>-0.006530556856998804</x:v>
      </x:c>
      <x:c r="C18" s="19" t="str">
        <x:v>不适用</x:v>
      </x:c>
      <x:c r="D18" s="2"/>
      <x:c r="E18" s="2"/>
      <x:c r="F18" s="2"/>
      <x:c r="G18" s="2"/>
    </x:row>
    <x:row r="19" ht="23" customHeight="1">
      <x:c r="A19" s="2" t="str">
        <x:v>前五笔占全部正利润</x:v>
      </x:c>
      <x:c r="B19" s="14" t="n">
        <x:f>SUM(LARGE('交易明细'!I6:I102,1),LARGE('交易明细'!I6:I102,2),LARGE('交易明细'!I6:I102,3),LARGE('交易明细'!I6:I102,4),LARGE('交易明细'!I6:I102,5))/SUMIFS('交易明细'!I6:I102,'交易明细'!I6:I102,"&gt;0")</x:f>
        <x:v>0.5138740652676574</x:v>
      </x:c>
      <x:c r="C19" s="19" t="str">
        <x:v>不适用</x:v>
      </x:c>
      <x:c r="D19" s="2"/>
      <x:c r="E19" s="2"/>
      <x:c r="F19" s="2"/>
      <x:c r="G19" s="2"/>
    </x:row>
    <x:row r="20" ht="23" customHeight="1">
      <x:c r="A20" s="2" t="str">
        <x:v>结束交易贡献（美元）</x:v>
      </x:c>
      <x:c r="B20" s="12" t="n">
        <x:f>SUM('交易明细'!I6:I102)</x:f>
        <x:v>62047.25795900003</x:v>
      </x:c>
      <x:c r="C20" s="20" t="str">
        <x:v>不适用</x:v>
      </x:c>
      <x:c r="D20" s="2"/>
      <x:c r="E20" s="2"/>
      <x:c r="F20" s="2"/>
      <x:c r="G20" s="2"/>
    </x:row>
    <x:row r="21" ht="23" customHeight="1">
      <x:c r="A21" s="2" t="str">
        <x:v>未平仓贡献（美元）</x:v>
      </x:c>
      <x:c r="B21" s="12" t="n">
        <x:f>'交易明细'!I103</x:f>
        <x:v>1112.164990000002</x:v>
      </x:c>
      <x:c r="C21" s="20" t="str">
        <x:v>不适用</x:v>
      </x:c>
      <x:c r="D21" s="2"/>
      <x:c r="E21" s="2"/>
      <x:c r="F21" s="2"/>
      <x:c r="G21" s="2"/>
    </x:row>
    <x:row r="22" ht="23" customHeight="1">
      <x:c r="A22" s="2"/>
      <x:c r="B22" s="2"/>
      <x:c r="C22" s="2"/>
      <x:c r="D22" s="2"/>
      <x:c r="E22" s="2"/>
      <x:c r="F22" s="2"/>
      <x:c r="G22" s="2"/>
    </x:row>
    <x:row r="23" ht="23" customHeight="1">
      <x:c r="A23" s="2"/>
      <x:c r="B23" s="2"/>
      <x:c r="C23" s="2"/>
      <x:c r="D23" s="2"/>
      <x:c r="E23" s="2"/>
      <x:c r="F23" s="2"/>
      <x:c r="G23" s="2"/>
    </x:row>
    <x:row r="24" ht="23" customHeight="1">
      <x:c r="A24" s="5" t="str">
        <x:v>规则降低全期回撤与波动，但收益落后同条件买入持有。</x:v>
      </x:c>
      <x:c r="B24" s="2"/>
      <x:c r="C24" s="2"/>
      <x:c r="D24" s="2"/>
      <x:c r="E24" s="2"/>
      <x:c r="F24" s="2"/>
      <x:c r="G24" s="2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23" customHeight="1">
      <x:c r="A26" s="5" t="str">
        <x:v>情景结果为完整运行快照；修改规则或成本须按复现说明重跑，再更新输入。</x:v>
      </x:c>
      <x:c r="B26" s="2"/>
      <x:c r="C26" s="2"/>
      <x:c r="D26" s="2"/>
      <x:c r="E26" s="2"/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2"/>
      <x:c r="B29" s="2"/>
      <x:c r="C29" s="2"/>
      <x:c r="D29" s="2"/>
      <x:c r="E29" s="2"/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4" hidden="0" customWidth="1"/>
    <x:col min="3" max="3" width="18" hidden="0" customWidth="1"/>
    <x:col min="4" max="4" width="18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4" t="str">
        <x:v>SPY教学案例 首笔交易核算</x:v>
      </x:c>
      <x:c r="B2" s="2"/>
      <x:c r="C2" s="2"/>
      <x:c r="D2" s="2"/>
    </x:row>
    <x:row r="3" ht="23" customHeight="1">
      <x:c r="A3" s="5" t="str">
        <x:v>黄底为可编辑输入。本页变化仅用于单笔公式核验，不会重跑全期策略。</x:v>
      </x:c>
      <x:c r="B3" s="2"/>
      <x:c r="C3" s="2"/>
      <x:c r="D3" s="2"/>
    </x:row>
    <x:row r="4" ht="23" customHeight="1">
      <x:c r="A4" s="2"/>
      <x:c r="B4" s="2"/>
      <x:c r="C4" s="2"/>
      <x:c r="D4" s="2"/>
    </x:row>
    <x:row r="5" ht="36" customHeight="1">
      <x:c r="A5" s="10" t="str">
        <x:v>输入或结果</x:v>
      </x:c>
      <x:c r="B5" s="10" t="str">
        <x:v>数值</x:v>
      </x:c>
      <x:c r="C5" s="2"/>
      <x:c r="D5" s="2"/>
    </x:row>
    <x:row r="6" ht="23" customHeight="1">
      <x:c r="A6" s="2" t="str">
        <x:v>初始现金（美元）</x:v>
      </x:c>
      <x:c r="B6" s="16" t="n">
        <x:v>100000</x:v>
      </x:c>
      <x:c r="C6" s="2"/>
      <x:c r="D6" s="2"/>
    </x:row>
    <x:row r="7" ht="23" customHeight="1">
      <x:c r="A7" s="2" t="str">
        <x:v>买入原始开盘价</x:v>
      </x:c>
      <x:c r="B7" s="16" t="n">
        <x:v>206.38</x:v>
      </x:c>
      <x:c r="C7" s="2"/>
      <x:c r="D7" s="2"/>
    </x:row>
    <x:row r="8" ht="23" customHeight="1">
      <x:c r="A8" s="2" t="str">
        <x:v>卖出原始开盘价</x:v>
      </x:c>
      <x:c r="B8" s="16" t="n">
        <x:v>202.09</x:v>
      </x:c>
      <x:c r="C8" s="2"/>
      <x:c r="D8" s="2"/>
    </x:row>
    <x:row r="9" ht="23" customHeight="1">
      <x:c r="A9" s="2" t="str">
        <x:v>单边成本（bp）</x:v>
      </x:c>
      <x:c r="B9" s="21" t="n">
        <x:v>10</x:v>
      </x:c>
      <x:c r="C9" s="2"/>
      <x:c r="D9" s="2"/>
    </x:row>
    <x:row r="10" ht="23" customHeight="1">
      <x:c r="A10" s="2" t="str">
        <x:v>模拟买价</x:v>
      </x:c>
      <x:c r="B10" s="22" t="n">
        <x:f>IF(COUNT(B6:B9)&lt;&gt;4,"输入缺项",B7*(1+B9/10000))</x:f>
        <x:v>206.58637999999996</x:v>
      </x:c>
      <x:c r="C10" s="2"/>
      <x:c r="D10" s="2"/>
    </x:row>
    <x:row r="11" ht="23" customHeight="1">
      <x:c r="A11" s="2" t="str">
        <x:v>可负担份额</x:v>
      </x:c>
      <x:c r="B11" s="13" t="n">
        <x:f>IF(COUNT(B6:B10)&lt;&gt;5,"输入缺项",INT(B6/B10))</x:f>
        <x:v>484</x:v>
      </x:c>
      <x:c r="C11" s="2"/>
      <x:c r="D11" s="2"/>
    </x:row>
    <x:row r="12" ht="23" customHeight="1">
      <x:c r="A12" s="2" t="str">
        <x:v>买后现金</x:v>
      </x:c>
      <x:c r="B12" s="12" t="n">
        <x:f>IF(ISNUMBER(B11),B6-B11*B10,"输入缺项")</x:f>
        <x:v>12.192080000022543</x:v>
      </x:c>
      <x:c r="C12" s="2"/>
      <x:c r="D12" s="2"/>
    </x:row>
    <x:row r="13" ht="23" customHeight="1">
      <x:c r="A13" s="2" t="str">
        <x:v>模拟卖价</x:v>
      </x:c>
      <x:c r="B13" s="22" t="n">
        <x:f>IF(COUNT(B8:B9)&lt;&gt;2,"输入缺项",B8*(1-B9/10000))</x:f>
        <x:v>201.88791</x:v>
      </x:c>
      <x:c r="C13" s="2"/>
      <x:c r="D13" s="2"/>
    </x:row>
    <x:row r="14" ht="23" customHeight="1">
      <x:c r="A14" s="2" t="str">
        <x:v>卖后现金</x:v>
      </x:c>
      <x:c r="B14" s="12" t="n">
        <x:f>IF(COUNT(B11:B13)&lt;&gt;3,"输入缺项",B12+B11*B13)</x:f>
        <x:v>97725.94052000002</x:v>
      </x:c>
      <x:c r="C14" s="2"/>
      <x:c r="D14" s="2"/>
    </x:row>
    <x:row r="15" ht="23" customHeight="1">
      <x:c r="A15" s="2" t="str">
        <x:v>净损益</x:v>
      </x:c>
      <x:c r="B15" s="12" t="n">
        <x:f>IF(ISNUMBER(B14),B14-B6,"输入缺项")</x:f>
        <x:v>-2274.0594799999817</x:v>
      </x:c>
      <x:c r="C15" s="2"/>
      <x:c r="D15" s="2"/>
    </x:row>
    <x:row r="16" ht="23" customHeight="1">
      <x:c r="A16" s="2" t="str">
        <x:v>原记录净损益</x:v>
      </x:c>
      <x:c r="B16" s="12" t="n">
        <x:f>-2274.05948</x:f>
        <x:v>-2274.05948</x:v>
      </x:c>
      <x:c r="C16" s="2"/>
      <x:c r="D16" s="2"/>
    </x:row>
    <x:row r="17" ht="23" customHeight="1">
      <x:c r="A17" s="2" t="str">
        <x:v>重建减原记录</x:v>
      </x:c>
      <x:c r="B17" s="12" t="n">
        <x:f>IF(ISNUMBER(B15),B15-B16,"输入缺项")</x:f>
        <x:v>1.8189894035458565e-11</x:v>
      </x:c>
      <x:c r="C17" s="2"/>
      <x:c r="D17" s="2"/>
    </x:row>
    <x:row r="18" ht="23" customHeight="1">
      <x:c r="A18" s="2"/>
      <x:c r="B18" s="2"/>
      <x:c r="C18" s="2"/>
      <x:c r="D18" s="2"/>
    </x:row>
    <x:row r="19" ht="23" customHeight="1">
      <x:c r="A19" s="2"/>
      <x:c r="B19" s="2"/>
      <x:c r="C19" s="2"/>
      <x:c r="D19" s="2"/>
    </x:row>
    <x:row r="20" ht="23" customHeight="1">
      <x:c r="A20" s="5" t="str">
        <x:v>来源：2015-01-02买入与2015-01-06卖出，Yahoo原始日线。</x:v>
      </x:c>
      <x:c r="B20" s="2"/>
      <x:c r="C20" s="2"/>
      <x:c r="D20" s="2"/>
    </x:row>
    <x:row r="21" ht="23" customHeight="1">
      <x:c r="A21" s="2"/>
      <x:c r="B21" s="2"/>
      <x:c r="C21" s="2"/>
      <x:c r="D21" s="2"/>
    </x:row>
    <x:row r="22" ht="23" customHeight="1">
      <x:c r="A22" s="5" t="str">
        <x:v>信号核验：205.54＞203.6838；201.72＜204.0916。金额内部保留小数精度。</x:v>
      </x:c>
      <x:c r="B22" s="2"/>
      <x:c r="C22" s="2"/>
      <x:c r="D22" s="2"/>
    </x:row>
    <x:row r="23" ht="23" customHeight="1">
      <x:c r="A23" s="2"/>
      <x:c r="B23" s="2"/>
      <x:c r="C23" s="2"/>
      <x:c r="D23" s="2"/>
    </x:row>
    <x:row r="24" ht="23" customHeight="1">
      <x:c r="A24" s="2"/>
      <x:c r="B24" s="2"/>
      <x:c r="C24" s="2"/>
      <x:c r="D24" s="2"/>
    </x:row>
    <x:row r="25" ht="23" customHeight="1">
      <x:c r="A25" s="2"/>
      <x:c r="B25" s="2"/>
      <x:c r="C25" s="2"/>
      <x:c r="D25" s="2"/>
    </x:row>
    <x:row r="26" ht="23" customHeight="1">
      <x:c r="A26" s="2"/>
      <x:c r="B26" s="2"/>
      <x:c r="C26" s="2"/>
      <x:c r="D26" s="2"/>
    </x:row>
    <x:row r="27" ht="23" customHeight="1">
      <x:c r="A27" s="2"/>
      <x:c r="B27" s="2"/>
      <x:c r="C27" s="2"/>
      <x:c r="D2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4" t="str">
        <x:v>SPY教学案例 策略日权益 2015–2025年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5" t="str">
        <x:v>单位美元。市场价值为运行结果输入，权益与回撤为公式。原始行情由复现脚本另行获取。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10" t="str">
        <x:v>日期</x:v>
      </x:c>
      <x:c r="B5" s="10" t="str">
        <x:v>现金</x:v>
      </x:c>
      <x:c r="C5" s="10" t="str">
        <x:v>份额</x:v>
      </x:c>
      <x:c r="D5" s="10" t="str">
        <x:v>持仓市值</x:v>
      </x:c>
      <x:c r="E5" s="10" t="str">
        <x:v>应收分红</x:v>
      </x:c>
      <x:c r="F5" s="10" t="str">
        <x:v>权益</x:v>
      </x:c>
      <x:c r="G5" s="10" t="str">
        <x:v>累计高点</x:v>
      </x:c>
      <x:c r="H5" s="10" t="str">
        <x:v>回撤</x:v>
      </x:c>
      <x:c r="I5" s="10" t="str">
        <x:v>日收益率</x:v>
      </x:c>
      <x:c r="J5" s="10" t="str">
        <x:v>除息应收增加</x:v>
      </x:c>
      <x:c r="K5" s="10" t="str">
        <x:v>分红到账</x:v>
      </x:c>
      <x:c r="L5" s="10" t="str">
        <x:v>成交份额变化</x:v>
      </x:c>
      <x:c r="M5" s="10" t="str">
        <x:v>执行状态</x:v>
      </x:c>
    </x:row>
    <x:row r="6" ht="23" customHeight="1">
      <x:c r="A6" s="11" t="d">
        <x:v>2015-01-02T00:00:00.000Z</x:v>
      </x:c>
      <x:c r="B6" s="12" t="n">
        <x:v>12.19208</x:v>
      </x:c>
      <x:c r="C6" s="13" t="n">
        <x:v>484</x:v>
      </x:c>
      <x:c r="D6" s="12" t="n">
        <x:v>99428.12000000001</x:v>
      </x:c>
      <x:c r="E6" s="12" t="n">
        <x:v>0</x:v>
      </x:c>
      <x:c r="F6" s="12" t="n">
        <x:f>SUM(B6,D6:E6)</x:f>
        <x:v>99440.31208</x:v>
      </x:c>
      <x:c r="G6" s="12" t="n">
        <x:f>MAX(100000,F6)</x:f>
        <x:v>100000</x:v>
      </x:c>
      <x:c r="H6" s="14" t="n">
        <x:f>F6/G6-1</x:f>
        <x:v>-0.00559687919999996</x:v>
      </x:c>
      <x:c r="I6" s="14" t="n">
        <x:f>F6/100000-1</x:f>
        <x:v>-0.00559687919999996</x:v>
      </x:c>
      <x:c r="J6" s="12" t="n">
        <x:v>0</x:v>
      </x:c>
      <x:c r="K6" s="12" t="n">
        <x:v>0</x:v>
      </x:c>
      <x:c r="L6" s="12" t="n">
        <x:v>484</x:v>
      </x:c>
      <x:c r="M6" s="2" t="str">
        <x:v>买入</x:v>
      </x:c>
    </x:row>
    <x:row r="7" ht="23" customHeight="1">
      <x:c r="A7" s="11" t="d">
        <x:v>2015-01-05T00:00:00.000Z</x:v>
      </x:c>
      <x:c r="B7" s="12" t="n">
        <x:v>12.19208</x:v>
      </x:c>
      <x:c r="C7" s="13" t="n">
        <x:v>484</x:v>
      </x:c>
      <x:c r="D7" s="12" t="n">
        <x:v>97632.48</x:v>
      </x:c>
      <x:c r="E7" s="12" t="n">
        <x:v>0</x:v>
      </x:c>
      <x:c r="F7" s="12" t="n">
        <x:f>SUM(B7,D7:E7)</x:f>
        <x:v>97644.67207999999</x:v>
      </x:c>
      <x:c r="G7" s="12" t="n">
        <x:f>MAX(G6,F7)</x:f>
        <x:v>100000</x:v>
      </x:c>
      <x:c r="H7" s="14" t="n">
        <x:f>F7/G7-1</x:f>
        <x:v>-0.023553279200000055</x:v>
      </x:c>
      <x:c r="I7" s="14" t="n">
        <x:f>F7/F6-1</x:f>
        <x:v>-0.018057465452797627</x:v>
      </x:c>
      <x:c r="J7" s="12" t="n">
        <x:v>0</x:v>
      </x:c>
      <x:c r="K7" s="12" t="n">
        <x:v>0</x:v>
      </x:c>
      <x:c r="L7" s="12" t="n">
        <x:v>0</x:v>
      </x:c>
      <x:c r="M7" s="2" t="str">
        <x:v>持有</x:v>
      </x:c>
    </x:row>
    <x:row r="8" ht="23" customHeight="1">
      <x:c r="A8" s="11" t="d">
        <x:v>2015-01-06T00:00:00.000Z</x:v>
      </x:c>
      <x:c r="B8" s="12" t="n">
        <x:v>97725.94052</x:v>
      </x:c>
      <x:c r="C8" s="13" t="n">
        <x:v>0</x:v>
      </x:c>
      <x:c r="D8" s="12" t="n">
        <x:v>0</x:v>
      </x:c>
      <x:c r="E8" s="12" t="n">
        <x:v>0</x:v>
      </x:c>
      <x:c r="F8" s="12" t="n">
        <x:f>SUM(B8,D8:E8)</x:f>
        <x:v>97725.94052</x:v>
      </x:c>
      <x:c r="G8" s="12" t="n">
        <x:f>MAX(G7,F8)</x:f>
        <x:v>100000</x:v>
      </x:c>
      <x:c r="H8" s="14" t="n">
        <x:f>F8/G8-1</x:f>
        <x:v>-0.022740594800000014</x:v>
      </x:c>
      <x:c r="I8" s="14" t="n">
        <x:f>F8/F7-1</x:f>
        <x:v>0.0008322874998589747</x:v>
      </x:c>
      <x:c r="J8" s="12" t="n">
        <x:v>0</x:v>
      </x:c>
      <x:c r="K8" s="12" t="n">
        <x:v>0</x:v>
      </x:c>
      <x:c r="L8" s="12" t="n">
        <x:v>-484</x:v>
      </x:c>
      <x:c r="M8" s="2" t="str">
        <x:v>卖出</x:v>
      </x:c>
    </x:row>
    <x:row r="9" ht="23" customHeight="1">
      <x:c r="A9" s="11" t="d">
        <x:v>2015-01-07T00:00:00.000Z</x:v>
      </x:c>
      <x:c r="B9" s="12" t="n">
        <x:v>97725.94052</x:v>
      </x:c>
      <x:c r="C9" s="13" t="n">
        <x:v>0</x:v>
      </x:c>
      <x:c r="D9" s="12" t="n">
        <x:v>0</x:v>
      </x:c>
      <x:c r="E9" s="12" t="n">
        <x:v>0</x:v>
      </x:c>
      <x:c r="F9" s="12" t="n">
        <x:f>SUM(B9,D9:E9)</x:f>
        <x:v>97725.94052</x:v>
      </x:c>
      <x:c r="G9" s="12" t="n">
        <x:f>MAX(G8,F9)</x:f>
        <x:v>100000</x:v>
      </x:c>
      <x:c r="H9" s="14" t="n">
        <x:f>F9/G9-1</x:f>
        <x:v>-0.022740594800000014</x:v>
      </x:c>
      <x:c r="I9" s="14" t="n">
        <x:f>F9/F8-1</x:f>
        <x:v>0</x:v>
      </x:c>
      <x:c r="J9" s="12" t="n">
        <x:v>0</x:v>
      </x:c>
      <x:c r="K9" s="12" t="n">
        <x:v>0</x:v>
      </x:c>
      <x:c r="L9" s="12" t="n">
        <x:v>0</x:v>
      </x:c>
      <x:c r="M9" s="2" t="str">
        <x:v>空仓</x:v>
      </x:c>
    </x:row>
    <x:row r="10" ht="23" customHeight="1">
      <x:c r="A10" s="11" t="d">
        <x:v>2015-01-08T00:00:00.000Z</x:v>
      </x:c>
      <x:c r="B10" s="12" t="n">
        <x:v>97725.94052</x:v>
      </x:c>
      <x:c r="C10" s="13" t="n">
        <x:v>0</x:v>
      </x:c>
      <x:c r="D10" s="12" t="n">
        <x:v>0</x:v>
      </x:c>
      <x:c r="E10" s="12" t="n">
        <x:v>0</x:v>
      </x:c>
      <x:c r="F10" s="12" t="n">
        <x:f>SUM(B10,D10:E10)</x:f>
        <x:v>97725.94052</x:v>
      </x:c>
      <x:c r="G10" s="12" t="n">
        <x:f>MAX(G9,F10)</x:f>
        <x:v>100000</x:v>
      </x:c>
      <x:c r="H10" s="14" t="n">
        <x:f>F10/G10-1</x:f>
        <x:v>-0.022740594800000014</x:v>
      </x:c>
      <x:c r="I10" s="14" t="n">
        <x:f>F10/F9-1</x:f>
        <x:v>0</x:v>
      </x:c>
      <x:c r="J10" s="12" t="n">
        <x:v>0</x:v>
      </x:c>
      <x:c r="K10" s="12" t="n">
        <x:v>0</x:v>
      </x:c>
      <x:c r="L10" s="12" t="n">
        <x:v>0</x:v>
      </x:c>
      <x:c r="M10" s="2" t="str">
        <x:v>空仓</x:v>
      </x:c>
    </x:row>
    <x:row r="11" ht="23" customHeight="1">
      <x:c r="A11" s="11" t="d">
        <x:v>2015-01-09T00:00:00.000Z</x:v>
      </x:c>
      <x:c r="B11" s="12" t="n">
        <x:v>1.11332</x:v>
      </x:c>
      <x:c r="C11" s="13" t="n">
        <x:v>473</x:v>
      </x:c>
      <x:c r="D11" s="12" t="n">
        <x:v>96610.25</x:v>
      </x:c>
      <x:c r="E11" s="12" t="n">
        <x:v>0</x:v>
      </x:c>
      <x:c r="F11" s="12" t="n">
        <x:f>SUM(B11,D11:E11)</x:f>
        <x:v>96611.36332</x:v>
      </x:c>
      <x:c r="G11" s="12" t="n">
        <x:f>MAX(G10,F11)</x:f>
        <x:v>100000</x:v>
      </x:c>
      <x:c r="H11" s="14" t="n">
        <x:f>F11/G11-1</x:f>
        <x:v>-0.03388636680000001</x:v>
      </x:c>
      <x:c r="I11" s="14" t="n">
        <x:f>F11/F10-1</x:f>
        <x:v>-0.011405131473479102</x:v>
      </x:c>
      <x:c r="J11" s="12" t="n">
        <x:v>0</x:v>
      </x:c>
      <x:c r="K11" s="12" t="n">
        <x:v>0</x:v>
      </x:c>
      <x:c r="L11" s="12" t="n">
        <x:v>473</x:v>
      </x:c>
      <x:c r="M11" s="2" t="str">
        <x:v>买入</x:v>
      </x:c>
    </x:row>
    <x:row r="12" ht="23" customHeight="1">
      <x:c r="A12" s="11" t="d">
        <x:v>2015-01-12T00:00:00.000Z</x:v>
      </x:c>
      <x:c r="B12" s="12" t="n">
        <x:v>96590.35739</x:v>
      </x:c>
      <x:c r="C12" s="13" t="n">
        <x:v>0</x:v>
      </x:c>
      <x:c r="D12" s="12" t="n">
        <x:v>0</x:v>
      </x:c>
      <x:c r="E12" s="12" t="n">
        <x:v>0</x:v>
      </x:c>
      <x:c r="F12" s="12" t="n">
        <x:f>SUM(B12,D12:E12)</x:f>
        <x:v>96590.35739</x:v>
      </x:c>
      <x:c r="G12" s="12" t="n">
        <x:f>MAX(G11,F12)</x:f>
        <x:v>100000</x:v>
      </x:c>
      <x:c r="H12" s="14" t="n">
        <x:f>F12/G12-1</x:f>
        <x:v>-0.034096426099999966</x:v>
      </x:c>
      <x:c r="I12" s="14" t="n">
        <x:f>F12/F11-1</x:f>
        <x:v>-0.0002174271149701923</x:v>
      </x:c>
      <x:c r="J12" s="12" t="n">
        <x:v>0</x:v>
      </x:c>
      <x:c r="K12" s="12" t="n">
        <x:v>0</x:v>
      </x:c>
      <x:c r="L12" s="12" t="n">
        <x:v>-473</x:v>
      </x:c>
      <x:c r="M12" s="2" t="str">
        <x:v>卖出</x:v>
      </x:c>
    </x:row>
    <x:row r="13" ht="23" customHeight="1">
      <x:c r="A13" s="11" t="d">
        <x:v>2015-01-13T00:00:00.000Z</x:v>
      </x:c>
      <x:c r="B13" s="12" t="n">
        <x:v>96590.35739</x:v>
      </x:c>
      <x:c r="C13" s="13" t="n">
        <x:v>0</x:v>
      </x:c>
      <x:c r="D13" s="12" t="n">
        <x:v>0</x:v>
      </x:c>
      <x:c r="E13" s="12" t="n">
        <x:v>0</x:v>
      </x:c>
      <x:c r="F13" s="12" t="n">
        <x:f>SUM(B13,D13:E13)</x:f>
        <x:v>96590.35739</x:v>
      </x:c>
      <x:c r="G13" s="12" t="n">
        <x:f>MAX(G12,F13)</x:f>
        <x:v>100000</x:v>
      </x:c>
      <x:c r="H13" s="14" t="n">
        <x:f>F13/G13-1</x:f>
        <x:v>-0.034096426099999966</x:v>
      </x:c>
      <x:c r="I13" s="14" t="n">
        <x:f>F13/F12-1</x:f>
        <x:v>0</x:v>
      </x:c>
      <x:c r="J13" s="12" t="n">
        <x:v>0</x:v>
      </x:c>
      <x:c r="K13" s="12" t="n">
        <x:v>0</x:v>
      </x:c>
      <x:c r="L13" s="12" t="n">
        <x:v>0</x:v>
      </x:c>
      <x:c r="M13" s="2" t="str">
        <x:v>空仓</x:v>
      </x:c>
    </x:row>
    <x:row r="14" ht="23" customHeight="1">
      <x:c r="A14" s="11" t="d">
        <x:v>2015-01-14T00:00:00.000Z</x:v>
      </x:c>
      <x:c r="B14" s="12" t="n">
        <x:v>96590.35739</x:v>
      </x:c>
      <x:c r="C14" s="13" t="n">
        <x:v>0</x:v>
      </x:c>
      <x:c r="D14" s="12" t="n">
        <x:v>0</x:v>
      </x:c>
      <x:c r="E14" s="12" t="n">
        <x:v>0</x:v>
      </x:c>
      <x:c r="F14" s="12" t="n">
        <x:f>SUM(B14,D14:E14)</x:f>
        <x:v>96590.35739</x:v>
      </x:c>
      <x:c r="G14" s="12" t="n">
        <x:f>MAX(G13,F14)</x:f>
        <x:v>100000</x:v>
      </x:c>
      <x:c r="H14" s="14" t="n">
        <x:f>F14/G14-1</x:f>
        <x:v>-0.034096426099999966</x:v>
      </x:c>
      <x:c r="I14" s="14" t="n">
        <x:f>F14/F13-1</x:f>
        <x:v>0</x:v>
      </x:c>
      <x:c r="J14" s="12" t="n">
        <x:v>0</x:v>
      </x:c>
      <x:c r="K14" s="12" t="n">
        <x:v>0</x:v>
      </x:c>
      <x:c r="L14" s="12" t="n">
        <x:v>0</x:v>
      </x:c>
      <x:c r="M14" s="2" t="str">
        <x:v>空仓</x:v>
      </x:c>
    </x:row>
    <x:row r="15" ht="23" customHeight="1">
      <x:c r="A15" s="11" t="d">
        <x:v>2015-01-15T00:00:00.000Z</x:v>
      </x:c>
      <x:c r="B15" s="12" t="n">
        <x:v>96590.35739</x:v>
      </x:c>
      <x:c r="C15" s="13" t="n">
        <x:v>0</x:v>
      </x:c>
      <x:c r="D15" s="12" t="n">
        <x:v>0</x:v>
      </x:c>
      <x:c r="E15" s="12" t="n">
        <x:v>0</x:v>
      </x:c>
      <x:c r="F15" s="12" t="n">
        <x:f>SUM(B15,D15:E15)</x:f>
        <x:v>96590.35739</x:v>
      </x:c>
      <x:c r="G15" s="12" t="n">
        <x:f>MAX(G14,F15)</x:f>
        <x:v>100000</x:v>
      </x:c>
      <x:c r="H15" s="14" t="n">
        <x:f>F15/G15-1</x:f>
        <x:v>-0.034096426099999966</x:v>
      </x:c>
      <x:c r="I15" s="14" t="n">
        <x:f>F15/F14-1</x:f>
        <x:v>0</x:v>
      </x:c>
      <x:c r="J15" s="12" t="n">
        <x:v>0</x:v>
      </x:c>
      <x:c r="K15" s="12" t="n">
        <x:v>0</x:v>
      </x:c>
      <x:c r="L15" s="12" t="n">
        <x:v>0</x:v>
      </x:c>
      <x:c r="M15" s="2" t="str">
        <x:v>空仓</x:v>
      </x:c>
    </x:row>
    <x:row r="16" ht="23" customHeight="1">
      <x:c r="A16" s="11" t="d">
        <x:v>2015-01-16T00:00:00.000Z</x:v>
      </x:c>
      <x:c r="B16" s="12" t="n">
        <x:v>96590.35739</x:v>
      </x:c>
      <x:c r="C16" s="13" t="n">
        <x:v>0</x:v>
      </x:c>
      <x:c r="D16" s="12" t="n">
        <x:v>0</x:v>
      </x:c>
      <x:c r="E16" s="12" t="n">
        <x:v>0</x:v>
      </x:c>
      <x:c r="F16" s="12" t="n">
        <x:f>SUM(B16,D16:E16)</x:f>
        <x:v>96590.35739</x:v>
      </x:c>
      <x:c r="G16" s="12" t="n">
        <x:f>MAX(G15,F16)</x:f>
        <x:v>100000</x:v>
      </x:c>
      <x:c r="H16" s="14" t="n">
        <x:f>F16/G16-1</x:f>
        <x:v>-0.034096426099999966</x:v>
      </x:c>
      <x:c r="I16" s="14" t="n">
        <x:f>F16/F15-1</x:f>
        <x:v>0</x:v>
      </x:c>
      <x:c r="J16" s="12" t="n">
        <x:v>0</x:v>
      </x:c>
      <x:c r="K16" s="12" t="n">
        <x:v>0</x:v>
      </x:c>
      <x:c r="L16" s="12" t="n">
        <x:v>0</x:v>
      </x:c>
      <x:c r="M16" s="2" t="str">
        <x:v>空仓</x:v>
      </x:c>
    </x:row>
    <x:row r="17" ht="23" customHeight="1">
      <x:c r="A17" s="11" t="d">
        <x:v>2015-01-20T00:00:00.000Z</x:v>
      </x:c>
      <x:c r="B17" s="12" t="n">
        <x:v>96590.35739</x:v>
      </x:c>
      <x:c r="C17" s="13" t="n">
        <x:v>0</x:v>
      </x:c>
      <x:c r="D17" s="12" t="n">
        <x:v>0</x:v>
      </x:c>
      <x:c r="E17" s="12" t="n">
        <x:v>0</x:v>
      </x:c>
      <x:c r="F17" s="12" t="n">
        <x:f>SUM(B17,D17:E17)</x:f>
        <x:v>96590.35739</x:v>
      </x:c>
      <x:c r="G17" s="12" t="n">
        <x:f>MAX(G16,F17)</x:f>
        <x:v>100000</x:v>
      </x:c>
      <x:c r="H17" s="14" t="n">
        <x:f>F17/G17-1</x:f>
        <x:v>-0.034096426099999966</x:v>
      </x:c>
      <x:c r="I17" s="14" t="n">
        <x:f>F17/F16-1</x:f>
        <x:v>0</x:v>
      </x:c>
      <x:c r="J17" s="12" t="n">
        <x:v>0</x:v>
      </x:c>
      <x:c r="K17" s="12" t="n">
        <x:v>0</x:v>
      </x:c>
      <x:c r="L17" s="12" t="n">
        <x:v>0</x:v>
      </x:c>
      <x:c r="M17" s="2" t="str">
        <x:v>空仓</x:v>
      </x:c>
    </x:row>
    <x:row r="18" ht="23" customHeight="1">
      <x:c r="A18" s="11" t="d">
        <x:v>2015-01-21T00:00:00.000Z</x:v>
      </x:c>
      <x:c r="B18" s="12" t="n">
        <x:v>96590.35739</x:v>
      </x:c>
      <x:c r="C18" s="13" t="n">
        <x:v>0</x:v>
      </x:c>
      <x:c r="D18" s="12" t="n">
        <x:v>0</x:v>
      </x:c>
      <x:c r="E18" s="12" t="n">
        <x:v>0</x:v>
      </x:c>
      <x:c r="F18" s="12" t="n">
        <x:f>SUM(B18,D18:E18)</x:f>
        <x:v>96590.35739</x:v>
      </x:c>
      <x:c r="G18" s="12" t="n">
        <x:f>MAX(G17,F18)</x:f>
        <x:v>100000</x:v>
      </x:c>
      <x:c r="H18" s="14" t="n">
        <x:f>F18/G18-1</x:f>
        <x:v>-0.034096426099999966</x:v>
      </x:c>
      <x:c r="I18" s="14" t="n">
        <x:f>F18/F17-1</x:f>
        <x:v>0</x:v>
      </x:c>
      <x:c r="J18" s="12" t="n">
        <x:v>0</x:v>
      </x:c>
      <x:c r="K18" s="12" t="n">
        <x:v>0</x:v>
      </x:c>
      <x:c r="L18" s="12" t="n">
        <x:v>0</x:v>
      </x:c>
      <x:c r="M18" s="2" t="str">
        <x:v>空仓</x:v>
      </x:c>
    </x:row>
    <x:row r="19" ht="23" customHeight="1">
      <x:c r="A19" s="11" t="d">
        <x:v>2015-01-22T00:00:00.000Z</x:v>
      </x:c>
      <x:c r="B19" s="12" t="n">
        <x:v>96590.35739</x:v>
      </x:c>
      <x:c r="C19" s="13" t="n">
        <x:v>0</x:v>
      </x:c>
      <x:c r="D19" s="12" t="n">
        <x:v>0</x:v>
      </x:c>
      <x:c r="E19" s="12" t="n">
        <x:v>0</x:v>
      </x:c>
      <x:c r="F19" s="12" t="n">
        <x:f>SUM(B19,D19:E19)</x:f>
        <x:v>96590.35739</x:v>
      </x:c>
      <x:c r="G19" s="12" t="n">
        <x:f>MAX(G18,F19)</x:f>
        <x:v>100000</x:v>
      </x:c>
      <x:c r="H19" s="14" t="n">
        <x:f>F19/G19-1</x:f>
        <x:v>-0.034096426099999966</x:v>
      </x:c>
      <x:c r="I19" s="14" t="n">
        <x:f>F19/F18-1</x:f>
        <x:v>0</x:v>
      </x:c>
      <x:c r="J19" s="12" t="n">
        <x:v>0</x:v>
      </x:c>
      <x:c r="K19" s="12" t="n">
        <x:v>0</x:v>
      </x:c>
      <x:c r="L19" s="12" t="n">
        <x:v>0</x:v>
      </x:c>
      <x:c r="M19" s="2" t="str">
        <x:v>空仓</x:v>
      </x:c>
    </x:row>
    <x:row r="20" ht="23" customHeight="1">
      <x:c r="A20" s="11" t="d">
        <x:v>2015-01-23T00:00:00.000Z</x:v>
      </x:c>
      <x:c r="B20" s="12" t="n">
        <x:v>184.32767</x:v>
      </x:c>
      <x:c r="C20" s="13" t="n">
        <x:v>468</x:v>
      </x:c>
      <x:c r="D20" s="12" t="n">
        <x:v>95925.96</x:v>
      </x:c>
      <x:c r="E20" s="12" t="n">
        <x:v>0</x:v>
      </x:c>
      <x:c r="F20" s="12" t="n">
        <x:f>SUM(B20,D20:E20)</x:f>
        <x:v>96110.28767</x:v>
      </x:c>
      <x:c r="G20" s="12" t="n">
        <x:f>MAX(G19,F20)</x:f>
        <x:v>100000</x:v>
      </x:c>
      <x:c r="H20" s="14" t="n">
        <x:f>F20/G20-1</x:f>
        <x:v>-0.03889712329999995</x:v>
      </x:c>
      <x:c r="I20" s="14" t="n">
        <x:f>F20/F19-1</x:f>
        <x:v>-0.0049701619599732405</x:v>
      </x:c>
      <x:c r="J20" s="12" t="n">
        <x:v>0</x:v>
      </x:c>
      <x:c r="K20" s="12" t="n">
        <x:v>0</x:v>
      </x:c>
      <x:c r="L20" s="12" t="n">
        <x:v>468</x:v>
      </x:c>
      <x:c r="M20" s="2" t="str">
        <x:v>买入</x:v>
      </x:c>
    </x:row>
    <x:row r="21" ht="23" customHeight="1">
      <x:c r="A21" s="11" t="d">
        <x:v>2015-01-26T00:00:00.000Z</x:v>
      </x:c>
      <x:c r="B21" s="12" t="n">
        <x:v>184.32767</x:v>
      </x:c>
      <x:c r="C21" s="13" t="n">
        <x:v>468</x:v>
      </x:c>
      <x:c r="D21" s="12" t="n">
        <x:v>96150.59999999999</x:v>
      </x:c>
      <x:c r="E21" s="12" t="n">
        <x:v>0</x:v>
      </x:c>
      <x:c r="F21" s="12" t="n">
        <x:f>SUM(B21,D21:E21)</x:f>
        <x:v>96334.92766999999</x:v>
      </x:c>
      <x:c r="G21" s="12" t="n">
        <x:f>MAX(G20,F21)</x:f>
        <x:v>100000</x:v>
      </x:c>
      <x:c r="H21" s="14" t="n">
        <x:f>F21/G21-1</x:f>
        <x:v>-0.036650723300000076</x:v>
      </x:c>
      <x:c r="I21" s="14" t="n">
        <x:f>F21/F20-1</x:f>
        <x:v>0.002337314822855374</x:v>
      </x:c>
      <x:c r="J21" s="12" t="n">
        <x:v>0</x:v>
      </x:c>
      <x:c r="K21" s="12" t="n">
        <x:v>0</x:v>
      </x:c>
      <x:c r="L21" s="12" t="n">
        <x:v>0</x:v>
      </x:c>
      <x:c r="M21" s="2" t="str">
        <x:v>持有</x:v>
      </x:c>
    </x:row>
    <x:row r="22" ht="23" customHeight="1">
      <x:c r="A22" s="11" t="d">
        <x:v>2015-01-27T00:00:00.000Z</x:v>
      </x:c>
      <x:c r="B22" s="12" t="n">
        <x:v>184.32767</x:v>
      </x:c>
      <x:c r="C22" s="13" t="n">
        <x:v>468</x:v>
      </x:c>
      <x:c r="D22" s="12" t="n">
        <x:v>94882.32</x:v>
      </x:c>
      <x:c r="E22" s="12" t="n">
        <x:v>0</x:v>
      </x:c>
      <x:c r="F22" s="12" t="n">
        <x:f>SUM(B22,D22:E22)</x:f>
        <x:v>95066.64767</x:v>
      </x:c>
      <x:c r="G22" s="12" t="n">
        <x:f>MAX(G21,F22)</x:f>
        <x:v>100000</x:v>
      </x:c>
      <x:c r="H22" s="14" t="n">
        <x:f>F22/G22-1</x:f>
        <x:v>-0.04933352329999996</x:v>
      </x:c>
      <x:c r="I22" s="14" t="n">
        <x:f>F22/F21-1</x:f>
        <x:v>-0.013165318443426277</x:v>
      </x:c>
      <x:c r="J22" s="12" t="n">
        <x:v>0</x:v>
      </x:c>
      <x:c r="K22" s="12" t="n">
        <x:v>0</x:v>
      </x:c>
      <x:c r="L22" s="12" t="n">
        <x:v>0</x:v>
      </x:c>
      <x:c r="M22" s="2" t="str">
        <x:v>持有</x:v>
      </x:c>
    </x:row>
    <x:row r="23" ht="23" customHeight="1">
      <x:c r="A23" s="11" t="d">
        <x:v>2015-01-28T00:00:00.000Z</x:v>
      </x:c>
      <x:c r="B23" s="12" t="n">
        <x:v>95640.33611</x:v>
      </x:c>
      <x:c r="C23" s="13" t="n">
        <x:v>0</x:v>
      </x:c>
      <x:c r="D23" s="12" t="n">
        <x:v>0</x:v>
      </x:c>
      <x:c r="E23" s="12" t="n">
        <x:v>0</x:v>
      </x:c>
      <x:c r="F23" s="12" t="n">
        <x:f>SUM(B23,D23:E23)</x:f>
        <x:v>95640.33611</x:v>
      </x:c>
      <x:c r="G23" s="12" t="n">
        <x:f>MAX(G22,F23)</x:f>
        <x:v>100000</x:v>
      </x:c>
      <x:c r="H23" s="14" t="n">
        <x:f>F23/G23-1</x:f>
        <x:v>-0.043596638899999984</x:v>
      </x:c>
      <x:c r="I23" s="14" t="n">
        <x:f>F23/F22-1</x:f>
        <x:v>0.006034592089450896</x:v>
      </x:c>
      <x:c r="J23" s="12" t="n">
        <x:v>0</x:v>
      </x:c>
      <x:c r="K23" s="12" t="n">
        <x:v>0</x:v>
      </x:c>
      <x:c r="L23" s="12" t="n">
        <x:v>-468</x:v>
      </x:c>
      <x:c r="M23" s="2" t="str">
        <x:v>卖出</x:v>
      </x:c>
    </x:row>
    <x:row r="24" ht="23" customHeight="1">
      <x:c r="A24" s="11" t="d">
        <x:v>2015-01-29T00:00:00.000Z</x:v>
      </x:c>
      <x:c r="B24" s="12" t="n">
        <x:v>95640.33611</x:v>
      </x:c>
      <x:c r="C24" s="13" t="n">
        <x:v>0</x:v>
      </x:c>
      <x:c r="D24" s="12" t="n">
        <x:v>0</x:v>
      </x:c>
      <x:c r="E24" s="12" t="n">
        <x:v>0</x:v>
      </x:c>
      <x:c r="F24" s="12" t="n">
        <x:f>SUM(B24,D24:E24)</x:f>
        <x:v>95640.33611</x:v>
      </x:c>
      <x:c r="G24" s="12" t="n">
        <x:f>MAX(G23,F24)</x:f>
        <x:v>100000</x:v>
      </x:c>
      <x:c r="H24" s="14" t="n">
        <x:f>F24/G24-1</x:f>
        <x:v>-0.043596638899999984</x:v>
      </x:c>
      <x:c r="I24" s="14" t="n">
        <x:f>F24/F23-1</x:f>
        <x:v>0</x:v>
      </x:c>
      <x:c r="J24" s="12" t="n">
        <x:v>0</x:v>
      </x:c>
      <x:c r="K24" s="12" t="n">
        <x:v>0</x:v>
      </x:c>
      <x:c r="L24" s="12" t="n">
        <x:v>0</x:v>
      </x:c>
      <x:c r="M24" s="2" t="str">
        <x:v>空仓</x:v>
      </x:c>
    </x:row>
    <x:row r="25" ht="23" customHeight="1">
      <x:c r="A25" s="11" t="d">
        <x:v>2015-01-30T00:00:00.000Z</x:v>
      </x:c>
      <x:c r="B25" s="12" t="n">
        <x:v>95640.33611</x:v>
      </x:c>
      <x:c r="C25" s="13" t="n">
        <x:v>0</x:v>
      </x:c>
      <x:c r="D25" s="12" t="n">
        <x:v>0</x:v>
      </x:c>
      <x:c r="E25" s="12" t="n">
        <x:v>0</x:v>
      </x:c>
      <x:c r="F25" s="12" t="n">
        <x:f>SUM(B25,D25:E25)</x:f>
        <x:v>95640.33611</x:v>
      </x:c>
      <x:c r="G25" s="12" t="n">
        <x:f>MAX(G24,F25)</x:f>
        <x:v>100000</x:v>
      </x:c>
      <x:c r="H25" s="14" t="n">
        <x:f>F25/G25-1</x:f>
        <x:v>-0.043596638899999984</x:v>
      </x:c>
      <x:c r="I25" s="14" t="n">
        <x:f>F25/F24-1</x:f>
        <x:v>0</x:v>
      </x:c>
      <x:c r="J25" s="12" t="n">
        <x:v>0</x:v>
      </x:c>
      <x:c r="K25" s="12" t="n">
        <x:v>0</x:v>
      </x:c>
      <x:c r="L25" s="12" t="n">
        <x:v>0</x:v>
      </x:c>
      <x:c r="M25" s="2" t="str">
        <x:v>空仓</x:v>
      </x:c>
    </x:row>
    <x:row r="26" ht="23" customHeight="1">
      <x:c r="A26" s="11" t="d">
        <x:v>2015-02-02T00:00:00.000Z</x:v>
      </x:c>
      <x:c r="B26" s="12" t="n">
        <x:v>95640.33611</x:v>
      </x:c>
      <x:c r="C26" s="13" t="n">
        <x:v>0</x:v>
      </x:c>
      <x:c r="D26" s="12" t="n">
        <x:v>0</x:v>
      </x:c>
      <x:c r="E26" s="12" t="n">
        <x:v>0</x:v>
      </x:c>
      <x:c r="F26" s="12" t="n">
        <x:f>SUM(B26,D26:E26)</x:f>
        <x:v>95640.33611</x:v>
      </x:c>
      <x:c r="G26" s="12" t="n">
        <x:f>MAX(G25,F26)</x:f>
        <x:v>100000</x:v>
      </x:c>
      <x:c r="H26" s="14" t="n">
        <x:f>F26/G26-1</x:f>
        <x:v>-0.043596638899999984</x:v>
      </x:c>
      <x:c r="I26" s="14" t="n">
        <x:f>F26/F25-1</x:f>
        <x:v>0</x:v>
      </x:c>
      <x:c r="J26" s="12" t="n">
        <x:v>0</x:v>
      </x:c>
      <x:c r="K26" s="12" t="n">
        <x:v>0</x:v>
      </x:c>
      <x:c r="L26" s="12" t="n">
        <x:v>0</x:v>
      </x:c>
      <x:c r="M26" s="2" t="str">
        <x:v>空仓</x:v>
      </x:c>
    </x:row>
    <x:row r="27" ht="23" customHeight="1">
      <x:c r="A27" s="11" t="d">
        <x:v>2015-02-03T00:00:00.000Z</x:v>
      </x:c>
      <x:c r="B27" s="12" t="n">
        <x:v>95640.33611</x:v>
      </x:c>
      <x:c r="C27" s="13" t="n">
        <x:v>0</x:v>
      </x:c>
      <x:c r="D27" s="12" t="n">
        <x:v>0</x:v>
      </x:c>
      <x:c r="E27" s="12" t="n">
        <x:v>0</x:v>
      </x:c>
      <x:c r="F27" s="12" t="n">
        <x:f>SUM(B27,D27:E27)</x:f>
        <x:v>95640.33611</x:v>
      </x:c>
      <x:c r="G27" s="12" t="n">
        <x:f>MAX(G26,F27)</x:f>
        <x:v>100000</x:v>
      </x:c>
      <x:c r="H27" s="14" t="n">
        <x:f>F27/G27-1</x:f>
        <x:v>-0.043596638899999984</x:v>
      </x:c>
      <x:c r="I27" s="14" t="n">
        <x:f>F27/F26-1</x:f>
        <x:v>0</x:v>
      </x:c>
      <x:c r="J27" s="12" t="n">
        <x:v>0</x:v>
      </x:c>
      <x:c r="K27" s="12" t="n">
        <x:v>0</x:v>
      </x:c>
      <x:c r="L27" s="12" t="n">
        <x:v>0</x:v>
      </x:c>
      <x:c r="M27" s="2" t="str">
        <x:v>空仓</x:v>
      </x:c>
    </x:row>
    <x:row r="28" ht="23" customHeight="1">
      <x:c r="A28" s="11" t="d">
        <x:v>2015-02-04T00:00:00.000Z</x:v>
      </x:c>
      <x:c r="B28" s="12" t="n">
        <x:v>110.34155</x:v>
      </x:c>
      <x:c r="C28" s="13" t="n">
        <x:v>468</x:v>
      </x:c>
      <x:c r="D28" s="12" t="n">
        <x:v>95500.08</x:v>
      </x:c>
      <x:c r="E28" s="12" t="n">
        <x:v>0</x:v>
      </x:c>
      <x:c r="F28" s="12" t="n">
        <x:f>SUM(B28,D28:E28)</x:f>
        <x:v>95610.42155</x:v>
      </x:c>
      <x:c r="G28" s="12" t="n">
        <x:f>MAX(G27,F28)</x:f>
        <x:v>100000</x:v>
      </x:c>
      <x:c r="H28" s="14" t="n">
        <x:f>F28/G28-1</x:f>
        <x:v>-0.04389578449999998</x:v>
      </x:c>
      <x:c r="I28" s="14" t="n">
        <x:f>F28/F27-1</x:f>
        <x:v>-0.0003127818367931745</x:v>
      </x:c>
      <x:c r="J28" s="12" t="n">
        <x:v>0</x:v>
      </x:c>
      <x:c r="K28" s="12" t="n">
        <x:v>0</x:v>
      </x:c>
      <x:c r="L28" s="12" t="n">
        <x:v>468</x:v>
      </x:c>
      <x:c r="M28" s="2" t="str">
        <x:v>买入</x:v>
      </x:c>
    </x:row>
    <x:row r="29" ht="23" customHeight="1">
      <x:c r="A29" s="11" t="d">
        <x:v>2015-02-05T00:00:00.000Z</x:v>
      </x:c>
      <x:c r="B29" s="12" t="n">
        <x:v>95888.94707</x:v>
      </x:c>
      <x:c r="C29" s="13" t="n">
        <x:v>0</x:v>
      </x:c>
      <x:c r="D29" s="12" t="n">
        <x:v>0</x:v>
      </x:c>
      <x:c r="E29" s="12" t="n">
        <x:v>0</x:v>
      </x:c>
      <x:c r="F29" s="12" t="n">
        <x:f>SUM(B29,D29:E29)</x:f>
        <x:v>95888.94707</x:v>
      </x:c>
      <x:c r="G29" s="12" t="n">
        <x:f>MAX(G28,F29)</x:f>
        <x:v>100000</x:v>
      </x:c>
      <x:c r="H29" s="14" t="n">
        <x:f>F29/G29-1</x:f>
        <x:v>-0.04111052930000003</x:v>
      </x:c>
      <x:c r="I29" s="14" t="n">
        <x:f>F29/F28-1</x:f>
        <x:v>0.0029131292957884636</x:v>
      </x:c>
      <x:c r="J29" s="12" t="n">
        <x:v>0</x:v>
      </x:c>
      <x:c r="K29" s="12" t="n">
        <x:v>0</x:v>
      </x:c>
      <x:c r="L29" s="12" t="n">
        <x:v>-468</x:v>
      </x:c>
      <x:c r="M29" s="2" t="str">
        <x:v>卖出</x:v>
      </x:c>
    </x:row>
    <x:row r="30" ht="23" customHeight="1">
      <x:c r="A30" s="11" t="d">
        <x:v>2015-02-06T00:00:00.000Z</x:v>
      </x:c>
      <x:c r="B30" s="12" t="n">
        <x:v>156.02979</x:v>
      </x:c>
      <x:c r="C30" s="13" t="n">
        <x:v>463</x:v>
      </x:c>
      <x:c r="D30" s="12" t="n">
        <x:v>95169.65000000001</x:v>
      </x:c>
      <x:c r="E30" s="12" t="n">
        <x:v>0</x:v>
      </x:c>
      <x:c r="F30" s="12" t="n">
        <x:f>SUM(B30,D30:E30)</x:f>
        <x:v>95325.67979000001</x:v>
      </x:c>
      <x:c r="G30" s="12" t="n">
        <x:f>MAX(G29,F30)</x:f>
        <x:v>100000</x:v>
      </x:c>
      <x:c r="H30" s="14" t="n">
        <x:f>F30/G30-1</x:f>
        <x:v>-0.046743202099999936</x:v>
      </x:c>
      <x:c r="I30" s="14" t="n">
        <x:f>F30/F29-1</x:f>
        <x:v>-0.005874162739411437</x:v>
      </x:c>
      <x:c r="J30" s="12" t="n">
        <x:v>0</x:v>
      </x:c>
      <x:c r="K30" s="12" t="n">
        <x:v>0</x:v>
      </x:c>
      <x:c r="L30" s="12" t="n">
        <x:v>463</x:v>
      </x:c>
      <x:c r="M30" s="2" t="str">
        <x:v>买入</x:v>
      </x:c>
    </x:row>
    <x:row r="31" ht="23" customHeight="1">
      <x:c r="A31" s="11" t="d">
        <x:v>2015-02-09T00:00:00.000Z</x:v>
      </x:c>
      <x:c r="B31" s="12" t="n">
        <x:v>156.02979</x:v>
      </x:c>
      <x:c r="C31" s="13" t="n">
        <x:v>463</x:v>
      </x:c>
      <x:c r="D31" s="12" t="n">
        <x:v>94743.69</x:v>
      </x:c>
      <x:c r="E31" s="12" t="n">
        <x:v>0</x:v>
      </x:c>
      <x:c r="F31" s="12" t="n">
        <x:f>SUM(B31,D31:E31)</x:f>
        <x:v>94899.71979</x:v>
      </x:c>
      <x:c r="G31" s="12" t="n">
        <x:f>MAX(G30,F31)</x:f>
        <x:v>100000</x:v>
      </x:c>
      <x:c r="H31" s="14" t="n">
        <x:f>F31/G31-1</x:f>
        <x:v>-0.051002802099999967</x:v>
      </x:c>
      <x:c r="I31" s="14" t="n">
        <x:f>F31/F30-1</x:f>
        <x:v>-0.004468470625527021</x:v>
      </x:c>
      <x:c r="J31" s="12" t="n">
        <x:v>0</x:v>
      </x:c>
      <x:c r="K31" s="12" t="n">
        <x:v>0</x:v>
      </x:c>
      <x:c r="L31" s="12" t="n">
        <x:v>0</x:v>
      </x:c>
      <x:c r="M31" s="2" t="str">
        <x:v>持有</x:v>
      </x:c>
    </x:row>
    <x:row r="32" ht="23" customHeight="1">
      <x:c r="A32" s="11" t="d">
        <x:v>2015-02-10T00:00:00.000Z</x:v>
      </x:c>
      <x:c r="B32" s="12" t="n">
        <x:v>156.02979</x:v>
      </x:c>
      <x:c r="C32" s="13" t="n">
        <x:v>463</x:v>
      </x:c>
      <x:c r="D32" s="12" t="n">
        <x:v>95753.03</x:v>
      </x:c>
      <x:c r="E32" s="12" t="n">
        <x:v>0</x:v>
      </x:c>
      <x:c r="F32" s="12" t="n">
        <x:f>SUM(B32,D32:E32)</x:f>
        <x:v>95909.05979</x:v>
      </x:c>
      <x:c r="G32" s="12" t="n">
        <x:f>MAX(G31,F32)</x:f>
        <x:v>100000</x:v>
      </x:c>
      <x:c r="H32" s="14" t="n">
        <x:f>F32/G32-1</x:f>
        <x:v>-0.04090940210000005</x:v>
      </x:c>
      <x:c r="I32" s="14" t="n">
        <x:f>F32/F31-1</x:f>
        <x:v>0.010635858590873903</x:v>
      </x:c>
      <x:c r="J32" s="12" t="n">
        <x:v>0</x:v>
      </x:c>
      <x:c r="K32" s="12" t="n">
        <x:v>0</x:v>
      </x:c>
      <x:c r="L32" s="12" t="n">
        <x:v>0</x:v>
      </x:c>
      <x:c r="M32" s="2" t="str">
        <x:v>持有</x:v>
      </x:c>
    </x:row>
    <x:row r="33" ht="23" customHeight="1">
      <x:c r="A33" s="11" t="d">
        <x:v>2015-02-11T00:00:00.000Z</x:v>
      </x:c>
      <x:c r="B33" s="12" t="n">
        <x:v>156.02979</x:v>
      </x:c>
      <x:c r="C33" s="13" t="n">
        <x:v>463</x:v>
      </x:c>
      <x:c r="D33" s="12" t="n">
        <x:v>95808.59</x:v>
      </x:c>
      <x:c r="E33" s="12" t="n">
        <x:v>0</x:v>
      </x:c>
      <x:c r="F33" s="12" t="n">
        <x:f>SUM(B33,D33:E33)</x:f>
        <x:v>95964.61979</x:v>
      </x:c>
      <x:c r="G33" s="12" t="n">
        <x:f>MAX(G32,F33)</x:f>
        <x:v>100000</x:v>
      </x:c>
      <x:c r="H33" s="14" t="n">
        <x:f>F33/G33-1</x:f>
        <x:v>-0.04035380210000006</x:v>
      </x:c>
      <x:c r="I33" s="14" t="n">
        <x:f>F33/F32-1</x:f>
        <x:v>0.0005792987661608073</x:v>
      </x:c>
      <x:c r="J33" s="12" t="n">
        <x:v>0</x:v>
      </x:c>
      <x:c r="K33" s="12" t="n">
        <x:v>0</x:v>
      </x:c>
      <x:c r="L33" s="12" t="n">
        <x:v>0</x:v>
      </x:c>
      <x:c r="M33" s="2" t="str">
        <x:v>持有</x:v>
      </x:c>
    </x:row>
    <x:row r="34" ht="23" customHeight="1">
      <x:c r="A34" s="11" t="d">
        <x:v>2015-02-12T00:00:00.000Z</x:v>
      </x:c>
      <x:c r="B34" s="12" t="n">
        <x:v>156.02979</x:v>
      </x:c>
      <x:c r="C34" s="13" t="n">
        <x:v>463</x:v>
      </x:c>
      <x:c r="D34" s="12" t="n">
        <x:v>96729.95999999999</x:v>
      </x:c>
      <x:c r="E34" s="12" t="n">
        <x:v>0</x:v>
      </x:c>
      <x:c r="F34" s="12" t="n">
        <x:f>SUM(B34,D34:E34)</x:f>
        <x:v>96885.98978999999</x:v>
      </x:c>
      <x:c r="G34" s="12" t="n">
        <x:f>MAX(G33,F34)</x:f>
        <x:v>100000</x:v>
      </x:c>
      <x:c r="H34" s="14" t="n">
        <x:f>F34/G34-1</x:f>
        <x:v>-0.031140102100000067</x:v>
      </x:c>
      <x:c r="I34" s="14" t="n">
        <x:f>F34/F33-1</x:f>
        <x:v>0.009601142608768098</x:v>
      </x:c>
      <x:c r="J34" s="12" t="n">
        <x:v>0</x:v>
      </x:c>
      <x:c r="K34" s="12" t="n">
        <x:v>0</x:v>
      </x:c>
      <x:c r="L34" s="12" t="n">
        <x:v>0</x:v>
      </x:c>
      <x:c r="M34" s="2" t="str">
        <x:v>持有</x:v>
      </x:c>
    </x:row>
    <x:row r="35" ht="23" customHeight="1">
      <x:c r="A35" s="11" t="d">
        <x:v>2015-02-13T00:00:00.000Z</x:v>
      </x:c>
      <x:c r="B35" s="12" t="n">
        <x:v>156.02979</x:v>
      </x:c>
      <x:c r="C35" s="13" t="n">
        <x:v>463</x:v>
      </x:c>
      <x:c r="D35" s="12" t="n">
        <x:v>97128.14</x:v>
      </x:c>
      <x:c r="E35" s="12" t="n">
        <x:v>0</x:v>
      </x:c>
      <x:c r="F35" s="12" t="n">
        <x:f>SUM(B35,D35:E35)</x:f>
        <x:v>97284.16979</x:v>
      </x:c>
      <x:c r="G35" s="12" t="n">
        <x:f>MAX(G34,F35)</x:f>
        <x:v>100000</x:v>
      </x:c>
      <x:c r="H35" s="14" t="n">
        <x:f>F35/G35-1</x:f>
        <x:v>-0.02715830210000003</x:v>
      </x:c>
      <x:c r="I35" s="14" t="n">
        <x:f>F35/F34-1</x:f>
        <x:v>0.00410977893566522</x:v>
      </x:c>
      <x:c r="J35" s="12" t="n">
        <x:v>0</x:v>
      </x:c>
      <x:c r="K35" s="12" t="n">
        <x:v>0</x:v>
      </x:c>
      <x:c r="L35" s="12" t="n">
        <x:v>0</x:v>
      </x:c>
      <x:c r="M35" s="2" t="str">
        <x:v>持有</x:v>
      </x:c>
    </x:row>
    <x:row r="36" ht="23" customHeight="1">
      <x:c r="A36" s="11" t="d">
        <x:v>2015-02-17T00:00:00.000Z</x:v>
      </x:c>
      <x:c r="B36" s="12" t="n">
        <x:v>156.02979</x:v>
      </x:c>
      <x:c r="C36" s="13" t="n">
        <x:v>463</x:v>
      </x:c>
      <x:c r="D36" s="12" t="n">
        <x:v>97280.93000000001</x:v>
      </x:c>
      <x:c r="E36" s="12" t="n">
        <x:v>0</x:v>
      </x:c>
      <x:c r="F36" s="12" t="n">
        <x:f>SUM(B36,D36:E36)</x:f>
        <x:v>97436.95979000001</x:v>
      </x:c>
      <x:c r="G36" s="12" t="n">
        <x:f>MAX(G35,F36)</x:f>
        <x:v>100000</x:v>
      </x:c>
      <x:c r="H36" s="14" t="n">
        <x:f>F36/G36-1</x:f>
        <x:v>-0.025630402099999894</x:v>
      </x:c>
      <x:c r="I36" s="14" t="n">
        <x:f>F36/F35-1</x:f>
        <x:v>0.0015705535682715155</x:v>
      </x:c>
      <x:c r="J36" s="12" t="n">
        <x:v>0</x:v>
      </x:c>
      <x:c r="K36" s="12" t="n">
        <x:v>0</x:v>
      </x:c>
      <x:c r="L36" s="12" t="n">
        <x:v>0</x:v>
      </x:c>
      <x:c r="M36" s="2" t="str">
        <x:v>持有</x:v>
      </x:c>
    </x:row>
    <x:row r="37" ht="23" customHeight="1">
      <x:c r="A37" s="11" t="d">
        <x:v>2015-02-18T00:00:00.000Z</x:v>
      </x:c>
      <x:c r="B37" s="12" t="n">
        <x:v>156.02979</x:v>
      </x:c>
      <x:c r="C37" s="13" t="n">
        <x:v>463</x:v>
      </x:c>
      <x:c r="D37" s="12" t="n">
        <x:v>97290.19</x:v>
      </x:c>
      <x:c r="E37" s="12" t="n">
        <x:v>0</x:v>
      </x:c>
      <x:c r="F37" s="12" t="n">
        <x:f>SUM(B37,D37:E37)</x:f>
        <x:v>97446.21979</x:v>
      </x:c>
      <x:c r="G37" s="12" t="n">
        <x:f>MAX(G36,F37)</x:f>
        <x:v>100000</x:v>
      </x:c>
      <x:c r="H37" s="14" t="n">
        <x:f>F37/G37-1</x:f>
        <x:v>-0.025537802100000007</x:v>
      </x:c>
      <x:c r="I37" s="14" t="n">
        <x:f>F37/F36-1</x:f>
        <x:v>0.00009503580591951888</x:v>
      </x:c>
      <x:c r="J37" s="12" t="n">
        <x:v>0</x:v>
      </x:c>
      <x:c r="K37" s="12" t="n">
        <x:v>0</x:v>
      </x:c>
      <x:c r="L37" s="12" t="n">
        <x:v>0</x:v>
      </x:c>
      <x:c r="M37" s="2" t="str">
        <x:v>持有</x:v>
      </x:c>
    </x:row>
    <x:row r="38" ht="23" customHeight="1">
      <x:c r="A38" s="11" t="d">
        <x:v>2015-02-19T00:00:00.000Z</x:v>
      </x:c>
      <x:c r="B38" s="12" t="n">
        <x:v>156.02979</x:v>
      </x:c>
      <x:c r="C38" s="13" t="n">
        <x:v>463</x:v>
      </x:c>
      <x:c r="D38" s="12" t="n">
        <x:v>97220.73999999999</x:v>
      </x:c>
      <x:c r="E38" s="12" t="n">
        <x:v>0</x:v>
      </x:c>
      <x:c r="F38" s="12" t="n">
        <x:f>SUM(B38,D38:E38)</x:f>
        <x:v>97376.76978999999</x:v>
      </x:c>
      <x:c r="G38" s="12" t="n">
        <x:f>MAX(G37,F38)</x:f>
        <x:v>100000</x:v>
      </x:c>
      <x:c r="H38" s="14" t="n">
        <x:f>F38/G38-1</x:f>
        <x:v>-0.02623230210000005</x:v>
      </x:c>
      <x:c r="I38" s="14" t="n">
        <x:f>F38/F37-1</x:f>
        <x:v>-0.0007127008123011258</x:v>
      </x:c>
      <x:c r="J38" s="12" t="n">
        <x:v>0</x:v>
      </x:c>
      <x:c r="K38" s="12" t="n">
        <x:v>0</x:v>
      </x:c>
      <x:c r="L38" s="12" t="n">
        <x:v>0</x:v>
      </x:c>
      <x:c r="M38" s="2" t="str">
        <x:v>持有</x:v>
      </x:c>
    </x:row>
    <x:row r="39" ht="23" customHeight="1">
      <x:c r="A39" s="11" t="d">
        <x:v>2015-02-20T00:00:00.000Z</x:v>
      </x:c>
      <x:c r="B39" s="12" t="n">
        <x:v>156.02979</x:v>
      </x:c>
      <x:c r="C39" s="13" t="n">
        <x:v>463</x:v>
      </x:c>
      <x:c r="D39" s="12" t="n">
        <x:v>97804.12000000001</x:v>
      </x:c>
      <x:c r="E39" s="12" t="n">
        <x:v>0</x:v>
      </x:c>
      <x:c r="F39" s="12" t="n">
        <x:f>SUM(B39,D39:E39)</x:f>
        <x:v>97960.14979000001</x:v>
      </x:c>
      <x:c r="G39" s="12" t="n">
        <x:f>MAX(G38,F39)</x:f>
        <x:v>100000</x:v>
      </x:c>
      <x:c r="H39" s="14" t="n">
        <x:f>F39/G39-1</x:f>
        <x:v>-0.020398502099999938</x:v>
      </x:c>
      <x:c r="I39" s="14" t="n">
        <x:f>F39/F38-1</x:f>
        <x:v>0.005990956582952123</x:v>
      </x:c>
      <x:c r="J39" s="12" t="n">
        <x:v>0</x:v>
      </x:c>
      <x:c r="K39" s="12" t="n">
        <x:v>0</x:v>
      </x:c>
      <x:c r="L39" s="12" t="n">
        <x:v>0</x:v>
      </x:c>
      <x:c r="M39" s="2" t="str">
        <x:v>持有</x:v>
      </x:c>
    </x:row>
    <x:row r="40" ht="23" customHeight="1">
      <x:c r="A40" s="11" t="d">
        <x:v>2015-02-23T00:00:00.000Z</x:v>
      </x:c>
      <x:c r="B40" s="12" t="n">
        <x:v>156.02979</x:v>
      </x:c>
      <x:c r="C40" s="13" t="n">
        <x:v>463</x:v>
      </x:c>
      <x:c r="D40" s="12" t="n">
        <x:v>97790.23000000001</x:v>
      </x:c>
      <x:c r="E40" s="12" t="n">
        <x:v>0</x:v>
      </x:c>
      <x:c r="F40" s="12" t="n">
        <x:f>SUM(B40,D40:E40)</x:f>
        <x:v>97946.25979000001</x:v>
      </x:c>
      <x:c r="G40" s="12" t="n">
        <x:f>MAX(G39,F40)</x:f>
        <x:v>100000</x:v>
      </x:c>
      <x:c r="H40" s="14" t="n">
        <x:f>F40/G40-1</x:f>
        <x:v>-0.02053740209999988</x:v>
      </x:c>
      <x:c r="I40" s="14" t="n">
        <x:f>F40/F39-1</x:f>
        <x:v>-0.0001417923515815156</x:v>
      </x:c>
      <x:c r="J40" s="12" t="n">
        <x:v>0</x:v>
      </x:c>
      <x:c r="K40" s="12" t="n">
        <x:v>0</x:v>
      </x:c>
      <x:c r="L40" s="12" t="n">
        <x:v>0</x:v>
      </x:c>
      <x:c r="M40" s="2" t="str">
        <x:v>持有</x:v>
      </x:c>
    </x:row>
    <x:row r="41" ht="23" customHeight="1">
      <x:c r="A41" s="11" t="d">
        <x:v>2015-02-24T00:00:00.000Z</x:v>
      </x:c>
      <x:c r="B41" s="12" t="n">
        <x:v>156.02979</x:v>
      </x:c>
      <x:c r="C41" s="13" t="n">
        <x:v>463</x:v>
      </x:c>
      <x:c r="D41" s="12" t="n">
        <x:v>98068.03</x:v>
      </x:c>
      <x:c r="E41" s="12" t="n">
        <x:v>0</x:v>
      </x:c>
      <x:c r="F41" s="12" t="n">
        <x:f>SUM(B41,D41:E41)</x:f>
        <x:v>98224.05979</x:v>
      </x:c>
      <x:c r="G41" s="12" t="n">
        <x:f>MAX(G40,F41)</x:f>
        <x:v>100000</x:v>
      </x:c>
      <x:c r="H41" s="14" t="n">
        <x:f>F41/G41-1</x:f>
        <x:v>-0.017759402100000043</x:v>
      </x:c>
      <x:c r="I41" s="14" t="n">
        <x:f>F41/F40-1</x:f>
        <x:v>0.002836249190072193</x:v>
      </x:c>
      <x:c r="J41" s="12" t="n">
        <x:v>0</x:v>
      </x:c>
      <x:c r="K41" s="12" t="n">
        <x:v>0</x:v>
      </x:c>
      <x:c r="L41" s="12" t="n">
        <x:v>0</x:v>
      </x:c>
      <x:c r="M41" s="2" t="str">
        <x:v>持有</x:v>
      </x:c>
    </x:row>
    <x:row r="42" ht="23" customHeight="1">
      <x:c r="A42" s="11" t="d">
        <x:v>2015-02-25T00:00:00.000Z</x:v>
      </x:c>
      <x:c r="B42" s="12" t="n">
        <x:v>156.02979</x:v>
      </x:c>
      <x:c r="C42" s="13" t="n">
        <x:v>463</x:v>
      </x:c>
      <x:c r="D42" s="12" t="n">
        <x:v>97984.69</x:v>
      </x:c>
      <x:c r="E42" s="12" t="n">
        <x:v>0</x:v>
      </x:c>
      <x:c r="F42" s="12" t="n">
        <x:f>SUM(B42,D42:E42)</x:f>
        <x:v>98140.71979</x:v>
      </x:c>
      <x:c r="G42" s="12" t="n">
        <x:f>MAX(G41,F42)</x:f>
        <x:v>100000</x:v>
      </x:c>
      <x:c r="H42" s="14" t="n">
        <x:f>F42/G42-1</x:f>
        <x:v>-0.018592802099999917</x:v>
      </x:c>
      <x:c r="I42" s="14" t="n">
        <x:f>F42/F41-1</x:f>
        <x:v>-0.0008484682895226747</x:v>
      </x:c>
      <x:c r="J42" s="12" t="n">
        <x:v>0</x:v>
      </x:c>
      <x:c r="K42" s="12" t="n">
        <x:v>0</x:v>
      </x:c>
      <x:c r="L42" s="12" t="n">
        <x:v>0</x:v>
      </x:c>
      <x:c r="M42" s="2" t="str">
        <x:v>持有</x:v>
      </x:c>
    </x:row>
    <x:row r="43" ht="23" customHeight="1">
      <x:c r="A43" s="11" t="d">
        <x:v>2015-02-26T00:00:00.000Z</x:v>
      </x:c>
      <x:c r="B43" s="12" t="n">
        <x:v>156.02979</x:v>
      </x:c>
      <x:c r="C43" s="13" t="n">
        <x:v>463</x:v>
      </x:c>
      <x:c r="D43" s="12" t="n">
        <x:v>97868.94</x:v>
      </x:c>
      <x:c r="E43" s="12" t="n">
        <x:v>0</x:v>
      </x:c>
      <x:c r="F43" s="12" t="n">
        <x:f>SUM(B43,D43:E43)</x:f>
        <x:v>98024.96979</x:v>
      </x:c>
      <x:c r="G43" s="12" t="n">
        <x:f>MAX(G42,F43)</x:f>
        <x:v>100000</x:v>
      </x:c>
      <x:c r="H43" s="14" t="n">
        <x:f>F43/G43-1</x:f>
        <x:v>-0.01975030209999995</x:v>
      </x:c>
      <x:c r="I43" s="14" t="n">
        <x:f>F43/F42-1</x:f>
        <x:v>-0.0011794288879037884</x:v>
      </x:c>
      <x:c r="J43" s="12" t="n">
        <x:v>0</x:v>
      </x:c>
      <x:c r="K43" s="12" t="n">
        <x:v>0</x:v>
      </x:c>
      <x:c r="L43" s="12" t="n">
        <x:v>0</x:v>
      </x:c>
      <x:c r="M43" s="2" t="str">
        <x:v>持有</x:v>
      </x:c>
    </x:row>
    <x:row r="44" ht="23" customHeight="1">
      <x:c r="A44" s="11" t="d">
        <x:v>2015-02-27T00:00:00.000Z</x:v>
      </x:c>
      <x:c r="B44" s="12" t="n">
        <x:v>156.02979</x:v>
      </x:c>
      <x:c r="C44" s="13" t="n">
        <x:v>463</x:v>
      </x:c>
      <x:c r="D44" s="12" t="n">
        <x:v>97535.58</x:v>
      </x:c>
      <x:c r="E44" s="12" t="n">
        <x:v>0</x:v>
      </x:c>
      <x:c r="F44" s="12" t="n">
        <x:f>SUM(B44,D44:E44)</x:f>
        <x:v>97691.60979</x:v>
      </x:c>
      <x:c r="G44" s="12" t="n">
        <x:f>MAX(G43,F44)</x:f>
        <x:v>100000</x:v>
      </x:c>
      <x:c r="H44" s="14" t="n">
        <x:f>F44/G44-1</x:f>
        <x:v>-0.023083902099999998</x:v>
      </x:c>
      <x:c r="I44" s="14" t="n">
        <x:f>F44/F43-1</x:f>
        <x:v>-0.0034007661590119698</x:v>
      </x:c>
      <x:c r="J44" s="12" t="n">
        <x:v>0</x:v>
      </x:c>
      <x:c r="K44" s="12" t="n">
        <x:v>0</x:v>
      </x:c>
      <x:c r="L44" s="12" t="n">
        <x:v>0</x:v>
      </x:c>
      <x:c r="M44" s="2" t="str">
        <x:v>持有</x:v>
      </x:c>
    </x:row>
    <x:row r="45" ht="23" customHeight="1">
      <x:c r="A45" s="11" t="d">
        <x:v>2015-03-02T00:00:00.000Z</x:v>
      </x:c>
      <x:c r="B45" s="12" t="n">
        <x:v>156.02979</x:v>
      </x:c>
      <x:c r="C45" s="13" t="n">
        <x:v>463</x:v>
      </x:c>
      <x:c r="D45" s="12" t="n">
        <x:v>98151.37000000001</x:v>
      </x:c>
      <x:c r="E45" s="12" t="n">
        <x:v>0</x:v>
      </x:c>
      <x:c r="F45" s="12" t="n">
        <x:f>SUM(B45,D45:E45)</x:f>
        <x:v>98307.39979000001</x:v>
      </x:c>
      <x:c r="G45" s="12" t="n">
        <x:f>MAX(G44,F45)</x:f>
        <x:v>100000</x:v>
      </x:c>
      <x:c r="H45" s="14" t="n">
        <x:f>F45/G45-1</x:f>
        <x:v>-0.01692600209999995</x:v>
      </x:c>
      <x:c r="I45" s="14" t="n">
        <x:f>F45/F44-1</x:f>
        <x:v>0.006303407235521252</x:v>
      </x:c>
      <x:c r="J45" s="12" t="n">
        <x:v>0</x:v>
      </x:c>
      <x:c r="K45" s="12" t="n">
        <x:v>0</x:v>
      </x:c>
      <x:c r="L45" s="12" t="n">
        <x:v>0</x:v>
      </x:c>
      <x:c r="M45" s="2" t="str">
        <x:v>持有</x:v>
      </x:c>
    </x:row>
    <x:row r="46" ht="23" customHeight="1">
      <x:c r="A46" s="11" t="d">
        <x:v>2015-03-03T00:00:00.000Z</x:v>
      </x:c>
      <x:c r="B46" s="12" t="n">
        <x:v>156.02979</x:v>
      </x:c>
      <x:c r="C46" s="13" t="n">
        <x:v>463</x:v>
      </x:c>
      <x:c r="D46" s="12" t="n">
        <x:v>97748.56</x:v>
      </x:c>
      <x:c r="E46" s="12" t="n">
        <x:v>0</x:v>
      </x:c>
      <x:c r="F46" s="12" t="n">
        <x:f>SUM(B46,D46:E46)</x:f>
        <x:v>97904.58979</x:v>
      </x:c>
      <x:c r="G46" s="12" t="n">
        <x:f>MAX(G45,F46)</x:f>
        <x:v>100000</x:v>
      </x:c>
      <x:c r="H46" s="14" t="n">
        <x:f>F46/G46-1</x:f>
        <x:v>-0.020954102100000038</x:v>
      </x:c>
      <x:c r="I46" s="14" t="n">
        <x:f>F46/F45-1</x:f>
        <x:v>-0.004097453506658466</x:v>
      </x:c>
      <x:c r="J46" s="12" t="n">
        <x:v>0</x:v>
      </x:c>
      <x:c r="K46" s="12" t="n">
        <x:v>0</x:v>
      </x:c>
      <x:c r="L46" s="12" t="n">
        <x:v>0</x:v>
      </x:c>
      <x:c r="M46" s="2" t="str">
        <x:v>持有</x:v>
      </x:c>
    </x:row>
    <x:row r="47" ht="23" customHeight="1">
      <x:c r="A47" s="11" t="d">
        <x:v>2015-03-04T00:00:00.000Z</x:v>
      </x:c>
      <x:c r="B47" s="12" t="n">
        <x:v>156.02979</x:v>
      </x:c>
      <x:c r="C47" s="13" t="n">
        <x:v>463</x:v>
      </x:c>
      <x:c r="D47" s="12" t="n">
        <x:v>97336.48999999999</x:v>
      </x:c>
      <x:c r="E47" s="12" t="n">
        <x:v>0</x:v>
      </x:c>
      <x:c r="F47" s="12" t="n">
        <x:f>SUM(B47,D47:E47)</x:f>
        <x:v>97492.51978999999</x:v>
      </x:c>
      <x:c r="G47" s="12" t="n">
        <x:f>MAX(G46,F47)</x:f>
        <x:v>100000</x:v>
      </x:c>
      <x:c r="H47" s="14" t="n">
        <x:f>F47/G47-1</x:f>
        <x:v>-0.025074802100000126</x:v>
      </x:c>
      <x:c r="I47" s="14" t="n">
        <x:f>F47/F46-1</x:f>
        <x:v>-0.004208893585927687</x:v>
      </x:c>
      <x:c r="J47" s="12" t="n">
        <x:v>0</x:v>
      </x:c>
      <x:c r="K47" s="12" t="n">
        <x:v>0</x:v>
      </x:c>
      <x:c r="L47" s="12" t="n">
        <x:v>0</x:v>
      </x:c>
      <x:c r="M47" s="2" t="str">
        <x:v>持有</x:v>
      </x:c>
    </x:row>
    <x:row r="48" ht="23" customHeight="1">
      <x:c r="A48" s="11" t="d">
        <x:v>2015-03-05T00:00:00.000Z</x:v>
      </x:c>
      <x:c r="B48" s="12" t="n">
        <x:v>156.02979</x:v>
      </x:c>
      <x:c r="C48" s="13" t="n">
        <x:v>463</x:v>
      </x:c>
      <x:c r="D48" s="12" t="n">
        <x:v>97442.98000000001</x:v>
      </x:c>
      <x:c r="E48" s="12" t="n">
        <x:v>0</x:v>
      </x:c>
      <x:c r="F48" s="12" t="n">
        <x:f>SUM(B48,D48:E48)</x:f>
        <x:v>97599.00979000001</x:v>
      </x:c>
      <x:c r="G48" s="12" t="n">
        <x:f>MAX(G47,F48)</x:f>
        <x:v>100000</x:v>
      </x:c>
      <x:c r="H48" s="14" t="n">
        <x:f>F48/G48-1</x:f>
        <x:v>-0.02400990209999987</x:v>
      </x:c>
      <x:c r="I48" s="14" t="n">
        <x:f>F48/F47-1</x:f>
        <x:v>0.001092288928723928</x:v>
      </x:c>
      <x:c r="J48" s="12" t="n">
        <x:v>0</x:v>
      </x:c>
      <x:c r="K48" s="12" t="n">
        <x:v>0</x:v>
      </x:c>
      <x:c r="L48" s="12" t="n">
        <x:v>0</x:v>
      </x:c>
      <x:c r="M48" s="2" t="str">
        <x:v>持有</x:v>
      </x:c>
    </x:row>
    <x:row r="49" ht="23" customHeight="1">
      <x:c r="A49" s="11" t="d">
        <x:v>2015-03-06T00:00:00.000Z</x:v>
      </x:c>
      <x:c r="B49" s="12" t="n">
        <x:v>156.02979</x:v>
      </x:c>
      <x:c r="C49" s="13" t="n">
        <x:v>463</x:v>
      </x:c>
      <x:c r="D49" s="12" t="n">
        <x:v>96072.5</x:v>
      </x:c>
      <x:c r="E49" s="12" t="n">
        <x:v>0</x:v>
      </x:c>
      <x:c r="F49" s="12" t="n">
        <x:f>SUM(B49,D49:E49)</x:f>
        <x:v>96228.52979</x:v>
      </x:c>
      <x:c r="G49" s="12" t="n">
        <x:f>MAX(G48,F49)</x:f>
        <x:v>100000</x:v>
      </x:c>
      <x:c r="H49" s="14" t="n">
        <x:f>F49/G49-1</x:f>
        <x:v>-0.03771470209999994</x:v>
      </x:c>
      <x:c r="I49" s="14" t="n">
        <x:f>F49/F48-1</x:f>
        <x:v>-0.014041945742572781</x:v>
      </x:c>
      <x:c r="J49" s="12" t="n">
        <x:v>0</x:v>
      </x:c>
      <x:c r="K49" s="12" t="n">
        <x:v>0</x:v>
      </x:c>
      <x:c r="L49" s="12" t="n">
        <x:v>0</x:v>
      </x:c>
      <x:c r="M49" s="2" t="str">
        <x:v>持有</x:v>
      </x:c>
    </x:row>
    <x:row r="50" ht="23" customHeight="1">
      <x:c r="A50" s="11" t="d">
        <x:v>2015-03-09T00:00:00.000Z</x:v>
      </x:c>
      <x:c r="B50" s="12" t="n">
        <x:v>156.02979</x:v>
      </x:c>
      <x:c r="C50" s="13" t="n">
        <x:v>463</x:v>
      </x:c>
      <x:c r="D50" s="12" t="n">
        <x:v>96470.68000000001</x:v>
      </x:c>
      <x:c r="E50" s="12" t="n">
        <x:v>0</x:v>
      </x:c>
      <x:c r="F50" s="12" t="n">
        <x:f>SUM(B50,D50:E50)</x:f>
        <x:v>96626.70979000001</x:v>
      </x:c>
      <x:c r="G50" s="12" t="n">
        <x:f>MAX(G49,F50)</x:f>
        <x:v>100000</x:v>
      </x:c>
      <x:c r="H50" s="14" t="n">
        <x:f>F50/G50-1</x:f>
        <x:v>-0.033732902099999906</x:v>
      </x:c>
      <x:c r="I50" s="14" t="n">
        <x:f>F50/F49-1</x:f>
        <x:v>0.004137858085008217</x:v>
      </x:c>
      <x:c r="J50" s="12" t="n">
        <x:v>0</x:v>
      </x:c>
      <x:c r="K50" s="12" t="n">
        <x:v>0</x:v>
      </x:c>
      <x:c r="L50" s="12" t="n">
        <x:v>0</x:v>
      </x:c>
      <x:c r="M50" s="2" t="str">
        <x:v>持有</x:v>
      </x:c>
    </x:row>
    <x:row r="51" ht="23" customHeight="1">
      <x:c r="A51" s="11" t="d">
        <x:v>2015-03-10T00:00:00.000Z</x:v>
      </x:c>
      <x:c r="B51" s="12" t="n">
        <x:v>156.02979</x:v>
      </x:c>
      <x:c r="C51" s="13" t="n">
        <x:v>463</x:v>
      </x:c>
      <x:c r="D51" s="12" t="n">
        <x:v>94905.73999999999</x:v>
      </x:c>
      <x:c r="E51" s="12" t="n">
        <x:v>0</x:v>
      </x:c>
      <x:c r="F51" s="12" t="n">
        <x:f>SUM(B51,D51:E51)</x:f>
        <x:v>95061.76978999999</x:v>
      </x:c>
      <x:c r="G51" s="12" t="n">
        <x:f>MAX(G50,F51)</x:f>
        <x:v>100000</x:v>
      </x:c>
      <x:c r="H51" s="14" t="n">
        <x:f>F51/G51-1</x:f>
        <x:v>-0.04938230210000005</x:v>
      </x:c>
      <x:c r="I51" s="14" t="n">
        <x:f>F51/F50-1</x:f>
        <x:v>-0.01619572893872845</x:v>
      </x:c>
      <x:c r="J51" s="12" t="n">
        <x:v>0</x:v>
      </x:c>
      <x:c r="K51" s="12" t="n">
        <x:v>0</x:v>
      </x:c>
      <x:c r="L51" s="12" t="n">
        <x:v>0</x:v>
      </x:c>
      <x:c r="M51" s="2" t="str">
        <x:v>持有</x:v>
      </x:c>
    </x:row>
    <x:row r="52" ht="23" customHeight="1">
      <x:c r="A52" s="11" t="d">
        <x:v>2015-03-11T00:00:00.000Z</x:v>
      </x:c>
      <x:c r="B52" s="12" t="n">
        <x:v>95110.25052</x:v>
      </x:c>
      <x:c r="C52" s="13" t="n">
        <x:v>0</x:v>
      </x:c>
      <x:c r="D52" s="12" t="n">
        <x:v>0</x:v>
      </x:c>
      <x:c r="E52" s="12" t="n">
        <x:v>0</x:v>
      </x:c>
      <x:c r="F52" s="12" t="n">
        <x:f>SUM(B52,D52:E52)</x:f>
        <x:v>95110.25052</x:v>
      </x:c>
      <x:c r="G52" s="12" t="n">
        <x:f>MAX(G51,F52)</x:f>
        <x:v>100000</x:v>
      </x:c>
      <x:c r="H52" s="14" t="n">
        <x:f>F52/G52-1</x:f>
        <x:v>-0.04889749479999994</x:v>
      </x:c>
      <x:c r="I52" s="14" t="n">
        <x:f>F52/F51-1</x:f>
        <x:v>0.0005099918727275998</x:v>
      </x:c>
      <x:c r="J52" s="12" t="n">
        <x:v>0</x:v>
      </x:c>
      <x:c r="K52" s="12" t="n">
        <x:v>0</x:v>
      </x:c>
      <x:c r="L52" s="12" t="n">
        <x:v>-463</x:v>
      </x:c>
      <x:c r="M52" s="2" t="str">
        <x:v>卖出</x:v>
      </x:c>
    </x:row>
    <x:row r="53" ht="23" customHeight="1">
      <x:c r="A53" s="11" t="d">
        <x:v>2015-03-12T00:00:00.000Z</x:v>
      </x:c>
      <x:c r="B53" s="12" t="n">
        <x:v>95110.25052</x:v>
      </x:c>
      <x:c r="C53" s="13" t="n">
        <x:v>0</x:v>
      </x:c>
      <x:c r="D53" s="12" t="n">
        <x:v>0</x:v>
      </x:c>
      <x:c r="E53" s="12" t="n">
        <x:v>0</x:v>
      </x:c>
      <x:c r="F53" s="12" t="n">
        <x:f>SUM(B53,D53:E53)</x:f>
        <x:v>95110.25052</x:v>
      </x:c>
      <x:c r="G53" s="12" t="n">
        <x:f>MAX(G52,F53)</x:f>
        <x:v>100000</x:v>
      </x:c>
      <x:c r="H53" s="14" t="n">
        <x:f>F53/G53-1</x:f>
        <x:v>-0.04889749479999994</x:v>
      </x:c>
      <x:c r="I53" s="14" t="n">
        <x:f>F53/F52-1</x:f>
        <x:v>0</x:v>
      </x:c>
      <x:c r="J53" s="12" t="n">
        <x:v>0</x:v>
      </x:c>
      <x:c r="K53" s="12" t="n">
        <x:v>0</x:v>
      </x:c>
      <x:c r="L53" s="12" t="n">
        <x:v>0</x:v>
      </x:c>
      <x:c r="M53" s="2" t="str">
        <x:v>空仓</x:v>
      </x:c>
    </x:row>
    <x:row r="54" ht="23" customHeight="1">
      <x:c r="A54" s="11" t="d">
        <x:v>2015-03-13T00:00:00.000Z</x:v>
      </x:c>
      <x:c r="B54" s="12" t="n">
        <x:v>107.91309</x:v>
      </x:c>
      <x:c r="C54" s="13" t="n">
        <x:v>459</x:v>
      </x:c>
      <x:c r="D54" s="12" t="n">
        <x:v>94475.97</x:v>
      </x:c>
      <x:c r="E54" s="12" t="n">
        <x:v>0</x:v>
      </x:c>
      <x:c r="F54" s="12" t="n">
        <x:f>SUM(B54,D54:E54)</x:f>
        <x:v>94583.88309</x:v>
      </x:c>
      <x:c r="G54" s="12" t="n">
        <x:f>MAX(G53,F54)</x:f>
        <x:v>100000</x:v>
      </x:c>
      <x:c r="H54" s="14" t="n">
        <x:f>F54/G54-1</x:f>
        <x:v>-0.05416116910000002</x:v>
      </x:c>
      <x:c r="I54" s="14" t="n">
        <x:f>F54/F53-1</x:f>
        <x:v>-0.005534287073392874</x:v>
      </x:c>
      <x:c r="J54" s="12" t="n">
        <x:v>0</x:v>
      </x:c>
      <x:c r="K54" s="12" t="n">
        <x:v>0</x:v>
      </x:c>
      <x:c r="L54" s="12" t="n">
        <x:v>459</x:v>
      </x:c>
      <x:c r="M54" s="2" t="str">
        <x:v>买入</x:v>
      </x:c>
    </x:row>
    <x:row r="55" ht="23" customHeight="1">
      <x:c r="A55" s="11" t="d">
        <x:v>2015-03-16T00:00:00.000Z</x:v>
      </x:c>
      <x:c r="B55" s="12" t="n">
        <x:v>94892.9232</x:v>
      </x:c>
      <x:c r="C55" s="13" t="n">
        <x:v>0</x:v>
      </x:c>
      <x:c r="D55" s="12" t="n">
        <x:v>0</x:v>
      </x:c>
      <x:c r="E55" s="12" t="n">
        <x:v>0</x:v>
      </x:c>
      <x:c r="F55" s="12" t="n">
        <x:f>SUM(B55,D55:E55)</x:f>
        <x:v>94892.9232</x:v>
      </x:c>
      <x:c r="G55" s="12" t="n">
        <x:f>MAX(G54,F55)</x:f>
        <x:v>100000</x:v>
      </x:c>
      <x:c r="H55" s="14" t="n">
        <x:f>F55/G55-1</x:f>
        <x:v>-0.05107076799999999</x:v>
      </x:c>
      <x:c r="I55" s="14" t="n">
        <x:f>F55/F54-1</x:f>
        <x:v>0.003267365431655289</x:v>
      </x:c>
      <x:c r="J55" s="12" t="n">
        <x:v>0</x:v>
      </x:c>
      <x:c r="K55" s="12" t="n">
        <x:v>0</x:v>
      </x:c>
      <x:c r="L55" s="12" t="n">
        <x:v>-459</x:v>
      </x:c>
      <x:c r="M55" s="2" t="str">
        <x:v>卖出</x:v>
      </x:c>
    </x:row>
    <x:row r="56" ht="23" customHeight="1">
      <x:c r="A56" s="11" t="d">
        <x:v>2015-03-17T00:00:00.000Z</x:v>
      </x:c>
      <x:c r="B56" s="12" t="n">
        <x:v>91.57656</x:v>
      </x:c>
      <x:c r="C56" s="13" t="n">
        <x:v>456</x:v>
      </x:c>
      <x:c r="D56" s="12" t="n">
        <x:v>94829.76000000001</x:v>
      </x:c>
      <x:c r="E56" s="12" t="n">
        <x:v>0</x:v>
      </x:c>
      <x:c r="F56" s="12" t="n">
        <x:f>SUM(B56,D56:E56)</x:f>
        <x:v>94921.33656000001</x:v>
      </x:c>
      <x:c r="G56" s="12" t="n">
        <x:f>MAX(G55,F56)</x:f>
        <x:v>100000</x:v>
      </x:c>
      <x:c r="H56" s="14" t="n">
        <x:f>F56/G56-1</x:f>
        <x:v>-0.050786634399999864</x:v>
      </x:c>
      <x:c r="I56" s="14" t="n">
        <x:f>F56/F55-1</x:f>
        <x:v>0.00029942548971884086</x:v>
      </x:c>
      <x:c r="J56" s="12" t="n">
        <x:v>0</x:v>
      </x:c>
      <x:c r="K56" s="12" t="n">
        <x:v>0</x:v>
      </x:c>
      <x:c r="L56" s="12" t="n">
        <x:v>456</x:v>
      </x:c>
      <x:c r="M56" s="2" t="str">
        <x:v>买入</x:v>
      </x:c>
    </x:row>
    <x:row r="57" ht="23" customHeight="1">
      <x:c r="A57" s="11" t="d">
        <x:v>2015-03-18T00:00:00.000Z</x:v>
      </x:c>
      <x:c r="B57" s="12" t="n">
        <x:v>91.57656</x:v>
      </x:c>
      <x:c r="C57" s="13" t="n">
        <x:v>456</x:v>
      </x:c>
      <x:c r="D57" s="12" t="n">
        <x:v>95969.76000000001</x:v>
      </x:c>
      <x:c r="E57" s="12" t="n">
        <x:v>0</x:v>
      </x:c>
      <x:c r="F57" s="12" t="n">
        <x:f>SUM(B57,D57:E57)</x:f>
        <x:v>96061.33656000001</x:v>
      </x:c>
      <x:c r="G57" s="12" t="n">
        <x:f>MAX(G56,F57)</x:f>
        <x:v>100000</x:v>
      </x:c>
      <x:c r="H57" s="14" t="n">
        <x:f>F57/G57-1</x:f>
        <x:v>-0.0393866343999999</x:v>
      </x:c>
      <x:c r="I57" s="14" t="n">
        <x:f>F57/F56-1</x:f>
        <x:v>0.012009944669072459</x:v>
      </x:c>
      <x:c r="J57" s="12" t="n">
        <x:v>0</x:v>
      </x:c>
      <x:c r="K57" s="12" t="n">
        <x:v>0</x:v>
      </x:c>
      <x:c r="L57" s="12" t="n">
        <x:v>0</x:v>
      </x:c>
      <x:c r="M57" s="2" t="str">
        <x:v>持有</x:v>
      </x:c>
    </x:row>
    <x:row r="58" ht="23" customHeight="1">
      <x:c r="A58" s="11" t="d">
        <x:v>2015-03-19T00:00:00.000Z</x:v>
      </x:c>
      <x:c r="B58" s="12" t="n">
        <x:v>91.57656</x:v>
      </x:c>
      <x:c r="C58" s="13" t="n">
        <x:v>456</x:v>
      </x:c>
      <x:c r="D58" s="12" t="n">
        <x:v>95532</x:v>
      </x:c>
      <x:c r="E58" s="12" t="n">
        <x:v>0</x:v>
      </x:c>
      <x:c r="F58" s="12" t="n">
        <x:f>SUM(B58,D58:E58)</x:f>
        <x:v>95623.57656</x:v>
      </x:c>
      <x:c r="G58" s="12" t="n">
        <x:f>MAX(G57,F58)</x:f>
        <x:v>100000</x:v>
      </x:c>
      <x:c r="H58" s="14" t="n">
        <x:f>F58/G58-1</x:f>
        <x:v>-0.04376423439999999</x:v>
      </x:c>
      <x:c r="I58" s="14" t="n">
        <x:f>F58/F57-1</x:f>
        <x:v>-0.0045570883737036105</x:v>
      </x:c>
      <x:c r="J58" s="12" t="n">
        <x:v>0</x:v>
      </x:c>
      <x:c r="K58" s="12" t="n">
        <x:v>0</x:v>
      </x:c>
      <x:c r="L58" s="12" t="n">
        <x:v>0</x:v>
      </x:c>
      <x:c r="M58" s="2" t="str">
        <x:v>持有</x:v>
      </x:c>
    </x:row>
    <x:row r="59" ht="23" customHeight="1">
      <x:c r="A59" s="11" t="d">
        <x:v>2015-03-20T00:00:00.000Z</x:v>
      </x:c>
      <x:c r="B59" s="12" t="n">
        <x:v>91.57656</x:v>
      </x:c>
      <x:c r="C59" s="13" t="n">
        <x:v>456</x:v>
      </x:c>
      <x:c r="D59" s="12" t="n">
        <x:v>95946.95999999999</x:v>
      </x:c>
      <x:c r="E59" s="12" t="n">
        <x:v>424.44936</x:v>
      </x:c>
      <x:c r="F59" s="12" t="n">
        <x:f>SUM(B59,D59:E59)</x:f>
        <x:v>96462.98591999999</x:v>
      </x:c>
      <x:c r="G59" s="12" t="n">
        <x:f>MAX(G58,F59)</x:f>
        <x:v>100000</x:v>
      </x:c>
      <x:c r="H59" s="14" t="n">
        <x:f>F59/G59-1</x:f>
        <x:v>-0.035370140800000116</x:v>
      </x:c>
      <x:c r="I59" s="14" t="n">
        <x:f>F59/F58-1</x:f>
        <x:v>0.008778267768234871</x:v>
      </x:c>
      <x:c r="J59" s="12" t="n">
        <x:v>424.44936</x:v>
      </x:c>
      <x:c r="K59" s="12" t="n">
        <x:v>0</x:v>
      </x:c>
      <x:c r="L59" s="12" t="n">
        <x:v>0</x:v>
      </x:c>
      <x:c r="M59" s="2" t="str">
        <x:v>持有</x:v>
      </x:c>
    </x:row>
    <x:row r="60" ht="23" customHeight="1">
      <x:c r="A60" s="11" t="d">
        <x:v>2015-03-23T00:00:00.000Z</x:v>
      </x:c>
      <x:c r="B60" s="12" t="n">
        <x:v>91.57656</x:v>
      </x:c>
      <x:c r="C60" s="13" t="n">
        <x:v>456</x:v>
      </x:c>
      <x:c r="D60" s="12" t="n">
        <x:v>95760</x:v>
      </x:c>
      <x:c r="E60" s="12" t="n">
        <x:v>424.44936</x:v>
      </x:c>
      <x:c r="F60" s="12" t="n">
        <x:f>SUM(B60,D60:E60)</x:f>
        <x:v>96276.02592</x:v>
      </x:c>
      <x:c r="G60" s="12" t="n">
        <x:f>MAX(G59,F60)</x:f>
        <x:v>100000</x:v>
      </x:c>
      <x:c r="H60" s="14" t="n">
        <x:f>F60/G60-1</x:f>
        <x:v>-0.03723974080000003</x:v>
      </x:c>
      <x:c r="I60" s="14" t="n">
        <x:f>F60/F59-1</x:f>
        <x:v>-0.001938152735133536</x:v>
      </x:c>
      <x:c r="J60" s="12" t="n">
        <x:v>0</x:v>
      </x:c>
      <x:c r="K60" s="12" t="n">
        <x:v>0</x:v>
      </x:c>
      <x:c r="L60" s="12" t="n">
        <x:v>0</x:v>
      </x:c>
      <x:c r="M60" s="2" t="str">
        <x:v>持有</x:v>
      </x:c>
    </x:row>
    <x:row r="61" ht="23" customHeight="1">
      <x:c r="A61" s="11" t="d">
        <x:v>2015-03-24T00:00:00.000Z</x:v>
      </x:c>
      <x:c r="B61" s="12" t="n">
        <x:v>91.57656</x:v>
      </x:c>
      <x:c r="C61" s="13" t="n">
        <x:v>456</x:v>
      </x:c>
      <x:c r="D61" s="12" t="n">
        <x:v>95221.92</x:v>
      </x:c>
      <x:c r="E61" s="12" t="n">
        <x:v>424.44936</x:v>
      </x:c>
      <x:c r="F61" s="12" t="n">
        <x:f>SUM(B61,D61:E61)</x:f>
        <x:v>95737.94592</x:v>
      </x:c>
      <x:c r="G61" s="12" t="n">
        <x:f>MAX(G60,F61)</x:f>
        <x:v>100000</x:v>
      </x:c>
      <x:c r="H61" s="14" t="n">
        <x:f>F61/G61-1</x:f>
        <x:v>-0.042620540799999995</x:v>
      </x:c>
      <x:c r="I61" s="14" t="n">
        <x:f>F61/F60-1</x:f>
        <x:v>-0.0055889303163293436</x:v>
      </x:c>
      <x:c r="J61" s="12" t="n">
        <x:v>0</x:v>
      </x:c>
      <x:c r="K61" s="12" t="n">
        <x:v>0</x:v>
      </x:c>
      <x:c r="L61" s="12" t="n">
        <x:v>0</x:v>
      </x:c>
      <x:c r="M61" s="2" t="str">
        <x:v>持有</x:v>
      </x:c>
    </x:row>
    <x:row r="62" ht="23" customHeight="1">
      <x:c r="A62" s="11" t="d">
        <x:v>2015-03-25T00:00:00.000Z</x:v>
      </x:c>
      <x:c r="B62" s="12" t="n">
        <x:v>91.57656</x:v>
      </x:c>
      <x:c r="C62" s="13" t="n">
        <x:v>456</x:v>
      </x:c>
      <x:c r="D62" s="12" t="n">
        <x:v>93826.56</x:v>
      </x:c>
      <x:c r="E62" s="12" t="n">
        <x:v>424.44936</x:v>
      </x:c>
      <x:c r="F62" s="12" t="n">
        <x:f>SUM(B62,D62:E62)</x:f>
        <x:v>94342.58592</x:v>
      </x:c>
      <x:c r="G62" s="12" t="n">
        <x:f>MAX(G61,F62)</x:f>
        <x:v>100000</x:v>
      </x:c>
      <x:c r="H62" s="14" t="n">
        <x:f>F62/G62-1</x:f>
        <x:v>-0.056574140800000006</x:v>
      </x:c>
      <x:c r="I62" s="14" t="n">
        <x:f>F62/F61-1</x:f>
        <x:v>-0.014574785228481768</x:v>
      </x:c>
      <x:c r="J62" s="12" t="n">
        <x:v>0</x:v>
      </x:c>
      <x:c r="K62" s="12" t="n">
        <x:v>0</x:v>
      </x:c>
      <x:c r="L62" s="12" t="n">
        <x:v>0</x:v>
      </x:c>
      <x:c r="M62" s="2" t="str">
        <x:v>持有</x:v>
      </x:c>
    </x:row>
    <x:row r="63" ht="23" customHeight="1">
      <x:c r="A63" s="11" t="d">
        <x:v>2015-03-26T00:00:00.000Z</x:v>
      </x:c>
      <x:c r="B63" s="12" t="n">
        <x:v>93459.8748</x:v>
      </x:c>
      <x:c r="C63" s="13" t="n">
        <x:v>0</x:v>
      </x:c>
      <x:c r="D63" s="12" t="n">
        <x:v>0</x:v>
      </x:c>
      <x:c r="E63" s="12" t="n">
        <x:v>424.44936</x:v>
      </x:c>
      <x:c r="F63" s="12" t="n">
        <x:f>SUM(B63,D63:E63)</x:f>
        <x:v>93884.32416</x:v>
      </x:c>
      <x:c r="G63" s="12" t="n">
        <x:f>MAX(G62,F63)</x:f>
        <x:v>100000</x:v>
      </x:c>
      <x:c r="H63" s="14" t="n">
        <x:f>F63/G63-1</x:f>
        <x:v>-0.06115675840000001</x:v>
      </x:c>
      <x:c r="I63" s="14" t="n">
        <x:f>F63/F62-1</x:f>
        <x:v>-0.004857422080719598</x:v>
      </x:c>
      <x:c r="J63" s="12" t="n">
        <x:v>0</x:v>
      </x:c>
      <x:c r="K63" s="12" t="n">
        <x:v>0</x:v>
      </x:c>
      <x:c r="L63" s="12" t="n">
        <x:v>-456</x:v>
      </x:c>
      <x:c r="M63" s="2" t="str">
        <x:v>卖出</x:v>
      </x:c>
    </x:row>
    <x:row r="64" ht="23" customHeight="1">
      <x:c r="A64" s="11" t="d">
        <x:v>2015-03-27T00:00:00.000Z</x:v>
      </x:c>
      <x:c r="B64" s="12" t="n">
        <x:v>93459.8748</x:v>
      </x:c>
      <x:c r="C64" s="13" t="n">
        <x:v>0</x:v>
      </x:c>
      <x:c r="D64" s="12" t="n">
        <x:v>0</x:v>
      </x:c>
      <x:c r="E64" s="12" t="n">
        <x:v>424.44936</x:v>
      </x:c>
      <x:c r="F64" s="12" t="n">
        <x:f>SUM(B64,D64:E64)</x:f>
        <x:v>93884.32416</x:v>
      </x:c>
      <x:c r="G64" s="12" t="n">
        <x:f>MAX(G63,F64)</x:f>
        <x:v>100000</x:v>
      </x:c>
      <x:c r="H64" s="14" t="n">
        <x:f>F64/G64-1</x:f>
        <x:v>-0.06115675840000001</x:v>
      </x:c>
      <x:c r="I64" s="14" t="n">
        <x:f>F64/F63-1</x:f>
        <x:v>0</x:v>
      </x:c>
      <x:c r="J64" s="12" t="n">
        <x:v>0</x:v>
      </x:c>
      <x:c r="K64" s="12" t="n">
        <x:v>0</x:v>
      </x:c>
      <x:c r="L64" s="12" t="n">
        <x:v>0</x:v>
      </x:c>
      <x:c r="M64" s="2" t="str">
        <x:v>空仓</x:v>
      </x:c>
    </x:row>
    <x:row r="65" ht="23" customHeight="1">
      <x:c r="A65" s="11" t="d">
        <x:v>2015-03-30T00:00:00.000Z</x:v>
      </x:c>
      <x:c r="B65" s="12" t="n">
        <x:v>93459.8748</x:v>
      </x:c>
      <x:c r="C65" s="13" t="n">
        <x:v>0</x:v>
      </x:c>
      <x:c r="D65" s="12" t="n">
        <x:v>0</x:v>
      </x:c>
      <x:c r="E65" s="12" t="n">
        <x:v>424.44936</x:v>
      </x:c>
      <x:c r="F65" s="12" t="n">
        <x:f>SUM(B65,D65:E65)</x:f>
        <x:v>93884.32416</x:v>
      </x:c>
      <x:c r="G65" s="12" t="n">
        <x:f>MAX(G64,F65)</x:f>
        <x:v>100000</x:v>
      </x:c>
      <x:c r="H65" s="14" t="n">
        <x:f>F65/G65-1</x:f>
        <x:v>-0.06115675840000001</x:v>
      </x:c>
      <x:c r="I65" s="14" t="n">
        <x:f>F65/F64-1</x:f>
        <x:v>0</x:v>
      </x:c>
      <x:c r="J65" s="12" t="n">
        <x:v>0</x:v>
      </x:c>
      <x:c r="K65" s="12" t="n">
        <x:v>0</x:v>
      </x:c>
      <x:c r="L65" s="12" t="n">
        <x:v>0</x:v>
      </x:c>
      <x:c r="M65" s="2" t="str">
        <x:v>空仓</x:v>
      </x:c>
    </x:row>
    <x:row r="66" ht="23" customHeight="1">
      <x:c r="A66" s="11" t="d">
        <x:v>2015-03-31T00:00:00.000Z</x:v>
      </x:c>
      <x:c r="B66" s="12" t="n">
        <x:v>99.6078</x:v>
      </x:c>
      <x:c r="C66" s="13" t="n">
        <x:v>450</x:v>
      </x:c>
      <x:c r="D66" s="12" t="n">
        <x:v>92893.5</x:v>
      </x:c>
      <x:c r="E66" s="12" t="n">
        <x:v>424.44936</x:v>
      </x:c>
      <x:c r="F66" s="12" t="n">
        <x:f>SUM(B66,D66:E66)</x:f>
        <x:v>93417.55716</x:v>
      </x:c>
      <x:c r="G66" s="12" t="n">
        <x:f>MAX(G65,F66)</x:f>
        <x:v>100000</x:v>
      </x:c>
      <x:c r="H66" s="14" t="n">
        <x:f>F66/G66-1</x:f>
        <x:v>-0.06582442840000002</x:v>
      </x:c>
      <x:c r="I66" s="14" t="n">
        <x:f>F66/F65-1</x:f>
        <x:v>-0.004971724557600643</x:v>
      </x:c>
      <x:c r="J66" s="12" t="n">
        <x:v>0</x:v>
      </x:c>
      <x:c r="K66" s="12" t="n">
        <x:v>0</x:v>
      </x:c>
      <x:c r="L66" s="12" t="n">
        <x:v>450</x:v>
      </x:c>
      <x:c r="M66" s="2" t="str">
        <x:v>买入</x:v>
      </x:c>
    </x:row>
    <x:row r="67" ht="23" customHeight="1">
      <x:c r="A67" s="11" t="d">
        <x:v>2015-04-01T00:00:00.000Z</x:v>
      </x:c>
      <x:c r="B67" s="12" t="n">
        <x:v>92882.2323</x:v>
      </x:c>
      <x:c r="C67" s="13" t="n">
        <x:v>0</x:v>
      </x:c>
      <x:c r="D67" s="12" t="n">
        <x:v>0</x:v>
      </x:c>
      <x:c r="E67" s="12" t="n">
        <x:v>424.44936</x:v>
      </x:c>
      <x:c r="F67" s="12" t="n">
        <x:f>SUM(B67,D67:E67)</x:f>
        <x:v>93306.68166</x:v>
      </x:c>
      <x:c r="G67" s="12" t="n">
        <x:f>MAX(G66,F67)</x:f>
        <x:v>100000</x:v>
      </x:c>
      <x:c r="H67" s="14" t="n">
        <x:f>F67/G67-1</x:f>
        <x:v>-0.06693318339999998</x:v>
      </x:c>
      <x:c r="I67" s="14" t="n">
        <x:f>F67/F66-1</x:f>
        <x:v>-0.001186880746732566</x:v>
      </x:c>
      <x:c r="J67" s="12" t="n">
        <x:v>0</x:v>
      </x:c>
      <x:c r="K67" s="12" t="n">
        <x:v>0</x:v>
      </x:c>
      <x:c r="L67" s="12" t="n">
        <x:v>-450</x:v>
      </x:c>
      <x:c r="M67" s="2" t="str">
        <x:v>卖出</x:v>
      </x:c>
    </x:row>
    <x:row r="68" ht="23" customHeight="1">
      <x:c r="A68" s="11" t="d">
        <x:v>2015-04-02T00:00:00.000Z</x:v>
      </x:c>
      <x:c r="B68" s="12" t="n">
        <x:v>92882.2323</x:v>
      </x:c>
      <x:c r="C68" s="13" t="n">
        <x:v>0</x:v>
      </x:c>
      <x:c r="D68" s="12" t="n">
        <x:v>0</x:v>
      </x:c>
      <x:c r="E68" s="12" t="n">
        <x:v>424.44936</x:v>
      </x:c>
      <x:c r="F68" s="12" t="n">
        <x:f>SUM(B68,D68:E68)</x:f>
        <x:v>93306.68166</x:v>
      </x:c>
      <x:c r="G68" s="12" t="n">
        <x:f>MAX(G67,F68)</x:f>
        <x:v>100000</x:v>
      </x:c>
      <x:c r="H68" s="14" t="n">
        <x:f>F68/G68-1</x:f>
        <x:v>-0.06693318339999998</x:v>
      </x:c>
      <x:c r="I68" s="14" t="n">
        <x:f>F68/F67-1</x:f>
        <x:v>0</x:v>
      </x:c>
      <x:c r="J68" s="12" t="n">
        <x:v>0</x:v>
      </x:c>
      <x:c r="K68" s="12" t="n">
        <x:v>0</x:v>
      </x:c>
      <x:c r="L68" s="12" t="n">
        <x:v>0</x:v>
      </x:c>
      <x:c r="M68" s="2" t="str">
        <x:v>空仓</x:v>
      </x:c>
    </x:row>
    <x:row r="69" ht="23" customHeight="1">
      <x:c r="A69" s="11" t="d">
        <x:v>2015-04-06T00:00:00.000Z</x:v>
      </x:c>
      <x:c r="B69" s="12" t="n">
        <x:v>92882.2323</x:v>
      </x:c>
      <x:c r="C69" s="13" t="n">
        <x:v>0</x:v>
      </x:c>
      <x:c r="D69" s="12" t="n">
        <x:v>0</x:v>
      </x:c>
      <x:c r="E69" s="12" t="n">
        <x:v>424.44936</x:v>
      </x:c>
      <x:c r="F69" s="12" t="n">
        <x:f>SUM(B69,D69:E69)</x:f>
        <x:v>93306.68166</x:v>
      </x:c>
      <x:c r="G69" s="12" t="n">
        <x:f>MAX(G68,F69)</x:f>
        <x:v>100000</x:v>
      </x:c>
      <x:c r="H69" s="14" t="n">
        <x:f>F69/G69-1</x:f>
        <x:v>-0.06693318339999998</x:v>
      </x:c>
      <x:c r="I69" s="14" t="n">
        <x:f>F69/F68-1</x:f>
        <x:v>0</x:v>
      </x:c>
      <x:c r="J69" s="12" t="n">
        <x:v>0</x:v>
      </x:c>
      <x:c r="K69" s="12" t="n">
        <x:v>0</x:v>
      </x:c>
      <x:c r="L69" s="12" t="n">
        <x:v>0</x:v>
      </x:c>
      <x:c r="M69" s="2" t="str">
        <x:v>空仓</x:v>
      </x:c>
    </x:row>
    <x:row r="70" ht="23" customHeight="1">
      <x:c r="A70" s="11" t="d">
        <x:v>2015-04-07T00:00:00.000Z</x:v>
      </x:c>
      <x:c r="B70" s="12" t="n">
        <x:v>83.96674</x:v>
      </x:c>
      <x:c r="C70" s="13" t="n">
        <x:v>446</x:v>
      </x:c>
      <x:c r="D70" s="12" t="n">
        <x:v>92446.88</x:v>
      </x:c>
      <x:c r="E70" s="12" t="n">
        <x:v>424.44936</x:v>
      </x:c>
      <x:c r="F70" s="12" t="n">
        <x:f>SUM(B70,D70:E70)</x:f>
        <x:v>92955.2961</x:v>
      </x:c>
      <x:c r="G70" s="12" t="n">
        <x:f>MAX(G69,F70)</x:f>
        <x:v>100000</x:v>
      </x:c>
      <x:c r="H70" s="14" t="n">
        <x:f>F70/G70-1</x:f>
        <x:v>-0.07044703899999993</x:v>
      </x:c>
      <x:c r="I70" s="14" t="n">
        <x:f>F70/F69-1</x:f>
        <x:v>-0.0037659206580769045</x:v>
      </x:c>
      <x:c r="J70" s="12" t="n">
        <x:v>0</x:v>
      </x:c>
      <x:c r="K70" s="12" t="n">
        <x:v>0</x:v>
      </x:c>
      <x:c r="L70" s="12" t="n">
        <x:v>446</x:v>
      </x:c>
      <x:c r="M70" s="2" t="str">
        <x:v>买入</x:v>
      </x:c>
    </x:row>
    <x:row r="71" ht="23" customHeight="1">
      <x:c r="A71" s="11" t="d">
        <x:v>2015-04-08T00:00:00.000Z</x:v>
      </x:c>
      <x:c r="B71" s="12" t="n">
        <x:v>92558.69944</x:v>
      </x:c>
      <x:c r="C71" s="13" t="n">
        <x:v>0</x:v>
      </x:c>
      <x:c r="D71" s="12" t="n">
        <x:v>0</x:v>
      </x:c>
      <x:c r="E71" s="12" t="n">
        <x:v>424.44936</x:v>
      </x:c>
      <x:c r="F71" s="12" t="n">
        <x:f>SUM(B71,D71:E71)</x:f>
        <x:v>92983.1488</x:v>
      </x:c>
      <x:c r="G71" s="12" t="n">
        <x:f>MAX(G70,F71)</x:f>
        <x:v>100000</x:v>
      </x:c>
      <x:c r="H71" s="14" t="n">
        <x:f>F71/G71-1</x:f>
        <x:v>-0.07016851200000007</x:v>
      </x:c>
      <x:c r="I71" s="14" t="n">
        <x:f>F71/F70-1</x:f>
        <x:v>0.00029963542873368</x:v>
      </x:c>
      <x:c r="J71" s="12" t="n">
        <x:v>0</x:v>
      </x:c>
      <x:c r="K71" s="12" t="n">
        <x:v>0</x:v>
      </x:c>
      <x:c r="L71" s="12" t="n">
        <x:v>-446</x:v>
      </x:c>
      <x:c r="M71" s="2" t="str">
        <x:v>卖出</x:v>
      </x:c>
    </x:row>
    <x:row r="72" ht="23" customHeight="1">
      <x:c r="A72" s="11" t="d">
        <x:v>2015-04-09T00:00:00.000Z</x:v>
      </x:c>
      <x:c r="B72" s="12" t="n">
        <x:v>4.13734</x:v>
      </x:c>
      <x:c r="C72" s="13" t="n">
        <x:v>445</x:v>
      </x:c>
      <x:c r="D72" s="12" t="n">
        <x:v>92960.5</x:v>
      </x:c>
      <x:c r="E72" s="12" t="n">
        <x:v>424.44936</x:v>
      </x:c>
      <x:c r="F72" s="12" t="n">
        <x:f>SUM(B72,D72:E72)</x:f>
        <x:v>93389.0867</x:v>
      </x:c>
      <x:c r="G72" s="12" t="n">
        <x:f>MAX(G71,F72)</x:f>
        <x:v>100000</x:v>
      </x:c>
      <x:c r="H72" s="14" t="n">
        <x:f>F72/G72-1</x:f>
        <x:v>-0.06610913299999999</x:v>
      </x:c>
      <x:c r="I72" s="14" t="n">
        <x:f>F72/F71-1</x:f>
        <x:v>0.004365714704641199</x:v>
      </x:c>
      <x:c r="J72" s="12" t="n">
        <x:v>0</x:v>
      </x:c>
      <x:c r="K72" s="12" t="n">
        <x:v>0</x:v>
      </x:c>
      <x:c r="L72" s="12" t="n">
        <x:v>445</x:v>
      </x:c>
      <x:c r="M72" s="2" t="str">
        <x:v>买入</x:v>
      </x:c>
    </x:row>
    <x:row r="73" ht="23" customHeight="1">
      <x:c r="A73" s="11" t="d">
        <x:v>2015-04-10T00:00:00.000Z</x:v>
      </x:c>
      <x:c r="B73" s="12" t="n">
        <x:v>4.13734</x:v>
      </x:c>
      <x:c r="C73" s="13" t="n">
        <x:v>445</x:v>
      </x:c>
      <x:c r="D73" s="12" t="n">
        <x:v>93467.8</x:v>
      </x:c>
      <x:c r="E73" s="12" t="n">
        <x:v>424.44936</x:v>
      </x:c>
      <x:c r="F73" s="12" t="n">
        <x:f>SUM(B73,D73:E73)</x:f>
        <x:v>93896.3867</x:v>
      </x:c>
      <x:c r="G73" s="12" t="n">
        <x:f>MAX(G72,F73)</x:f>
        <x:v>100000</x:v>
      </x:c>
      <x:c r="H73" s="14" t="n">
        <x:f>F73/G73-1</x:f>
        <x:v>-0.06103613299999999</x:v>
      </x:c>
      <x:c r="I73" s="14" t="n">
        <x:f>F73/F72-1</x:f>
        <x:v>0.0054321122298757185</x:v>
      </x:c>
      <x:c r="J73" s="12" t="n">
        <x:v>0</x:v>
      </x:c>
      <x:c r="K73" s="12" t="n">
        <x:v>0</x:v>
      </x:c>
      <x:c r="L73" s="12" t="n">
        <x:v>0</x:v>
      </x:c>
      <x:c r="M73" s="2" t="str">
        <x:v>持有</x:v>
      </x:c>
    </x:row>
    <x:row r="74" ht="23" customHeight="1">
      <x:c r="A74" s="11" t="d">
        <x:v>2015-04-13T00:00:00.000Z</x:v>
      </x:c>
      <x:c r="B74" s="12" t="n">
        <x:v>4.13734</x:v>
      </x:c>
      <x:c r="C74" s="13" t="n">
        <x:v>445</x:v>
      </x:c>
      <x:c r="D74" s="12" t="n">
        <x:v>93045.05</x:v>
      </x:c>
      <x:c r="E74" s="12" t="n">
        <x:v>424.44936</x:v>
      </x:c>
      <x:c r="F74" s="12" t="n">
        <x:f>SUM(B74,D74:E74)</x:f>
        <x:v>93473.6367</x:v>
      </x:c>
      <x:c r="G74" s="12" t="n">
        <x:f>MAX(G73,F74)</x:f>
        <x:v>100000</x:v>
      </x:c>
      <x:c r="H74" s="14" t="n">
        <x:f>F74/G74-1</x:f>
        <x:v>-0.06526363299999993</x:v>
      </x:c>
      <x:c r="I74" s="14" t="n">
        <x:f>F74/F73-1</x:f>
        <x:v>-0.004502303175421329</x:v>
      </x:c>
      <x:c r="J74" s="12" t="n">
        <x:v>0</x:v>
      </x:c>
      <x:c r="K74" s="12" t="n">
        <x:v>0</x:v>
      </x:c>
      <x:c r="L74" s="12" t="n">
        <x:v>0</x:v>
      </x:c>
      <x:c r="M74" s="2" t="str">
        <x:v>持有</x:v>
      </x:c>
    </x:row>
    <x:row r="75" ht="23" customHeight="1">
      <x:c r="A75" s="11" t="d">
        <x:v>2015-04-14T00:00:00.000Z</x:v>
      </x:c>
      <x:c r="B75" s="12" t="n">
        <x:v>4.13734</x:v>
      </x:c>
      <x:c r="C75" s="13" t="n">
        <x:v>445</x:v>
      </x:c>
      <x:c r="D75" s="12" t="n">
        <x:v>93223.05</x:v>
      </x:c>
      <x:c r="E75" s="12" t="n">
        <x:v>424.44936</x:v>
      </x:c>
      <x:c r="F75" s="12" t="n">
        <x:f>SUM(B75,D75:E75)</x:f>
        <x:v>93651.6367</x:v>
      </x:c>
      <x:c r="G75" s="12" t="n">
        <x:f>MAX(G74,F75)</x:f>
        <x:v>100000</x:v>
      </x:c>
      <x:c r="H75" s="14" t="n">
        <x:f>F75/G75-1</x:f>
        <x:v>-0.06348363299999993</x:v>
      </x:c>
      <x:c r="I75" s="14" t="n">
        <x:f>F75/F74-1</x:f>
        <x:v>0.0019042802471811449</x:v>
      </x:c>
      <x:c r="J75" s="12" t="n">
        <x:v>0</x:v>
      </x:c>
      <x:c r="K75" s="12" t="n">
        <x:v>0</x:v>
      </x:c>
      <x:c r="L75" s="12" t="n">
        <x:v>0</x:v>
      </x:c>
      <x:c r="M75" s="2" t="str">
        <x:v>持有</x:v>
      </x:c>
    </x:row>
    <x:row r="76" ht="23" customHeight="1">
      <x:c r="A76" s="11" t="d">
        <x:v>2015-04-15T00:00:00.000Z</x:v>
      </x:c>
      <x:c r="B76" s="12" t="n">
        <x:v>4.13734</x:v>
      </x:c>
      <x:c r="C76" s="13" t="n">
        <x:v>445</x:v>
      </x:c>
      <x:c r="D76" s="12" t="n">
        <x:v>93641.35</x:v>
      </x:c>
      <x:c r="E76" s="12" t="n">
        <x:v>424.44936</x:v>
      </x:c>
      <x:c r="F76" s="12" t="n">
        <x:f>SUM(B76,D76:E76)</x:f>
        <x:v>94069.9367</x:v>
      </x:c>
      <x:c r="G76" s="12" t="n">
        <x:f>MAX(G75,F76)</x:f>
        <x:v>100000</x:v>
      </x:c>
      <x:c r="H76" s="14" t="n">
        <x:f>F76/G76-1</x:f>
        <x:v>-0.05930063299999999</x:v>
      </x:c>
      <x:c r="I76" s="14" t="n">
        <x:f>F76/F75-1</x:f>
        <x:v>0.004466553012201668</x:v>
      </x:c>
      <x:c r="J76" s="12" t="n">
        <x:v>0</x:v>
      </x:c>
      <x:c r="K76" s="12" t="n">
        <x:v>0</x:v>
      </x:c>
      <x:c r="L76" s="12" t="n">
        <x:v>0</x:v>
      </x:c>
      <x:c r="M76" s="2" t="str">
        <x:v>持有</x:v>
      </x:c>
    </x:row>
    <x:row r="77" ht="23" customHeight="1">
      <x:c r="A77" s="11" t="d">
        <x:v>2015-04-16T00:00:00.000Z</x:v>
      </x:c>
      <x:c r="B77" s="12" t="n">
        <x:v>4.13734</x:v>
      </x:c>
      <x:c r="C77" s="13" t="n">
        <x:v>445</x:v>
      </x:c>
      <x:c r="D77" s="12" t="n">
        <x:v>93614.65000000001</x:v>
      </x:c>
      <x:c r="E77" s="12" t="n">
        <x:v>424.44936</x:v>
      </x:c>
      <x:c r="F77" s="12" t="n">
        <x:f>SUM(B77,D77:E77)</x:f>
        <x:v>94043.23670000001</x:v>
      </x:c>
      <x:c r="G77" s="12" t="n">
        <x:f>MAX(G76,F77)</x:f>
        <x:v>100000</x:v>
      </x:c>
      <x:c r="H77" s="14" t="n">
        <x:f>F77/G77-1</x:f>
        <x:v>-0.0595676329999999</x:v>
      </x:c>
      <x:c r="I77" s="14" t="n">
        <x:f>F77/F76-1</x:f>
        <x:v>-0.0002838313805306747</x:v>
      </x:c>
      <x:c r="J77" s="12" t="n">
        <x:v>0</x:v>
      </x:c>
      <x:c r="K77" s="12" t="n">
        <x:v>0</x:v>
      </x:c>
      <x:c r="L77" s="12" t="n">
        <x:v>0</x:v>
      </x:c>
      <x:c r="M77" s="2" t="str">
        <x:v>持有</x:v>
      </x:c>
    </x:row>
    <x:row r="78" ht="23" customHeight="1">
      <x:c r="A78" s="11" t="d">
        <x:v>2015-04-17T00:00:00.000Z</x:v>
      </x:c>
      <x:c r="B78" s="12" t="n">
        <x:v>4.13734</x:v>
      </x:c>
      <x:c r="C78" s="13" t="n">
        <x:v>445</x:v>
      </x:c>
      <x:c r="D78" s="12" t="n">
        <x:v>92537.75</x:v>
      </x:c>
      <x:c r="E78" s="12" t="n">
        <x:v>424.44936</x:v>
      </x:c>
      <x:c r="F78" s="12" t="n">
        <x:f>SUM(B78,D78:E78)</x:f>
        <x:v>92966.3367</x:v>
      </x:c>
      <x:c r="G78" s="12" t="n">
        <x:f>MAX(G77,F78)</x:f>
        <x:v>100000</x:v>
      </x:c>
      <x:c r="H78" s="14" t="n">
        <x:f>F78/G78-1</x:f>
        <x:v>-0.07033663300000004</x:v>
      </x:c>
      <x:c r="I78" s="14" t="n">
        <x:f>F78/F77-1</x:f>
        <x:v>-0.01145111586743175</x:v>
      </x:c>
      <x:c r="J78" s="12" t="n">
        <x:v>0</x:v>
      </x:c>
      <x:c r="K78" s="12" t="n">
        <x:v>0</x:v>
      </x:c>
      <x:c r="L78" s="12" t="n">
        <x:v>0</x:v>
      </x:c>
      <x:c r="M78" s="2" t="str">
        <x:v>持有</x:v>
      </x:c>
    </x:row>
    <x:row r="79" ht="23" customHeight="1">
      <x:c r="A79" s="11" t="d">
        <x:v>2015-04-20T00:00:00.000Z</x:v>
      </x:c>
      <x:c r="B79" s="12" t="n">
        <x:v>92942.80564</x:v>
      </x:c>
      <x:c r="C79" s="13" t="n">
        <x:v>0</x:v>
      </x:c>
      <x:c r="D79" s="12" t="n">
        <x:v>0</x:v>
      </x:c>
      <x:c r="E79" s="12" t="n">
        <x:v>424.44936</x:v>
      </x:c>
      <x:c r="F79" s="12" t="n">
        <x:f>SUM(B79,D79:E79)</x:f>
        <x:v>93367.255</x:v>
      </x:c>
      <x:c r="G79" s="12" t="n">
        <x:f>MAX(G78,F79)</x:f>
        <x:v>100000</x:v>
      </x:c>
      <x:c r="H79" s="14" t="n">
        <x:f>F79/G79-1</x:f>
        <x:v>-0.06632744999999995</x:v>
      </x:c>
      <x:c r="I79" s="14" t="n">
        <x:f>F79/F78-1</x:f>
        <x:v>0.0043125104659524904</x:v>
      </x:c>
      <x:c r="J79" s="12" t="n">
        <x:v>0</x:v>
      </x:c>
      <x:c r="K79" s="12" t="n">
        <x:v>0</x:v>
      </x:c>
      <x:c r="L79" s="12" t="n">
        <x:v>-445</x:v>
      </x:c>
      <x:c r="M79" s="2" t="str">
        <x:v>卖出</x:v>
      </x:c>
    </x:row>
    <x:row r="80" ht="23" customHeight="1">
      <x:c r="A80" s="11" t="d">
        <x:v>2015-04-21T00:00:00.000Z</x:v>
      </x:c>
      <x:c r="B80" s="12" t="n">
        <x:v>155.31084</x:v>
      </x:c>
      <x:c r="C80" s="13" t="n">
        <x:v>440</x:v>
      </x:c>
      <x:c r="D80" s="12" t="n">
        <x:v>92224</x:v>
      </x:c>
      <x:c r="E80" s="12" t="n">
        <x:v>424.44936</x:v>
      </x:c>
      <x:c r="F80" s="12" t="n">
        <x:f>SUM(B80,D80:E80)</x:f>
        <x:v>92803.7602</x:v>
      </x:c>
      <x:c r="G80" s="12" t="n">
        <x:f>MAX(G79,F80)</x:f>
        <x:v>100000</x:v>
      </x:c>
      <x:c r="H80" s="14" t="n">
        <x:f>F80/G80-1</x:f>
        <x:v>-0.07196239799999993</x:v>
      </x:c>
      <x:c r="I80" s="14" t="n">
        <x:f>F80/F79-1</x:f>
        <x:v>-0.006035250795367153</x:v>
      </x:c>
      <x:c r="J80" s="12" t="n">
        <x:v>0</x:v>
      </x:c>
      <x:c r="K80" s="12" t="n">
        <x:v>0</x:v>
      </x:c>
      <x:c r="L80" s="12" t="n">
        <x:v>440</x:v>
      </x:c>
      <x:c r="M80" s="2" t="str">
        <x:v>买入</x:v>
      </x:c>
    </x:row>
    <x:row r="81" ht="23" customHeight="1">
      <x:c r="A81" s="11" t="d">
        <x:v>2015-04-22T00:00:00.000Z</x:v>
      </x:c>
      <x:c r="B81" s="12" t="n">
        <x:v>155.31084</x:v>
      </x:c>
      <x:c r="C81" s="13" t="n">
        <x:v>440</x:v>
      </x:c>
      <x:c r="D81" s="12" t="n">
        <x:v>92677.2</x:v>
      </x:c>
      <x:c r="E81" s="12" t="n">
        <x:v>424.44936</x:v>
      </x:c>
      <x:c r="F81" s="12" t="n">
        <x:f>SUM(B81,D81:E81)</x:f>
        <x:v>93256.9602</x:v>
      </x:c>
      <x:c r="G81" s="12" t="n">
        <x:f>MAX(G80,F81)</x:f>
        <x:v>100000</x:v>
      </x:c>
      <x:c r="H81" s="14" t="n">
        <x:f>F81/G81-1</x:f>
        <x:v>-0.06743039799999995</x:v>
      </x:c>
      <x:c r="I81" s="14" t="n">
        <x:f>F81/F80-1</x:f>
        <x:v>0.004883422816309491</x:v>
      </x:c>
      <x:c r="J81" s="12" t="n">
        <x:v>0</x:v>
      </x:c>
      <x:c r="K81" s="12" t="n">
        <x:v>0</x:v>
      </x:c>
      <x:c r="L81" s="12" t="n">
        <x:v>0</x:v>
      </x:c>
      <x:c r="M81" s="2" t="str">
        <x:v>持有</x:v>
      </x:c>
    </x:row>
    <x:row r="82" ht="23" customHeight="1">
      <x:c r="A82" s="11" t="d">
        <x:v>2015-04-23T00:00:00.000Z</x:v>
      </x:c>
      <x:c r="B82" s="12" t="n">
        <x:v>155.31084</x:v>
      </x:c>
      <x:c r="C82" s="13" t="n">
        <x:v>440</x:v>
      </x:c>
      <x:c r="D82" s="12" t="n">
        <x:v>92910.4</x:v>
      </x:c>
      <x:c r="E82" s="12" t="n">
        <x:v>424.44936</x:v>
      </x:c>
      <x:c r="F82" s="12" t="n">
        <x:f>SUM(B82,D82:E82)</x:f>
        <x:v>93490.1602</x:v>
      </x:c>
      <x:c r="G82" s="12" t="n">
        <x:f>MAX(G81,F82)</x:f>
        <x:v>100000</x:v>
      </x:c>
      <x:c r="H82" s="14" t="n">
        <x:f>F82/G82-1</x:f>
        <x:v>-0.06509839800000006</x:v>
      </x:c>
      <x:c r="I82" s="14" t="n">
        <x:f>F82/F81-1</x:f>
        <x:v>0.002500617642906988</x:v>
      </x:c>
      <x:c r="J82" s="12" t="n">
        <x:v>0</x:v>
      </x:c>
      <x:c r="K82" s="12" t="n">
        <x:v>0</x:v>
      </x:c>
      <x:c r="L82" s="12" t="n">
        <x:v>0</x:v>
      </x:c>
      <x:c r="M82" s="2" t="str">
        <x:v>持有</x:v>
      </x:c>
    </x:row>
    <x:row r="83" ht="23" customHeight="1">
      <x:c r="A83" s="11" t="d">
        <x:v>2015-04-24T00:00:00.000Z</x:v>
      </x:c>
      <x:c r="B83" s="12" t="n">
        <x:v>155.31084</x:v>
      </x:c>
      <x:c r="C83" s="13" t="n">
        <x:v>440</x:v>
      </x:c>
      <x:c r="D83" s="12" t="n">
        <x:v>93126</x:v>
      </x:c>
      <x:c r="E83" s="12" t="n">
        <x:v>424.44936</x:v>
      </x:c>
      <x:c r="F83" s="12" t="n">
        <x:f>SUM(B83,D83:E83)</x:f>
        <x:v>93705.7602</x:v>
      </x:c>
      <x:c r="G83" s="12" t="n">
        <x:f>MAX(G82,F83)</x:f>
        <x:v>100000</x:v>
      </x:c>
      <x:c r="H83" s="14" t="n">
        <x:f>F83/G83-1</x:f>
        <x:v>-0.06294239800000001</x:v>
      </x:c>
      <x:c r="I83" s="14" t="n">
        <x:f>F83/F82-1</x:f>
        <x:v>0.00230612504608807</x:v>
      </x:c>
      <x:c r="J83" s="12" t="n">
        <x:v>0</x:v>
      </x:c>
      <x:c r="K83" s="12" t="n">
        <x:v>0</x:v>
      </x:c>
      <x:c r="L83" s="12" t="n">
        <x:v>0</x:v>
      </x:c>
      <x:c r="M83" s="2" t="str">
        <x:v>持有</x:v>
      </x:c>
    </x:row>
    <x:row r="84" ht="23" customHeight="1">
      <x:c r="A84" s="11" t="d">
        <x:v>2015-04-27T00:00:00.000Z</x:v>
      </x:c>
      <x:c r="B84" s="12" t="n">
        <x:v>155.31084</x:v>
      </x:c>
      <x:c r="C84" s="13" t="n">
        <x:v>440</x:v>
      </x:c>
      <x:c r="D84" s="12" t="n">
        <x:v>92738.8</x:v>
      </x:c>
      <x:c r="E84" s="12" t="n">
        <x:v>424.44936</x:v>
      </x:c>
      <x:c r="F84" s="12" t="n">
        <x:f>SUM(B84,D84:E84)</x:f>
        <x:v>93318.5602</x:v>
      </x:c>
      <x:c r="G84" s="12" t="n">
        <x:f>MAX(G83,F84)</x:f>
        <x:v>100000</x:v>
      </x:c>
      <x:c r="H84" s="14" t="n">
        <x:f>F84/G84-1</x:f>
        <x:v>-0.06681439799999989</x:v>
      </x:c>
      <x:c r="I84" s="14" t="n">
        <x:f>F84/F83-1</x:f>
        <x:v>-0.004132083227045835</x:v>
      </x:c>
      <x:c r="J84" s="12" t="n">
        <x:v>0</x:v>
      </x:c>
      <x:c r="K84" s="12" t="n">
        <x:v>0</x:v>
      </x:c>
      <x:c r="L84" s="12" t="n">
        <x:v>0</x:v>
      </x:c>
      <x:c r="M84" s="2" t="str">
        <x:v>持有</x:v>
      </x:c>
    </x:row>
    <x:row r="85" ht="23" customHeight="1">
      <x:c r="A85" s="11" t="d">
        <x:v>2015-04-28T00:00:00.000Z</x:v>
      </x:c>
      <x:c r="B85" s="12" t="n">
        <x:v>155.31084</x:v>
      </x:c>
      <x:c r="C85" s="13" t="n">
        <x:v>440</x:v>
      </x:c>
      <x:c r="D85" s="12" t="n">
        <x:v>93033.6</x:v>
      </x:c>
      <x:c r="E85" s="12" t="n">
        <x:v>424.44936</x:v>
      </x:c>
      <x:c r="F85" s="12" t="n">
        <x:f>SUM(B85,D85:E85)</x:f>
        <x:v>93613.36020000001</x:v>
      </x:c>
      <x:c r="G85" s="12" t="n">
        <x:f>MAX(G84,F85)</x:f>
        <x:v>100000</x:v>
      </x:c>
      <x:c r="H85" s="14" t="n">
        <x:f>F85/G85-1</x:f>
        <x:v>-0.06386639799999994</x:v>
      </x:c>
      <x:c r="I85" s="14" t="n">
        <x:f>F85/F84-1</x:f>
        <x:v>0.003159071457684126</x:v>
      </x:c>
      <x:c r="J85" s="12" t="n">
        <x:v>0</x:v>
      </x:c>
      <x:c r="K85" s="12" t="n">
        <x:v>0</x:v>
      </x:c>
      <x:c r="L85" s="12" t="n">
        <x:v>0</x:v>
      </x:c>
      <x:c r="M85" s="2" t="str">
        <x:v>持有</x:v>
      </x:c>
    </x:row>
    <x:row r="86" ht="23" customHeight="1">
      <x:c r="A86" s="11" t="d">
        <x:v>2015-04-29T00:00:00.000Z</x:v>
      </x:c>
      <x:c r="B86" s="12" t="n">
        <x:v>155.31084</x:v>
      </x:c>
      <x:c r="C86" s="13" t="n">
        <x:v>440</x:v>
      </x:c>
      <x:c r="D86" s="12" t="n">
        <x:v>92650.8</x:v>
      </x:c>
      <x:c r="E86" s="12" t="n">
        <x:v>424.44936</x:v>
      </x:c>
      <x:c r="F86" s="12" t="n">
        <x:f>SUM(B86,D86:E86)</x:f>
        <x:v>93230.5602</x:v>
      </x:c>
      <x:c r="G86" s="12" t="n">
        <x:f>MAX(G85,F86)</x:f>
        <x:v>100000</x:v>
      </x:c>
      <x:c r="H86" s="14" t="n">
        <x:f>F86/G86-1</x:f>
        <x:v>-0.06769439799999988</x:v>
      </x:c>
      <x:c r="I86" s="14" t="n">
        <x:f>F86/F85-1</x:f>
        <x:v>-0.004089159914590912</x:v>
      </x:c>
      <x:c r="J86" s="12" t="n">
        <x:v>0</x:v>
      </x:c>
      <x:c r="K86" s="12" t="n">
        <x:v>0</x:v>
      </x:c>
      <x:c r="L86" s="12" t="n">
        <x:v>0</x:v>
      </x:c>
      <x:c r="M86" s="2" t="str">
        <x:v>持有</x:v>
      </x:c>
    </x:row>
    <x:row r="87" ht="23" customHeight="1">
      <x:c r="A87" s="11" t="d">
        <x:v>2015-04-30T00:00:00.000Z</x:v>
      </x:c>
      <x:c r="B87" s="12" t="n">
        <x:v>579.7602</x:v>
      </x:c>
      <x:c r="C87" s="13" t="n">
        <x:v>440</x:v>
      </x:c>
      <x:c r="D87" s="12" t="n">
        <x:v>91722.40000000001</x:v>
      </x:c>
      <x:c r="E87" s="12" t="n">
        <x:v>0</x:v>
      </x:c>
      <x:c r="F87" s="12" t="n">
        <x:f>SUM(B87,D87:E87)</x:f>
        <x:v>92302.16020000001</x:v>
      </x:c>
      <x:c r="G87" s="12" t="n">
        <x:f>MAX(G86,F87)</x:f>
        <x:v>100000</x:v>
      </x:c>
      <x:c r="H87" s="14" t="n">
        <x:f>F87/G87-1</x:f>
        <x:v>-0.07697839799999984</x:v>
      </x:c>
      <x:c r="I87" s="14" t="n">
        <x:f>F87/F86-1</x:f>
        <x:v>-0.009958108135447952</x:v>
      </x:c>
      <x:c r="J87" s="12" t="n">
        <x:v>0</x:v>
      </x:c>
      <x:c r="K87" s="12" t="n">
        <x:v>424.44936</x:v>
      </x:c>
      <x:c r="L87" s="12" t="n">
        <x:v>0</x:v>
      </x:c>
      <x:c r="M87" s="2" t="str">
        <x:v>持有</x:v>
      </x:c>
    </x:row>
    <x:row r="88" ht="23" customHeight="1">
      <x:c r="A88" s="11" t="d">
        <x:v>2015-05-01T00:00:00.000Z</x:v>
      </x:c>
      <x:c r="B88" s="12" t="n">
        <x:v>92623.6242</x:v>
      </x:c>
      <x:c r="C88" s="13" t="n">
        <x:v>0</x:v>
      </x:c>
      <x:c r="D88" s="12" t="n">
        <x:v>0</x:v>
      </x:c>
      <x:c r="E88" s="12" t="n">
        <x:v>0</x:v>
      </x:c>
      <x:c r="F88" s="12" t="n">
        <x:f>SUM(B88,D88:E88)</x:f>
        <x:v>92623.6242</x:v>
      </x:c>
      <x:c r="G88" s="12" t="n">
        <x:f>MAX(G87,F88)</x:f>
        <x:v>100000</x:v>
      </x:c>
      <x:c r="H88" s="14" t="n">
        <x:f>F88/G88-1</x:f>
        <x:v>-0.0737637579999999</x:v>
      </x:c>
      <x:c r="I88" s="14" t="n">
        <x:f>F88/F87-1</x:f>
        <x:v>0.0034827353910618086</x:v>
      </x:c>
      <x:c r="J88" s="12" t="n">
        <x:v>0</x:v>
      </x:c>
      <x:c r="K88" s="12" t="n">
        <x:v>0</x:v>
      </x:c>
      <x:c r="L88" s="12" t="n">
        <x:v>-440</x:v>
      </x:c>
      <x:c r="M88" s="2" t="str">
        <x:v>卖出</x:v>
      </x:c>
    </x:row>
    <x:row r="89" ht="23" customHeight="1">
      <x:c r="A89" s="11" t="d">
        <x:v>2015-05-04T00:00:00.000Z</x:v>
      </x:c>
      <x:c r="B89" s="12" t="n">
        <x:v>12.36546</x:v>
      </x:c>
      <x:c r="C89" s="13" t="n">
        <x:v>438</x:v>
      </x:c>
      <x:c r="D89" s="12" t="n">
        <x:v>92558.16</x:v>
      </x:c>
      <x:c r="E89" s="12" t="n">
        <x:v>0</x:v>
      </x:c>
      <x:c r="F89" s="12" t="n">
        <x:f>SUM(B89,D89:E89)</x:f>
        <x:v>92570.52546</x:v>
      </x:c>
      <x:c r="G89" s="12" t="n">
        <x:f>MAX(G88,F89)</x:f>
        <x:v>100000</x:v>
      </x:c>
      <x:c r="H89" s="14" t="n">
        <x:f>F89/G89-1</x:f>
        <x:v>-0.07429474539999992</x:v>
      </x:c>
      <x:c r="I89" s="14" t="n">
        <x:f>F89/F88-1</x:f>
        <x:v>-0.0005732742640834898</x:v>
      </x:c>
      <x:c r="J89" s="12" t="n">
        <x:v>0</x:v>
      </x:c>
      <x:c r="K89" s="12" t="n">
        <x:v>0</x:v>
      </x:c>
      <x:c r="L89" s="12" t="n">
        <x:v>438</x:v>
      </x:c>
      <x:c r="M89" s="2" t="str">
        <x:v>买入</x:v>
      </x:c>
    </x:row>
    <x:row r="90" ht="23" customHeight="1">
      <x:c r="A90" s="11" t="d">
        <x:v>2015-05-05T00:00:00.000Z</x:v>
      </x:c>
      <x:c r="B90" s="12" t="n">
        <x:v>12.36546</x:v>
      </x:c>
      <x:c r="C90" s="13" t="n">
        <x:v>438</x:v>
      </x:c>
      <x:c r="D90" s="12" t="n">
        <x:v>91498.2</x:v>
      </x:c>
      <x:c r="E90" s="12" t="n">
        <x:v>0</x:v>
      </x:c>
      <x:c r="F90" s="12" t="n">
        <x:f>SUM(B90,D90:E90)</x:f>
        <x:v>91510.56546</x:v>
      </x:c>
      <x:c r="G90" s="12" t="n">
        <x:f>MAX(G89,F90)</x:f>
        <x:v>100000</x:v>
      </x:c>
      <x:c r="H90" s="14" t="n">
        <x:f>F90/G90-1</x:f>
        <x:v>-0.08489434540000007</x:v>
      </x:c>
      <x:c r="I90" s="14" t="n">
        <x:f>F90/F89-1</x:f>
        <x:v>-0.011450296892373313</x:v>
      </x:c>
      <x:c r="J90" s="12" t="n">
        <x:v>0</x:v>
      </x:c>
      <x:c r="K90" s="12" t="n">
        <x:v>0</x:v>
      </x:c>
      <x:c r="L90" s="12" t="n">
        <x:v>0</x:v>
      </x:c>
      <x:c r="M90" s="2" t="str">
        <x:v>持有</x:v>
      </x:c>
    </x:row>
    <x:row r="91" ht="23" customHeight="1">
      <x:c r="A91" s="11" t="d">
        <x:v>2015-05-06T00:00:00.000Z</x:v>
      </x:c>
      <x:c r="B91" s="12" t="n">
        <x:v>91707.85818</x:v>
      </x:c>
      <x:c r="C91" s="13" t="n">
        <x:v>0</x:v>
      </x:c>
      <x:c r="D91" s="12" t="n">
        <x:v>0</x:v>
      </x:c>
      <x:c r="E91" s="12" t="n">
        <x:v>0</x:v>
      </x:c>
      <x:c r="F91" s="12" t="n">
        <x:f>SUM(B91,D91:E91)</x:f>
        <x:v>91707.85818</x:v>
      </x:c>
      <x:c r="G91" s="12" t="n">
        <x:f>MAX(G90,F91)</x:f>
        <x:v>100000</x:v>
      </x:c>
      <x:c r="H91" s="14" t="n">
        <x:f>F91/G91-1</x:f>
        <x:v>-0.0829214182000001</x:v>
      </x:c>
      <x:c r="I91" s="14" t="n">
        <x:f>F91/F90-1</x:f>
        <x:v>0.002155955643026175</x:v>
      </x:c>
      <x:c r="J91" s="12" t="n">
        <x:v>0</x:v>
      </x:c>
      <x:c r="K91" s="12" t="n">
        <x:v>0</x:v>
      </x:c>
      <x:c r="L91" s="12" t="n">
        <x:v>-438</x:v>
      </x:c>
      <x:c r="M91" s="2" t="str">
        <x:v>卖出</x:v>
      </x:c>
    </x:row>
    <x:row r="92" ht="23" customHeight="1">
      <x:c r="A92" s="11" t="d">
        <x:v>2015-05-07T00:00:00.000Z</x:v>
      </x:c>
      <x:c r="B92" s="12" t="n">
        <x:v>91707.85818</x:v>
      </x:c>
      <x:c r="C92" s="13" t="n">
        <x:v>0</x:v>
      </x:c>
      <x:c r="D92" s="12" t="n">
        <x:v>0</x:v>
      </x:c>
      <x:c r="E92" s="12" t="n">
        <x:v>0</x:v>
      </x:c>
      <x:c r="F92" s="12" t="n">
        <x:f>SUM(B92,D92:E92)</x:f>
        <x:v>91707.85818</x:v>
      </x:c>
      <x:c r="G92" s="12" t="n">
        <x:f>MAX(G91,F92)</x:f>
        <x:v>100000</x:v>
      </x:c>
      <x:c r="H92" s="14" t="n">
        <x:f>F92/G92-1</x:f>
        <x:v>-0.0829214182000001</x:v>
      </x:c>
      <x:c r="I92" s="14" t="n">
        <x:f>F92/F91-1</x:f>
        <x:v>0</x:v>
      </x:c>
      <x:c r="J92" s="12" t="n">
        <x:v>0</x:v>
      </x:c>
      <x:c r="K92" s="12" t="n">
        <x:v>0</x:v>
      </x:c>
      <x:c r="L92" s="12" t="n">
        <x:v>0</x:v>
      </x:c>
      <x:c r="M92" s="2" t="str">
        <x:v>空仓</x:v>
      </x:c>
    </x:row>
    <x:row r="93" ht="23" customHeight="1">
      <x:c r="A93" s="11" t="d">
        <x:v>2015-05-08T00:00:00.000Z</x:v>
      </x:c>
      <x:c r="B93" s="12" t="n">
        <x:v>91707.85818</x:v>
      </x:c>
      <x:c r="C93" s="13" t="n">
        <x:v>0</x:v>
      </x:c>
      <x:c r="D93" s="12" t="n">
        <x:v>0</x:v>
      </x:c>
      <x:c r="E93" s="12" t="n">
        <x:v>0</x:v>
      </x:c>
      <x:c r="F93" s="12" t="n">
        <x:f>SUM(B93,D93:E93)</x:f>
        <x:v>91707.85818</x:v>
      </x:c>
      <x:c r="G93" s="12" t="n">
        <x:f>MAX(G92,F93)</x:f>
        <x:v>100000</x:v>
      </x:c>
      <x:c r="H93" s="14" t="n">
        <x:f>F93/G93-1</x:f>
        <x:v>-0.0829214182000001</x:v>
      </x:c>
      <x:c r="I93" s="14" t="n">
        <x:f>F93/F92-1</x:f>
        <x:v>0</x:v>
      </x:c>
      <x:c r="J93" s="12" t="n">
        <x:v>0</x:v>
      </x:c>
      <x:c r="K93" s="12" t="n">
        <x:v>0</x:v>
      </x:c>
      <x:c r="L93" s="12" t="n">
        <x:v>0</x:v>
      </x:c>
      <x:c r="M93" s="2" t="str">
        <x:v>空仓</x:v>
      </x:c>
    </x:row>
    <x:row r="94" ht="23" customHeight="1">
      <x:c r="A94" s="11" t="d">
        <x:v>2015-05-11T00:00:00.000Z</x:v>
      </x:c>
      <x:c r="B94" s="12" t="n">
        <x:v>6.43837</x:v>
      </x:c>
      <x:c r="C94" s="13" t="n">
        <x:v>433</x:v>
      </x:c>
      <x:c r="D94" s="12" t="n">
        <x:v>91194.13</x:v>
      </x:c>
      <x:c r="E94" s="12" t="n">
        <x:v>0</x:v>
      </x:c>
      <x:c r="F94" s="12" t="n">
        <x:f>SUM(B94,D94:E94)</x:f>
        <x:v>91200.56837000001</x:v>
      </x:c>
      <x:c r="G94" s="12" t="n">
        <x:f>MAX(G93,F94)</x:f>
        <x:v>100000</x:v>
      </x:c>
      <x:c r="H94" s="14" t="n">
        <x:f>F94/G94-1</x:f>
        <x:v>-0.08799431629999988</x:v>
      </x:c>
      <x:c r="I94" s="14" t="n">
        <x:f>F94/F93-1</x:f>
        <x:v>-0.005531584970660863</x:v>
      </x:c>
      <x:c r="J94" s="12" t="n">
        <x:v>0</x:v>
      </x:c>
      <x:c r="K94" s="12" t="n">
        <x:v>0</x:v>
      </x:c>
      <x:c r="L94" s="12" t="n">
        <x:v>433</x:v>
      </x:c>
      <x:c r="M94" s="2" t="str">
        <x:v>买入</x:v>
      </x:c>
    </x:row>
    <x:row r="95" ht="23" customHeight="1">
      <x:c r="A95" s="11" t="d">
        <x:v>2015-05-12T00:00:00.000Z</x:v>
      </x:c>
      <x:c r="B95" s="12" t="n">
        <x:v>6.43837</x:v>
      </x:c>
      <x:c r="C95" s="13" t="n">
        <x:v>433</x:v>
      </x:c>
      <x:c r="D95" s="12" t="n">
        <x:v>90921.34</x:v>
      </x:c>
      <x:c r="E95" s="12" t="n">
        <x:v>0</x:v>
      </x:c>
      <x:c r="F95" s="12" t="n">
        <x:f>SUM(B95,D95:E95)</x:f>
        <x:v>90927.77837</x:v>
      </x:c>
      <x:c r="G95" s="12" t="n">
        <x:f>MAX(G94,F95)</x:f>
        <x:v>100000</x:v>
      </x:c>
      <x:c r="H95" s="14" t="n">
        <x:f>F95/G95-1</x:f>
        <x:v>-0.09072221629999999</x:v>
      </x:c>
      <x:c r="I95" s="14" t="n">
        <x:f>F95/F94-1</x:f>
        <x:v>-0.002991099780138451</x:v>
      </x:c>
      <x:c r="J95" s="12" t="n">
        <x:v>0</x:v>
      </x:c>
      <x:c r="K95" s="12" t="n">
        <x:v>0</x:v>
      </x:c>
      <x:c r="L95" s="12" t="n">
        <x:v>0</x:v>
      </x:c>
      <x:c r="M95" s="2" t="str">
        <x:v>持有</x:v>
      </x:c>
    </x:row>
    <x:row r="96" ht="23" customHeight="1">
      <x:c r="A96" s="11" t="d">
        <x:v>2015-05-13T00:00:00.000Z</x:v>
      </x:c>
      <x:c r="B96" s="12" t="n">
        <x:v>6.43837</x:v>
      </x:c>
      <x:c r="C96" s="13" t="n">
        <x:v>433</x:v>
      </x:c>
      <x:c r="D96" s="12" t="n">
        <x:v>90938.66</x:v>
      </x:c>
      <x:c r="E96" s="12" t="n">
        <x:v>0</x:v>
      </x:c>
      <x:c r="F96" s="12" t="n">
        <x:f>SUM(B96,D96:E96)</x:f>
        <x:v>90945.09837</x:v>
      </x:c>
      <x:c r="G96" s="12" t="n">
        <x:f>MAX(G95,F96)</x:f>
        <x:v>100000</x:v>
      </x:c>
      <x:c r="H96" s="14" t="n">
        <x:f>F96/G96-1</x:f>
        <x:v>-0.0905490162999999</x:v>
      </x:c>
      <x:c r="I96" s="14" t="n">
        <x:f>F96/F95-1</x:f>
        <x:v>0.0001904808443633499</x:v>
      </x:c>
      <x:c r="J96" s="12" t="n">
        <x:v>0</x:v>
      </x:c>
      <x:c r="K96" s="12" t="n">
        <x:v>0</x:v>
      </x:c>
      <x:c r="L96" s="12" t="n">
        <x:v>0</x:v>
      </x:c>
      <x:c r="M96" s="2" t="str">
        <x:v>持有</x:v>
      </x:c>
    </x:row>
    <x:row r="97" ht="23" customHeight="1">
      <x:c r="A97" s="11" t="d">
        <x:v>2015-05-14T00:00:00.000Z</x:v>
      </x:c>
      <x:c r="B97" s="12" t="n">
        <x:v>6.43837</x:v>
      </x:c>
      <x:c r="C97" s="13" t="n">
        <x:v>433</x:v>
      </x:c>
      <x:c r="D97" s="12" t="n">
        <x:v>91886.93000000001</x:v>
      </x:c>
      <x:c r="E97" s="12" t="n">
        <x:v>0</x:v>
      </x:c>
      <x:c r="F97" s="12" t="n">
        <x:f>SUM(B97,D97:E97)</x:f>
        <x:v>91893.36837000001</x:v>
      </x:c>
      <x:c r="G97" s="12" t="n">
        <x:f>MAX(G96,F97)</x:f>
        <x:v>100000</x:v>
      </x:c>
      <x:c r="H97" s="14" t="n">
        <x:f>F97/G97-1</x:f>
        <x:v>-0.08106631629999994</x:v>
      </x:c>
      <x:c r="I97" s="14" t="n">
        <x:f>F97/F96-1</x:f>
        <x:v>0.010426840115583591</x:v>
      </x:c>
      <x:c r="J97" s="12" t="n">
        <x:v>0</x:v>
      </x:c>
      <x:c r="K97" s="12" t="n">
        <x:v>0</x:v>
      </x:c>
      <x:c r="L97" s="12" t="n">
        <x:v>0</x:v>
      </x:c>
      <x:c r="M97" s="2" t="str">
        <x:v>持有</x:v>
      </x:c>
    </x:row>
    <x:row r="98" ht="23" customHeight="1">
      <x:c r="A98" s="11" t="d">
        <x:v>2015-05-15T00:00:00.000Z</x:v>
      </x:c>
      <x:c r="B98" s="12" t="n">
        <x:v>6.43837</x:v>
      </x:c>
      <x:c r="C98" s="13" t="n">
        <x:v>433</x:v>
      </x:c>
      <x:c r="D98" s="12" t="n">
        <x:v>91986.52</x:v>
      </x:c>
      <x:c r="E98" s="12" t="n">
        <x:v>0</x:v>
      </x:c>
      <x:c r="F98" s="12" t="n">
        <x:f>SUM(B98,D98:E98)</x:f>
        <x:v>91992.95837000001</x:v>
      </x:c>
      <x:c r="G98" s="12" t="n">
        <x:f>MAX(G97,F98)</x:f>
        <x:v>100000</x:v>
      </x:c>
      <x:c r="H98" s="14" t="n">
        <x:f>F98/G98-1</x:f>
        <x:v>-0.08007041629999989</x:v>
      </x:c>
      <x:c r="I98" s="14" t="n">
        <x:f>F98/F97-1</x:f>
        <x:v>0.0010837561160996767</x:v>
      </x:c>
      <x:c r="J98" s="12" t="n">
        <x:v>0</x:v>
      </x:c>
      <x:c r="K98" s="12" t="n">
        <x:v>0</x:v>
      </x:c>
      <x:c r="L98" s="12" t="n">
        <x:v>0</x:v>
      </x:c>
      <x:c r="M98" s="2" t="str">
        <x:v>持有</x:v>
      </x:c>
    </x:row>
    <x:row r="99" ht="23" customHeight="1">
      <x:c r="A99" s="11" t="d">
        <x:v>2015-05-18T00:00:00.000Z</x:v>
      </x:c>
      <x:c r="B99" s="12" t="n">
        <x:v>6.43837</x:v>
      </x:c>
      <x:c r="C99" s="13" t="n">
        <x:v>433</x:v>
      </x:c>
      <x:c r="D99" s="12" t="n">
        <x:v>92272.3</x:v>
      </x:c>
      <x:c r="E99" s="12" t="n">
        <x:v>0</x:v>
      </x:c>
      <x:c r="F99" s="12" t="n">
        <x:f>SUM(B99,D99:E99)</x:f>
        <x:v>92278.73837</x:v>
      </x:c>
      <x:c r="G99" s="12" t="n">
        <x:f>MAX(G98,F99)</x:f>
        <x:v>100000</x:v>
      </x:c>
      <x:c r="H99" s="14" t="n">
        <x:f>F99/G99-1</x:f>
        <x:v>-0.07721261629999998</x:v>
      </x:c>
      <x:c r="I99" s="14" t="n">
        <x:f>F99/F98-1</x:f>
        <x:v>0.0031065421208715804</x:v>
      </x:c>
      <x:c r="J99" s="12" t="n">
        <x:v>0</x:v>
      </x:c>
      <x:c r="K99" s="12" t="n">
        <x:v>0</x:v>
      </x:c>
      <x:c r="L99" s="12" t="n">
        <x:v>0</x:v>
      </x:c>
      <x:c r="M99" s="2" t="str">
        <x:v>持有</x:v>
      </x:c>
    </x:row>
    <x:row r="100" ht="23" customHeight="1">
      <x:c r="A100" s="11" t="d">
        <x:v>2015-05-19T00:00:00.000Z</x:v>
      </x:c>
      <x:c r="B100" s="12" t="n">
        <x:v>6.43837</x:v>
      </x:c>
      <x:c r="C100" s="13" t="n">
        <x:v>433</x:v>
      </x:c>
      <x:c r="D100" s="12" t="n">
        <x:v>92241.99</x:v>
      </x:c>
      <x:c r="E100" s="12" t="n">
        <x:v>0</x:v>
      </x:c>
      <x:c r="F100" s="12" t="n">
        <x:f>SUM(B100,D100:E100)</x:f>
        <x:v>92248.42837000001</x:v>
      </x:c>
      <x:c r="G100" s="12" t="n">
        <x:f>MAX(G99,F100)</x:f>
        <x:v>100000</x:v>
      </x:c>
      <x:c r="H100" s="14" t="n">
        <x:f>F100/G100-1</x:f>
        <x:v>-0.07751571629999987</x:v>
      </x:c>
      <x:c r="I100" s="14" t="n">
        <x:f>F100/F99-1</x:f>
        <x:v>-0.00032846136103925616</x:v>
      </x:c>
      <x:c r="J100" s="12" t="n">
        <x:v>0</x:v>
      </x:c>
      <x:c r="K100" s="12" t="n">
        <x:v>0</x:v>
      </x:c>
      <x:c r="L100" s="12" t="n">
        <x:v>0</x:v>
      </x:c>
      <x:c r="M100" s="2" t="str">
        <x:v>持有</x:v>
      </x:c>
    </x:row>
    <x:row r="101" ht="23" customHeight="1">
      <x:c r="A101" s="11" t="d">
        <x:v>2015-05-20T00:00:00.000Z</x:v>
      </x:c>
      <x:c r="B101" s="12" t="n">
        <x:v>6.43837</x:v>
      </x:c>
      <x:c r="C101" s="13" t="n">
        <x:v>433</x:v>
      </x:c>
      <x:c r="D101" s="12" t="n">
        <x:v>92177.04</x:v>
      </x:c>
      <x:c r="E101" s="12" t="n">
        <x:v>0</x:v>
      </x:c>
      <x:c r="F101" s="12" t="n">
        <x:f>SUM(B101,D101:E101)</x:f>
        <x:v>92183.47837</x:v>
      </x:c>
      <x:c r="G101" s="12" t="n">
        <x:f>MAX(G100,F101)</x:f>
        <x:v>100000</x:v>
      </x:c>
      <x:c r="H101" s="14" t="n">
        <x:f>F101/G101-1</x:f>
        <x:v>-0.07816521630000006</x:v>
      </x:c>
      <x:c r="I101" s="14" t="n">
        <x:f>F101/F100-1</x:f>
        <x:v>-0.0007040770357572557</x:v>
      </x:c>
      <x:c r="J101" s="12" t="n">
        <x:v>0</x:v>
      </x:c>
      <x:c r="K101" s="12" t="n">
        <x:v>0</x:v>
      </x:c>
      <x:c r="L101" s="12" t="n">
        <x:v>0</x:v>
      </x:c>
      <x:c r="M101" s="2" t="str">
        <x:v>持有</x:v>
      </x:c>
    </x:row>
    <x:row r="102" ht="23" customHeight="1">
      <x:c r="A102" s="11" t="d">
        <x:v>2015-05-21T00:00:00.000Z</x:v>
      </x:c>
      <x:c r="B102" s="12" t="n">
        <x:v>6.43837</x:v>
      </x:c>
      <x:c r="C102" s="13" t="n">
        <x:v>433</x:v>
      </x:c>
      <x:c r="D102" s="12" t="n">
        <x:v>92445.5</x:v>
      </x:c>
      <x:c r="E102" s="12" t="n">
        <x:v>0</x:v>
      </x:c>
      <x:c r="F102" s="12" t="n">
        <x:f>SUM(B102,D102:E102)</x:f>
        <x:v>92451.93837</x:v>
      </x:c>
      <x:c r="G102" s="12" t="n">
        <x:f>MAX(G101,F102)</x:f>
        <x:v>100000</x:v>
      </x:c>
      <x:c r="H102" s="14" t="n">
        <x:f>F102/G102-1</x:f>
        <x:v>-0.07548061629999991</x:v>
      </x:c>
      <x:c r="I102" s="14" t="n">
        <x:f>F102/F101-1</x:f>
        <x:v>0.0029122355192812144</x:v>
      </x:c>
      <x:c r="J102" s="12" t="n">
        <x:v>0</x:v>
      </x:c>
      <x:c r="K102" s="12" t="n">
        <x:v>0</x:v>
      </x:c>
      <x:c r="L102" s="12" t="n">
        <x:v>0</x:v>
      </x:c>
      <x:c r="M102" s="2" t="str">
        <x:v>持有</x:v>
      </x:c>
    </x:row>
    <x:row r="103" ht="23" customHeight="1">
      <x:c r="A103" s="11" t="d">
        <x:v>2015-05-22T00:00:00.000Z</x:v>
      </x:c>
      <x:c r="B103" s="12" t="n">
        <x:v>6.43837</x:v>
      </x:c>
      <x:c r="C103" s="13" t="n">
        <x:v>433</x:v>
      </x:c>
      <x:c r="D103" s="12" t="n">
        <x:v>92224.67</x:v>
      </x:c>
      <x:c r="E103" s="12" t="n">
        <x:v>0</x:v>
      </x:c>
      <x:c r="F103" s="12" t="n">
        <x:f>SUM(B103,D103:E103)</x:f>
        <x:v>92231.10837</x:v>
      </x:c>
      <x:c r="G103" s="12" t="n">
        <x:f>MAX(G102,F103)</x:f>
        <x:v>100000</x:v>
      </x:c>
      <x:c r="H103" s="14" t="n">
        <x:f>F103/G103-1</x:f>
        <x:v>-0.07768891629999997</x:v>
      </x:c>
      <x:c r="I103" s="14" t="n">
        <x:f>F103/F102-1</x:f>
        <x:v>-0.0023885924286002336</x:v>
      </x:c>
      <x:c r="J103" s="12" t="n">
        <x:v>0</x:v>
      </x:c>
      <x:c r="K103" s="12" t="n">
        <x:v>0</x:v>
      </x:c>
      <x:c r="L103" s="12" t="n">
        <x:v>0</x:v>
      </x:c>
      <x:c r="M103" s="2" t="str">
        <x:v>持有</x:v>
      </x:c>
    </x:row>
    <x:row r="104" ht="23" customHeight="1">
      <x:c r="A104" s="11" t="d">
        <x:v>2015-05-26T00:00:00.000Z</x:v>
      </x:c>
      <x:c r="B104" s="12" t="n">
        <x:v>6.43837</x:v>
      </x:c>
      <x:c r="C104" s="13" t="n">
        <x:v>433</x:v>
      </x:c>
      <x:c r="D104" s="12" t="n">
        <x:v>91233.09999999999</x:v>
      </x:c>
      <x:c r="E104" s="12" t="n">
        <x:v>0</x:v>
      </x:c>
      <x:c r="F104" s="12" t="n">
        <x:f>SUM(B104,D104:E104)</x:f>
        <x:v>91239.53837</x:v>
      </x:c>
      <x:c r="G104" s="12" t="n">
        <x:f>MAX(G103,F104)</x:f>
        <x:v>100000</x:v>
      </x:c>
      <x:c r="H104" s="14" t="n">
        <x:f>F104/G104-1</x:f>
        <x:v>-0.08760461630000005</x:v>
      </x:c>
      <x:c r="I104" s="14" t="n">
        <x:f>F104/F103-1</x:f>
        <x:v>-0.010750927940952004</x:v>
      </x:c>
      <x:c r="J104" s="12" t="n">
        <x:v>0</x:v>
      </x:c>
      <x:c r="K104" s="12" t="n">
        <x:v>0</x:v>
      </x:c>
      <x:c r="L104" s="12" t="n">
        <x:v>0</x:v>
      </x:c>
      <x:c r="M104" s="2" t="str">
        <x:v>持有</x:v>
      </x:c>
    </x:row>
    <x:row r="105" ht="23" customHeight="1">
      <x:c r="A105" s="11" t="d">
        <x:v>2015-05-27T00:00:00.000Z</x:v>
      </x:c>
      <x:c r="B105" s="12" t="n">
        <x:v>6.43837</x:v>
      </x:c>
      <x:c r="C105" s="13" t="n">
        <x:v>433</x:v>
      </x:c>
      <x:c r="D105" s="12" t="n">
        <x:v>92099.09999999999</x:v>
      </x:c>
      <x:c r="E105" s="12" t="n">
        <x:v>0</x:v>
      </x:c>
      <x:c r="F105" s="12" t="n">
        <x:f>SUM(B105,D105:E105)</x:f>
        <x:v>92105.53837</x:v>
      </x:c>
      <x:c r="G105" s="12" t="n">
        <x:f>MAX(G104,F105)</x:f>
        <x:v>100000</x:v>
      </x:c>
      <x:c r="H105" s="14" t="n">
        <x:f>F105/G105-1</x:f>
        <x:v>-0.07894461630000005</x:v>
      </x:c>
      <x:c r="I105" s="14" t="n">
        <x:f>F105/F104-1</x:f>
        <x:v>0.009491499140297455</x:v>
      </x:c>
      <x:c r="J105" s="12" t="n">
        <x:v>0</x:v>
      </x:c>
      <x:c r="K105" s="12" t="n">
        <x:v>0</x:v>
      </x:c>
      <x:c r="L105" s="12" t="n">
        <x:v>0</x:v>
      </x:c>
      <x:c r="M105" s="2" t="str">
        <x:v>持有</x:v>
      </x:c>
    </x:row>
    <x:row r="106" ht="23" customHeight="1">
      <x:c r="A106" s="11" t="d">
        <x:v>2015-05-28T00:00:00.000Z</x:v>
      </x:c>
      <x:c r="B106" s="12" t="n">
        <x:v>6.43837</x:v>
      </x:c>
      <x:c r="C106" s="13" t="n">
        <x:v>433</x:v>
      </x:c>
      <x:c r="D106" s="12" t="n">
        <x:v>91995.18000000001</x:v>
      </x:c>
      <x:c r="E106" s="12" t="n">
        <x:v>0</x:v>
      </x:c>
      <x:c r="F106" s="12" t="n">
        <x:f>SUM(B106,D106:E106)</x:f>
        <x:v>92001.61837000001</x:v>
      </x:c>
      <x:c r="G106" s="12" t="n">
        <x:f>MAX(G105,F106)</x:f>
        <x:v>100000</x:v>
      </x:c>
      <x:c r="H106" s="14" t="n">
        <x:f>F106/G106-1</x:f>
        <x:v>-0.07998381629999984</x:v>
      </x:c>
      <x:c r="I106" s="14" t="n">
        <x:f>F106/F105-1</x:f>
        <x:v>-0.0011282709144212477</x:v>
      </x:c>
      <x:c r="J106" s="12" t="n">
        <x:v>0</x:v>
      </x:c>
      <x:c r="K106" s="12" t="n">
        <x:v>0</x:v>
      </x:c>
      <x:c r="L106" s="12" t="n">
        <x:v>0</x:v>
      </x:c>
      <x:c r="M106" s="2" t="str">
        <x:v>持有</x:v>
      </x:c>
    </x:row>
    <x:row r="107" ht="23" customHeight="1">
      <x:c r="A107" s="11" t="d">
        <x:v>2015-05-29T00:00:00.000Z</x:v>
      </x:c>
      <x:c r="B107" s="12" t="n">
        <x:v>6.43837</x:v>
      </x:c>
      <x:c r="C107" s="13" t="n">
        <x:v>433</x:v>
      </x:c>
      <x:c r="D107" s="12" t="n">
        <x:v>91423.62</x:v>
      </x:c>
      <x:c r="E107" s="12" t="n">
        <x:v>0</x:v>
      </x:c>
      <x:c r="F107" s="12" t="n">
        <x:f>SUM(B107,D107:E107)</x:f>
        <x:v>91430.05837</x:v>
      </x:c>
      <x:c r="G107" s="12" t="n">
        <x:f>MAX(G106,F107)</x:f>
        <x:v>100000</x:v>
      </x:c>
      <x:c r="H107" s="14" t="n">
        <x:f>F107/G107-1</x:f>
        <x:v>-0.0856994163</x:v>
      </x:c>
      <x:c r="I107" s="14" t="n">
        <x:f>F107/F106-1</x:f>
        <x:v>-0.006212499411710204</x:v>
      </x:c>
      <x:c r="J107" s="12" t="n">
        <x:v>0</x:v>
      </x:c>
      <x:c r="K107" s="12" t="n">
        <x:v>0</x:v>
      </x:c>
      <x:c r="L107" s="12" t="n">
        <x:v>0</x:v>
      </x:c>
      <x:c r="M107" s="2" t="str">
        <x:v>持有</x:v>
      </x:c>
    </x:row>
    <x:row r="108" ht="23" customHeight="1">
      <x:c r="A108" s="11" t="d">
        <x:v>2015-06-01T00:00:00.000Z</x:v>
      </x:c>
      <x:c r="B108" s="12" t="n">
        <x:v>6.43837</x:v>
      </x:c>
      <x:c r="C108" s="13" t="n">
        <x:v>433</x:v>
      </x:c>
      <x:c r="D108" s="12" t="n">
        <x:v>91609.81</x:v>
      </x:c>
      <x:c r="E108" s="12" t="n">
        <x:v>0</x:v>
      </x:c>
      <x:c r="F108" s="12" t="n">
        <x:f>SUM(B108,D108:E108)</x:f>
        <x:v>91616.24837</x:v>
      </x:c>
      <x:c r="G108" s="12" t="n">
        <x:f>MAX(G107,F108)</x:f>
        <x:v>100000</x:v>
      </x:c>
      <x:c r="H108" s="14" t="n">
        <x:f>F108/G108-1</x:f>
        <x:v>-0.08383751630000003</x:v>
      </x:c>
      <x:c r="I108" s="14" t="n">
        <x:f>F108/F107-1</x:f>
        <x:v>0.0020364200058422544</x:v>
      </x:c>
      <x:c r="J108" s="12" t="n">
        <x:v>0</x:v>
      </x:c>
      <x:c r="K108" s="12" t="n">
        <x:v>0</x:v>
      </x:c>
      <x:c r="L108" s="12" t="n">
        <x:v>0</x:v>
      </x:c>
      <x:c r="M108" s="2" t="str">
        <x:v>持有</x:v>
      </x:c>
    </x:row>
    <x:row r="109" ht="23" customHeight="1">
      <x:c r="A109" s="11" t="d">
        <x:v>2015-06-02T00:00:00.000Z</x:v>
      </x:c>
      <x:c r="B109" s="12" t="n">
        <x:v>6.43837</x:v>
      </x:c>
      <x:c r="C109" s="13" t="n">
        <x:v>433</x:v>
      </x:c>
      <x:c r="D109" s="12" t="n">
        <x:v>91518.88</x:v>
      </x:c>
      <x:c r="E109" s="12" t="n">
        <x:v>0</x:v>
      </x:c>
      <x:c r="F109" s="12" t="n">
        <x:f>SUM(B109,D109:E109)</x:f>
        <x:v>91525.31837000001</x:v>
      </x:c>
      <x:c r="G109" s="12" t="n">
        <x:f>MAX(G108,F109)</x:f>
        <x:v>100000</x:v>
      </x:c>
      <x:c r="H109" s="14" t="n">
        <x:f>F109/G109-1</x:f>
        <x:v>-0.08474681629999992</x:v>
      </x:c>
      <x:c r="I109" s="14" t="n">
        <x:f>F109/F108-1</x:f>
        <x:v>-0.000992509534256003</x:v>
      </x:c>
      <x:c r="J109" s="12" t="n">
        <x:v>0</x:v>
      </x:c>
      <x:c r="K109" s="12" t="n">
        <x:v>0</x:v>
      </x:c>
      <x:c r="L109" s="12" t="n">
        <x:v>0</x:v>
      </x:c>
      <x:c r="M109" s="2" t="str">
        <x:v>持有</x:v>
      </x:c>
    </x:row>
    <x:row r="110" ht="23" customHeight="1">
      <x:c r="A110" s="11" t="d">
        <x:v>2015-06-03T00:00:00.000Z</x:v>
      </x:c>
      <x:c r="B110" s="12" t="n">
        <x:v>6.43837</x:v>
      </x:c>
      <x:c r="C110" s="13" t="n">
        <x:v>433</x:v>
      </x:c>
      <x:c r="D110" s="12" t="n">
        <x:v>91761.36</x:v>
      </x:c>
      <x:c r="E110" s="12" t="n">
        <x:v>0</x:v>
      </x:c>
      <x:c r="F110" s="12" t="n">
        <x:f>SUM(B110,D110:E110)</x:f>
        <x:v>91767.79837</x:v>
      </x:c>
      <x:c r="G110" s="12" t="n">
        <x:f>MAX(G109,F110)</x:f>
        <x:v>100000</x:v>
      </x:c>
      <x:c r="H110" s="14" t="n">
        <x:f>F110/G110-1</x:f>
        <x:v>-0.08232201629999991</x:v>
      </x:c>
      <x:c r="I110" s="14" t="n">
        <x:f>F110/F109-1</x:f>
        <x:v>0.0026493215682654725</x:v>
      </x:c>
      <x:c r="J110" s="12" t="n">
        <x:v>0</x:v>
      </x:c>
      <x:c r="K110" s="12" t="n">
        <x:v>0</x:v>
      </x:c>
      <x:c r="L110" s="12" t="n">
        <x:v>0</x:v>
      </x:c>
      <x:c r="M110" s="2" t="str">
        <x:v>持有</x:v>
      </x:c>
    </x:row>
    <x:row r="111" ht="23" customHeight="1">
      <x:c r="A111" s="11" t="d">
        <x:v>2015-06-04T00:00:00.000Z</x:v>
      </x:c>
      <x:c r="B111" s="12" t="n">
        <x:v>6.43837</x:v>
      </x:c>
      <x:c r="C111" s="13" t="n">
        <x:v>433</x:v>
      </x:c>
      <x:c r="D111" s="12" t="n">
        <x:v>90986.29</x:v>
      </x:c>
      <x:c r="E111" s="12" t="n">
        <x:v>0</x:v>
      </x:c>
      <x:c r="F111" s="12" t="n">
        <x:f>SUM(B111,D111:E111)</x:f>
        <x:v>90992.72837</x:v>
      </x:c>
      <x:c r="G111" s="12" t="n">
        <x:f>MAX(G110,F111)</x:f>
        <x:v>100000</x:v>
      </x:c>
      <x:c r="H111" s="14" t="n">
        <x:f>F111/G111-1</x:f>
        <x:v>-0.09007271630000002</x:v>
      </x:c>
      <x:c r="I111" s="14" t="n">
        <x:f>F111/F110-1</x:f>
        <x:v>-0.008445991009558562</x:v>
      </x:c>
      <x:c r="J111" s="12" t="n">
        <x:v>0</x:v>
      </x:c>
      <x:c r="K111" s="12" t="n">
        <x:v>0</x:v>
      </x:c>
      <x:c r="L111" s="12" t="n">
        <x:v>0</x:v>
      </x:c>
      <x:c r="M111" s="2" t="str">
        <x:v>持有</x:v>
      </x:c>
    </x:row>
    <x:row r="112" ht="23" customHeight="1">
      <x:c r="A112" s="11" t="d">
        <x:v>2015-06-05T00:00:00.000Z</x:v>
      </x:c>
      <x:c r="B112" s="12" t="n">
        <x:v>6.43837</x:v>
      </x:c>
      <x:c r="C112" s="13" t="n">
        <x:v>433</x:v>
      </x:c>
      <x:c r="D112" s="12" t="n">
        <x:v>90830.41</x:v>
      </x:c>
      <x:c r="E112" s="12" t="n">
        <x:v>0</x:v>
      </x:c>
      <x:c r="F112" s="12" t="n">
        <x:f>SUM(B112,D112:E112)</x:f>
        <x:v>90836.84837</x:v>
      </x:c>
      <x:c r="G112" s="12" t="n">
        <x:f>MAX(G111,F112)</x:f>
        <x:v>100000</x:v>
      </x:c>
      <x:c r="H112" s="14" t="n">
        <x:f>F112/G112-1</x:f>
        <x:v>-0.09163151629999988</x:v>
      </x:c>
      <x:c r="I112" s="14" t="n">
        <x:f>F112/F111-1</x:f>
        <x:v>-0.001713103923712933</x:v>
      </x:c>
      <x:c r="J112" s="12" t="n">
        <x:v>0</x:v>
      </x:c>
      <x:c r="K112" s="12" t="n">
        <x:v>0</x:v>
      </x:c>
      <x:c r="L112" s="12" t="n">
        <x:v>0</x:v>
      </x:c>
      <x:c r="M112" s="2" t="str">
        <x:v>持有</x:v>
      </x:c>
    </x:row>
    <x:row r="113" ht="23" customHeight="1">
      <x:c r="A113" s="11" t="d">
        <x:v>2015-06-08T00:00:00.000Z</x:v>
      </x:c>
      <x:c r="B113" s="12" t="n">
        <x:v>90689.78425</x:v>
      </x:c>
      <x:c r="C113" s="13" t="n">
        <x:v>0</x:v>
      </x:c>
      <x:c r="D113" s="12" t="n">
        <x:v>0</x:v>
      </x:c>
      <x:c r="E113" s="12" t="n">
        <x:v>0</x:v>
      </x:c>
      <x:c r="F113" s="12" t="n">
        <x:f>SUM(B113,D113:E113)</x:f>
        <x:v>90689.78425</x:v>
      </x:c>
      <x:c r="G113" s="12" t="n">
        <x:f>MAX(G112,F113)</x:f>
        <x:v>100000</x:v>
      </x:c>
      <x:c r="H113" s="14" t="n">
        <x:f>F113/G113-1</x:f>
        <x:v>-0.09310215750000006</x:v>
      </x:c>
      <x:c r="I113" s="14" t="n">
        <x:f>F113/F112-1</x:f>
        <x:v>-0.0016189918809268455</x:v>
      </x:c>
      <x:c r="J113" s="12" t="n">
        <x:v>0</x:v>
      </x:c>
      <x:c r="K113" s="12" t="n">
        <x:v>0</x:v>
      </x:c>
      <x:c r="L113" s="12" t="n">
        <x:v>-433</x:v>
      </x:c>
      <x:c r="M113" s="2" t="str">
        <x:v>卖出</x:v>
      </x:c>
    </x:row>
    <x:row r="114" ht="23" customHeight="1">
      <x:c r="A114" s="11" t="d">
        <x:v>2015-06-09T00:00:00.000Z</x:v>
      </x:c>
      <x:c r="B114" s="12" t="n">
        <x:v>90689.78425</x:v>
      </x:c>
      <x:c r="C114" s="13" t="n">
        <x:v>0</x:v>
      </x:c>
      <x:c r="D114" s="12" t="n">
        <x:v>0</x:v>
      </x:c>
      <x:c r="E114" s="12" t="n">
        <x:v>0</x:v>
      </x:c>
      <x:c r="F114" s="12" t="n">
        <x:f>SUM(B114,D114:E114)</x:f>
        <x:v>90689.78425</x:v>
      </x:c>
      <x:c r="G114" s="12" t="n">
        <x:f>MAX(G113,F114)</x:f>
        <x:v>100000</x:v>
      </x:c>
      <x:c r="H114" s="14" t="n">
        <x:f>F114/G114-1</x:f>
        <x:v>-0.09310215750000006</x:v>
      </x:c>
      <x:c r="I114" s="14" t="n">
        <x:f>F114/F113-1</x:f>
        <x:v>0</x:v>
      </x:c>
      <x:c r="J114" s="12" t="n">
        <x:v>0</x:v>
      </x:c>
      <x:c r="K114" s="12" t="n">
        <x:v>0</x:v>
      </x:c>
      <x:c r="L114" s="12" t="n">
        <x:v>0</x:v>
      </x:c>
      <x:c r="M114" s="2" t="str">
        <x:v>空仓</x:v>
      </x:c>
    </x:row>
    <x:row r="115" ht="23" customHeight="1">
      <x:c r="A115" s="11" t="d">
        <x:v>2015-06-10T00:00:00.000Z</x:v>
      </x:c>
      <x:c r="B115" s="12" t="n">
        <x:v>90689.78425</x:v>
      </x:c>
      <x:c r="C115" s="13" t="n">
        <x:v>0</x:v>
      </x:c>
      <x:c r="D115" s="12" t="n">
        <x:v>0</x:v>
      </x:c>
      <x:c r="E115" s="12" t="n">
        <x:v>0</x:v>
      </x:c>
      <x:c r="F115" s="12" t="n">
        <x:f>SUM(B115,D115:E115)</x:f>
        <x:v>90689.78425</x:v>
      </x:c>
      <x:c r="G115" s="12" t="n">
        <x:f>MAX(G114,F115)</x:f>
        <x:v>100000</x:v>
      </x:c>
      <x:c r="H115" s="14" t="n">
        <x:f>F115/G115-1</x:f>
        <x:v>-0.09310215750000006</x:v>
      </x:c>
      <x:c r="I115" s="14" t="n">
        <x:f>F115/F114-1</x:f>
        <x:v>0</x:v>
      </x:c>
      <x:c r="J115" s="12" t="n">
        <x:v>0</x:v>
      </x:c>
      <x:c r="K115" s="12" t="n">
        <x:v>0</x:v>
      </x:c>
      <x:c r="L115" s="12" t="n">
        <x:v>0</x:v>
      </x:c>
      <x:c r="M115" s="2" t="str">
        <x:v>空仓</x:v>
      </x:c>
    </x:row>
    <x:row r="116" ht="23" customHeight="1">
      <x:c r="A116" s="11" t="d">
        <x:v>2015-06-11T00:00:00.000Z</x:v>
      </x:c>
      <x:c r="B116" s="12" t="n">
        <x:v>85.83081</x:v>
      </x:c>
      <x:c r="C116" s="13" t="n">
        <x:v>428</x:v>
      </x:c>
      <x:c r="D116" s="12" t="n">
        <x:v>90577.64</x:v>
      </x:c>
      <x:c r="E116" s="12" t="n">
        <x:v>0</x:v>
      </x:c>
      <x:c r="F116" s="12" t="n">
        <x:f>SUM(B116,D116:E116)</x:f>
        <x:v>90663.47081</x:v>
      </x:c>
      <x:c r="G116" s="12" t="n">
        <x:f>MAX(G115,F116)</x:f>
        <x:v>100000</x:v>
      </x:c>
      <x:c r="H116" s="14" t="n">
        <x:f>F116/G116-1</x:f>
        <x:v>-0.09336529189999998</x:v>
      </x:c>
      <x:c r="I116" s="14" t="n">
        <x:f>F116/F115-1</x:f>
        <x:v>-0.00029014778475444647</x:v>
      </x:c>
      <x:c r="J116" s="12" t="n">
        <x:v>0</x:v>
      </x:c>
      <x:c r="K116" s="12" t="n">
        <x:v>0</x:v>
      </x:c>
      <x:c r="L116" s="12" t="n">
        <x:v>428</x:v>
      </x:c>
      <x:c r="M116" s="2" t="str">
        <x:v>买入</x:v>
      </x:c>
    </x:row>
    <x:row r="117" ht="23" customHeight="1">
      <x:c r="A117" s="11" t="d">
        <x:v>2015-06-12T00:00:00.000Z</x:v>
      </x:c>
      <x:c r="B117" s="12" t="n">
        <x:v>85.83081</x:v>
      </x:c>
      <x:c r="C117" s="13" t="n">
        <x:v>428</x:v>
      </x:c>
      <x:c r="D117" s="12" t="n">
        <x:v>89884.28</x:v>
      </x:c>
      <x:c r="E117" s="12" t="n">
        <x:v>0</x:v>
      </x:c>
      <x:c r="F117" s="12" t="n">
        <x:f>SUM(B117,D117:E117)</x:f>
        <x:v>89970.11081</x:v>
      </x:c>
      <x:c r="G117" s="12" t="n">
        <x:f>MAX(G116,F117)</x:f>
        <x:v>100000</x:v>
      </x:c>
      <x:c r="H117" s="14" t="n">
        <x:f>F117/G117-1</x:f>
        <x:v>-0.10029889189999996</x:v>
      </x:c>
      <x:c r="I117" s="14" t="n">
        <x:f>F117/F116-1</x:f>
        <x:v>-0.007647622507779839</x:v>
      </x:c>
      <x:c r="J117" s="12" t="n">
        <x:v>0</x:v>
      </x:c>
      <x:c r="K117" s="12" t="n">
        <x:v>0</x:v>
      </x:c>
      <x:c r="L117" s="12" t="n">
        <x:v>0</x:v>
      </x:c>
      <x:c r="M117" s="2" t="str">
        <x:v>持有</x:v>
      </x:c>
    </x:row>
    <x:row r="118" ht="23" customHeight="1">
      <x:c r="A118" s="11" t="d">
        <x:v>2015-06-15T00:00:00.000Z</x:v>
      </x:c>
      <x:c r="B118" s="12" t="n">
        <x:v>89294.45289</x:v>
      </x:c>
      <x:c r="C118" s="13" t="n">
        <x:v>0</x:v>
      </x:c>
      <x:c r="D118" s="12" t="n">
        <x:v>0</x:v>
      </x:c>
      <x:c r="E118" s="12" t="n">
        <x:v>0</x:v>
      </x:c>
      <x:c r="F118" s="12" t="n">
        <x:f>SUM(B118,D118:E118)</x:f>
        <x:v>89294.45289</x:v>
      </x:c>
      <x:c r="G118" s="12" t="n">
        <x:f>MAX(G117,F118)</x:f>
        <x:v>100000</x:v>
      </x:c>
      <x:c r="H118" s="14" t="n">
        <x:f>F118/G118-1</x:f>
        <x:v>-0.10705547110000002</x:v>
      </x:c>
      <x:c r="I118" s="14" t="n">
        <x:f>F118/F117-1</x:f>
        <x:v>-0.007509804244065665</x:v>
      </x:c>
      <x:c r="J118" s="12" t="n">
        <x:v>0</x:v>
      </x:c>
      <x:c r="K118" s="12" t="n">
        <x:v>0</x:v>
      </x:c>
      <x:c r="L118" s="12" t="n">
        <x:v>-428</x:v>
      </x:c>
      <x:c r="M118" s="2" t="str">
        <x:v>卖出</x:v>
      </x:c>
    </x:row>
    <x:row r="119" ht="23" customHeight="1">
      <x:c r="A119" s="11" t="d">
        <x:v>2015-06-16T00:00:00.000Z</x:v>
      </x:c>
      <x:c r="B119" s="12" t="n">
        <x:v>89294.45289</x:v>
      </x:c>
      <x:c r="C119" s="13" t="n">
        <x:v>0</x:v>
      </x:c>
      <x:c r="D119" s="12" t="n">
        <x:v>0</x:v>
      </x:c>
      <x:c r="E119" s="12" t="n">
        <x:v>0</x:v>
      </x:c>
      <x:c r="F119" s="12" t="n">
        <x:f>SUM(B119,D119:E119)</x:f>
        <x:v>89294.45289</x:v>
      </x:c>
      <x:c r="G119" s="12" t="n">
        <x:f>MAX(G118,F119)</x:f>
        <x:v>100000</x:v>
      </x:c>
      <x:c r="H119" s="14" t="n">
        <x:f>F119/G119-1</x:f>
        <x:v>-0.10705547110000002</x:v>
      </x:c>
      <x:c r="I119" s="14" t="n">
        <x:f>F119/F118-1</x:f>
        <x:v>0</x:v>
      </x:c>
      <x:c r="J119" s="12" t="n">
        <x:v>0</x:v>
      </x:c>
      <x:c r="K119" s="12" t="n">
        <x:v>0</x:v>
      </x:c>
      <x:c r="L119" s="12" t="n">
        <x:v>0</x:v>
      </x:c>
      <x:c r="M119" s="2" t="str">
        <x:v>空仓</x:v>
      </x:c>
    </x:row>
    <x:row r="120" ht="23" customHeight="1">
      <x:c r="A120" s="11" t="d">
        <x:v>2015-06-17T00:00:00.000Z</x:v>
      </x:c>
      <x:c r="B120" s="12" t="n">
        <x:v>89294.45289</x:v>
      </x:c>
      <x:c r="C120" s="13" t="n">
        <x:v>0</x:v>
      </x:c>
      <x:c r="D120" s="12" t="n">
        <x:v>0</x:v>
      </x:c>
      <x:c r="E120" s="12" t="n">
        <x:v>0</x:v>
      </x:c>
      <x:c r="F120" s="12" t="n">
        <x:f>SUM(B120,D120:E120)</x:f>
        <x:v>89294.45289</x:v>
      </x:c>
      <x:c r="G120" s="12" t="n">
        <x:f>MAX(G119,F120)</x:f>
        <x:v>100000</x:v>
      </x:c>
      <x:c r="H120" s="14" t="n">
        <x:f>F120/G120-1</x:f>
        <x:v>-0.10705547110000002</x:v>
      </x:c>
      <x:c r="I120" s="14" t="n">
        <x:f>F120/F119-1</x:f>
        <x:v>0</x:v>
      </x:c>
      <x:c r="J120" s="12" t="n">
        <x:v>0</x:v>
      </x:c>
      <x:c r="K120" s="12" t="n">
        <x:v>0</x:v>
      </x:c>
      <x:c r="L120" s="12" t="n">
        <x:v>0</x:v>
      </x:c>
      <x:c r="M120" s="2" t="str">
        <x:v>空仓</x:v>
      </x:c>
    </x:row>
    <x:row r="121" ht="23" customHeight="1">
      <x:c r="A121" s="11" t="d">
        <x:v>2015-06-18T00:00:00.000Z</x:v>
      </x:c>
      <x:c r="B121" s="12" t="n">
        <x:v>89294.45289</x:v>
      </x:c>
      <x:c r="C121" s="13" t="n">
        <x:v>0</x:v>
      </x:c>
      <x:c r="D121" s="12" t="n">
        <x:v>0</x:v>
      </x:c>
      <x:c r="E121" s="12" t="n">
        <x:v>0</x:v>
      </x:c>
      <x:c r="F121" s="12" t="n">
        <x:f>SUM(B121,D121:E121)</x:f>
        <x:v>89294.45289</x:v>
      </x:c>
      <x:c r="G121" s="12" t="n">
        <x:f>MAX(G120,F121)</x:f>
        <x:v>100000</x:v>
      </x:c>
      <x:c r="H121" s="14" t="n">
        <x:f>F121/G121-1</x:f>
        <x:v>-0.10705547110000002</x:v>
      </x:c>
      <x:c r="I121" s="14" t="n">
        <x:f>F121/F120-1</x:f>
        <x:v>0</x:v>
      </x:c>
      <x:c r="J121" s="12" t="n">
        <x:v>0</x:v>
      </x:c>
      <x:c r="K121" s="12" t="n">
        <x:v>0</x:v>
      </x:c>
      <x:c r="L121" s="12" t="n">
        <x:v>0</x:v>
      </x:c>
      <x:c r="M121" s="2" t="str">
        <x:v>空仓</x:v>
      </x:c>
    </x:row>
    <x:row r="122" ht="23" customHeight="1">
      <x:c r="A122" s="11" t="d">
        <x:v>2015-06-19T00:00:00.000Z</x:v>
      </x:c>
      <x:c r="B122" s="12" t="n">
        <x:v>180.76823</x:v>
      </x:c>
      <x:c r="C122" s="13" t="n">
        <x:v>421</x:v>
      </x:c>
      <x:c r="D122" s="12" t="n">
        <x:v>88751.01</x:v>
      </x:c>
      <x:c r="E122" s="12" t="n">
        <x:v>0</x:v>
      </x:c>
      <x:c r="F122" s="12" t="n">
        <x:f>SUM(B122,D122:E122)</x:f>
        <x:v>88931.77823</x:v>
      </x:c>
      <x:c r="G122" s="12" t="n">
        <x:f>MAX(G121,F122)</x:f>
        <x:v>100000</x:v>
      </x:c>
      <x:c r="H122" s="14" t="n">
        <x:f>F122/G122-1</x:f>
        <x:v>-0.11068221770000009</x:v>
      </x:c>
      <x:c r="I122" s="14" t="n">
        <x:f>F122/F121-1</x:f>
        <x:v>-0.004061558677634469</x:v>
      </x:c>
      <x:c r="J122" s="12" t="n">
        <x:v>0</x:v>
      </x:c>
      <x:c r="K122" s="12" t="n">
        <x:v>0</x:v>
      </x:c>
      <x:c r="L122" s="12" t="n">
        <x:v>421</x:v>
      </x:c>
      <x:c r="M122" s="2" t="str">
        <x:v>买入</x:v>
      </x:c>
    </x:row>
    <x:row r="123" ht="23" customHeight="1">
      <x:c r="A123" s="11" t="d">
        <x:v>2015-06-22T00:00:00.000Z</x:v>
      </x:c>
      <x:c r="B123" s="12" t="n">
        <x:v>180.76823</x:v>
      </x:c>
      <x:c r="C123" s="13" t="n">
        <x:v>421</x:v>
      </x:c>
      <x:c r="D123" s="12" t="n">
        <x:v>89205.68999999999</x:v>
      </x:c>
      <x:c r="E123" s="12" t="n">
        <x:v>0</x:v>
      </x:c>
      <x:c r="F123" s="12" t="n">
        <x:f>SUM(B123,D123:E123)</x:f>
        <x:v>89386.45822999999</x:v>
      </x:c>
      <x:c r="G123" s="12" t="n">
        <x:f>MAX(G122,F123)</x:f>
        <x:v>100000</x:v>
      </x:c>
      <x:c r="H123" s="14" t="n">
        <x:f>F123/G123-1</x:f>
        <x:v>-0.10613541770000012</x:v>
      </x:c>
      <x:c r="I123" s="14" t="n">
        <x:f>F123/F122-1</x:f>
        <x:v>0.00511268310439128</x:v>
      </x:c>
      <x:c r="J123" s="12" t="n">
        <x:v>0</x:v>
      </x:c>
      <x:c r="K123" s="12" t="n">
        <x:v>0</x:v>
      </x:c>
      <x:c r="L123" s="12" t="n">
        <x:v>0</x:v>
      </x:c>
      <x:c r="M123" s="2" t="str">
        <x:v>持有</x:v>
      </x:c>
    </x:row>
    <x:row r="124" ht="23" customHeight="1">
      <x:c r="A124" s="11" t="d">
        <x:v>2015-06-23T00:00:00.000Z</x:v>
      </x:c>
      <x:c r="B124" s="12" t="n">
        <x:v>180.76823</x:v>
      </x:c>
      <x:c r="C124" s="13" t="n">
        <x:v>421</x:v>
      </x:c>
      <x:c r="D124" s="12" t="n">
        <x:v>89268.84</x:v>
      </x:c>
      <x:c r="E124" s="12" t="n">
        <x:v>0</x:v>
      </x:c>
      <x:c r="F124" s="12" t="n">
        <x:f>SUM(B124,D124:E124)</x:f>
        <x:v>89449.60823</x:v>
      </x:c>
      <x:c r="G124" s="12" t="n">
        <x:f>MAX(G123,F124)</x:f>
        <x:v>100000</x:v>
      </x:c>
      <x:c r="H124" s="14" t="n">
        <x:f>F124/G124-1</x:f>
        <x:v>-0.1055039177</x:v>
      </x:c>
      <x:c r="I124" s="14" t="n">
        <x:f>F124/F123-1</x:f>
        <x:v>0.0007064828526657241</x:v>
      </x:c>
      <x:c r="J124" s="12" t="n">
        <x:v>0</x:v>
      </x:c>
      <x:c r="K124" s="12" t="n">
        <x:v>0</x:v>
      </x:c>
      <x:c r="L124" s="12" t="n">
        <x:v>0</x:v>
      </x:c>
      <x:c r="M124" s="2" t="str">
        <x:v>持有</x:v>
      </x:c>
    </x:row>
    <x:row r="125" ht="23" customHeight="1">
      <x:c r="A125" s="11" t="d">
        <x:v>2015-06-24T00:00:00.000Z</x:v>
      </x:c>
      <x:c r="B125" s="12" t="n">
        <x:v>180.76823</x:v>
      </x:c>
      <x:c r="C125" s="13" t="n">
        <x:v>421</x:v>
      </x:c>
      <x:c r="D125" s="12" t="n">
        <x:v>88620.5</x:v>
      </x:c>
      <x:c r="E125" s="12" t="n">
        <x:v>0</x:v>
      </x:c>
      <x:c r="F125" s="12" t="n">
        <x:f>SUM(B125,D125:E125)</x:f>
        <x:v>88801.26823</x:v>
      </x:c>
      <x:c r="G125" s="12" t="n">
        <x:f>MAX(G124,F125)</x:f>
        <x:v>100000</x:v>
      </x:c>
      <x:c r="H125" s="14" t="n">
        <x:f>F125/G125-1</x:f>
        <x:v>-0.11198731770000003</x:v>
      </x:c>
      <x:c r="I125" s="14" t="n">
        <x:f>F125/F124-1</x:f>
        <x:v>-0.007248103293341801</x:v>
      </x:c>
      <x:c r="J125" s="12" t="n">
        <x:v>0</x:v>
      </x:c>
      <x:c r="K125" s="12" t="n">
        <x:v>0</x:v>
      </x:c>
      <x:c r="L125" s="12" t="n">
        <x:v>0</x:v>
      </x:c>
      <x:c r="M125" s="2" t="str">
        <x:v>持有</x:v>
      </x:c>
    </x:row>
    <x:row r="126" ht="23" customHeight="1">
      <x:c r="A126" s="11" t="d">
        <x:v>2015-06-25T00:00:00.000Z</x:v>
      </x:c>
      <x:c r="B126" s="12" t="n">
        <x:v>88964.99513</x:v>
      </x:c>
      <x:c r="C126" s="13" t="n">
        <x:v>0</x:v>
      </x:c>
      <x:c r="D126" s="12" t="n">
        <x:v>0</x:v>
      </x:c>
      <x:c r="E126" s="12" t="n">
        <x:v>0</x:v>
      </x:c>
      <x:c r="F126" s="12" t="n">
        <x:f>SUM(B126,D126:E126)</x:f>
        <x:v>88964.99513</x:v>
      </x:c>
      <x:c r="G126" s="12" t="n">
        <x:f>MAX(G125,F126)</x:f>
        <x:v>100000</x:v>
      </x:c>
      <x:c r="H126" s="14" t="n">
        <x:f>F126/G126-1</x:f>
        <x:v>-0.11035004870000009</x:v>
      </x:c>
      <x:c r="I126" s="14" t="n">
        <x:f>F126/F125-1</x:f>
        <x:v>0.001843745064270097</x:v>
      </x:c>
      <x:c r="J126" s="12" t="n">
        <x:v>0</x:v>
      </x:c>
      <x:c r="K126" s="12" t="n">
        <x:v>0</x:v>
      </x:c>
      <x:c r="L126" s="12" t="n">
        <x:v>-421</x:v>
      </x:c>
      <x:c r="M126" s="2" t="str">
        <x:v>卖出</x:v>
      </x:c>
    </x:row>
    <x:row r="127" ht="23" customHeight="1">
      <x:c r="A127" s="11" t="d">
        <x:v>2015-06-26T00:00:00.000Z</x:v>
      </x:c>
      <x:c r="B127" s="12" t="n">
        <x:v>88964.99513</x:v>
      </x:c>
      <x:c r="C127" s="13" t="n">
        <x:v>0</x:v>
      </x:c>
      <x:c r="D127" s="12" t="n">
        <x:v>0</x:v>
      </x:c>
      <x:c r="E127" s="12" t="n">
        <x:v>0</x:v>
      </x:c>
      <x:c r="F127" s="12" t="n">
        <x:f>SUM(B127,D127:E127)</x:f>
        <x:v>88964.99513</x:v>
      </x:c>
      <x:c r="G127" s="12" t="n">
        <x:f>MAX(G126,F127)</x:f>
        <x:v>100000</x:v>
      </x:c>
      <x:c r="H127" s="14" t="n">
        <x:f>F127/G127-1</x:f>
        <x:v>-0.11035004870000009</x:v>
      </x:c>
      <x:c r="I127" s="14" t="n">
        <x:f>F127/F126-1</x:f>
        <x:v>0</x:v>
      </x:c>
      <x:c r="J127" s="12" t="n">
        <x:v>0</x:v>
      </x:c>
      <x:c r="K127" s="12" t="n">
        <x:v>0</x:v>
      </x:c>
      <x:c r="L127" s="12" t="n">
        <x:v>0</x:v>
      </x:c>
      <x:c r="M127" s="2" t="str">
        <x:v>空仓</x:v>
      </x:c>
    </x:row>
    <x:row r="128" ht="23" customHeight="1">
      <x:c r="A128" s="11" t="d">
        <x:v>2015-06-29T00:00:00.000Z</x:v>
      </x:c>
      <x:c r="B128" s="12" t="n">
        <x:v>88964.99513</x:v>
      </x:c>
      <x:c r="C128" s="13" t="n">
        <x:v>0</x:v>
      </x:c>
      <x:c r="D128" s="12" t="n">
        <x:v>0</x:v>
      </x:c>
      <x:c r="E128" s="12" t="n">
        <x:v>0</x:v>
      </x:c>
      <x:c r="F128" s="12" t="n">
        <x:f>SUM(B128,D128:E128)</x:f>
        <x:v>88964.99513</x:v>
      </x:c>
      <x:c r="G128" s="12" t="n">
        <x:f>MAX(G127,F128)</x:f>
        <x:v>100000</x:v>
      </x:c>
      <x:c r="H128" s="14" t="n">
        <x:f>F128/G128-1</x:f>
        <x:v>-0.11035004870000009</x:v>
      </x:c>
      <x:c r="I128" s="14" t="n">
        <x:f>F128/F127-1</x:f>
        <x:v>0</x:v>
      </x:c>
      <x:c r="J128" s="12" t="n">
        <x:v>0</x:v>
      </x:c>
      <x:c r="K128" s="12" t="n">
        <x:v>0</x:v>
      </x:c>
      <x:c r="L128" s="12" t="n">
        <x:v>0</x:v>
      </x:c>
      <x:c r="M128" s="2" t="str">
        <x:v>空仓</x:v>
      </x:c>
    </x:row>
    <x:row r="129" ht="23" customHeight="1">
      <x:c r="A129" s="11" t="d">
        <x:v>2015-06-30T00:00:00.000Z</x:v>
      </x:c>
      <x:c r="B129" s="12" t="n">
        <x:v>88964.99513</x:v>
      </x:c>
      <x:c r="C129" s="13" t="n">
        <x:v>0</x:v>
      </x:c>
      <x:c r="D129" s="12" t="n">
        <x:v>0</x:v>
      </x:c>
      <x:c r="E129" s="12" t="n">
        <x:v>0</x:v>
      </x:c>
      <x:c r="F129" s="12" t="n">
        <x:f>SUM(B129,D129:E129)</x:f>
        <x:v>88964.99513</x:v>
      </x:c>
      <x:c r="G129" s="12" t="n">
        <x:f>MAX(G128,F129)</x:f>
        <x:v>100000</x:v>
      </x:c>
      <x:c r="H129" s="14" t="n">
        <x:f>F129/G129-1</x:f>
        <x:v>-0.11035004870000009</x:v>
      </x:c>
      <x:c r="I129" s="14" t="n">
        <x:f>F129/F128-1</x:f>
        <x:v>0</x:v>
      </x:c>
      <x:c r="J129" s="12" t="n">
        <x:v>0</x:v>
      </x:c>
      <x:c r="K129" s="12" t="n">
        <x:v>0</x:v>
      </x:c>
      <x:c r="L129" s="12" t="n">
        <x:v>0</x:v>
      </x:c>
      <x:c r="M129" s="2" t="str">
        <x:v>空仓</x:v>
      </x:c>
    </x:row>
    <x:row r="130" ht="23" customHeight="1">
      <x:c r="A130" s="11" t="d">
        <x:v>2015-07-01T00:00:00.000Z</x:v>
      </x:c>
      <x:c r="B130" s="12" t="n">
        <x:v>88964.99513</x:v>
      </x:c>
      <x:c r="C130" s="13" t="n">
        <x:v>0</x:v>
      </x:c>
      <x:c r="D130" s="12" t="n">
        <x:v>0</x:v>
      </x:c>
      <x:c r="E130" s="12" t="n">
        <x:v>0</x:v>
      </x:c>
      <x:c r="F130" s="12" t="n">
        <x:f>SUM(B130,D130:E130)</x:f>
        <x:v>88964.99513</x:v>
      </x:c>
      <x:c r="G130" s="12" t="n">
        <x:f>MAX(G129,F130)</x:f>
        <x:v>100000</x:v>
      </x:c>
      <x:c r="H130" s="14" t="n">
        <x:f>F130/G130-1</x:f>
        <x:v>-0.11035004870000009</x:v>
      </x:c>
      <x:c r="I130" s="14" t="n">
        <x:f>F130/F129-1</x:f>
        <x:v>0</x:v>
      </x:c>
      <x:c r="J130" s="12" t="n">
        <x:v>0</x:v>
      </x:c>
      <x:c r="K130" s="12" t="n">
        <x:v>0</x:v>
      </x:c>
      <x:c r="L130" s="12" t="n">
        <x:v>0</x:v>
      </x:c>
      <x:c r="M130" s="2" t="str">
        <x:v>空仓</x:v>
      </x:c>
    </x:row>
    <x:row r="131" ht="23" customHeight="1">
      <x:c r="A131" s="11" t="d">
        <x:v>2015-07-02T00:00:00.000Z</x:v>
      </x:c>
      <x:c r="B131" s="12" t="n">
        <x:v>88964.99513</x:v>
      </x:c>
      <x:c r="C131" s="13" t="n">
        <x:v>0</x:v>
      </x:c>
      <x:c r="D131" s="12" t="n">
        <x:v>0</x:v>
      </x:c>
      <x:c r="E131" s="12" t="n">
        <x:v>0</x:v>
      </x:c>
      <x:c r="F131" s="12" t="n">
        <x:f>SUM(B131,D131:E131)</x:f>
        <x:v>88964.99513</x:v>
      </x:c>
      <x:c r="G131" s="12" t="n">
        <x:f>MAX(G130,F131)</x:f>
        <x:v>100000</x:v>
      </x:c>
      <x:c r="H131" s="14" t="n">
        <x:f>F131/G131-1</x:f>
        <x:v>-0.11035004870000009</x:v>
      </x:c>
      <x:c r="I131" s="14" t="n">
        <x:f>F131/F130-1</x:f>
        <x:v>0</x:v>
      </x:c>
      <x:c r="J131" s="12" t="n">
        <x:v>0</x:v>
      </x:c>
      <x:c r="K131" s="12" t="n">
        <x:v>0</x:v>
      </x:c>
      <x:c r="L131" s="12" t="n">
        <x:v>0</x:v>
      </x:c>
      <x:c r="M131" s="2" t="str">
        <x:v>空仓</x:v>
      </x:c>
    </x:row>
    <x:row r="132" ht="23" customHeight="1">
      <x:c r="A132" s="11" t="d">
        <x:v>2015-07-06T00:00:00.000Z</x:v>
      </x:c>
      <x:c r="B132" s="12" t="n">
        <x:v>88964.99513</x:v>
      </x:c>
      <x:c r="C132" s="13" t="n">
        <x:v>0</x:v>
      </x:c>
      <x:c r="D132" s="12" t="n">
        <x:v>0</x:v>
      </x:c>
      <x:c r="E132" s="12" t="n">
        <x:v>0</x:v>
      </x:c>
      <x:c r="F132" s="12" t="n">
        <x:f>SUM(B132,D132:E132)</x:f>
        <x:v>88964.99513</x:v>
      </x:c>
      <x:c r="G132" s="12" t="n">
        <x:f>MAX(G131,F132)</x:f>
        <x:v>100000</x:v>
      </x:c>
      <x:c r="H132" s="14" t="n">
        <x:f>F132/G132-1</x:f>
        <x:v>-0.11035004870000009</x:v>
      </x:c>
      <x:c r="I132" s="14" t="n">
        <x:f>F132/F131-1</x:f>
        <x:v>0</x:v>
      </x:c>
      <x:c r="J132" s="12" t="n">
        <x:v>0</x:v>
      </x:c>
      <x:c r="K132" s="12" t="n">
        <x:v>0</x:v>
      </x:c>
      <x:c r="L132" s="12" t="n">
        <x:v>0</x:v>
      </x:c>
      <x:c r="M132" s="2" t="str">
        <x:v>空仓</x:v>
      </x:c>
    </x:row>
    <x:row r="133" ht="23" customHeight="1">
      <x:c r="A133" s="11" t="d">
        <x:v>2015-07-07T00:00:00.000Z</x:v>
      </x:c>
      <x:c r="B133" s="12" t="n">
        <x:v>88964.99513</x:v>
      </x:c>
      <x:c r="C133" s="13" t="n">
        <x:v>0</x:v>
      </x:c>
      <x:c r="D133" s="12" t="n">
        <x:v>0</x:v>
      </x:c>
      <x:c r="E133" s="12" t="n">
        <x:v>0</x:v>
      </x:c>
      <x:c r="F133" s="12" t="n">
        <x:f>SUM(B133,D133:E133)</x:f>
        <x:v>88964.99513</x:v>
      </x:c>
      <x:c r="G133" s="12" t="n">
        <x:f>MAX(G132,F133)</x:f>
        <x:v>100000</x:v>
      </x:c>
      <x:c r="H133" s="14" t="n">
        <x:f>F133/G133-1</x:f>
        <x:v>-0.11035004870000009</x:v>
      </x:c>
      <x:c r="I133" s="14" t="n">
        <x:f>F133/F132-1</x:f>
        <x:v>0</x:v>
      </x:c>
      <x:c r="J133" s="12" t="n">
        <x:v>0</x:v>
      </x:c>
      <x:c r="K133" s="12" t="n">
        <x:v>0</x:v>
      </x:c>
      <x:c r="L133" s="12" t="n">
        <x:v>0</x:v>
      </x:c>
      <x:c r="M133" s="2" t="str">
        <x:v>空仓</x:v>
      </x:c>
    </x:row>
    <x:row r="134" ht="23" customHeight="1">
      <x:c r="A134" s="11" t="d">
        <x:v>2015-07-08T00:00:00.000Z</x:v>
      </x:c>
      <x:c r="B134" s="12" t="n">
        <x:v>88964.99513</x:v>
      </x:c>
      <x:c r="C134" s="13" t="n">
        <x:v>0</x:v>
      </x:c>
      <x:c r="D134" s="12" t="n">
        <x:v>0</x:v>
      </x:c>
      <x:c r="E134" s="12" t="n">
        <x:v>0</x:v>
      </x:c>
      <x:c r="F134" s="12" t="n">
        <x:f>SUM(B134,D134:E134)</x:f>
        <x:v>88964.99513</x:v>
      </x:c>
      <x:c r="G134" s="12" t="n">
        <x:f>MAX(G133,F134)</x:f>
        <x:v>100000</x:v>
      </x:c>
      <x:c r="H134" s="14" t="n">
        <x:f>F134/G134-1</x:f>
        <x:v>-0.11035004870000009</x:v>
      </x:c>
      <x:c r="I134" s="14" t="n">
        <x:f>F134/F133-1</x:f>
        <x:v>0</x:v>
      </x:c>
      <x:c r="J134" s="12" t="n">
        <x:v>0</x:v>
      </x:c>
      <x:c r="K134" s="12" t="n">
        <x:v>0</x:v>
      </x:c>
      <x:c r="L134" s="12" t="n">
        <x:v>0</x:v>
      </x:c>
      <x:c r="M134" s="2" t="str">
        <x:v>空仓</x:v>
      </x:c>
    </x:row>
    <x:row r="135" ht="23" customHeight="1">
      <x:c r="A135" s="11" t="d">
        <x:v>2015-07-09T00:00:00.000Z</x:v>
      </x:c>
      <x:c r="B135" s="12" t="n">
        <x:v>88964.99513</x:v>
      </x:c>
      <x:c r="C135" s="13" t="n">
        <x:v>0</x:v>
      </x:c>
      <x:c r="D135" s="12" t="n">
        <x:v>0</x:v>
      </x:c>
      <x:c r="E135" s="12" t="n">
        <x:v>0</x:v>
      </x:c>
      <x:c r="F135" s="12" t="n">
        <x:f>SUM(B135,D135:E135)</x:f>
        <x:v>88964.99513</x:v>
      </x:c>
      <x:c r="G135" s="12" t="n">
        <x:f>MAX(G134,F135)</x:f>
        <x:v>100000</x:v>
      </x:c>
      <x:c r="H135" s="14" t="n">
        <x:f>F135/G135-1</x:f>
        <x:v>-0.11035004870000009</x:v>
      </x:c>
      <x:c r="I135" s="14" t="n">
        <x:f>F135/F134-1</x:f>
        <x:v>0</x:v>
      </x:c>
      <x:c r="J135" s="12" t="n">
        <x:v>0</x:v>
      </x:c>
      <x:c r="K135" s="12" t="n">
        <x:v>0</x:v>
      </x:c>
      <x:c r="L135" s="12" t="n">
        <x:v>0</x:v>
      </x:c>
      <x:c r="M135" s="2" t="str">
        <x:v>空仓</x:v>
      </x:c>
    </x:row>
    <x:row r="136" ht="23" customHeight="1">
      <x:c r="A136" s="11" t="d">
        <x:v>2015-07-10T00:00:00.000Z</x:v>
      </x:c>
      <x:c r="B136" s="12" t="n">
        <x:v>88964.99513</x:v>
      </x:c>
      <x:c r="C136" s="13" t="n">
        <x:v>0</x:v>
      </x:c>
      <x:c r="D136" s="12" t="n">
        <x:v>0</x:v>
      </x:c>
      <x:c r="E136" s="12" t="n">
        <x:v>0</x:v>
      </x:c>
      <x:c r="F136" s="12" t="n">
        <x:f>SUM(B136,D136:E136)</x:f>
        <x:v>88964.99513</x:v>
      </x:c>
      <x:c r="G136" s="12" t="n">
        <x:f>MAX(G135,F136)</x:f>
        <x:v>100000</x:v>
      </x:c>
      <x:c r="H136" s="14" t="n">
        <x:f>F136/G136-1</x:f>
        <x:v>-0.11035004870000009</x:v>
      </x:c>
      <x:c r="I136" s="14" t="n">
        <x:f>F136/F135-1</x:f>
        <x:v>0</x:v>
      </x:c>
      <x:c r="J136" s="12" t="n">
        <x:v>0</x:v>
      </x:c>
      <x:c r="K136" s="12" t="n">
        <x:v>0</x:v>
      </x:c>
      <x:c r="L136" s="12" t="n">
        <x:v>0</x:v>
      </x:c>
      <x:c r="M136" s="2" t="str">
        <x:v>空仓</x:v>
      </x:c>
    </x:row>
    <x:row r="137" ht="23" customHeight="1">
      <x:c r="A137" s="11" t="d">
        <x:v>2015-07-13T00:00:00.000Z</x:v>
      </x:c>
      <x:c r="B137" s="12" t="n">
        <x:v>88964.99513</x:v>
      </x:c>
      <x:c r="C137" s="13" t="n">
        <x:v>0</x:v>
      </x:c>
      <x:c r="D137" s="12" t="n">
        <x:v>0</x:v>
      </x:c>
      <x:c r="E137" s="12" t="n">
        <x:v>0</x:v>
      </x:c>
      <x:c r="F137" s="12" t="n">
        <x:f>SUM(B137,D137:E137)</x:f>
        <x:v>88964.99513</x:v>
      </x:c>
      <x:c r="G137" s="12" t="n">
        <x:f>MAX(G136,F137)</x:f>
        <x:v>100000</x:v>
      </x:c>
      <x:c r="H137" s="14" t="n">
        <x:f>F137/G137-1</x:f>
        <x:v>-0.11035004870000009</x:v>
      </x:c>
      <x:c r="I137" s="14" t="n">
        <x:f>F137/F136-1</x:f>
        <x:v>0</x:v>
      </x:c>
      <x:c r="J137" s="12" t="n">
        <x:v>0</x:v>
      </x:c>
      <x:c r="K137" s="12" t="n">
        <x:v>0</x:v>
      </x:c>
      <x:c r="L137" s="12" t="n">
        <x:v>0</x:v>
      </x:c>
      <x:c r="M137" s="2" t="str">
        <x:v>空仓</x:v>
      </x:c>
    </x:row>
    <x:row r="138" ht="23" customHeight="1">
      <x:c r="A138" s="11" t="d">
        <x:v>2015-07-14T00:00:00.000Z</x:v>
      </x:c>
      <x:c r="B138" s="12" t="n">
        <x:v>88964.99513</x:v>
      </x:c>
      <x:c r="C138" s="13" t="n">
        <x:v>0</x:v>
      </x:c>
      <x:c r="D138" s="12" t="n">
        <x:v>0</x:v>
      </x:c>
      <x:c r="E138" s="12" t="n">
        <x:v>0</x:v>
      </x:c>
      <x:c r="F138" s="12" t="n">
        <x:f>SUM(B138,D138:E138)</x:f>
        <x:v>88964.99513</x:v>
      </x:c>
      <x:c r="G138" s="12" t="n">
        <x:f>MAX(G137,F138)</x:f>
        <x:v>100000</x:v>
      </x:c>
      <x:c r="H138" s="14" t="n">
        <x:f>F138/G138-1</x:f>
        <x:v>-0.11035004870000009</x:v>
      </x:c>
      <x:c r="I138" s="14" t="n">
        <x:f>F138/F137-1</x:f>
        <x:v>0</x:v>
      </x:c>
      <x:c r="J138" s="12" t="n">
        <x:v>0</x:v>
      </x:c>
      <x:c r="K138" s="12" t="n">
        <x:v>0</x:v>
      </x:c>
      <x:c r="L138" s="12" t="n">
        <x:v>0</x:v>
      </x:c>
      <x:c r="M138" s="2" t="str">
        <x:v>空仓</x:v>
      </x:c>
    </x:row>
    <x:row r="139" ht="23" customHeight="1">
      <x:c r="A139" s="11" t="d">
        <x:v>2015-07-15T00:00:00.000Z</x:v>
      </x:c>
      <x:c r="B139" s="12" t="n">
        <x:v>158.9478</x:v>
      </x:c>
      <x:c r="C139" s="13" t="n">
        <x:v>421</x:v>
      </x:c>
      <x:c r="D139" s="12" t="n">
        <x:v>88666.81000000001</x:v>
      </x:c>
      <x:c r="E139" s="12" t="n">
        <x:v>0</x:v>
      </x:c>
      <x:c r="F139" s="12" t="n">
        <x:f>SUM(B139,D139:E139)</x:f>
        <x:v>88825.7578</x:v>
      </x:c>
      <x:c r="G139" s="12" t="n">
        <x:f>MAX(G138,F139)</x:f>
        <x:v>100000</x:v>
      </x:c>
      <x:c r="H139" s="14" t="n">
        <x:f>F139/G139-1</x:f>
        <x:v>-0.11174242199999995</x:v>
      </x:c>
      <x:c r="I139" s="14" t="n">
        <x:f>F139/F138-1</x:f>
        <x:v>-0.0015650799485407152</x:v>
      </x:c>
      <x:c r="J139" s="12" t="n">
        <x:v>0</x:v>
      </x:c>
      <x:c r="K139" s="12" t="n">
        <x:v>0</x:v>
      </x:c>
      <x:c r="L139" s="12" t="n">
        <x:v>421</x:v>
      </x:c>
      <x:c r="M139" s="2" t="str">
        <x:v>买入</x:v>
      </x:c>
    </x:row>
    <x:row r="140" ht="23" customHeight="1">
      <x:c r="A140" s="11" t="d">
        <x:v>2015-07-16T00:00:00.000Z</x:v>
      </x:c>
      <x:c r="B140" s="12" t="n">
        <x:v>158.9478</x:v>
      </x:c>
      <x:c r="C140" s="13" t="n">
        <x:v>421</x:v>
      </x:c>
      <x:c r="D140" s="12" t="n">
        <x:v>89378.3</x:v>
      </x:c>
      <x:c r="E140" s="12" t="n">
        <x:v>0</x:v>
      </x:c>
      <x:c r="F140" s="12" t="n">
        <x:f>SUM(B140,D140:E140)</x:f>
        <x:v>89537.2478</x:v>
      </x:c>
      <x:c r="G140" s="12" t="n">
        <x:f>MAX(G139,F140)</x:f>
        <x:v>100000</x:v>
      </x:c>
      <x:c r="H140" s="14" t="n">
        <x:f>F140/G140-1</x:f>
        <x:v>-0.10462752200000003</x:v>
      </x:c>
      <x:c r="I140" s="14" t="n">
        <x:f>F140/F139-1</x:f>
        <x:v>0.008009951365706147</x:v>
      </x:c>
      <x:c r="J140" s="12" t="n">
        <x:v>0</x:v>
      </x:c>
      <x:c r="K140" s="12" t="n">
        <x:v>0</x:v>
      </x:c>
      <x:c r="L140" s="12" t="n">
        <x:v>0</x:v>
      </x:c>
      <x:c r="M140" s="2" t="str">
        <x:v>持有</x:v>
      </x:c>
    </x:row>
    <x:row r="141" ht="23" customHeight="1">
      <x:c r="A141" s="11" t="d">
        <x:v>2015-07-17T00:00:00.000Z</x:v>
      </x:c>
      <x:c r="B141" s="12" t="n">
        <x:v>158.9478</x:v>
      </x:c>
      <x:c r="C141" s="13" t="n">
        <x:v>421</x:v>
      </x:c>
      <x:c r="D141" s="12" t="n">
        <x:v>89454.08</x:v>
      </x:c>
      <x:c r="E141" s="12" t="n">
        <x:v>0</x:v>
      </x:c>
      <x:c r="F141" s="12" t="n">
        <x:f>SUM(B141,D141:E141)</x:f>
        <x:v>89613.0278</x:v>
      </x:c>
      <x:c r="G141" s="12" t="n">
        <x:f>MAX(G140,F141)</x:f>
        <x:v>100000</x:v>
      </x:c>
      <x:c r="H141" s="14" t="n">
        <x:f>F141/G141-1</x:f>
        <x:v>-0.103869722</x:v>
      </x:c>
      <x:c r="I141" s="14" t="n">
        <x:f>F141/F140-1</x:f>
        <x:v>0.0008463516789043446</x:v>
      </x:c>
      <x:c r="J141" s="12" t="n">
        <x:v>0</x:v>
      </x:c>
      <x:c r="K141" s="12" t="n">
        <x:v>0</x:v>
      </x:c>
      <x:c r="L141" s="12" t="n">
        <x:v>0</x:v>
      </x:c>
      <x:c r="M141" s="2" t="str">
        <x:v>持有</x:v>
      </x:c>
    </x:row>
    <x:row r="142" ht="23" customHeight="1">
      <x:c r="A142" s="11" t="d">
        <x:v>2015-07-20T00:00:00.000Z</x:v>
      </x:c>
      <x:c r="B142" s="12" t="n">
        <x:v>158.9478</x:v>
      </x:c>
      <x:c r="C142" s="13" t="n">
        <x:v>421</x:v>
      </x:c>
      <x:c r="D142" s="12" t="n">
        <x:v>89500.39</x:v>
      </x:c>
      <x:c r="E142" s="12" t="n">
        <x:v>0</x:v>
      </x:c>
      <x:c r="F142" s="12" t="n">
        <x:f>SUM(B142,D142:E142)</x:f>
        <x:v>89659.3378</x:v>
      </x:c>
      <x:c r="G142" s="12" t="n">
        <x:f>MAX(G141,F142)</x:f>
        <x:v>100000</x:v>
      </x:c>
      <x:c r="H142" s="14" t="n">
        <x:f>F142/G142-1</x:f>
        <x:v>-0.10340662200000006</x:v>
      </x:c>
      <x:c r="I142" s="14" t="n">
        <x:f>F142/F141-1</x:f>
        <x:v>0.000516777539347979</x:v>
      </x:c>
      <x:c r="J142" s="12" t="n">
        <x:v>0</x:v>
      </x:c>
      <x:c r="K142" s="12" t="n">
        <x:v>0</x:v>
      </x:c>
      <x:c r="L142" s="12" t="n">
        <x:v>0</x:v>
      </x:c>
      <x:c r="M142" s="2" t="str">
        <x:v>持有</x:v>
      </x:c>
    </x:row>
    <x:row r="143" ht="23" customHeight="1">
      <x:c r="A143" s="11" t="d">
        <x:v>2015-07-21T00:00:00.000Z</x:v>
      </x:c>
      <x:c r="B143" s="12" t="n">
        <x:v>158.9478</x:v>
      </x:c>
      <x:c r="C143" s="13" t="n">
        <x:v>421</x:v>
      </x:c>
      <x:c r="D143" s="12" t="n">
        <x:v>89146.75</x:v>
      </x:c>
      <x:c r="E143" s="12" t="n">
        <x:v>0</x:v>
      </x:c>
      <x:c r="F143" s="12" t="n">
        <x:f>SUM(B143,D143:E143)</x:f>
        <x:v>89305.6978</x:v>
      </x:c>
      <x:c r="G143" s="12" t="n">
        <x:f>MAX(G142,F143)</x:f>
        <x:v>100000</x:v>
      </x:c>
      <x:c r="H143" s="14" t="n">
        <x:f>F143/G143-1</x:f>
        <x:v>-0.10694302200000005</x:v>
      </x:c>
      <x:c r="I143" s="14" t="n">
        <x:f>F143/F142-1</x:f>
        <x:v>-0.003944262903088247</x:v>
      </x:c>
      <x:c r="J143" s="12" t="n">
        <x:v>0</x:v>
      </x:c>
      <x:c r="K143" s="12" t="n">
        <x:v>0</x:v>
      </x:c>
      <x:c r="L143" s="12" t="n">
        <x:v>0</x:v>
      </x:c>
      <x:c r="M143" s="2" t="str">
        <x:v>持有</x:v>
      </x:c>
    </x:row>
    <x:row r="144" ht="23" customHeight="1">
      <x:c r="A144" s="11" t="d">
        <x:v>2015-07-22T00:00:00.000Z</x:v>
      </x:c>
      <x:c r="B144" s="12" t="n">
        <x:v>158.9478</x:v>
      </x:c>
      <x:c r="C144" s="13" t="n">
        <x:v>421</x:v>
      </x:c>
      <x:c r="D144" s="12" t="n">
        <x:v>88986.77</x:v>
      </x:c>
      <x:c r="E144" s="12" t="n">
        <x:v>0</x:v>
      </x:c>
      <x:c r="F144" s="12" t="n">
        <x:f>SUM(B144,D144:E144)</x:f>
        <x:v>89145.7178</x:v>
      </x:c>
      <x:c r="G144" s="12" t="n">
        <x:f>MAX(G143,F144)</x:f>
        <x:v>100000</x:v>
      </x:c>
      <x:c r="H144" s="14" t="n">
        <x:f>F144/G144-1</x:f>
        <x:v>-0.10854282199999998</x:v>
      </x:c>
      <x:c r="I144" s="14" t="n">
        <x:f>F144/F143-1</x:f>
        <x:v>-0.001791375062745404</x:v>
      </x:c>
      <x:c r="J144" s="12" t="n">
        <x:v>0</x:v>
      </x:c>
      <x:c r="K144" s="12" t="n">
        <x:v>0</x:v>
      </x:c>
      <x:c r="L144" s="12" t="n">
        <x:v>0</x:v>
      </x:c>
      <x:c r="M144" s="2" t="str">
        <x:v>持有</x:v>
      </x:c>
    </x:row>
    <x:row r="145" ht="23" customHeight="1">
      <x:c r="A145" s="11" t="d">
        <x:v>2015-07-23T00:00:00.000Z</x:v>
      </x:c>
      <x:c r="B145" s="12" t="n">
        <x:v>158.9478</x:v>
      </x:c>
      <x:c r="C145" s="13" t="n">
        <x:v>421</x:v>
      </x:c>
      <x:c r="D145" s="12" t="n">
        <x:v>88485.78</x:v>
      </x:c>
      <x:c r="E145" s="12" t="n">
        <x:v>0</x:v>
      </x:c>
      <x:c r="F145" s="12" t="n">
        <x:f>SUM(B145,D145:E145)</x:f>
        <x:v>88644.7278</x:v>
      </x:c>
      <x:c r="G145" s="12" t="n">
        <x:f>MAX(G144,F145)</x:f>
        <x:v>100000</x:v>
      </x:c>
      <x:c r="H145" s="14" t="n">
        <x:f>F145/G145-1</x:f>
        <x:v>-0.1135527220000001</x:v>
      </x:c>
      <x:c r="I145" s="14" t="n">
        <x:f>F145/F144-1</x:f>
        <x:v>-0.005619899781658444</x:v>
      </x:c>
      <x:c r="J145" s="12" t="n">
        <x:v>0</x:v>
      </x:c>
      <x:c r="K145" s="12" t="n">
        <x:v>0</x:v>
      </x:c>
      <x:c r="L145" s="12" t="n">
        <x:v>0</x:v>
      </x:c>
      <x:c r="M145" s="2" t="str">
        <x:v>持有</x:v>
      </x:c>
    </x:row>
    <x:row r="146" ht="23" customHeight="1">
      <x:c r="A146" s="11" t="d">
        <x:v>2015-07-24T00:00:00.000Z</x:v>
      </x:c>
      <x:c r="B146" s="12" t="n">
        <x:v>88606.7115</x:v>
      </x:c>
      <x:c r="C146" s="13" t="n">
        <x:v>0</x:v>
      </x:c>
      <x:c r="D146" s="12" t="n">
        <x:v>0</x:v>
      </x:c>
      <x:c r="E146" s="12" t="n">
        <x:v>0</x:v>
      </x:c>
      <x:c r="F146" s="12" t="n">
        <x:f>SUM(B146,D146:E146)</x:f>
        <x:v>88606.7115</x:v>
      </x:c>
      <x:c r="G146" s="12" t="n">
        <x:f>MAX(G145,F146)</x:f>
        <x:v>100000</x:v>
      </x:c>
      <x:c r="H146" s="14" t="n">
        <x:f>F146/G146-1</x:f>
        <x:v>-0.11393288499999998</x:v>
      </x:c>
      <x:c r="I146" s="14" t="n">
        <x:f>F146/F145-1</x:f>
        <x:v>-0.0004288613766828542</x:v>
      </x:c>
      <x:c r="J146" s="12" t="n">
        <x:v>0</x:v>
      </x:c>
      <x:c r="K146" s="12" t="n">
        <x:v>0</x:v>
      </x:c>
      <x:c r="L146" s="12" t="n">
        <x:v>-421</x:v>
      </x:c>
      <x:c r="M146" s="2" t="str">
        <x:v>卖出</x:v>
      </x:c>
    </x:row>
    <x:row r="147" ht="23" customHeight="1">
      <x:c r="A147" s="11" t="d">
        <x:v>2015-07-27T00:00:00.000Z</x:v>
      </x:c>
      <x:c r="B147" s="12" t="n">
        <x:v>88606.7115</x:v>
      </x:c>
      <x:c r="C147" s="13" t="n">
        <x:v>0</x:v>
      </x:c>
      <x:c r="D147" s="12" t="n">
        <x:v>0</x:v>
      </x:c>
      <x:c r="E147" s="12" t="n">
        <x:v>0</x:v>
      </x:c>
      <x:c r="F147" s="12" t="n">
        <x:f>SUM(B147,D147:E147)</x:f>
        <x:v>88606.7115</x:v>
      </x:c>
      <x:c r="G147" s="12" t="n">
        <x:f>MAX(G146,F147)</x:f>
        <x:v>100000</x:v>
      </x:c>
      <x:c r="H147" s="14" t="n">
        <x:f>F147/G147-1</x:f>
        <x:v>-0.11393288499999998</x:v>
      </x:c>
      <x:c r="I147" s="14" t="n">
        <x:f>F147/F146-1</x:f>
        <x:v>0</x:v>
      </x:c>
      <x:c r="J147" s="12" t="n">
        <x:v>0</x:v>
      </x:c>
      <x:c r="K147" s="12" t="n">
        <x:v>0</x:v>
      </x:c>
      <x:c r="L147" s="12" t="n">
        <x:v>0</x:v>
      </x:c>
      <x:c r="M147" s="2" t="str">
        <x:v>空仓</x:v>
      </x:c>
    </x:row>
    <x:row r="148" ht="23" customHeight="1">
      <x:c r="A148" s="11" t="d">
        <x:v>2015-07-28T00:00:00.000Z</x:v>
      </x:c>
      <x:c r="B148" s="12" t="n">
        <x:v>88606.7115</x:v>
      </x:c>
      <x:c r="C148" s="13" t="n">
        <x:v>0</x:v>
      </x:c>
      <x:c r="D148" s="12" t="n">
        <x:v>0</x:v>
      </x:c>
      <x:c r="E148" s="12" t="n">
        <x:v>0</x:v>
      </x:c>
      <x:c r="F148" s="12" t="n">
        <x:f>SUM(B148,D148:E148)</x:f>
        <x:v>88606.7115</x:v>
      </x:c>
      <x:c r="G148" s="12" t="n">
        <x:f>MAX(G147,F148)</x:f>
        <x:v>100000</x:v>
      </x:c>
      <x:c r="H148" s="14" t="n">
        <x:f>F148/G148-1</x:f>
        <x:v>-0.11393288499999998</x:v>
      </x:c>
      <x:c r="I148" s="14" t="n">
        <x:f>F148/F147-1</x:f>
        <x:v>0</x:v>
      </x:c>
      <x:c r="J148" s="12" t="n">
        <x:v>0</x:v>
      </x:c>
      <x:c r="K148" s="12" t="n">
        <x:v>0</x:v>
      </x:c>
      <x:c r="L148" s="12" t="n">
        <x:v>0</x:v>
      </x:c>
      <x:c r="M148" s="2" t="str">
        <x:v>空仓</x:v>
      </x:c>
    </x:row>
    <x:row r="149" ht="23" customHeight="1">
      <x:c r="A149" s="11" t="d">
        <x:v>2015-07-29T00:00:00.000Z</x:v>
      </x:c>
      <x:c r="B149" s="12" t="n">
        <x:v>88606.7115</x:v>
      </x:c>
      <x:c r="C149" s="13" t="n">
        <x:v>0</x:v>
      </x:c>
      <x:c r="D149" s="12" t="n">
        <x:v>0</x:v>
      </x:c>
      <x:c r="E149" s="12" t="n">
        <x:v>0</x:v>
      </x:c>
      <x:c r="F149" s="12" t="n">
        <x:f>SUM(B149,D149:E149)</x:f>
        <x:v>88606.7115</x:v>
      </x:c>
      <x:c r="G149" s="12" t="n">
        <x:f>MAX(G148,F149)</x:f>
        <x:v>100000</x:v>
      </x:c>
      <x:c r="H149" s="14" t="n">
        <x:f>F149/G149-1</x:f>
        <x:v>-0.11393288499999998</x:v>
      </x:c>
      <x:c r="I149" s="14" t="n">
        <x:f>F149/F148-1</x:f>
        <x:v>0</x:v>
      </x:c>
      <x:c r="J149" s="12" t="n">
        <x:v>0</x:v>
      </x:c>
      <x:c r="K149" s="12" t="n">
        <x:v>0</x:v>
      </x:c>
      <x:c r="L149" s="12" t="n">
        <x:v>0</x:v>
      </x:c>
      <x:c r="M149" s="2" t="str">
        <x:v>空仓</x:v>
      </x:c>
    </x:row>
    <x:row r="150" ht="23" customHeight="1">
      <x:c r="A150" s="11" t="d">
        <x:v>2015-07-30T00:00:00.000Z</x:v>
      </x:c>
      <x:c r="B150" s="12" t="n">
        <x:v>40.87414</x:v>
      </x:c>
      <x:c r="C150" s="13" t="n">
        <x:v>421</x:v>
      </x:c>
      <x:c r="D150" s="12" t="n">
        <x:v>88755.22</x:v>
      </x:c>
      <x:c r="E150" s="12" t="n">
        <x:v>0</x:v>
      </x:c>
      <x:c r="F150" s="12" t="n">
        <x:f>SUM(B150,D150:E150)</x:f>
        <x:v>88796.09414</x:v>
      </x:c>
      <x:c r="G150" s="12" t="n">
        <x:f>MAX(G149,F150)</x:f>
        <x:v>100000</x:v>
      </x:c>
      <x:c r="H150" s="14" t="n">
        <x:f>F150/G150-1</x:f>
        <x:v>-0.11203905859999996</x:v>
      </x:c>
      <x:c r="I150" s="14" t="n">
        <x:f>F150/F149-1</x:f>
        <x:v>0.002137339675448713</x:v>
      </x:c>
      <x:c r="J150" s="12" t="n">
        <x:v>0</x:v>
      </x:c>
      <x:c r="K150" s="12" t="n">
        <x:v>0</x:v>
      </x:c>
      <x:c r="L150" s="12" t="n">
        <x:v>421</x:v>
      </x:c>
      <x:c r="M150" s="2" t="str">
        <x:v>买入</x:v>
      </x:c>
    </x:row>
    <x:row r="151" ht="23" customHeight="1">
      <x:c r="A151" s="11" t="d">
        <x:v>2015-07-31T00:00:00.000Z</x:v>
      </x:c>
      <x:c r="B151" s="12" t="n">
        <x:v>40.87414</x:v>
      </x:c>
      <x:c r="C151" s="13" t="n">
        <x:v>421</x:v>
      </x:c>
      <x:c r="D151" s="12" t="n">
        <x:v>88620.5</x:v>
      </x:c>
      <x:c r="E151" s="12" t="n">
        <x:v>0</x:v>
      </x:c>
      <x:c r="F151" s="12" t="n">
        <x:f>SUM(B151,D151:E151)</x:f>
        <x:v>88661.37414</x:v>
      </x:c>
      <x:c r="G151" s="12" t="n">
        <x:f>MAX(G150,F151)</x:f>
        <x:v>100000</x:v>
      </x:c>
      <x:c r="H151" s="14" t="n">
        <x:f>F151/G151-1</x:f>
        <x:v>-0.11338625859999996</x:v>
      </x:c>
      <x:c r="I151" s="14" t="n">
        <x:f>F151/F150-1</x:f>
        <x:v>-0.001517183850312076</x:v>
      </x:c>
      <x:c r="J151" s="12" t="n">
        <x:v>0</x:v>
      </x:c>
      <x:c r="K151" s="12" t="n">
        <x:v>0</x:v>
      </x:c>
      <x:c r="L151" s="12" t="n">
        <x:v>0</x:v>
      </x:c>
      <x:c r="M151" s="2" t="str">
        <x:v>持有</x:v>
      </x:c>
    </x:row>
    <x:row r="152" ht="23" customHeight="1">
      <x:c r="A152" s="11" t="d">
        <x:v>2015-08-03T00:00:00.000Z</x:v>
      </x:c>
      <x:c r="B152" s="12" t="n">
        <x:v>40.87414</x:v>
      </x:c>
      <x:c r="C152" s="13" t="n">
        <x:v>421</x:v>
      </x:c>
      <x:c r="D152" s="12" t="n">
        <x:v>88321.59</x:v>
      </x:c>
      <x:c r="E152" s="12" t="n">
        <x:v>0</x:v>
      </x:c>
      <x:c r="F152" s="12" t="n">
        <x:f>SUM(B152,D152:E152)</x:f>
        <x:v>88362.46414</x:v>
      </x:c>
      <x:c r="G152" s="12" t="n">
        <x:f>MAX(G151,F152)</x:f>
        <x:v>100000</x:v>
      </x:c>
      <x:c r="H152" s="14" t="n">
        <x:f>F152/G152-1</x:f>
        <x:v>-0.11637535860000003</x:v>
      </x:c>
      <x:c r="I152" s="14" t="n">
        <x:f>F152/F151-1</x:f>
        <x:v>-0.0033713666509161966</x:v>
      </x:c>
      <x:c r="J152" s="12" t="n">
        <x:v>0</x:v>
      </x:c>
      <x:c r="K152" s="12" t="n">
        <x:v>0</x:v>
      </x:c>
      <x:c r="L152" s="12" t="n">
        <x:v>0</x:v>
      </x:c>
      <x:c r="M152" s="2" t="str">
        <x:v>持有</x:v>
      </x:c>
    </x:row>
    <x:row r="153" ht="23" customHeight="1">
      <x:c r="A153" s="11" t="d">
        <x:v>2015-08-04T00:00:00.000Z</x:v>
      </x:c>
      <x:c r="B153" s="12" t="n">
        <x:v>88236.29044</x:v>
      </x:c>
      <x:c r="C153" s="13" t="n">
        <x:v>0</x:v>
      </x:c>
      <x:c r="D153" s="12" t="n">
        <x:v>0</x:v>
      </x:c>
      <x:c r="E153" s="12" t="n">
        <x:v>0</x:v>
      </x:c>
      <x:c r="F153" s="12" t="n">
        <x:f>SUM(B153,D153:E153)</x:f>
        <x:v>88236.29044</x:v>
      </x:c>
      <x:c r="G153" s="12" t="n">
        <x:f>MAX(G152,F153)</x:f>
        <x:v>100000</x:v>
      </x:c>
      <x:c r="H153" s="14" t="n">
        <x:f>F153/G153-1</x:f>
        <x:v>-0.11763709560000002</x:v>
      </x:c>
      <x:c r="I153" s="14" t="n">
        <x:f>F153/F152-1</x:f>
        <x:v>-0.0014279106091936722</x:v>
      </x:c>
      <x:c r="J153" s="12" t="n">
        <x:v>0</x:v>
      </x:c>
      <x:c r="K153" s="12" t="n">
        <x:v>0</x:v>
      </x:c>
      <x:c r="L153" s="12" t="n">
        <x:v>-421</x:v>
      </x:c>
      <x:c r="M153" s="2" t="str">
        <x:v>卖出</x:v>
      </x:c>
    </x:row>
    <x:row r="154" ht="23" customHeight="1">
      <x:c r="A154" s="11" t="d">
        <x:v>2015-08-05T00:00:00.000Z</x:v>
      </x:c>
      <x:c r="B154" s="12" t="n">
        <x:v>88236.29044</x:v>
      </x:c>
      <x:c r="C154" s="13" t="n">
        <x:v>0</x:v>
      </x:c>
      <x:c r="D154" s="12" t="n">
        <x:v>0</x:v>
      </x:c>
      <x:c r="E154" s="12" t="n">
        <x:v>0</x:v>
      </x:c>
      <x:c r="F154" s="12" t="n">
        <x:f>SUM(B154,D154:E154)</x:f>
        <x:v>88236.29044</x:v>
      </x:c>
      <x:c r="G154" s="12" t="n">
        <x:f>MAX(G153,F154)</x:f>
        <x:v>100000</x:v>
      </x:c>
      <x:c r="H154" s="14" t="n">
        <x:f>F154/G154-1</x:f>
        <x:v>-0.11763709560000002</x:v>
      </x:c>
      <x:c r="I154" s="14" t="n">
        <x:f>F154/F153-1</x:f>
        <x:v>0</x:v>
      </x:c>
      <x:c r="J154" s="12" t="n">
        <x:v>0</x:v>
      </x:c>
      <x:c r="K154" s="12" t="n">
        <x:v>0</x:v>
      </x:c>
      <x:c r="L154" s="12" t="n">
        <x:v>0</x:v>
      </x:c>
      <x:c r="M154" s="2" t="str">
        <x:v>空仓</x:v>
      </x:c>
    </x:row>
    <x:row r="155" ht="23" customHeight="1">
      <x:c r="A155" s="11" t="d">
        <x:v>2015-08-06T00:00:00.000Z</x:v>
      </x:c>
      <x:c r="B155" s="12" t="n">
        <x:v>36.66893</x:v>
      </x:c>
      <x:c r="C155" s="13" t="n">
        <x:v>419</x:v>
      </x:c>
      <x:c r="D155" s="12" t="n">
        <x:v>87298.65</x:v>
      </x:c>
      <x:c r="E155" s="12" t="n">
        <x:v>0</x:v>
      </x:c>
      <x:c r="F155" s="12" t="n">
        <x:f>SUM(B155,D155:E155)</x:f>
        <x:v>87335.31893</x:v>
      </x:c>
      <x:c r="G155" s="12" t="n">
        <x:f>MAX(G154,F155)</x:f>
        <x:v>100000</x:v>
      </x:c>
      <x:c r="H155" s="14" t="n">
        <x:f>F155/G155-1</x:f>
        <x:v>-0.12664681070000006</x:v>
      </x:c>
      <x:c r="I155" s="14" t="n">
        <x:f>F155/F154-1</x:f>
        <x:v>-0.010210895148778487</x:v>
      </x:c>
      <x:c r="J155" s="12" t="n">
        <x:v>0</x:v>
      </x:c>
      <x:c r="K155" s="12" t="n">
        <x:v>0</x:v>
      </x:c>
      <x:c r="L155" s="12" t="n">
        <x:v>419</x:v>
      </x:c>
      <x:c r="M155" s="2" t="str">
        <x:v>买入</x:v>
      </x:c>
    </x:row>
    <x:row r="156" ht="23" customHeight="1">
      <x:c r="A156" s="11" t="d">
        <x:v>2015-08-07T00:00:00.000Z</x:v>
      </x:c>
      <x:c r="B156" s="12" t="n">
        <x:v>87168.48989</x:v>
      </x:c>
      <x:c r="C156" s="13" t="n">
        <x:v>0</x:v>
      </x:c>
      <x:c r="D156" s="12" t="n">
        <x:v>0</x:v>
      </x:c>
      <x:c r="E156" s="12" t="n">
        <x:v>0</x:v>
      </x:c>
      <x:c r="F156" s="12" t="n">
        <x:f>SUM(B156,D156:E156)</x:f>
        <x:v>87168.48989</x:v>
      </x:c>
      <x:c r="G156" s="12" t="n">
        <x:f>MAX(G155,F156)</x:f>
        <x:v>100000</x:v>
      </x:c>
      <x:c r="H156" s="14" t="n">
        <x:f>F156/G156-1</x:f>
        <x:v>-0.1283151011</x:v>
      </x:c>
      <x:c r="I156" s="14" t="n">
        <x:f>F156/F155-1</x:f>
        <x:v>-0.0019102127529151414</x:v>
      </x:c>
      <x:c r="J156" s="12" t="n">
        <x:v>0</x:v>
      </x:c>
      <x:c r="K156" s="12" t="n">
        <x:v>0</x:v>
      </x:c>
      <x:c r="L156" s="12" t="n">
        <x:v>-419</x:v>
      </x:c>
      <x:c r="M156" s="2" t="str">
        <x:v>卖出</x:v>
      </x:c>
    </x:row>
    <x:row r="157" ht="23" customHeight="1">
      <x:c r="A157" s="11" t="d">
        <x:v>2015-08-10T00:00:00.000Z</x:v>
      </x:c>
      <x:c r="B157" s="12" t="n">
        <x:v>87168.48989</x:v>
      </x:c>
      <x:c r="C157" s="13" t="n">
        <x:v>0</x:v>
      </x:c>
      <x:c r="D157" s="12" t="n">
        <x:v>0</x:v>
      </x:c>
      <x:c r="E157" s="12" t="n">
        <x:v>0</x:v>
      </x:c>
      <x:c r="F157" s="12" t="n">
        <x:f>SUM(B157,D157:E157)</x:f>
        <x:v>87168.48989</x:v>
      </x:c>
      <x:c r="G157" s="12" t="n">
        <x:f>MAX(G156,F157)</x:f>
        <x:v>100000</x:v>
      </x:c>
      <x:c r="H157" s="14" t="n">
        <x:f>F157/G157-1</x:f>
        <x:v>-0.1283151011</x:v>
      </x:c>
      <x:c r="I157" s="14" t="n">
        <x:f>F157/F156-1</x:f>
        <x:v>0</x:v>
      </x:c>
      <x:c r="J157" s="12" t="n">
        <x:v>0</x:v>
      </x:c>
      <x:c r="K157" s="12" t="n">
        <x:v>0</x:v>
      </x:c>
      <x:c r="L157" s="12" t="n">
        <x:v>0</x:v>
      </x:c>
      <x:c r="M157" s="2" t="str">
        <x:v>空仓</x:v>
      </x:c>
    </x:row>
    <x:row r="158" ht="23" customHeight="1">
      <x:c r="A158" s="11" t="d">
        <x:v>2015-08-11T00:00:00.000Z</x:v>
      </x:c>
      <x:c r="B158" s="12" t="n">
        <x:v>150.03837</x:v>
      </x:c>
      <x:c r="C158" s="13" t="n">
        <x:v>416</x:v>
      </x:c>
      <x:c r="D158" s="12" t="n">
        <x:v>86806.72</x:v>
      </x:c>
      <x:c r="E158" s="12" t="n">
        <x:v>0</x:v>
      </x:c>
      <x:c r="F158" s="12" t="n">
        <x:f>SUM(B158,D158:E158)</x:f>
        <x:v>86956.75837</x:v>
      </x:c>
      <x:c r="G158" s="12" t="n">
        <x:f>MAX(G157,F158)</x:f>
        <x:v>100000</x:v>
      </x:c>
      <x:c r="H158" s="14" t="n">
        <x:f>F158/G158-1</x:f>
        <x:v>-0.13043241630000002</x:v>
      </x:c>
      <x:c r="I158" s="14" t="n">
        <x:f>F158/F157-1</x:f>
        <x:v>-0.0024289914884058073</x:v>
      </x:c>
      <x:c r="J158" s="12" t="n">
        <x:v>0</x:v>
      </x:c>
      <x:c r="K158" s="12" t="n">
        <x:v>0</x:v>
      </x:c>
      <x:c r="L158" s="12" t="n">
        <x:v>416</x:v>
      </x:c>
      <x:c r="M158" s="2" t="str">
        <x:v>买入</x:v>
      </x:c>
    </x:row>
    <x:row r="159" ht="23" customHeight="1">
      <x:c r="A159" s="11" t="d">
        <x:v>2015-08-12T00:00:00.000Z</x:v>
      </x:c>
      <x:c r="B159" s="12" t="n">
        <x:v>86221.64061</x:v>
      </x:c>
      <x:c r="C159" s="13" t="n">
        <x:v>0</x:v>
      </x:c>
      <x:c r="D159" s="12" t="n">
        <x:v>0</x:v>
      </x:c>
      <x:c r="E159" s="12" t="n">
        <x:v>0</x:v>
      </x:c>
      <x:c r="F159" s="12" t="n">
        <x:f>SUM(B159,D159:E159)</x:f>
        <x:v>86221.64061</x:v>
      </x:c>
      <x:c r="G159" s="12" t="n">
        <x:f>MAX(G158,F159)</x:f>
        <x:v>100000</x:v>
      </x:c>
      <x:c r="H159" s="14" t="n">
        <x:f>F159/G159-1</x:f>
        <x:v>-0.13778359389999995</x:v>
      </x:c>
      <x:c r="I159" s="14" t="n">
        <x:f>F159/F158-1</x:f>
        <x:v>-0.008453831234969456</x:v>
      </x:c>
      <x:c r="J159" s="12" t="n">
        <x:v>0</x:v>
      </x:c>
      <x:c r="K159" s="12" t="n">
        <x:v>0</x:v>
      </x:c>
      <x:c r="L159" s="12" t="n">
        <x:v>-416</x:v>
      </x:c>
      <x:c r="M159" s="2" t="str">
        <x:v>卖出</x:v>
      </x:c>
    </x:row>
    <x:row r="160" ht="23" customHeight="1">
      <x:c r="A160" s="11" t="d">
        <x:v>2015-08-13T00:00:00.000Z</x:v>
      </x:c>
      <x:c r="B160" s="12" t="n">
        <x:v>86221.64061</x:v>
      </x:c>
      <x:c r="C160" s="13" t="n">
        <x:v>0</x:v>
      </x:c>
      <x:c r="D160" s="12" t="n">
        <x:v>0</x:v>
      </x:c>
      <x:c r="E160" s="12" t="n">
        <x:v>0</x:v>
      </x:c>
      <x:c r="F160" s="12" t="n">
        <x:f>SUM(B160,D160:E160)</x:f>
        <x:v>86221.64061</x:v>
      </x:c>
      <x:c r="G160" s="12" t="n">
        <x:f>MAX(G159,F160)</x:f>
        <x:v>100000</x:v>
      </x:c>
      <x:c r="H160" s="14" t="n">
        <x:f>F160/G160-1</x:f>
        <x:v>-0.13778359389999995</x:v>
      </x:c>
      <x:c r="I160" s="14" t="n">
        <x:f>F160/F159-1</x:f>
        <x:v>0</x:v>
      </x:c>
      <x:c r="J160" s="12" t="n">
        <x:v>0</x:v>
      </x:c>
      <x:c r="K160" s="12" t="n">
        <x:v>0</x:v>
      </x:c>
      <x:c r="L160" s="12" t="n">
        <x:v>0</x:v>
      </x:c>
      <x:c r="M160" s="2" t="str">
        <x:v>空仓</x:v>
      </x:c>
    </x:row>
    <x:row r="161" ht="23" customHeight="1">
      <x:c r="A161" s="11" t="d">
        <x:v>2015-08-14T00:00:00.000Z</x:v>
      </x:c>
      <x:c r="B161" s="12" t="n">
        <x:v>86221.64061</x:v>
      </x:c>
      <x:c r="C161" s="13" t="n">
        <x:v>0</x:v>
      </x:c>
      <x:c r="D161" s="12" t="n">
        <x:v>0</x:v>
      </x:c>
      <x:c r="E161" s="12" t="n">
        <x:v>0</x:v>
      </x:c>
      <x:c r="F161" s="12" t="n">
        <x:f>SUM(B161,D161:E161)</x:f>
        <x:v>86221.64061</x:v>
      </x:c>
      <x:c r="G161" s="12" t="n">
        <x:f>MAX(G160,F161)</x:f>
        <x:v>100000</x:v>
      </x:c>
      <x:c r="H161" s="14" t="n">
        <x:f>F161/G161-1</x:f>
        <x:v>-0.13778359389999995</x:v>
      </x:c>
      <x:c r="I161" s="14" t="n">
        <x:f>F161/F160-1</x:f>
        <x:v>0</x:v>
      </x:c>
      <x:c r="J161" s="12" t="n">
        <x:v>0</x:v>
      </x:c>
      <x:c r="K161" s="12" t="n">
        <x:v>0</x:v>
      </x:c>
      <x:c r="L161" s="12" t="n">
        <x:v>0</x:v>
      </x:c>
      <x:c r="M161" s="2" t="str">
        <x:v>空仓</x:v>
      </x:c>
    </x:row>
    <x:row r="162" ht="23" customHeight="1">
      <x:c r="A162" s="11" t="d">
        <x:v>2015-08-17T00:00:00.000Z</x:v>
      </x:c>
      <x:c r="B162" s="12" t="n">
        <x:v>86221.64061</x:v>
      </x:c>
      <x:c r="C162" s="13" t="n">
        <x:v>0</x:v>
      </x:c>
      <x:c r="D162" s="12" t="n">
        <x:v>0</x:v>
      </x:c>
      <x:c r="E162" s="12" t="n">
        <x:v>0</x:v>
      </x:c>
      <x:c r="F162" s="12" t="n">
        <x:f>SUM(B162,D162:E162)</x:f>
        <x:v>86221.64061</x:v>
      </x:c>
      <x:c r="G162" s="12" t="n">
        <x:f>MAX(G161,F162)</x:f>
        <x:v>100000</x:v>
      </x:c>
      <x:c r="H162" s="14" t="n">
        <x:f>F162/G162-1</x:f>
        <x:v>-0.13778359389999995</x:v>
      </x:c>
      <x:c r="I162" s="14" t="n">
        <x:f>F162/F161-1</x:f>
        <x:v>0</x:v>
      </x:c>
      <x:c r="J162" s="12" t="n">
        <x:v>0</x:v>
      </x:c>
      <x:c r="K162" s="12" t="n">
        <x:v>0</x:v>
      </x:c>
      <x:c r="L162" s="12" t="n">
        <x:v>0</x:v>
      </x:c>
      <x:c r="M162" s="2" t="str">
        <x:v>空仓</x:v>
      </x:c>
    </x:row>
    <x:row r="163" ht="23" customHeight="1">
      <x:c r="A163" s="11" t="d">
        <x:v>2015-08-18T00:00:00.000Z</x:v>
      </x:c>
      <x:c r="B163" s="12" t="n">
        <x:v>139.30427</x:v>
      </x:c>
      <x:c r="C163" s="13" t="n">
        <x:v>409</x:v>
      </x:c>
      <x:c r="D163" s="12" t="n">
        <x:v>85881.81999999999</x:v>
      </x:c>
      <x:c r="E163" s="12" t="n">
        <x:v>0</x:v>
      </x:c>
      <x:c r="F163" s="12" t="n">
        <x:f>SUM(B163,D163:E163)</x:f>
        <x:v>86021.12426999999</x:v>
      </x:c>
      <x:c r="G163" s="12" t="n">
        <x:f>MAX(G162,F163)</x:f>
        <x:v>100000</x:v>
      </x:c>
      <x:c r="H163" s="14" t="n">
        <x:f>F163/G163-1</x:f>
        <x:v>-0.13978875730000018</x:v>
      </x:c>
      <x:c r="I163" s="14" t="n">
        <x:f>F163/F162-1</x:f>
        <x:v>-0.002325591795533044</x:v>
      </x:c>
      <x:c r="J163" s="12" t="n">
        <x:v>0</x:v>
      </x:c>
      <x:c r="K163" s="12" t="n">
        <x:v>0</x:v>
      </x:c>
      <x:c r="L163" s="12" t="n">
        <x:v>409</x:v>
      </x:c>
      <x:c r="M163" s="2" t="str">
        <x:v>买入</x:v>
      </x:c>
    </x:row>
    <x:row r="164" ht="23" customHeight="1">
      <x:c r="A164" s="11" t="d">
        <x:v>2015-08-19T00:00:00.000Z</x:v>
      </x:c>
      <x:c r="B164" s="12" t="n">
        <x:v>139.30427</x:v>
      </x:c>
      <x:c r="C164" s="13" t="n">
        <x:v>409</x:v>
      </x:c>
      <x:c r="D164" s="12" t="n">
        <x:v>85202.87999999999</x:v>
      </x:c>
      <x:c r="E164" s="12" t="n">
        <x:v>0</x:v>
      </x:c>
      <x:c r="F164" s="12" t="n">
        <x:f>SUM(B164,D164:E164)</x:f>
        <x:v>85342.18426999998</x:v>
      </x:c>
      <x:c r="G164" s="12" t="n">
        <x:f>MAX(G163,F164)</x:f>
        <x:v>100000</x:v>
      </x:c>
      <x:c r="H164" s="14" t="n">
        <x:f>F164/G164-1</x:f>
        <x:v>-0.14657815730000012</x:v>
      </x:c>
      <x:c r="I164" s="14" t="n">
        <x:f>F164/F163-1</x:f>
        <x:v>-0.007892712467567509</x:v>
      </x:c>
      <x:c r="J164" s="12" t="n">
        <x:v>0</x:v>
      </x:c>
      <x:c r="K164" s="12" t="n">
        <x:v>0</x:v>
      </x:c>
      <x:c r="L164" s="12" t="n">
        <x:v>0</x:v>
      </x:c>
      <x:c r="M164" s="2" t="str">
        <x:v>持有</x:v>
      </x:c>
    </x:row>
    <x:row r="165" ht="23" customHeight="1">
      <x:c r="A165" s="11" t="d">
        <x:v>2015-08-20T00:00:00.000Z</x:v>
      </x:c>
      <x:c r="B165" s="12" t="n">
        <x:v>84517.43168</x:v>
      </x:c>
      <x:c r="C165" s="13" t="n">
        <x:v>0</x:v>
      </x:c>
      <x:c r="D165" s="12" t="n">
        <x:v>0</x:v>
      </x:c>
      <x:c r="E165" s="12" t="n">
        <x:v>0</x:v>
      </x:c>
      <x:c r="F165" s="12" t="n">
        <x:f>SUM(B165,D165:E165)</x:f>
        <x:v>84517.43168</x:v>
      </x:c>
      <x:c r="G165" s="12" t="n">
        <x:f>MAX(G164,F165)</x:f>
        <x:v>100000</x:v>
      </x:c>
      <x:c r="H165" s="14" t="n">
        <x:f>F165/G165-1</x:f>
        <x:v>-0.1548256832</x:v>
      </x:c>
      <x:c r="I165" s="14" t="n">
        <x:f>F165/F164-1</x:f>
        <x:v>-0.00966406703853151</x:v>
      </x:c>
      <x:c r="J165" s="12" t="n">
        <x:v>0</x:v>
      </x:c>
      <x:c r="K165" s="12" t="n">
        <x:v>0</x:v>
      </x:c>
      <x:c r="L165" s="12" t="n">
        <x:v>-409</x:v>
      </x:c>
      <x:c r="M165" s="2" t="str">
        <x:v>卖出</x:v>
      </x:c>
    </x:row>
    <x:row r="166" ht="23" customHeight="1">
      <x:c r="A166" s="11" t="d">
        <x:v>2015-08-21T00:00:00.000Z</x:v>
      </x:c>
      <x:c r="B166" s="12" t="n">
        <x:v>84517.43168</x:v>
      </x:c>
      <x:c r="C166" s="13" t="n">
        <x:v>0</x:v>
      </x:c>
      <x:c r="D166" s="12" t="n">
        <x:v>0</x:v>
      </x:c>
      <x:c r="E166" s="12" t="n">
        <x:v>0</x:v>
      </x:c>
      <x:c r="F166" s="12" t="n">
        <x:f>SUM(B166,D166:E166)</x:f>
        <x:v>84517.43168</x:v>
      </x:c>
      <x:c r="G166" s="12" t="n">
        <x:f>MAX(G165,F166)</x:f>
        <x:v>100000</x:v>
      </x:c>
      <x:c r="H166" s="14" t="n">
        <x:f>F166/G166-1</x:f>
        <x:v>-0.1548256832</x:v>
      </x:c>
      <x:c r="I166" s="14" t="n">
        <x:f>F166/F165-1</x:f>
        <x:v>0</x:v>
      </x:c>
      <x:c r="J166" s="12" t="n">
        <x:v>0</x:v>
      </x:c>
      <x:c r="K166" s="12" t="n">
        <x:v>0</x:v>
      </x:c>
      <x:c r="L166" s="12" t="n">
        <x:v>0</x:v>
      </x:c>
      <x:c r="M166" s="2" t="str">
        <x:v>空仓</x:v>
      </x:c>
    </x:row>
    <x:row r="167" ht="23" customHeight="1">
      <x:c r="A167" s="11" t="d">
        <x:v>2015-08-24T00:00:00.000Z</x:v>
      </x:c>
      <x:c r="B167" s="12" t="n">
        <x:v>84517.43168</x:v>
      </x:c>
      <x:c r="C167" s="13" t="n">
        <x:v>0</x:v>
      </x:c>
      <x:c r="D167" s="12" t="n">
        <x:v>0</x:v>
      </x:c>
      <x:c r="E167" s="12" t="n">
        <x:v>0</x:v>
      </x:c>
      <x:c r="F167" s="12" t="n">
        <x:f>SUM(B167,D167:E167)</x:f>
        <x:v>84517.43168</x:v>
      </x:c>
      <x:c r="G167" s="12" t="n">
        <x:f>MAX(G166,F167)</x:f>
        <x:v>100000</x:v>
      </x:c>
      <x:c r="H167" s="14" t="n">
        <x:f>F167/G167-1</x:f>
        <x:v>-0.1548256832</x:v>
      </x:c>
      <x:c r="I167" s="14" t="n">
        <x:f>F167/F166-1</x:f>
        <x:v>0</x:v>
      </x:c>
      <x:c r="J167" s="12" t="n">
        <x:v>0</x:v>
      </x:c>
      <x:c r="K167" s="12" t="n">
        <x:v>0</x:v>
      </x:c>
      <x:c r="L167" s="12" t="n">
        <x:v>0</x:v>
      </x:c>
      <x:c r="M167" s="2" t="str">
        <x:v>空仓</x:v>
      </x:c>
    </x:row>
    <x:row r="168" ht="23" customHeight="1">
      <x:c r="A168" s="11" t="d">
        <x:v>2015-08-25T00:00:00.000Z</x:v>
      </x:c>
      <x:c r="B168" s="12" t="n">
        <x:v>84517.43168</x:v>
      </x:c>
      <x:c r="C168" s="13" t="n">
        <x:v>0</x:v>
      </x:c>
      <x:c r="D168" s="12" t="n">
        <x:v>0</x:v>
      </x:c>
      <x:c r="E168" s="12" t="n">
        <x:v>0</x:v>
      </x:c>
      <x:c r="F168" s="12" t="n">
        <x:f>SUM(B168,D168:E168)</x:f>
        <x:v>84517.43168</x:v>
      </x:c>
      <x:c r="G168" s="12" t="n">
        <x:f>MAX(G167,F168)</x:f>
        <x:v>100000</x:v>
      </x:c>
      <x:c r="H168" s="14" t="n">
        <x:f>F168/G168-1</x:f>
        <x:v>-0.1548256832</x:v>
      </x:c>
      <x:c r="I168" s="14" t="n">
        <x:f>F168/F167-1</x:f>
        <x:v>0</x:v>
      </x:c>
      <x:c r="J168" s="12" t="n">
        <x:v>0</x:v>
      </x:c>
      <x:c r="K168" s="12" t="n">
        <x:v>0</x:v>
      </x:c>
      <x:c r="L168" s="12" t="n">
        <x:v>0</x:v>
      </x:c>
      <x:c r="M168" s="2" t="str">
        <x:v>空仓</x:v>
      </x:c>
    </x:row>
    <x:row r="169" ht="23" customHeight="1">
      <x:c r="A169" s="11" t="d">
        <x:v>2015-08-26T00:00:00.000Z</x:v>
      </x:c>
      <x:c r="B169" s="12" t="n">
        <x:v>84517.43168</x:v>
      </x:c>
      <x:c r="C169" s="13" t="n">
        <x:v>0</x:v>
      </x:c>
      <x:c r="D169" s="12" t="n">
        <x:v>0</x:v>
      </x:c>
      <x:c r="E169" s="12" t="n">
        <x:v>0</x:v>
      </x:c>
      <x:c r="F169" s="12" t="n">
        <x:f>SUM(B169,D169:E169)</x:f>
        <x:v>84517.43168</x:v>
      </x:c>
      <x:c r="G169" s="12" t="n">
        <x:f>MAX(G168,F169)</x:f>
        <x:v>100000</x:v>
      </x:c>
      <x:c r="H169" s="14" t="n">
        <x:f>F169/G169-1</x:f>
        <x:v>-0.1548256832</x:v>
      </x:c>
      <x:c r="I169" s="14" t="n">
        <x:f>F169/F168-1</x:f>
        <x:v>0</x:v>
      </x:c>
      <x:c r="J169" s="12" t="n">
        <x:v>0</x:v>
      </x:c>
      <x:c r="K169" s="12" t="n">
        <x:v>0</x:v>
      </x:c>
      <x:c r="L169" s="12" t="n">
        <x:v>0</x:v>
      </x:c>
      <x:c r="M169" s="2" t="str">
        <x:v>空仓</x:v>
      </x:c>
    </x:row>
    <x:row r="170" ht="23" customHeight="1">
      <x:c r="A170" s="11" t="d">
        <x:v>2015-08-27T00:00:00.000Z</x:v>
      </x:c>
      <x:c r="B170" s="12" t="n">
        <x:v>84517.43168</x:v>
      </x:c>
      <x:c r="C170" s="13" t="n">
        <x:v>0</x:v>
      </x:c>
      <x:c r="D170" s="12" t="n">
        <x:v>0</x:v>
      </x:c>
      <x:c r="E170" s="12" t="n">
        <x:v>0</x:v>
      </x:c>
      <x:c r="F170" s="12" t="n">
        <x:f>SUM(B170,D170:E170)</x:f>
        <x:v>84517.43168</x:v>
      </x:c>
      <x:c r="G170" s="12" t="n">
        <x:f>MAX(G169,F170)</x:f>
        <x:v>100000</x:v>
      </x:c>
      <x:c r="H170" s="14" t="n">
        <x:f>F170/G170-1</x:f>
        <x:v>-0.1548256832</x:v>
      </x:c>
      <x:c r="I170" s="14" t="n">
        <x:f>F170/F169-1</x:f>
        <x:v>0</x:v>
      </x:c>
      <x:c r="J170" s="12" t="n">
        <x:v>0</x:v>
      </x:c>
      <x:c r="K170" s="12" t="n">
        <x:v>0</x:v>
      </x:c>
      <x:c r="L170" s="12" t="n">
        <x:v>0</x:v>
      </x:c>
      <x:c r="M170" s="2" t="str">
        <x:v>空仓</x:v>
      </x:c>
    </x:row>
    <x:row r="171" ht="23" customHeight="1">
      <x:c r="A171" s="11" t="d">
        <x:v>2015-08-28T00:00:00.000Z</x:v>
      </x:c>
      <x:c r="B171" s="12" t="n">
        <x:v>84517.43168</x:v>
      </x:c>
      <x:c r="C171" s="13" t="n">
        <x:v>0</x:v>
      </x:c>
      <x:c r="D171" s="12" t="n">
        <x:v>0</x:v>
      </x:c>
      <x:c r="E171" s="12" t="n">
        <x:v>0</x:v>
      </x:c>
      <x:c r="F171" s="12" t="n">
        <x:f>SUM(B171,D171:E171)</x:f>
        <x:v>84517.43168</x:v>
      </x:c>
      <x:c r="G171" s="12" t="n">
        <x:f>MAX(G170,F171)</x:f>
        <x:v>100000</x:v>
      </x:c>
      <x:c r="H171" s="14" t="n">
        <x:f>F171/G171-1</x:f>
        <x:v>-0.1548256832</x:v>
      </x:c>
      <x:c r="I171" s="14" t="n">
        <x:f>F171/F170-1</x:f>
        <x:v>0</x:v>
      </x:c>
      <x:c r="J171" s="12" t="n">
        <x:v>0</x:v>
      </x:c>
      <x:c r="K171" s="12" t="n">
        <x:v>0</x:v>
      </x:c>
      <x:c r="L171" s="12" t="n">
        <x:v>0</x:v>
      </x:c>
      <x:c r="M171" s="2" t="str">
        <x:v>空仓</x:v>
      </x:c>
    </x:row>
    <x:row r="172" ht="23" customHeight="1">
      <x:c r="A172" s="11" t="d">
        <x:v>2015-08-31T00:00:00.000Z</x:v>
      </x:c>
      <x:c r="B172" s="12" t="n">
        <x:v>84517.43168</x:v>
      </x:c>
      <x:c r="C172" s="13" t="n">
        <x:v>0</x:v>
      </x:c>
      <x:c r="D172" s="12" t="n">
        <x:v>0</x:v>
      </x:c>
      <x:c r="E172" s="12" t="n">
        <x:v>0</x:v>
      </x:c>
      <x:c r="F172" s="12" t="n">
        <x:f>SUM(B172,D172:E172)</x:f>
        <x:v>84517.43168</x:v>
      </x:c>
      <x:c r="G172" s="12" t="n">
        <x:f>MAX(G171,F172)</x:f>
        <x:v>100000</x:v>
      </x:c>
      <x:c r="H172" s="14" t="n">
        <x:f>F172/G172-1</x:f>
        <x:v>-0.1548256832</x:v>
      </x:c>
      <x:c r="I172" s="14" t="n">
        <x:f>F172/F171-1</x:f>
        <x:v>0</x:v>
      </x:c>
      <x:c r="J172" s="12" t="n">
        <x:v>0</x:v>
      </x:c>
      <x:c r="K172" s="12" t="n">
        <x:v>0</x:v>
      </x:c>
      <x:c r="L172" s="12" t="n">
        <x:v>0</x:v>
      </x:c>
      <x:c r="M172" s="2" t="str">
        <x:v>空仓</x:v>
      </x:c>
    </x:row>
    <x:row r="173" ht="23" customHeight="1">
      <x:c r="A173" s="11" t="d">
        <x:v>2015-09-01T00:00:00.000Z</x:v>
      </x:c>
      <x:c r="B173" s="12" t="n">
        <x:v>84517.43168</x:v>
      </x:c>
      <x:c r="C173" s="13" t="n">
        <x:v>0</x:v>
      </x:c>
      <x:c r="D173" s="12" t="n">
        <x:v>0</x:v>
      </x:c>
      <x:c r="E173" s="12" t="n">
        <x:v>0</x:v>
      </x:c>
      <x:c r="F173" s="12" t="n">
        <x:f>SUM(B173,D173:E173)</x:f>
        <x:v>84517.43168</x:v>
      </x:c>
      <x:c r="G173" s="12" t="n">
        <x:f>MAX(G172,F173)</x:f>
        <x:v>100000</x:v>
      </x:c>
      <x:c r="H173" s="14" t="n">
        <x:f>F173/G173-1</x:f>
        <x:v>-0.1548256832</x:v>
      </x:c>
      <x:c r="I173" s="14" t="n">
        <x:f>F173/F172-1</x:f>
        <x:v>0</x:v>
      </x:c>
      <x:c r="J173" s="12" t="n">
        <x:v>0</x:v>
      </x:c>
      <x:c r="K173" s="12" t="n">
        <x:v>0</x:v>
      </x:c>
      <x:c r="L173" s="12" t="n">
        <x:v>0</x:v>
      </x:c>
      <x:c r="M173" s="2" t="str">
        <x:v>空仓</x:v>
      </x:c>
    </x:row>
    <x:row r="174" ht="23" customHeight="1">
      <x:c r="A174" s="11" t="d">
        <x:v>2015-09-02T00:00:00.000Z</x:v>
      </x:c>
      <x:c r="B174" s="12" t="n">
        <x:v>84517.43168</x:v>
      </x:c>
      <x:c r="C174" s="13" t="n">
        <x:v>0</x:v>
      </x:c>
      <x:c r="D174" s="12" t="n">
        <x:v>0</x:v>
      </x:c>
      <x:c r="E174" s="12" t="n">
        <x:v>0</x:v>
      </x:c>
      <x:c r="F174" s="12" t="n">
        <x:f>SUM(B174,D174:E174)</x:f>
        <x:v>84517.43168</x:v>
      </x:c>
      <x:c r="G174" s="12" t="n">
        <x:f>MAX(G173,F174)</x:f>
        <x:v>100000</x:v>
      </x:c>
      <x:c r="H174" s="14" t="n">
        <x:f>F174/G174-1</x:f>
        <x:v>-0.1548256832</x:v>
      </x:c>
      <x:c r="I174" s="14" t="n">
        <x:f>F174/F173-1</x:f>
        <x:v>0</x:v>
      </x:c>
      <x:c r="J174" s="12" t="n">
        <x:v>0</x:v>
      </x:c>
      <x:c r="K174" s="12" t="n">
        <x:v>0</x:v>
      </x:c>
      <x:c r="L174" s="12" t="n">
        <x:v>0</x:v>
      </x:c>
      <x:c r="M174" s="2" t="str">
        <x:v>空仓</x:v>
      </x:c>
    </x:row>
    <x:row r="175" ht="23" customHeight="1">
      <x:c r="A175" s="11" t="d">
        <x:v>2015-09-03T00:00:00.000Z</x:v>
      </x:c>
      <x:c r="B175" s="12" t="n">
        <x:v>84517.43168</x:v>
      </x:c>
      <x:c r="C175" s="13" t="n">
        <x:v>0</x:v>
      </x:c>
      <x:c r="D175" s="12" t="n">
        <x:v>0</x:v>
      </x:c>
      <x:c r="E175" s="12" t="n">
        <x:v>0</x:v>
      </x:c>
      <x:c r="F175" s="12" t="n">
        <x:f>SUM(B175,D175:E175)</x:f>
        <x:v>84517.43168</x:v>
      </x:c>
      <x:c r="G175" s="12" t="n">
        <x:f>MAX(G174,F175)</x:f>
        <x:v>100000</x:v>
      </x:c>
      <x:c r="H175" s="14" t="n">
        <x:f>F175/G175-1</x:f>
        <x:v>-0.1548256832</x:v>
      </x:c>
      <x:c r="I175" s="14" t="n">
        <x:f>F175/F174-1</x:f>
        <x:v>0</x:v>
      </x:c>
      <x:c r="J175" s="12" t="n">
        <x:v>0</x:v>
      </x:c>
      <x:c r="K175" s="12" t="n">
        <x:v>0</x:v>
      </x:c>
      <x:c r="L175" s="12" t="n">
        <x:v>0</x:v>
      </x:c>
      <x:c r="M175" s="2" t="str">
        <x:v>空仓</x:v>
      </x:c>
    </x:row>
    <x:row r="176" ht="23" customHeight="1">
      <x:c r="A176" s="11" t="d">
        <x:v>2015-09-04T00:00:00.000Z</x:v>
      </x:c>
      <x:c r="B176" s="12" t="n">
        <x:v>84517.43168</x:v>
      </x:c>
      <x:c r="C176" s="13" t="n">
        <x:v>0</x:v>
      </x:c>
      <x:c r="D176" s="12" t="n">
        <x:v>0</x:v>
      </x:c>
      <x:c r="E176" s="12" t="n">
        <x:v>0</x:v>
      </x:c>
      <x:c r="F176" s="12" t="n">
        <x:f>SUM(B176,D176:E176)</x:f>
        <x:v>84517.43168</x:v>
      </x:c>
      <x:c r="G176" s="12" t="n">
        <x:f>MAX(G175,F176)</x:f>
        <x:v>100000</x:v>
      </x:c>
      <x:c r="H176" s="14" t="n">
        <x:f>F176/G176-1</x:f>
        <x:v>-0.1548256832</x:v>
      </x:c>
      <x:c r="I176" s="14" t="n">
        <x:f>F176/F175-1</x:f>
        <x:v>0</x:v>
      </x:c>
      <x:c r="J176" s="12" t="n">
        <x:v>0</x:v>
      </x:c>
      <x:c r="K176" s="12" t="n">
        <x:v>0</x:v>
      </x:c>
      <x:c r="L176" s="12" t="n">
        <x:v>0</x:v>
      </x:c>
      <x:c r="M176" s="2" t="str">
        <x:v>空仓</x:v>
      </x:c>
    </x:row>
    <x:row r="177" ht="23" customHeight="1">
      <x:c r="A177" s="11" t="d">
        <x:v>2015-09-08T00:00:00.000Z</x:v>
      </x:c>
      <x:c r="B177" s="12" t="n">
        <x:v>84517.43168</x:v>
      </x:c>
      <x:c r="C177" s="13" t="n">
        <x:v>0</x:v>
      </x:c>
      <x:c r="D177" s="12" t="n">
        <x:v>0</x:v>
      </x:c>
      <x:c r="E177" s="12" t="n">
        <x:v>0</x:v>
      </x:c>
      <x:c r="F177" s="12" t="n">
        <x:f>SUM(B177,D177:E177)</x:f>
        <x:v>84517.43168</x:v>
      </x:c>
      <x:c r="G177" s="12" t="n">
        <x:f>MAX(G176,F177)</x:f>
        <x:v>100000</x:v>
      </x:c>
      <x:c r="H177" s="14" t="n">
        <x:f>F177/G177-1</x:f>
        <x:v>-0.1548256832</x:v>
      </x:c>
      <x:c r="I177" s="14" t="n">
        <x:f>F177/F176-1</x:f>
        <x:v>0</x:v>
      </x:c>
      <x:c r="J177" s="12" t="n">
        <x:v>0</x:v>
      </x:c>
      <x:c r="K177" s="12" t="n">
        <x:v>0</x:v>
      </x:c>
      <x:c r="L177" s="12" t="n">
        <x:v>0</x:v>
      </x:c>
      <x:c r="M177" s="2" t="str">
        <x:v>空仓</x:v>
      </x:c>
    </x:row>
    <x:row r="178" ht="23" customHeight="1">
      <x:c r="A178" s="11" t="d">
        <x:v>2015-09-09T00:00:00.000Z</x:v>
      </x:c>
      <x:c r="B178" s="12" t="n">
        <x:v>84517.43168</x:v>
      </x:c>
      <x:c r="C178" s="13" t="n">
        <x:v>0</x:v>
      </x:c>
      <x:c r="D178" s="12" t="n">
        <x:v>0</x:v>
      </x:c>
      <x:c r="E178" s="12" t="n">
        <x:v>0</x:v>
      </x:c>
      <x:c r="F178" s="12" t="n">
        <x:f>SUM(B178,D178:E178)</x:f>
        <x:v>84517.43168</x:v>
      </x:c>
      <x:c r="G178" s="12" t="n">
        <x:f>MAX(G177,F178)</x:f>
        <x:v>100000</x:v>
      </x:c>
      <x:c r="H178" s="14" t="n">
        <x:f>F178/G178-1</x:f>
        <x:v>-0.1548256832</x:v>
      </x:c>
      <x:c r="I178" s="14" t="n">
        <x:f>F178/F177-1</x:f>
        <x:v>0</x:v>
      </x:c>
      <x:c r="J178" s="12" t="n">
        <x:v>0</x:v>
      </x:c>
      <x:c r="K178" s="12" t="n">
        <x:v>0</x:v>
      </x:c>
      <x:c r="L178" s="12" t="n">
        <x:v>0</x:v>
      </x:c>
      <x:c r="M178" s="2" t="str">
        <x:v>空仓</x:v>
      </x:c>
    </x:row>
    <x:row r="179" ht="23" customHeight="1">
      <x:c r="A179" s="11" t="d">
        <x:v>2015-09-10T00:00:00.000Z</x:v>
      </x:c>
      <x:c r="B179" s="12" t="n">
        <x:v>84517.43168</x:v>
      </x:c>
      <x:c r="C179" s="13" t="n">
        <x:v>0</x:v>
      </x:c>
      <x:c r="D179" s="12" t="n">
        <x:v>0</x:v>
      </x:c>
      <x:c r="E179" s="12" t="n">
        <x:v>0</x:v>
      </x:c>
      <x:c r="F179" s="12" t="n">
        <x:f>SUM(B179,D179:E179)</x:f>
        <x:v>84517.43168</x:v>
      </x:c>
      <x:c r="G179" s="12" t="n">
        <x:f>MAX(G178,F179)</x:f>
        <x:v>100000</x:v>
      </x:c>
      <x:c r="H179" s="14" t="n">
        <x:f>F179/G179-1</x:f>
        <x:v>-0.1548256832</x:v>
      </x:c>
      <x:c r="I179" s="14" t="n">
        <x:f>F179/F178-1</x:f>
        <x:v>0</x:v>
      </x:c>
      <x:c r="J179" s="12" t="n">
        <x:v>0</x:v>
      </x:c>
      <x:c r="K179" s="12" t="n">
        <x:v>0</x:v>
      </x:c>
      <x:c r="L179" s="12" t="n">
        <x:v>0</x:v>
      </x:c>
      <x:c r="M179" s="2" t="str">
        <x:v>空仓</x:v>
      </x:c>
    </x:row>
    <x:row r="180" ht="23" customHeight="1">
      <x:c r="A180" s="11" t="d">
        <x:v>2015-09-11T00:00:00.000Z</x:v>
      </x:c>
      <x:c r="B180" s="12" t="n">
        <x:v>84517.43168</x:v>
      </x:c>
      <x:c r="C180" s="13" t="n">
        <x:v>0</x:v>
      </x:c>
      <x:c r="D180" s="12" t="n">
        <x:v>0</x:v>
      </x:c>
      <x:c r="E180" s="12" t="n">
        <x:v>0</x:v>
      </x:c>
      <x:c r="F180" s="12" t="n">
        <x:f>SUM(B180,D180:E180)</x:f>
        <x:v>84517.43168</x:v>
      </x:c>
      <x:c r="G180" s="12" t="n">
        <x:f>MAX(G179,F180)</x:f>
        <x:v>100000</x:v>
      </x:c>
      <x:c r="H180" s="14" t="n">
        <x:f>F180/G180-1</x:f>
        <x:v>-0.1548256832</x:v>
      </x:c>
      <x:c r="I180" s="14" t="n">
        <x:f>F180/F179-1</x:f>
        <x:v>0</x:v>
      </x:c>
      <x:c r="J180" s="12" t="n">
        <x:v>0</x:v>
      </x:c>
      <x:c r="K180" s="12" t="n">
        <x:v>0</x:v>
      </x:c>
      <x:c r="L180" s="12" t="n">
        <x:v>0</x:v>
      </x:c>
      <x:c r="M180" s="2" t="str">
        <x:v>空仓</x:v>
      </x:c>
    </x:row>
    <x:row r="181" ht="23" customHeight="1">
      <x:c r="A181" s="11" t="d">
        <x:v>2015-09-14T00:00:00.000Z</x:v>
      </x:c>
      <x:c r="B181" s="12" t="n">
        <x:v>84517.43168</x:v>
      </x:c>
      <x:c r="C181" s="13" t="n">
        <x:v>0</x:v>
      </x:c>
      <x:c r="D181" s="12" t="n">
        <x:v>0</x:v>
      </x:c>
      <x:c r="E181" s="12" t="n">
        <x:v>0</x:v>
      </x:c>
      <x:c r="F181" s="12" t="n">
        <x:f>SUM(B181,D181:E181)</x:f>
        <x:v>84517.43168</x:v>
      </x:c>
      <x:c r="G181" s="12" t="n">
        <x:f>MAX(G180,F181)</x:f>
        <x:v>100000</x:v>
      </x:c>
      <x:c r="H181" s="14" t="n">
        <x:f>F181/G181-1</x:f>
        <x:v>-0.1548256832</x:v>
      </x:c>
      <x:c r="I181" s="14" t="n">
        <x:f>F181/F180-1</x:f>
        <x:v>0</x:v>
      </x:c>
      <x:c r="J181" s="12" t="n">
        <x:v>0</x:v>
      </x:c>
      <x:c r="K181" s="12" t="n">
        <x:v>0</x:v>
      </x:c>
      <x:c r="L181" s="12" t="n">
        <x:v>0</x:v>
      </x:c>
      <x:c r="M181" s="2" t="str">
        <x:v>空仓</x:v>
      </x:c>
    </x:row>
    <x:row r="182" ht="23" customHeight="1">
      <x:c r="A182" s="11" t="d">
        <x:v>2015-09-15T00:00:00.000Z</x:v>
      </x:c>
      <x:c r="B182" s="12" t="n">
        <x:v>84517.43168</x:v>
      </x:c>
      <x:c r="C182" s="13" t="n">
        <x:v>0</x:v>
      </x:c>
      <x:c r="D182" s="12" t="n">
        <x:v>0</x:v>
      </x:c>
      <x:c r="E182" s="12" t="n">
        <x:v>0</x:v>
      </x:c>
      <x:c r="F182" s="12" t="n">
        <x:f>SUM(B182,D182:E182)</x:f>
        <x:v>84517.43168</x:v>
      </x:c>
      <x:c r="G182" s="12" t="n">
        <x:f>MAX(G181,F182)</x:f>
        <x:v>100000</x:v>
      </x:c>
      <x:c r="H182" s="14" t="n">
        <x:f>F182/G182-1</x:f>
        <x:v>-0.1548256832</x:v>
      </x:c>
      <x:c r="I182" s="14" t="n">
        <x:f>F182/F181-1</x:f>
        <x:v>0</x:v>
      </x:c>
      <x:c r="J182" s="12" t="n">
        <x:v>0</x:v>
      </x:c>
      <x:c r="K182" s="12" t="n">
        <x:v>0</x:v>
      </x:c>
      <x:c r="L182" s="12" t="n">
        <x:v>0</x:v>
      </x:c>
      <x:c r="M182" s="2" t="str">
        <x:v>空仓</x:v>
      </x:c>
    </x:row>
    <x:row r="183" ht="23" customHeight="1">
      <x:c r="A183" s="11" t="d">
        <x:v>2015-09-16T00:00:00.000Z</x:v>
      </x:c>
      <x:c r="B183" s="12" t="n">
        <x:v>84517.43168</x:v>
      </x:c>
      <x:c r="C183" s="13" t="n">
        <x:v>0</x:v>
      </x:c>
      <x:c r="D183" s="12" t="n">
        <x:v>0</x:v>
      </x:c>
      <x:c r="E183" s="12" t="n">
        <x:v>0</x:v>
      </x:c>
      <x:c r="F183" s="12" t="n">
        <x:f>SUM(B183,D183:E183)</x:f>
        <x:v>84517.43168</x:v>
      </x:c>
      <x:c r="G183" s="12" t="n">
        <x:f>MAX(G182,F183)</x:f>
        <x:v>100000</x:v>
      </x:c>
      <x:c r="H183" s="14" t="n">
        <x:f>F183/G183-1</x:f>
        <x:v>-0.1548256832</x:v>
      </x:c>
      <x:c r="I183" s="14" t="n">
        <x:f>F183/F182-1</x:f>
        <x:v>0</x:v>
      </x:c>
      <x:c r="J183" s="12" t="n">
        <x:v>0</x:v>
      </x:c>
      <x:c r="K183" s="12" t="n">
        <x:v>0</x:v>
      </x:c>
      <x:c r="L183" s="12" t="n">
        <x:v>0</x:v>
      </x:c>
      <x:c r="M183" s="2" t="str">
        <x:v>空仓</x:v>
      </x:c>
    </x:row>
    <x:row r="184" ht="23" customHeight="1">
      <x:c r="A184" s="11" t="d">
        <x:v>2015-09-17T00:00:00.000Z</x:v>
      </x:c>
      <x:c r="B184" s="12" t="n">
        <x:v>84517.43168</x:v>
      </x:c>
      <x:c r="C184" s="13" t="n">
        <x:v>0</x:v>
      </x:c>
      <x:c r="D184" s="12" t="n">
        <x:v>0</x:v>
      </x:c>
      <x:c r="E184" s="12" t="n">
        <x:v>0</x:v>
      </x:c>
      <x:c r="F184" s="12" t="n">
        <x:f>SUM(B184,D184:E184)</x:f>
        <x:v>84517.43168</x:v>
      </x:c>
      <x:c r="G184" s="12" t="n">
        <x:f>MAX(G183,F184)</x:f>
        <x:v>100000</x:v>
      </x:c>
      <x:c r="H184" s="14" t="n">
        <x:f>F184/G184-1</x:f>
        <x:v>-0.1548256832</x:v>
      </x:c>
      <x:c r="I184" s="14" t="n">
        <x:f>F184/F183-1</x:f>
        <x:v>0</x:v>
      </x:c>
      <x:c r="J184" s="12" t="n">
        <x:v>0</x:v>
      </x:c>
      <x:c r="K184" s="12" t="n">
        <x:v>0</x:v>
      </x:c>
      <x:c r="L184" s="12" t="n">
        <x:v>0</x:v>
      </x:c>
      <x:c r="M184" s="2" t="str">
        <x:v>空仓</x:v>
      </x:c>
    </x:row>
    <x:row r="185" ht="23" customHeight="1">
      <x:c r="A185" s="11" t="d">
        <x:v>2015-09-18T00:00:00.000Z</x:v>
      </x:c>
      <x:c r="B185" s="12" t="n">
        <x:v>84517.43168</x:v>
      </x:c>
      <x:c r="C185" s="13" t="n">
        <x:v>0</x:v>
      </x:c>
      <x:c r="D185" s="12" t="n">
        <x:v>0</x:v>
      </x:c>
      <x:c r="E185" s="12" t="n">
        <x:v>0</x:v>
      </x:c>
      <x:c r="F185" s="12" t="n">
        <x:f>SUM(B185,D185:E185)</x:f>
        <x:v>84517.43168</x:v>
      </x:c>
      <x:c r="G185" s="12" t="n">
        <x:f>MAX(G184,F185)</x:f>
        <x:v>100000</x:v>
      </x:c>
      <x:c r="H185" s="14" t="n">
        <x:f>F185/G185-1</x:f>
        <x:v>-0.1548256832</x:v>
      </x:c>
      <x:c r="I185" s="14" t="n">
        <x:f>F185/F184-1</x:f>
        <x:v>0</x:v>
      </x:c>
      <x:c r="J185" s="12" t="n">
        <x:v>0</x:v>
      </x:c>
      <x:c r="K185" s="12" t="n">
        <x:v>0</x:v>
      </x:c>
      <x:c r="L185" s="12" t="n">
        <x:v>0</x:v>
      </x:c>
      <x:c r="M185" s="2" t="str">
        <x:v>空仓</x:v>
      </x:c>
    </x:row>
    <x:row r="186" ht="23" customHeight="1">
      <x:c r="A186" s="11" t="d">
        <x:v>2015-09-21T00:00:00.000Z</x:v>
      </x:c>
      <x:c r="B186" s="12" t="n">
        <x:v>84517.43168</x:v>
      </x:c>
      <x:c r="C186" s="13" t="n">
        <x:v>0</x:v>
      </x:c>
      <x:c r="D186" s="12" t="n">
        <x:v>0</x:v>
      </x:c>
      <x:c r="E186" s="12" t="n">
        <x:v>0</x:v>
      </x:c>
      <x:c r="F186" s="12" t="n">
        <x:f>SUM(B186,D186:E186)</x:f>
        <x:v>84517.43168</x:v>
      </x:c>
      <x:c r="G186" s="12" t="n">
        <x:f>MAX(G185,F186)</x:f>
        <x:v>100000</x:v>
      </x:c>
      <x:c r="H186" s="14" t="n">
        <x:f>F186/G186-1</x:f>
        <x:v>-0.1548256832</x:v>
      </x:c>
      <x:c r="I186" s="14" t="n">
        <x:f>F186/F185-1</x:f>
        <x:v>0</x:v>
      </x:c>
      <x:c r="J186" s="12" t="n">
        <x:v>0</x:v>
      </x:c>
      <x:c r="K186" s="12" t="n">
        <x:v>0</x:v>
      </x:c>
      <x:c r="L186" s="12" t="n">
        <x:v>0</x:v>
      </x:c>
      <x:c r="M186" s="2" t="str">
        <x:v>空仓</x:v>
      </x:c>
    </x:row>
    <x:row r="187" ht="23" customHeight="1">
      <x:c r="A187" s="11" t="d">
        <x:v>2015-09-22T00:00:00.000Z</x:v>
      </x:c>
      <x:c r="B187" s="12" t="n">
        <x:v>84517.43168</x:v>
      </x:c>
      <x:c r="C187" s="13" t="n">
        <x:v>0</x:v>
      </x:c>
      <x:c r="D187" s="12" t="n">
        <x:v>0</x:v>
      </x:c>
      <x:c r="E187" s="12" t="n">
        <x:v>0</x:v>
      </x:c>
      <x:c r="F187" s="12" t="n">
        <x:f>SUM(B187,D187:E187)</x:f>
        <x:v>84517.43168</x:v>
      </x:c>
      <x:c r="G187" s="12" t="n">
        <x:f>MAX(G186,F187)</x:f>
        <x:v>100000</x:v>
      </x:c>
      <x:c r="H187" s="14" t="n">
        <x:f>F187/G187-1</x:f>
        <x:v>-0.1548256832</x:v>
      </x:c>
      <x:c r="I187" s="14" t="n">
        <x:f>F187/F186-1</x:f>
        <x:v>0</x:v>
      </x:c>
      <x:c r="J187" s="12" t="n">
        <x:v>0</x:v>
      </x:c>
      <x:c r="K187" s="12" t="n">
        <x:v>0</x:v>
      </x:c>
      <x:c r="L187" s="12" t="n">
        <x:v>0</x:v>
      </x:c>
      <x:c r="M187" s="2" t="str">
        <x:v>空仓</x:v>
      </x:c>
    </x:row>
    <x:row r="188" ht="23" customHeight="1">
      <x:c r="A188" s="11" t="d">
        <x:v>2015-09-23T00:00:00.000Z</x:v>
      </x:c>
      <x:c r="B188" s="12" t="n">
        <x:v>84517.43168</x:v>
      </x:c>
      <x:c r="C188" s="13" t="n">
        <x:v>0</x:v>
      </x:c>
      <x:c r="D188" s="12" t="n">
        <x:v>0</x:v>
      </x:c>
      <x:c r="E188" s="12" t="n">
        <x:v>0</x:v>
      </x:c>
      <x:c r="F188" s="12" t="n">
        <x:f>SUM(B188,D188:E188)</x:f>
        <x:v>84517.43168</x:v>
      </x:c>
      <x:c r="G188" s="12" t="n">
        <x:f>MAX(G187,F188)</x:f>
        <x:v>100000</x:v>
      </x:c>
      <x:c r="H188" s="14" t="n">
        <x:f>F188/G188-1</x:f>
        <x:v>-0.1548256832</x:v>
      </x:c>
      <x:c r="I188" s="14" t="n">
        <x:f>F188/F187-1</x:f>
        <x:v>0</x:v>
      </x:c>
      <x:c r="J188" s="12" t="n">
        <x:v>0</x:v>
      </x:c>
      <x:c r="K188" s="12" t="n">
        <x:v>0</x:v>
      </x:c>
      <x:c r="L188" s="12" t="n">
        <x:v>0</x:v>
      </x:c>
      <x:c r="M188" s="2" t="str">
        <x:v>空仓</x:v>
      </x:c>
    </x:row>
    <x:row r="189" ht="23" customHeight="1">
      <x:c r="A189" s="11" t="d">
        <x:v>2015-09-24T00:00:00.000Z</x:v>
      </x:c>
      <x:c r="B189" s="12" t="n">
        <x:v>84517.43168</x:v>
      </x:c>
      <x:c r="C189" s="13" t="n">
        <x:v>0</x:v>
      </x:c>
      <x:c r="D189" s="12" t="n">
        <x:v>0</x:v>
      </x:c>
      <x:c r="E189" s="12" t="n">
        <x:v>0</x:v>
      </x:c>
      <x:c r="F189" s="12" t="n">
        <x:f>SUM(B189,D189:E189)</x:f>
        <x:v>84517.43168</x:v>
      </x:c>
      <x:c r="G189" s="12" t="n">
        <x:f>MAX(G188,F189)</x:f>
        <x:v>100000</x:v>
      </x:c>
      <x:c r="H189" s="14" t="n">
        <x:f>F189/G189-1</x:f>
        <x:v>-0.1548256832</x:v>
      </x:c>
      <x:c r="I189" s="14" t="n">
        <x:f>F189/F188-1</x:f>
        <x:v>0</x:v>
      </x:c>
      <x:c r="J189" s="12" t="n">
        <x:v>0</x:v>
      </x:c>
      <x:c r="K189" s="12" t="n">
        <x:v>0</x:v>
      </x:c>
      <x:c r="L189" s="12" t="n">
        <x:v>0</x:v>
      </x:c>
      <x:c r="M189" s="2" t="str">
        <x:v>空仓</x:v>
      </x:c>
    </x:row>
    <x:row r="190" ht="23" customHeight="1">
      <x:c r="A190" s="11" t="d">
        <x:v>2015-09-25T00:00:00.000Z</x:v>
      </x:c>
      <x:c r="B190" s="12" t="n">
        <x:v>84517.43168</x:v>
      </x:c>
      <x:c r="C190" s="13" t="n">
        <x:v>0</x:v>
      </x:c>
      <x:c r="D190" s="12" t="n">
        <x:v>0</x:v>
      </x:c>
      <x:c r="E190" s="12" t="n">
        <x:v>0</x:v>
      </x:c>
      <x:c r="F190" s="12" t="n">
        <x:f>SUM(B190,D190:E190)</x:f>
        <x:v>84517.43168</x:v>
      </x:c>
      <x:c r="G190" s="12" t="n">
        <x:f>MAX(G189,F190)</x:f>
        <x:v>100000</x:v>
      </x:c>
      <x:c r="H190" s="14" t="n">
        <x:f>F190/G190-1</x:f>
        <x:v>-0.1548256832</x:v>
      </x:c>
      <x:c r="I190" s="14" t="n">
        <x:f>F190/F189-1</x:f>
        <x:v>0</x:v>
      </x:c>
      <x:c r="J190" s="12" t="n">
        <x:v>0</x:v>
      </x:c>
      <x:c r="K190" s="12" t="n">
        <x:v>0</x:v>
      </x:c>
      <x:c r="L190" s="12" t="n">
        <x:v>0</x:v>
      </x:c>
      <x:c r="M190" s="2" t="str">
        <x:v>空仓</x:v>
      </x:c>
    </x:row>
    <x:row r="191" ht="23" customHeight="1">
      <x:c r="A191" s="11" t="d">
        <x:v>2015-09-28T00:00:00.000Z</x:v>
      </x:c>
      <x:c r="B191" s="12" t="n">
        <x:v>84517.43168</x:v>
      </x:c>
      <x:c r="C191" s="13" t="n">
        <x:v>0</x:v>
      </x:c>
      <x:c r="D191" s="12" t="n">
        <x:v>0</x:v>
      </x:c>
      <x:c r="E191" s="12" t="n">
        <x:v>0</x:v>
      </x:c>
      <x:c r="F191" s="12" t="n">
        <x:f>SUM(B191,D191:E191)</x:f>
        <x:v>84517.43168</x:v>
      </x:c>
      <x:c r="G191" s="12" t="n">
        <x:f>MAX(G190,F191)</x:f>
        <x:v>100000</x:v>
      </x:c>
      <x:c r="H191" s="14" t="n">
        <x:f>F191/G191-1</x:f>
        <x:v>-0.1548256832</x:v>
      </x:c>
      <x:c r="I191" s="14" t="n">
        <x:f>F191/F190-1</x:f>
        <x:v>0</x:v>
      </x:c>
      <x:c r="J191" s="12" t="n">
        <x:v>0</x:v>
      </x:c>
      <x:c r="K191" s="12" t="n">
        <x:v>0</x:v>
      </x:c>
      <x:c r="L191" s="12" t="n">
        <x:v>0</x:v>
      </x:c>
      <x:c r="M191" s="2" t="str">
        <x:v>空仓</x:v>
      </x:c>
    </x:row>
    <x:row r="192" ht="23" customHeight="1">
      <x:c r="A192" s="11" t="d">
        <x:v>2015-09-29T00:00:00.000Z</x:v>
      </x:c>
      <x:c r="B192" s="12" t="n">
        <x:v>84517.43168</x:v>
      </x:c>
      <x:c r="C192" s="13" t="n">
        <x:v>0</x:v>
      </x:c>
      <x:c r="D192" s="12" t="n">
        <x:v>0</x:v>
      </x:c>
      <x:c r="E192" s="12" t="n">
        <x:v>0</x:v>
      </x:c>
      <x:c r="F192" s="12" t="n">
        <x:f>SUM(B192,D192:E192)</x:f>
        <x:v>84517.43168</x:v>
      </x:c>
      <x:c r="G192" s="12" t="n">
        <x:f>MAX(G191,F192)</x:f>
        <x:v>100000</x:v>
      </x:c>
      <x:c r="H192" s="14" t="n">
        <x:f>F192/G192-1</x:f>
        <x:v>-0.1548256832</x:v>
      </x:c>
      <x:c r="I192" s="14" t="n">
        <x:f>F192/F191-1</x:f>
        <x:v>0</x:v>
      </x:c>
      <x:c r="J192" s="12" t="n">
        <x:v>0</x:v>
      </x:c>
      <x:c r="K192" s="12" t="n">
        <x:v>0</x:v>
      </x:c>
      <x:c r="L192" s="12" t="n">
        <x:v>0</x:v>
      </x:c>
      <x:c r="M192" s="2" t="str">
        <x:v>空仓</x:v>
      </x:c>
    </x:row>
    <x:row r="193" ht="23" customHeight="1">
      <x:c r="A193" s="11" t="d">
        <x:v>2015-09-30T00:00:00.000Z</x:v>
      </x:c>
      <x:c r="B193" s="12" t="n">
        <x:v>84517.43168</x:v>
      </x:c>
      <x:c r="C193" s="13" t="n">
        <x:v>0</x:v>
      </x:c>
      <x:c r="D193" s="12" t="n">
        <x:v>0</x:v>
      </x:c>
      <x:c r="E193" s="12" t="n">
        <x:v>0</x:v>
      </x:c>
      <x:c r="F193" s="12" t="n">
        <x:f>SUM(B193,D193:E193)</x:f>
        <x:v>84517.43168</x:v>
      </x:c>
      <x:c r="G193" s="12" t="n">
        <x:f>MAX(G192,F193)</x:f>
        <x:v>100000</x:v>
      </x:c>
      <x:c r="H193" s="14" t="n">
        <x:f>F193/G193-1</x:f>
        <x:v>-0.1548256832</x:v>
      </x:c>
      <x:c r="I193" s="14" t="n">
        <x:f>F193/F192-1</x:f>
        <x:v>0</x:v>
      </x:c>
      <x:c r="J193" s="12" t="n">
        <x:v>0</x:v>
      </x:c>
      <x:c r="K193" s="12" t="n">
        <x:v>0</x:v>
      </x:c>
      <x:c r="L193" s="12" t="n">
        <x:v>0</x:v>
      </x:c>
      <x:c r="M193" s="2" t="str">
        <x:v>空仓</x:v>
      </x:c>
    </x:row>
    <x:row r="194" ht="23" customHeight="1">
      <x:c r="A194" s="11" t="d">
        <x:v>2015-10-01T00:00:00.000Z</x:v>
      </x:c>
      <x:c r="B194" s="12" t="n">
        <x:v>84517.43168</x:v>
      </x:c>
      <x:c r="C194" s="13" t="n">
        <x:v>0</x:v>
      </x:c>
      <x:c r="D194" s="12" t="n">
        <x:v>0</x:v>
      </x:c>
      <x:c r="E194" s="12" t="n">
        <x:v>0</x:v>
      </x:c>
      <x:c r="F194" s="12" t="n">
        <x:f>SUM(B194,D194:E194)</x:f>
        <x:v>84517.43168</x:v>
      </x:c>
      <x:c r="G194" s="12" t="n">
        <x:f>MAX(G193,F194)</x:f>
        <x:v>100000</x:v>
      </x:c>
      <x:c r="H194" s="14" t="n">
        <x:f>F194/G194-1</x:f>
        <x:v>-0.1548256832</x:v>
      </x:c>
      <x:c r="I194" s="14" t="n">
        <x:f>F194/F193-1</x:f>
        <x:v>0</x:v>
      </x:c>
      <x:c r="J194" s="12" t="n">
        <x:v>0</x:v>
      </x:c>
      <x:c r="K194" s="12" t="n">
        <x:v>0</x:v>
      </x:c>
      <x:c r="L194" s="12" t="n">
        <x:v>0</x:v>
      </x:c>
      <x:c r="M194" s="2" t="str">
        <x:v>空仓</x:v>
      </x:c>
    </x:row>
    <x:row r="195" ht="23" customHeight="1">
      <x:c r="A195" s="11" t="d">
        <x:v>2015-10-02T00:00:00.000Z</x:v>
      </x:c>
      <x:c r="B195" s="12" t="n">
        <x:v>84517.43168</x:v>
      </x:c>
      <x:c r="C195" s="13" t="n">
        <x:v>0</x:v>
      </x:c>
      <x:c r="D195" s="12" t="n">
        <x:v>0</x:v>
      </x:c>
      <x:c r="E195" s="12" t="n">
        <x:v>0</x:v>
      </x:c>
      <x:c r="F195" s="12" t="n">
        <x:f>SUM(B195,D195:E195)</x:f>
        <x:v>84517.43168</x:v>
      </x:c>
      <x:c r="G195" s="12" t="n">
        <x:f>MAX(G194,F195)</x:f>
        <x:v>100000</x:v>
      </x:c>
      <x:c r="H195" s="14" t="n">
        <x:f>F195/G195-1</x:f>
        <x:v>-0.1548256832</x:v>
      </x:c>
      <x:c r="I195" s="14" t="n">
        <x:f>F195/F194-1</x:f>
        <x:v>0</x:v>
      </x:c>
      <x:c r="J195" s="12" t="n">
        <x:v>0</x:v>
      </x:c>
      <x:c r="K195" s="12" t="n">
        <x:v>0</x:v>
      </x:c>
      <x:c r="L195" s="12" t="n">
        <x:v>0</x:v>
      </x:c>
      <x:c r="M195" s="2" t="str">
        <x:v>空仓</x:v>
      </x:c>
    </x:row>
    <x:row r="196" ht="23" customHeight="1">
      <x:c r="A196" s="11" t="d">
        <x:v>2015-10-05T00:00:00.000Z</x:v>
      </x:c>
      <x:c r="B196" s="12" t="n">
        <x:v>84517.43168</x:v>
      </x:c>
      <x:c r="C196" s="13" t="n">
        <x:v>0</x:v>
      </x:c>
      <x:c r="D196" s="12" t="n">
        <x:v>0</x:v>
      </x:c>
      <x:c r="E196" s="12" t="n">
        <x:v>0</x:v>
      </x:c>
      <x:c r="F196" s="12" t="n">
        <x:f>SUM(B196,D196:E196)</x:f>
        <x:v>84517.43168</x:v>
      </x:c>
      <x:c r="G196" s="12" t="n">
        <x:f>MAX(G195,F196)</x:f>
        <x:v>100000</x:v>
      </x:c>
      <x:c r="H196" s="14" t="n">
        <x:f>F196/G196-1</x:f>
        <x:v>-0.1548256832</x:v>
      </x:c>
      <x:c r="I196" s="14" t="n">
        <x:f>F196/F195-1</x:f>
        <x:v>0</x:v>
      </x:c>
      <x:c r="J196" s="12" t="n">
        <x:v>0</x:v>
      </x:c>
      <x:c r="K196" s="12" t="n">
        <x:v>0</x:v>
      </x:c>
      <x:c r="L196" s="12" t="n">
        <x:v>0</x:v>
      </x:c>
      <x:c r="M196" s="2" t="str">
        <x:v>空仓</x:v>
      </x:c>
    </x:row>
    <x:row r="197" ht="23" customHeight="1">
      <x:c r="A197" s="11" t="d">
        <x:v>2015-10-06T00:00:00.000Z</x:v>
      </x:c>
      <x:c r="B197" s="12" t="n">
        <x:v>84517.43168</x:v>
      </x:c>
      <x:c r="C197" s="13" t="n">
        <x:v>0</x:v>
      </x:c>
      <x:c r="D197" s="12" t="n">
        <x:v>0</x:v>
      </x:c>
      <x:c r="E197" s="12" t="n">
        <x:v>0</x:v>
      </x:c>
      <x:c r="F197" s="12" t="n">
        <x:f>SUM(B197,D197:E197)</x:f>
        <x:v>84517.43168</x:v>
      </x:c>
      <x:c r="G197" s="12" t="n">
        <x:f>MAX(G196,F197)</x:f>
        <x:v>100000</x:v>
      </x:c>
      <x:c r="H197" s="14" t="n">
        <x:f>F197/G197-1</x:f>
        <x:v>-0.1548256832</x:v>
      </x:c>
      <x:c r="I197" s="14" t="n">
        <x:f>F197/F196-1</x:f>
        <x:v>0</x:v>
      </x:c>
      <x:c r="J197" s="12" t="n">
        <x:v>0</x:v>
      </x:c>
      <x:c r="K197" s="12" t="n">
        <x:v>0</x:v>
      </x:c>
      <x:c r="L197" s="12" t="n">
        <x:v>0</x:v>
      </x:c>
      <x:c r="M197" s="2" t="str">
        <x:v>空仓</x:v>
      </x:c>
    </x:row>
    <x:row r="198" ht="23" customHeight="1">
      <x:c r="A198" s="11" t="d">
        <x:v>2015-10-07T00:00:00.000Z</x:v>
      </x:c>
      <x:c r="B198" s="12" t="n">
        <x:v>84517.43168</x:v>
      </x:c>
      <x:c r="C198" s="13" t="n">
        <x:v>0</x:v>
      </x:c>
      <x:c r="D198" s="12" t="n">
        <x:v>0</x:v>
      </x:c>
      <x:c r="E198" s="12" t="n">
        <x:v>0</x:v>
      </x:c>
      <x:c r="F198" s="12" t="n">
        <x:f>SUM(B198,D198:E198)</x:f>
        <x:v>84517.43168</x:v>
      </x:c>
      <x:c r="G198" s="12" t="n">
        <x:f>MAX(G197,F198)</x:f>
        <x:v>100000</x:v>
      </x:c>
      <x:c r="H198" s="14" t="n">
        <x:f>F198/G198-1</x:f>
        <x:v>-0.1548256832</x:v>
      </x:c>
      <x:c r="I198" s="14" t="n">
        <x:f>F198/F197-1</x:f>
        <x:v>0</x:v>
      </x:c>
      <x:c r="J198" s="12" t="n">
        <x:v>0</x:v>
      </x:c>
      <x:c r="K198" s="12" t="n">
        <x:v>0</x:v>
      </x:c>
      <x:c r="L198" s="12" t="n">
        <x:v>0</x:v>
      </x:c>
      <x:c r="M198" s="2" t="str">
        <x:v>空仓</x:v>
      </x:c>
    </x:row>
    <x:row r="199" ht="23" customHeight="1">
      <x:c r="A199" s="11" t="d">
        <x:v>2015-10-08T00:00:00.000Z</x:v>
      </x:c>
      <x:c r="B199" s="12" t="n">
        <x:v>84517.43168</x:v>
      </x:c>
      <x:c r="C199" s="13" t="n">
        <x:v>0</x:v>
      </x:c>
      <x:c r="D199" s="12" t="n">
        <x:v>0</x:v>
      </x:c>
      <x:c r="E199" s="12" t="n">
        <x:v>0</x:v>
      </x:c>
      <x:c r="F199" s="12" t="n">
        <x:f>SUM(B199,D199:E199)</x:f>
        <x:v>84517.43168</x:v>
      </x:c>
      <x:c r="G199" s="12" t="n">
        <x:f>MAX(G198,F199)</x:f>
        <x:v>100000</x:v>
      </x:c>
      <x:c r="H199" s="14" t="n">
        <x:f>F199/G199-1</x:f>
        <x:v>-0.1548256832</x:v>
      </x:c>
      <x:c r="I199" s="14" t="n">
        <x:f>F199/F198-1</x:f>
        <x:v>0</x:v>
      </x:c>
      <x:c r="J199" s="12" t="n">
        <x:v>0</x:v>
      </x:c>
      <x:c r="K199" s="12" t="n">
        <x:v>0</x:v>
      </x:c>
      <x:c r="L199" s="12" t="n">
        <x:v>0</x:v>
      </x:c>
      <x:c r="M199" s="2" t="str">
        <x:v>空仓</x:v>
      </x:c>
    </x:row>
    <x:row r="200" ht="23" customHeight="1">
      <x:c r="A200" s="11" t="d">
        <x:v>2015-10-09T00:00:00.000Z</x:v>
      </x:c>
      <x:c r="B200" s="12" t="n">
        <x:v>54.83346</x:v>
      </x:c>
      <x:c r="C200" s="13" t="n">
        <x:v>419</x:v>
      </x:c>
      <x:c r="D200" s="12" t="n">
        <x:v>84357.27</x:v>
      </x:c>
      <x:c r="E200" s="12" t="n">
        <x:v>0</x:v>
      </x:c>
      <x:c r="F200" s="12" t="n">
        <x:f>SUM(B200,D200:E200)</x:f>
        <x:v>84412.10346</x:v>
      </x:c>
      <x:c r="G200" s="12" t="n">
        <x:f>MAX(G199,F200)</x:f>
        <x:v>100000</x:v>
      </x:c>
      <x:c r="H200" s="14" t="n">
        <x:f>F200/G200-1</x:f>
        <x:v>-0.1558789654</x:v>
      </x:c>
      <x:c r="I200" s="14" t="n">
        <x:f>F200/F199-1</x:f>
        <x:v>-0.001246230723134012</x:v>
      </x:c>
      <x:c r="J200" s="12" t="n">
        <x:v>0</x:v>
      </x:c>
      <x:c r="K200" s="12" t="n">
        <x:v>0</x:v>
      </x:c>
      <x:c r="L200" s="12" t="n">
        <x:v>419</x:v>
      </x:c>
      <x:c r="M200" s="2" t="str">
        <x:v>买入</x:v>
      </x:c>
    </x:row>
    <x:row r="201" ht="23" customHeight="1">
      <x:c r="A201" s="11" t="d">
        <x:v>2015-10-12T00:00:00.000Z</x:v>
      </x:c>
      <x:c r="B201" s="12" t="n">
        <x:v>54.83346</x:v>
      </x:c>
      <x:c r="C201" s="13" t="n">
        <x:v>419</x:v>
      </x:c>
      <x:c r="D201" s="12" t="n">
        <x:v>84436.88</x:v>
      </x:c>
      <x:c r="E201" s="12" t="n">
        <x:v>0</x:v>
      </x:c>
      <x:c r="F201" s="12" t="n">
        <x:f>SUM(B201,D201:E201)</x:f>
        <x:v>84491.71346</x:v>
      </x:c>
      <x:c r="G201" s="12" t="n">
        <x:f>MAX(G200,F201)</x:f>
        <x:v>100000</x:v>
      </x:c>
      <x:c r="H201" s="14" t="n">
        <x:f>F201/G201-1</x:f>
        <x:v>-0.15508286540000005</x:v>
      </x:c>
      <x:c r="I201" s="14" t="n">
        <x:f>F201/F200-1</x:f>
        <x:v>0.00094311119776469</x:v>
      </x:c>
      <x:c r="J201" s="12" t="n">
        <x:v>0</x:v>
      </x:c>
      <x:c r="K201" s="12" t="n">
        <x:v>0</x:v>
      </x:c>
      <x:c r="L201" s="12" t="n">
        <x:v>0</x:v>
      </x:c>
      <x:c r="M201" s="2" t="str">
        <x:v>持有</x:v>
      </x:c>
    </x:row>
    <x:row r="202" ht="23" customHeight="1">
      <x:c r="A202" s="11" t="d">
        <x:v>2015-10-13T00:00:00.000Z</x:v>
      </x:c>
      <x:c r="B202" s="12" t="n">
        <x:v>54.83346</x:v>
      </x:c>
      <x:c r="C202" s="13" t="n">
        <x:v>419</x:v>
      </x:c>
      <x:c r="D202" s="12" t="n">
        <x:v>83904.75</x:v>
      </x:c>
      <x:c r="E202" s="12" t="n">
        <x:v>0</x:v>
      </x:c>
      <x:c r="F202" s="12" t="n">
        <x:f>SUM(B202,D202:E202)</x:f>
        <x:v>83959.58346</x:v>
      </x:c>
      <x:c r="G202" s="12" t="n">
        <x:f>MAX(G201,F202)</x:f>
        <x:v>100000</x:v>
      </x:c>
      <x:c r="H202" s="14" t="n">
        <x:f>F202/G202-1</x:f>
        <x:v>-0.16040416540000002</x:v>
      </x:c>
      <x:c r="I202" s="14" t="n">
        <x:f>F202/F201-1</x:f>
        <x:v>-0.006298014067994129</x:v>
      </x:c>
      <x:c r="J202" s="12" t="n">
        <x:v>0</x:v>
      </x:c>
      <x:c r="K202" s="12" t="n">
        <x:v>0</x:v>
      </x:c>
      <x:c r="L202" s="12" t="n">
        <x:v>0</x:v>
      </x:c>
      <x:c r="M202" s="2" t="str">
        <x:v>持有</x:v>
      </x:c>
    </x:row>
    <x:row r="203" ht="23" customHeight="1">
      <x:c r="A203" s="11" t="d">
        <x:v>2015-10-14T00:00:00.000Z</x:v>
      </x:c>
      <x:c r="B203" s="12" t="n">
        <x:v>54.83346</x:v>
      </x:c>
      <x:c r="C203" s="13" t="n">
        <x:v>419</x:v>
      </x:c>
      <x:c r="D203" s="12" t="n">
        <x:v>83502.51</x:v>
      </x:c>
      <x:c r="E203" s="12" t="n">
        <x:v>0</x:v>
      </x:c>
      <x:c r="F203" s="12" t="n">
        <x:f>SUM(B203,D203:E203)</x:f>
        <x:v>83557.34345999999</x:v>
      </x:c>
      <x:c r="G203" s="12" t="n">
        <x:f>MAX(G202,F203)</x:f>
        <x:v>100000</x:v>
      </x:c>
      <x:c r="H203" s="14" t="n">
        <x:f>F203/G203-1</x:f>
        <x:v>-0.1644265654000001</x:v>
      </x:c>
      <x:c r="I203" s="14" t="n">
        <x:f>F203/F202-1</x:f>
        <x:v>-0.004790876555404111</x:v>
      </x:c>
      <x:c r="J203" s="12" t="n">
        <x:v>0</x:v>
      </x:c>
      <x:c r="K203" s="12" t="n">
        <x:v>0</x:v>
      </x:c>
      <x:c r="L203" s="12" t="n">
        <x:v>0</x:v>
      </x:c>
      <x:c r="M203" s="2" t="str">
        <x:v>持有</x:v>
      </x:c>
    </x:row>
    <x:row r="204" ht="23" customHeight="1">
      <x:c r="A204" s="11" t="d">
        <x:v>2015-10-15T00:00:00.000Z</x:v>
      </x:c>
      <x:c r="B204" s="12" t="n">
        <x:v>54.83346</x:v>
      </x:c>
      <x:c r="C204" s="13" t="n">
        <x:v>419</x:v>
      </x:c>
      <x:c r="D204" s="12" t="n">
        <x:v>84784.65</x:v>
      </x:c>
      <x:c r="E204" s="12" t="n">
        <x:v>0</x:v>
      </x:c>
      <x:c r="F204" s="12" t="n">
        <x:f>SUM(B204,D204:E204)</x:f>
        <x:v>84839.48345999999</x:v>
      </x:c>
      <x:c r="G204" s="12" t="n">
        <x:f>MAX(G203,F204)</x:f>
        <x:v>100000</x:v>
      </x:c>
      <x:c r="H204" s="14" t="n">
        <x:f>F204/G204-1</x:f>
        <x:v>-0.15160516540000013</x:v>
      </x:c>
      <x:c r="I204" s="14" t="n">
        <x:f>F204/F203-1</x:f>
        <x:v>0.015344432301318545</x:v>
      </x:c>
      <x:c r="J204" s="12" t="n">
        <x:v>0</x:v>
      </x:c>
      <x:c r="K204" s="12" t="n">
        <x:v>0</x:v>
      </x:c>
      <x:c r="L204" s="12" t="n">
        <x:v>0</x:v>
      </x:c>
      <x:c r="M204" s="2" t="str">
        <x:v>持有</x:v>
      </x:c>
    </x:row>
    <x:row r="205" ht="23" customHeight="1">
      <x:c r="A205" s="11" t="d">
        <x:v>2015-10-16T00:00:00.000Z</x:v>
      </x:c>
      <x:c r="B205" s="12" t="n">
        <x:v>54.83346</x:v>
      </x:c>
      <x:c r="C205" s="13" t="n">
        <x:v>419</x:v>
      </x:c>
      <x:c r="D205" s="12" t="n">
        <x:v>85170.13</x:v>
      </x:c>
      <x:c r="E205" s="12" t="n">
        <x:v>0</x:v>
      </x:c>
      <x:c r="F205" s="12" t="n">
        <x:f>SUM(B205,D205:E205)</x:f>
        <x:v>85224.96346</x:v>
      </x:c>
      <x:c r="G205" s="12" t="n">
        <x:f>MAX(G204,F205)</x:f>
        <x:v>100000</x:v>
      </x:c>
      <x:c r="H205" s="14" t="n">
        <x:f>F205/G205-1</x:f>
        <x:v>-0.14775036539999997</x:v>
      </x:c>
      <x:c r="I205" s="14" t="n">
        <x:f>F205/F204-1</x:f>
        <x:v>0.004543639167507996</x:v>
      </x:c>
      <x:c r="J205" s="12" t="n">
        <x:v>0</x:v>
      </x:c>
      <x:c r="K205" s="12" t="n">
        <x:v>0</x:v>
      </x:c>
      <x:c r="L205" s="12" t="n">
        <x:v>0</x:v>
      </x:c>
      <x:c r="M205" s="2" t="str">
        <x:v>持有</x:v>
      </x:c>
    </x:row>
    <x:row r="206" ht="23" customHeight="1">
      <x:c r="A206" s="11" t="d">
        <x:v>2015-10-19T00:00:00.000Z</x:v>
      </x:c>
      <x:c r="B206" s="12" t="n">
        <x:v>54.83346</x:v>
      </x:c>
      <x:c r="C206" s="13" t="n">
        <x:v>419</x:v>
      </x:c>
      <x:c r="D206" s="12" t="n">
        <x:v>85212.03</x:v>
      </x:c>
      <x:c r="E206" s="12" t="n">
        <x:v>0</x:v>
      </x:c>
      <x:c r="F206" s="12" t="n">
        <x:f>SUM(B206,D206:E206)</x:f>
        <x:v>85266.86346</x:v>
      </x:c>
      <x:c r="G206" s="12" t="n">
        <x:f>MAX(G205,F206)</x:f>
        <x:v>100000</x:v>
      </x:c>
      <x:c r="H206" s="14" t="n">
        <x:f>F206/G206-1</x:f>
        <x:v>-0.14733136540000003</x:v>
      </x:c>
      <x:c r="I206" s="14" t="n">
        <x:f>F206/F205-1</x:f>
        <x:v>0.0004916399878500677</x:v>
      </x:c>
      <x:c r="J206" s="12" t="n">
        <x:v>0</x:v>
      </x:c>
      <x:c r="K206" s="12" t="n">
        <x:v>0</x:v>
      </x:c>
      <x:c r="L206" s="12" t="n">
        <x:v>0</x:v>
      </x:c>
      <x:c r="M206" s="2" t="str">
        <x:v>持有</x:v>
      </x:c>
    </x:row>
    <x:row r="207" ht="23" customHeight="1">
      <x:c r="A207" s="11" t="d">
        <x:v>2015-10-20T00:00:00.000Z</x:v>
      </x:c>
      <x:c r="B207" s="12" t="n">
        <x:v>54.83346</x:v>
      </x:c>
      <x:c r="C207" s="13" t="n">
        <x:v>419</x:v>
      </x:c>
      <x:c r="D207" s="12" t="n">
        <x:v>85103.09000000001</x:v>
      </x:c>
      <x:c r="E207" s="12" t="n">
        <x:v>0</x:v>
      </x:c>
      <x:c r="F207" s="12" t="n">
        <x:f>SUM(B207,D207:E207)</x:f>
        <x:v>85157.92346</x:v>
      </x:c>
      <x:c r="G207" s="12" t="n">
        <x:f>MAX(G206,F207)</x:f>
        <x:v>100000</x:v>
      </x:c>
      <x:c r="H207" s="14" t="n">
        <x:f>F207/G207-1</x:f>
        <x:v>-0.14842076539999993</x:v>
      </x:c>
      <x:c r="I207" s="14" t="n">
        <x:f>F207/F206-1</x:f>
        <x:v>-0.0012776358315453873</x:v>
      </x:c>
      <x:c r="J207" s="12" t="n">
        <x:v>0</x:v>
      </x:c>
      <x:c r="K207" s="12" t="n">
        <x:v>0</x:v>
      </x:c>
      <x:c r="L207" s="12" t="n">
        <x:v>0</x:v>
      </x:c>
      <x:c r="M207" s="2" t="str">
        <x:v>持有</x:v>
      </x:c>
    </x:row>
    <x:row r="208" ht="23" customHeight="1">
      <x:c r="A208" s="11" t="d">
        <x:v>2015-10-21T00:00:00.000Z</x:v>
      </x:c>
      <x:c r="B208" s="12" t="n">
        <x:v>54.83346</x:v>
      </x:c>
      <x:c r="C208" s="13" t="n">
        <x:v>419</x:v>
      </x:c>
      <x:c r="D208" s="12" t="n">
        <x:v>84575.15</x:v>
      </x:c>
      <x:c r="E208" s="12" t="n">
        <x:v>0</x:v>
      </x:c>
      <x:c r="F208" s="12" t="n">
        <x:f>SUM(B208,D208:E208)</x:f>
        <x:v>84629.98345999999</x:v>
      </x:c>
      <x:c r="G208" s="12" t="n">
        <x:f>MAX(G207,F208)</x:f>
        <x:v>100000</x:v>
      </x:c>
      <x:c r="H208" s="14" t="n">
        <x:f>F208/G208-1</x:f>
        <x:v>-0.1537001654000001</x:v>
      </x:c>
      <x:c r="I208" s="14" t="n">
        <x:f>F208/F207-1</x:f>
        <x:v>-0.0061995405541799276</x:v>
      </x:c>
      <x:c r="J208" s="12" t="n">
        <x:v>0</x:v>
      </x:c>
      <x:c r="K208" s="12" t="n">
        <x:v>0</x:v>
      </x:c>
      <x:c r="L208" s="12" t="n">
        <x:v>0</x:v>
      </x:c>
      <x:c r="M208" s="2" t="str">
        <x:v>持有</x:v>
      </x:c>
    </x:row>
    <x:row r="209" ht="23" customHeight="1">
      <x:c r="A209" s="11" t="d">
        <x:v>2015-10-22T00:00:00.000Z</x:v>
      </x:c>
      <x:c r="B209" s="12" t="n">
        <x:v>54.83346</x:v>
      </x:c>
      <x:c r="C209" s="13" t="n">
        <x:v>419</x:v>
      </x:c>
      <x:c r="D209" s="12" t="n">
        <x:v>86003.94</x:v>
      </x:c>
      <x:c r="E209" s="12" t="n">
        <x:v>0</x:v>
      </x:c>
      <x:c r="F209" s="12" t="n">
        <x:f>SUM(B209,D209:E209)</x:f>
        <x:v>86058.77346</x:v>
      </x:c>
      <x:c r="G209" s="12" t="n">
        <x:f>MAX(G208,F209)</x:f>
        <x:v>100000</x:v>
      </x:c>
      <x:c r="H209" s="14" t="n">
        <x:f>F209/G209-1</x:f>
        <x:v>-0.13941226540000007</x:v>
      </x:c>
      <x:c r="I209" s="14" t="n">
        <x:f>F209/F208-1</x:f>
        <x:v>0.016882787182338488</x:v>
      </x:c>
      <x:c r="J209" s="12" t="n">
        <x:v>0</x:v>
      </x:c>
      <x:c r="K209" s="12" t="n">
        <x:v>0</x:v>
      </x:c>
      <x:c r="L209" s="12" t="n">
        <x:v>0</x:v>
      </x:c>
      <x:c r="M209" s="2" t="str">
        <x:v>持有</x:v>
      </x:c>
    </x:row>
    <x:row r="210" ht="23" customHeight="1">
      <x:c r="A210" s="11" t="d">
        <x:v>2015-10-23T00:00:00.000Z</x:v>
      </x:c>
      <x:c r="B210" s="12" t="n">
        <x:v>54.83346</x:v>
      </x:c>
      <x:c r="C210" s="13" t="n">
        <x:v>419</x:v>
      </x:c>
      <x:c r="D210" s="12" t="n">
        <x:v>86946.69</x:v>
      </x:c>
      <x:c r="E210" s="12" t="n">
        <x:v>0</x:v>
      </x:c>
      <x:c r="F210" s="12" t="n">
        <x:f>SUM(B210,D210:E210)</x:f>
        <x:v>87001.52346</x:v>
      </x:c>
      <x:c r="G210" s="12" t="n">
        <x:f>MAX(G209,F210)</x:f>
        <x:v>100000</x:v>
      </x:c>
      <x:c r="H210" s="14" t="n">
        <x:f>F210/G210-1</x:f>
        <x:v>-0.12998476540000004</x:v>
      </x:c>
      <x:c r="I210" s="14" t="n">
        <x:f>F210/F209-1</x:f>
        <x:v>0.010954722709802356</x:v>
      </x:c>
      <x:c r="J210" s="12" t="n">
        <x:v>0</x:v>
      </x:c>
      <x:c r="K210" s="12" t="n">
        <x:v>0</x:v>
      </x:c>
      <x:c r="L210" s="12" t="n">
        <x:v>0</x:v>
      </x:c>
      <x:c r="M210" s="2" t="str">
        <x:v>持有</x:v>
      </x:c>
    </x:row>
    <x:row r="211" ht="23" customHeight="1">
      <x:c r="A211" s="11" t="d">
        <x:v>2015-10-26T00:00:00.000Z</x:v>
      </x:c>
      <x:c r="B211" s="12" t="n">
        <x:v>54.83346</x:v>
      </x:c>
      <x:c r="C211" s="13" t="n">
        <x:v>419</x:v>
      </x:c>
      <x:c r="D211" s="12" t="n">
        <x:v>86733</x:v>
      </x:c>
      <x:c r="E211" s="12" t="n">
        <x:v>0</x:v>
      </x:c>
      <x:c r="F211" s="12" t="n">
        <x:f>SUM(B211,D211:E211)</x:f>
        <x:v>86787.83346</x:v>
      </x:c>
      <x:c r="G211" s="12" t="n">
        <x:f>MAX(G210,F211)</x:f>
        <x:v>100000</x:v>
      </x:c>
      <x:c r="H211" s="14" t="n">
        <x:f>F211/G211-1</x:f>
        <x:v>-0.13212166540000003</x:v>
      </x:c>
      <x:c r="I211" s="14" t="n">
        <x:f>F211/F210-1</x:f>
        <x:v>-0.0024561638865812085</x:v>
      </x:c>
      <x:c r="J211" s="12" t="n">
        <x:v>0</x:v>
      </x:c>
      <x:c r="K211" s="12" t="n">
        <x:v>0</x:v>
      </x:c>
      <x:c r="L211" s="12" t="n">
        <x:v>0</x:v>
      </x:c>
      <x:c r="M211" s="2" t="str">
        <x:v>持有</x:v>
      </x:c>
    </x:row>
    <x:row r="212" ht="23" customHeight="1">
      <x:c r="A212" s="11" t="d">
        <x:v>2015-10-27T00:00:00.000Z</x:v>
      </x:c>
      <x:c r="B212" s="12" t="n">
        <x:v>54.83346</x:v>
      </x:c>
      <x:c r="C212" s="13" t="n">
        <x:v>419</x:v>
      </x:c>
      <x:c r="D212" s="12" t="n">
        <x:v>86565.4</x:v>
      </x:c>
      <x:c r="E212" s="12" t="n">
        <x:v>0</x:v>
      </x:c>
      <x:c r="F212" s="12" t="n">
        <x:f>SUM(B212,D212:E212)</x:f>
        <x:v>86620.23345999999</x:v>
      </x:c>
      <x:c r="G212" s="12" t="n">
        <x:f>MAX(G211,F212)</x:f>
        <x:v>100000</x:v>
      </x:c>
      <x:c r="H212" s="14" t="n">
        <x:f>F212/G212-1</x:f>
        <x:v>-0.13379766540000015</x:v>
      </x:c>
      <x:c r="I212" s="14" t="n">
        <x:f>F212/F211-1</x:f>
        <x:v>-0.0019311462600025697</x:v>
      </x:c>
      <x:c r="J212" s="12" t="n">
        <x:v>0</x:v>
      </x:c>
      <x:c r="K212" s="12" t="n">
        <x:v>0</x:v>
      </x:c>
      <x:c r="L212" s="12" t="n">
        <x:v>0</x:v>
      </x:c>
      <x:c r="M212" s="2" t="str">
        <x:v>持有</x:v>
      </x:c>
    </x:row>
    <x:row r="213" ht="23" customHeight="1">
      <x:c r="A213" s="11" t="d">
        <x:v>2015-10-28T00:00:00.000Z</x:v>
      </x:c>
      <x:c r="B213" s="12" t="n">
        <x:v>54.83346</x:v>
      </x:c>
      <x:c r="C213" s="13" t="n">
        <x:v>419</x:v>
      </x:c>
      <x:c r="D213" s="12" t="n">
        <x:v>87550.04999999999</x:v>
      </x:c>
      <x:c r="E213" s="12" t="n">
        <x:v>0</x:v>
      </x:c>
      <x:c r="F213" s="12" t="n">
        <x:f>SUM(B213,D213:E213)</x:f>
        <x:v>87604.88345999998</x:v>
      </x:c>
      <x:c r="G213" s="12" t="n">
        <x:f>MAX(G212,F213)</x:f>
        <x:v>100000</x:v>
      </x:c>
      <x:c r="H213" s="14" t="n">
        <x:f>F213/G213-1</x:f>
        <x:v>-0.12395116540000017</x:v>
      </x:c>
      <x:c r="I213" s="14" t="n">
        <x:f>F213/F212-1</x:f>
        <x:v>0.01136743645992011</x:v>
      </x:c>
      <x:c r="J213" s="12" t="n">
        <x:v>0</x:v>
      </x:c>
      <x:c r="K213" s="12" t="n">
        <x:v>0</x:v>
      </x:c>
      <x:c r="L213" s="12" t="n">
        <x:v>0</x:v>
      </x:c>
      <x:c r="M213" s="2" t="str">
        <x:v>持有</x:v>
      </x:c>
    </x:row>
    <x:row r="214" ht="23" customHeight="1">
      <x:c r="A214" s="11" t="d">
        <x:v>2015-10-29T00:00:00.000Z</x:v>
      </x:c>
      <x:c r="B214" s="12" t="n">
        <x:v>54.83346</x:v>
      </x:c>
      <x:c r="C214" s="13" t="n">
        <x:v>419</x:v>
      </x:c>
      <x:c r="D214" s="12" t="n">
        <x:v>87499.77</x:v>
      </x:c>
      <x:c r="E214" s="12" t="n">
        <x:v>0</x:v>
      </x:c>
      <x:c r="F214" s="12" t="n">
        <x:f>SUM(B214,D214:E214)</x:f>
        <x:v>87554.60346</x:v>
      </x:c>
      <x:c r="G214" s="12" t="n">
        <x:f>MAX(G213,F214)</x:f>
        <x:v>100000</x:v>
      </x:c>
      <x:c r="H214" s="14" t="n">
        <x:f>F214/G214-1</x:f>
        <x:v>-0.12445396539999998</x:v>
      </x:c>
      <x:c r="I214" s="14" t="n">
        <x:f>F214/F213-1</x:f>
        <x:v>-0.0005739406071231246</x:v>
      </x:c>
      <x:c r="J214" s="12" t="n">
        <x:v>0</x:v>
      </x:c>
      <x:c r="K214" s="12" t="n">
        <x:v>0</x:v>
      </x:c>
      <x:c r="L214" s="12" t="n">
        <x:v>0</x:v>
      </x:c>
      <x:c r="M214" s="2" t="str">
        <x:v>持有</x:v>
      </x:c>
    </x:row>
    <x:row r="215" ht="23" customHeight="1">
      <x:c r="A215" s="11" t="d">
        <x:v>2015-10-30T00:00:00.000Z</x:v>
      </x:c>
      <x:c r="B215" s="12" t="n">
        <x:v>54.83346</x:v>
      </x:c>
      <x:c r="C215" s="13" t="n">
        <x:v>419</x:v>
      </x:c>
      <x:c r="D215" s="12" t="n">
        <x:v>87122.67</x:v>
      </x:c>
      <x:c r="E215" s="12" t="n">
        <x:v>0</x:v>
      </x:c>
      <x:c r="F215" s="12" t="n">
        <x:f>SUM(B215,D215:E215)</x:f>
        <x:v>87177.50345999999</x:v>
      </x:c>
      <x:c r="G215" s="12" t="n">
        <x:f>MAX(G214,F215)</x:f>
        <x:v>100000</x:v>
      </x:c>
      <x:c r="H215" s="14" t="n">
        <x:f>F215/G215-1</x:f>
        <x:v>-0.12822496540000006</x:v>
      </x:c>
      <x:c r="I215" s="14" t="n">
        <x:f>F215/F214-1</x:f>
        <x:v>-0.0043070265308469136</x:v>
      </x:c>
      <x:c r="J215" s="12" t="n">
        <x:v>0</x:v>
      </x:c>
      <x:c r="K215" s="12" t="n">
        <x:v>0</x:v>
      </x:c>
      <x:c r="L215" s="12" t="n">
        <x:v>0</x:v>
      </x:c>
      <x:c r="M215" s="2" t="str">
        <x:v>持有</x:v>
      </x:c>
    </x:row>
    <x:row r="216" ht="23" customHeight="1">
      <x:c r="A216" s="11" t="d">
        <x:v>2015-11-02T00:00:00.000Z</x:v>
      </x:c>
      <x:c r="B216" s="12" t="n">
        <x:v>54.83346</x:v>
      </x:c>
      <x:c r="C216" s="13" t="n">
        <x:v>419</x:v>
      </x:c>
      <x:c r="D216" s="12" t="n">
        <x:v>88153.40999999999</x:v>
      </x:c>
      <x:c r="E216" s="12" t="n">
        <x:v>0</x:v>
      </x:c>
      <x:c r="F216" s="12" t="n">
        <x:f>SUM(B216,D216:E216)</x:f>
        <x:v>88208.24345999998</x:v>
      </x:c>
      <x:c r="G216" s="12" t="n">
        <x:f>MAX(G215,F216)</x:f>
        <x:v>100000</x:v>
      </x:c>
      <x:c r="H216" s="14" t="n">
        <x:f>F216/G216-1</x:f>
        <x:v>-0.1179175654000002</x:v>
      </x:c>
      <x:c r="I216" s="14" t="n">
        <x:f>F216/F215-1</x:f>
        <x:v>0.01182346315380478</x:v>
      </x:c>
      <x:c r="J216" s="12" t="n">
        <x:v>0</x:v>
      </x:c>
      <x:c r="K216" s="12" t="n">
        <x:v>0</x:v>
      </x:c>
      <x:c r="L216" s="12" t="n">
        <x:v>0</x:v>
      </x:c>
      <x:c r="M216" s="2" t="str">
        <x:v>持有</x:v>
      </x:c>
    </x:row>
    <x:row r="217" ht="23" customHeight="1">
      <x:c r="A217" s="11" t="d">
        <x:v>2015-11-03T00:00:00.000Z</x:v>
      </x:c>
      <x:c r="B217" s="12" t="n">
        <x:v>54.83346</x:v>
      </x:c>
      <x:c r="C217" s="13" t="n">
        <x:v>419</x:v>
      </x:c>
      <x:c r="D217" s="12" t="n">
        <x:v>88409</x:v>
      </x:c>
      <x:c r="E217" s="12" t="n">
        <x:v>0</x:v>
      </x:c>
      <x:c r="F217" s="12" t="n">
        <x:f>SUM(B217,D217:E217)</x:f>
        <x:v>88463.83346</x:v>
      </x:c>
      <x:c r="G217" s="12" t="n">
        <x:f>MAX(G216,F217)</x:f>
        <x:v>100000</x:v>
      </x:c>
      <x:c r="H217" s="14" t="n">
        <x:f>F217/G217-1</x:f>
        <x:v>-0.11536166540000004</x:v>
      </x:c>
      <x:c r="I217" s="14" t="n">
        <x:f>F217/F216-1</x:f>
        <x:v>0.002897574988169005</x:v>
      </x:c>
      <x:c r="J217" s="12" t="n">
        <x:v>0</x:v>
      </x:c>
      <x:c r="K217" s="12" t="n">
        <x:v>0</x:v>
      </x:c>
      <x:c r="L217" s="12" t="n">
        <x:v>0</x:v>
      </x:c>
      <x:c r="M217" s="2" t="str">
        <x:v>持有</x:v>
      </x:c>
    </x:row>
    <x:row r="218" ht="23" customHeight="1">
      <x:c r="A218" s="11" t="d">
        <x:v>2015-11-04T00:00:00.000Z</x:v>
      </x:c>
      <x:c r="B218" s="12" t="n">
        <x:v>54.83346</x:v>
      </x:c>
      <x:c r="C218" s="13" t="n">
        <x:v>419</x:v>
      </x:c>
      <x:c r="D218" s="12" t="n">
        <x:v>88140.84000000001</x:v>
      </x:c>
      <x:c r="E218" s="12" t="n">
        <x:v>0</x:v>
      </x:c>
      <x:c r="F218" s="12" t="n">
        <x:f>SUM(B218,D218:E218)</x:f>
        <x:v>88195.67346</x:v>
      </x:c>
      <x:c r="G218" s="12" t="n">
        <x:f>MAX(G217,F218)</x:f>
        <x:v>100000</x:v>
      </x:c>
      <x:c r="H218" s="14" t="n">
        <x:f>F218/G218-1</x:f>
        <x:v>-0.11804326539999999</x:v>
      </x:c>
      <x:c r="I218" s="14" t="n">
        <x:f>F218/F217-1</x:f>
        <x:v>-0.003031295270753076</x:v>
      </x:c>
      <x:c r="J218" s="12" t="n">
        <x:v>0</x:v>
      </x:c>
      <x:c r="K218" s="12" t="n">
        <x:v>0</x:v>
      </x:c>
      <x:c r="L218" s="12" t="n">
        <x:v>0</x:v>
      </x:c>
      <x:c r="M218" s="2" t="str">
        <x:v>持有</x:v>
      </x:c>
    </x:row>
    <x:row r="219" ht="23" customHeight="1">
      <x:c r="A219" s="11" t="d">
        <x:v>2015-11-05T00:00:00.000Z</x:v>
      </x:c>
      <x:c r="B219" s="12" t="n">
        <x:v>54.83346</x:v>
      </x:c>
      <x:c r="C219" s="13" t="n">
        <x:v>419</x:v>
      </x:c>
      <x:c r="D219" s="12" t="n">
        <x:v>88052.85</x:v>
      </x:c>
      <x:c r="E219" s="12" t="n">
        <x:v>0</x:v>
      </x:c>
      <x:c r="F219" s="12" t="n">
        <x:f>SUM(B219,D219:E219)</x:f>
        <x:v>88107.68346</x:v>
      </x:c>
      <x:c r="G219" s="12" t="n">
        <x:f>MAX(G218,F219)</x:f>
        <x:v>100000</x:v>
      </x:c>
      <x:c r="H219" s="14" t="n">
        <x:f>F219/G219-1</x:f>
        <x:v>-0.11892316540000003</x:v>
      </x:c>
      <x:c r="I219" s="14" t="n">
        <x:f>F219/F218-1</x:f>
        <x:v>-0.000997667986966655</x:v>
      </x:c>
      <x:c r="J219" s="12" t="n">
        <x:v>0</x:v>
      </x:c>
      <x:c r="K219" s="12" t="n">
        <x:v>0</x:v>
      </x:c>
      <x:c r="L219" s="12" t="n">
        <x:v>0</x:v>
      </x:c>
      <x:c r="M219" s="2" t="str">
        <x:v>持有</x:v>
      </x:c>
    </x:row>
    <x:row r="220" ht="23" customHeight="1">
      <x:c r="A220" s="11" t="d">
        <x:v>2015-11-06T00:00:00.000Z</x:v>
      </x:c>
      <x:c r="B220" s="12" t="n">
        <x:v>54.83346</x:v>
      </x:c>
      <x:c r="C220" s="13" t="n">
        <x:v>419</x:v>
      </x:c>
      <x:c r="D220" s="12" t="n">
        <x:v>88006.76</x:v>
      </x:c>
      <x:c r="E220" s="12" t="n">
        <x:v>0</x:v>
      </x:c>
      <x:c r="F220" s="12" t="n">
        <x:f>SUM(B220,D220:E220)</x:f>
        <x:v>88061.59345999999</x:v>
      </x:c>
      <x:c r="G220" s="12" t="n">
        <x:f>MAX(G219,F220)</x:f>
        <x:v>100000</x:v>
      </x:c>
      <x:c r="H220" s="14" t="n">
        <x:f>F220/G220-1</x:f>
        <x:v>-0.11938406540000013</x:v>
      </x:c>
      <x:c r="I220" s="14" t="n">
        <x:f>F220/F219-1</x:f>
        <x:v>-0.0005231098831571801</x:v>
      </x:c>
      <x:c r="J220" s="12" t="n">
        <x:v>0</x:v>
      </x:c>
      <x:c r="K220" s="12" t="n">
        <x:v>0</x:v>
      </x:c>
      <x:c r="L220" s="12" t="n">
        <x:v>0</x:v>
      </x:c>
      <x:c r="M220" s="2" t="str">
        <x:v>持有</x:v>
      </x:c>
    </x:row>
    <x:row r="221" ht="23" customHeight="1">
      <x:c r="A221" s="11" t="d">
        <x:v>2015-11-09T00:00:00.000Z</x:v>
      </x:c>
      <x:c r="B221" s="12" t="n">
        <x:v>54.83346</x:v>
      </x:c>
      <x:c r="C221" s="13" t="n">
        <x:v>419</x:v>
      </x:c>
      <x:c r="D221" s="12" t="n">
        <x:v>87185.52</x:v>
      </x:c>
      <x:c r="E221" s="12" t="n">
        <x:v>0</x:v>
      </x:c>
      <x:c r="F221" s="12" t="n">
        <x:f>SUM(B221,D221:E221)</x:f>
        <x:v>87240.35346</x:v>
      </x:c>
      <x:c r="G221" s="12" t="n">
        <x:f>MAX(G220,F221)</x:f>
        <x:v>100000</x:v>
      </x:c>
      <x:c r="H221" s="14" t="n">
        <x:f>F221/G221-1</x:f>
        <x:v>-0.12759646540000003</x:v>
      </x:c>
      <x:c r="I221" s="14" t="n">
        <x:f>F221/F220-1</x:f>
        <x:v>-0.009325745398566121</x:v>
      </x:c>
      <x:c r="J221" s="12" t="n">
        <x:v>0</x:v>
      </x:c>
      <x:c r="K221" s="12" t="n">
        <x:v>0</x:v>
      </x:c>
      <x:c r="L221" s="12" t="n">
        <x:v>0</x:v>
      </x:c>
      <x:c r="M221" s="2" t="str">
        <x:v>持有</x:v>
      </x:c>
    </x:row>
    <x:row r="222" ht="23" customHeight="1">
      <x:c r="A222" s="11" t="d">
        <x:v>2015-11-10T00:00:00.000Z</x:v>
      </x:c>
      <x:c r="B222" s="12" t="n">
        <x:v>54.83346</x:v>
      </x:c>
      <x:c r="C222" s="13" t="n">
        <x:v>419</x:v>
      </x:c>
      <x:c r="D222" s="12" t="n">
        <x:v>87386.64</x:v>
      </x:c>
      <x:c r="E222" s="12" t="n">
        <x:v>0</x:v>
      </x:c>
      <x:c r="F222" s="12" t="n">
        <x:f>SUM(B222,D222:E222)</x:f>
        <x:v>87441.47346</x:v>
      </x:c>
      <x:c r="G222" s="12" t="n">
        <x:f>MAX(G221,F222)</x:f>
        <x:v>100000</x:v>
      </x:c>
      <x:c r="H222" s="14" t="n">
        <x:f>F222/G222-1</x:f>
        <x:v>-0.12558526540000003</x:v>
      </x:c>
      <x:c r="I222" s="14" t="n">
        <x:f>F222/F221-1</x:f>
        <x:v>0.002305355171356771</x:v>
      </x:c>
      <x:c r="J222" s="12" t="n">
        <x:v>0</x:v>
      </x:c>
      <x:c r="K222" s="12" t="n">
        <x:v>0</x:v>
      </x:c>
      <x:c r="L222" s="12" t="n">
        <x:v>0</x:v>
      </x:c>
      <x:c r="M222" s="2" t="str">
        <x:v>持有</x:v>
      </x:c>
    </x:row>
    <x:row r="223" ht="23" customHeight="1">
      <x:c r="A223" s="11" t="d">
        <x:v>2015-11-11T00:00:00.000Z</x:v>
      </x:c>
      <x:c r="B223" s="12" t="n">
        <x:v>54.83346</x:v>
      </x:c>
      <x:c r="C223" s="13" t="n">
        <x:v>419</x:v>
      </x:c>
      <x:c r="D223" s="12" t="n">
        <x:v>87043.06</x:v>
      </x:c>
      <x:c r="E223" s="12" t="n">
        <x:v>0</x:v>
      </x:c>
      <x:c r="F223" s="12" t="n">
        <x:f>SUM(B223,D223:E223)</x:f>
        <x:v>87097.89345999999</x:v>
      </x:c>
      <x:c r="G223" s="12" t="n">
        <x:f>MAX(G222,F223)</x:f>
        <x:v>100000</x:v>
      </x:c>
      <x:c r="H223" s="14" t="n">
        <x:f>F223/G223-1</x:f>
        <x:v>-0.12902106540000013</x:v>
      </x:c>
      <x:c r="I223" s="14" t="n">
        <x:f>F223/F222-1</x:f>
        <x:v>-0.003929256752028265</x:v>
      </x:c>
      <x:c r="J223" s="12" t="n">
        <x:v>0</x:v>
      </x:c>
      <x:c r="K223" s="12" t="n">
        <x:v>0</x:v>
      </x:c>
      <x:c r="L223" s="12" t="n">
        <x:v>0</x:v>
      </x:c>
      <x:c r="M223" s="2" t="str">
        <x:v>持有</x:v>
      </x:c>
    </x:row>
    <x:row r="224" ht="23" customHeight="1">
      <x:c r="A224" s="11" t="d">
        <x:v>2015-11-12T00:00:00.000Z</x:v>
      </x:c>
      <x:c r="B224" s="12" t="n">
        <x:v>54.83346</x:v>
      </x:c>
      <x:c r="C224" s="13" t="n">
        <x:v>419</x:v>
      </x:c>
      <x:c r="D224" s="12" t="n">
        <x:v>85827.96</x:v>
      </x:c>
      <x:c r="E224" s="12" t="n">
        <x:v>0</x:v>
      </x:c>
      <x:c r="F224" s="12" t="n">
        <x:f>SUM(B224,D224:E224)</x:f>
        <x:v>85882.79346</x:v>
      </x:c>
      <x:c r="G224" s="12" t="n">
        <x:f>MAX(G223,F224)</x:f>
        <x:v>100000</x:v>
      </x:c>
      <x:c r="H224" s="14" t="n">
        <x:f>F224/G224-1</x:f>
        <x:v>-0.14117206540000005</x:v>
      </x:c>
      <x:c r="I224" s="14" t="n">
        <x:f>F224/F223-1</x:f>
        <x:v>-0.013950968866520586</x:v>
      </x:c>
      <x:c r="J224" s="12" t="n">
        <x:v>0</x:v>
      </x:c>
      <x:c r="K224" s="12" t="n">
        <x:v>0</x:v>
      </x:c>
      <x:c r="L224" s="12" t="n">
        <x:v>0</x:v>
      </x:c>
      <x:c r="M224" s="2" t="str">
        <x:v>持有</x:v>
      </x:c>
    </x:row>
    <x:row r="225" ht="23" customHeight="1">
      <x:c r="A225" s="11" t="d">
        <x:v>2015-11-13T00:00:00.000Z</x:v>
      </x:c>
      <x:c r="B225" s="12" t="n">
        <x:v>54.83346</x:v>
      </x:c>
      <x:c r="C225" s="13" t="n">
        <x:v>419</x:v>
      </x:c>
      <x:c r="D225" s="12" t="n">
        <x:v>84864.26</x:v>
      </x:c>
      <x:c r="E225" s="12" t="n">
        <x:v>0</x:v>
      </x:c>
      <x:c r="F225" s="12" t="n">
        <x:f>SUM(B225,D225:E225)</x:f>
        <x:v>84919.09345999999</x:v>
      </x:c>
      <x:c r="G225" s="12" t="n">
        <x:f>MAX(G224,F225)</x:f>
        <x:v>100000</x:v>
      </x:c>
      <x:c r="H225" s="14" t="n">
        <x:f>F225/G225-1</x:f>
        <x:v>-0.15080906540000016</x:v>
      </x:c>
      <x:c r="I225" s="14" t="n">
        <x:f>F225/F224-1</x:f>
        <x:v>-0.011221106826815763</x:v>
      </x:c>
      <x:c r="J225" s="12" t="n">
        <x:v>0</x:v>
      </x:c>
      <x:c r="K225" s="12" t="n">
        <x:v>0</x:v>
      </x:c>
      <x:c r="L225" s="12" t="n">
        <x:v>0</x:v>
      </x:c>
      <x:c r="M225" s="2" t="str">
        <x:v>持有</x:v>
      </x:c>
    </x:row>
    <x:row r="226" ht="23" customHeight="1">
      <x:c r="A226" s="11" t="d">
        <x:v>2015-11-16T00:00:00.000Z</x:v>
      </x:c>
      <x:c r="B226" s="12" t="n">
        <x:v>54.83346</x:v>
      </x:c>
      <x:c r="C226" s="13" t="n">
        <x:v>419</x:v>
      </x:c>
      <x:c r="D226" s="12" t="n">
        <x:v>86154.78</x:v>
      </x:c>
      <x:c r="E226" s="12" t="n">
        <x:v>0</x:v>
      </x:c>
      <x:c r="F226" s="12" t="n">
        <x:f>SUM(B226,D226:E226)</x:f>
        <x:v>86209.61346</x:v>
      </x:c>
      <x:c r="G226" s="12" t="n">
        <x:f>MAX(G225,F226)</x:f>
        <x:v>100000</x:v>
      </x:c>
      <x:c r="H226" s="14" t="n">
        <x:f>F226/G226-1</x:f>
        <x:v>-0.1379038654000001</x:v>
      </x:c>
      <x:c r="I226" s="14" t="n">
        <x:f>F226/F225-1</x:f>
        <x:v>0.015197053423655404</x:v>
      </x:c>
      <x:c r="J226" s="12" t="n">
        <x:v>0</x:v>
      </x:c>
      <x:c r="K226" s="12" t="n">
        <x:v>0</x:v>
      </x:c>
      <x:c r="L226" s="12" t="n">
        <x:v>0</x:v>
      </x:c>
      <x:c r="M226" s="2" t="str">
        <x:v>持有</x:v>
      </x:c>
    </x:row>
    <x:row r="227" ht="23" customHeight="1">
      <x:c r="A227" s="11" t="d">
        <x:v>2015-11-17T00:00:00.000Z</x:v>
      </x:c>
      <x:c r="B227" s="12" t="n">
        <x:v>54.83346</x:v>
      </x:c>
      <x:c r="C227" s="13" t="n">
        <x:v>419</x:v>
      </x:c>
      <x:c r="D227" s="12" t="n">
        <x:v>86091.93</x:v>
      </x:c>
      <x:c r="E227" s="12" t="n">
        <x:v>0</x:v>
      </x:c>
      <x:c r="F227" s="12" t="n">
        <x:f>SUM(B227,D227:E227)</x:f>
        <x:v>86146.76345999999</x:v>
      </x:c>
      <x:c r="G227" s="12" t="n">
        <x:f>MAX(G226,F227)</x:f>
        <x:v>100000</x:v>
      </x:c>
      <x:c r="H227" s="14" t="n">
        <x:f>F227/G227-1</x:f>
        <x:v>-0.13853236540000013</x:v>
      </x:c>
      <x:c r="I227" s="14" t="n">
        <x:f>F227/F226-1</x:f>
        <x:v>-0.0007290370235700783</x:v>
      </x:c>
      <x:c r="J227" s="12" t="n">
        <x:v>0</x:v>
      </x:c>
      <x:c r="K227" s="12" t="n">
        <x:v>0</x:v>
      </x:c>
      <x:c r="L227" s="12" t="n">
        <x:v>0</x:v>
      </x:c>
      <x:c r="M227" s="2" t="str">
        <x:v>持有</x:v>
      </x:c>
    </x:row>
    <x:row r="228" ht="23" customHeight="1">
      <x:c r="A228" s="11" t="d">
        <x:v>2015-11-18T00:00:00.000Z</x:v>
      </x:c>
      <x:c r="B228" s="12" t="n">
        <x:v>54.83346</x:v>
      </x:c>
      <x:c r="C228" s="13" t="n">
        <x:v>419</x:v>
      </x:c>
      <x:c r="D228" s="12" t="n">
        <x:v>87457.87</x:v>
      </x:c>
      <x:c r="E228" s="12" t="n">
        <x:v>0</x:v>
      </x:c>
      <x:c r="F228" s="12" t="n">
        <x:f>SUM(B228,D228:E228)</x:f>
        <x:v>87512.70345999999</x:v>
      </x:c>
      <x:c r="G228" s="12" t="n">
        <x:f>MAX(G227,F228)</x:f>
        <x:v>100000</x:v>
      </x:c>
      <x:c r="H228" s="14" t="n">
        <x:f>F228/G228-1</x:f>
        <x:v>-0.12487296540000015</x:v>
      </x:c>
      <x:c r="I228" s="14" t="n">
        <x:f>F228/F227-1</x:f>
        <x:v>0.015855964230556907</x:v>
      </x:c>
      <x:c r="J228" s="12" t="n">
        <x:v>0</x:v>
      </x:c>
      <x:c r="K228" s="12" t="n">
        <x:v>0</x:v>
      </x:c>
      <x:c r="L228" s="12" t="n">
        <x:v>0</x:v>
      </x:c>
      <x:c r="M228" s="2" t="str">
        <x:v>持有</x:v>
      </x:c>
    </x:row>
    <x:row r="229" ht="23" customHeight="1">
      <x:c r="A229" s="11" t="d">
        <x:v>2015-11-19T00:00:00.000Z</x:v>
      </x:c>
      <x:c r="B229" s="12" t="n">
        <x:v>54.83346</x:v>
      </x:c>
      <x:c r="C229" s="13" t="n">
        <x:v>419</x:v>
      </x:c>
      <x:c r="D229" s="12" t="n">
        <x:v>87382.45000000001</x:v>
      </x:c>
      <x:c r="E229" s="12" t="n">
        <x:v>0</x:v>
      </x:c>
      <x:c r="F229" s="12" t="n">
        <x:f>SUM(B229,D229:E229)</x:f>
        <x:v>87437.28346</x:v>
      </x:c>
      <x:c r="G229" s="12" t="n">
        <x:f>MAX(G228,F229)</x:f>
        <x:v>100000</x:v>
      </x:c>
      <x:c r="H229" s="14" t="n">
        <x:f>F229/G229-1</x:f>
        <x:v>-0.12562716539999996</x:v>
      </x:c>
      <x:c r="I229" s="14" t="n">
        <x:f>F229/F228-1</x:f>
        <x:v>-0.000861817736375392</x:v>
      </x:c>
      <x:c r="J229" s="12" t="n">
        <x:v>0</x:v>
      </x:c>
      <x:c r="K229" s="12" t="n">
        <x:v>0</x:v>
      </x:c>
      <x:c r="L229" s="12" t="n">
        <x:v>0</x:v>
      </x:c>
      <x:c r="M229" s="2" t="str">
        <x:v>持有</x:v>
      </x:c>
    </x:row>
    <x:row r="230" ht="23" customHeight="1">
      <x:c r="A230" s="11" t="d">
        <x:v>2015-11-20T00:00:00.000Z</x:v>
      </x:c>
      <x:c r="B230" s="12" t="n">
        <x:v>54.83346</x:v>
      </x:c>
      <x:c r="C230" s="13" t="n">
        <x:v>419</x:v>
      </x:c>
      <x:c r="D230" s="12" t="n">
        <x:v>87700.89</x:v>
      </x:c>
      <x:c r="E230" s="12" t="n">
        <x:v>0</x:v>
      </x:c>
      <x:c r="F230" s="12" t="n">
        <x:f>SUM(B230,D230:E230)</x:f>
        <x:v>87755.72346</x:v>
      </x:c>
      <x:c r="G230" s="12" t="n">
        <x:f>MAX(G229,F230)</x:f>
        <x:v>100000</x:v>
      </x:c>
      <x:c r="H230" s="14" t="n">
        <x:f>F230/G230-1</x:f>
        <x:v>-0.1224427654000001</x:v>
      </x:c>
      <x:c r="I230" s="14" t="n">
        <x:f>F230/F229-1</x:f>
        <x:v>0.003641924673307928</x:v>
      </x:c>
      <x:c r="J230" s="12" t="n">
        <x:v>0</x:v>
      </x:c>
      <x:c r="K230" s="12" t="n">
        <x:v>0</x:v>
      </x:c>
      <x:c r="L230" s="12" t="n">
        <x:v>0</x:v>
      </x:c>
      <x:c r="M230" s="2" t="str">
        <x:v>持有</x:v>
      </x:c>
    </x:row>
    <x:row r="231" ht="23" customHeight="1">
      <x:c r="A231" s="11" t="d">
        <x:v>2015-11-23T00:00:00.000Z</x:v>
      </x:c>
      <x:c r="B231" s="12" t="n">
        <x:v>54.83346</x:v>
      </x:c>
      <x:c r="C231" s="13" t="n">
        <x:v>419</x:v>
      </x:c>
      <x:c r="D231" s="12" t="n">
        <x:v>87600.33</x:v>
      </x:c>
      <x:c r="E231" s="12" t="n">
        <x:v>0</x:v>
      </x:c>
      <x:c r="F231" s="12" t="n">
        <x:f>SUM(B231,D231:E231)</x:f>
        <x:v>87655.16346</x:v>
      </x:c>
      <x:c r="G231" s="12" t="n">
        <x:f>MAX(G230,F231)</x:f>
        <x:v>100000</x:v>
      </x:c>
      <x:c r="H231" s="14" t="n">
        <x:f>F231/G231-1</x:f>
        <x:v>-0.12344836540000004</x:v>
      </x:c>
      <x:c r="I231" s="14" t="n">
        <x:f>F231/F230-1</x:f>
        <x:v>-0.0011459081645636138</x:v>
      </x:c>
      <x:c r="J231" s="12" t="n">
        <x:v>0</x:v>
      </x:c>
      <x:c r="K231" s="12" t="n">
        <x:v>0</x:v>
      </x:c>
      <x:c r="L231" s="12" t="n">
        <x:v>0</x:v>
      </x:c>
      <x:c r="M231" s="2" t="str">
        <x:v>持有</x:v>
      </x:c>
    </x:row>
    <x:row r="232" ht="23" customHeight="1">
      <x:c r="A232" s="11" t="d">
        <x:v>2015-11-24T00:00:00.000Z</x:v>
      </x:c>
      <x:c r="B232" s="12" t="n">
        <x:v>54.83346</x:v>
      </x:c>
      <x:c r="C232" s="13" t="n">
        <x:v>419</x:v>
      </x:c>
      <x:c r="D232" s="12" t="n">
        <x:v>87717.65</x:v>
      </x:c>
      <x:c r="E232" s="12" t="n">
        <x:v>0</x:v>
      </x:c>
      <x:c r="F232" s="12" t="n">
        <x:f>SUM(B232,D232:E232)</x:f>
        <x:v>87772.48345999999</x:v>
      </x:c>
      <x:c r="G232" s="12" t="n">
        <x:f>MAX(G231,F232)</x:f>
        <x:v>100000</x:v>
      </x:c>
      <x:c r="H232" s="14" t="n">
        <x:f>F232/G232-1</x:f>
        <x:v>-0.12227516540000016</x:v>
      </x:c>
      <x:c r="I232" s="14" t="n">
        <x:f>F232/F231-1</x:f>
        <x:v>0.001338426572594642</x:v>
      </x:c>
      <x:c r="J232" s="12" t="n">
        <x:v>0</x:v>
      </x:c>
      <x:c r="K232" s="12" t="n">
        <x:v>0</x:v>
      </x:c>
      <x:c r="L232" s="12" t="n">
        <x:v>0</x:v>
      </x:c>
      <x:c r="M232" s="2" t="str">
        <x:v>持有</x:v>
      </x:c>
    </x:row>
    <x:row r="233" ht="23" customHeight="1">
      <x:c r="A233" s="11" t="d">
        <x:v>2015-11-25T00:00:00.000Z</x:v>
      </x:c>
      <x:c r="B233" s="12" t="n">
        <x:v>54.83346</x:v>
      </x:c>
      <x:c r="C233" s="13" t="n">
        <x:v>419</x:v>
      </x:c>
      <x:c r="D233" s="12" t="n">
        <x:v>87705.08</x:v>
      </x:c>
      <x:c r="E233" s="12" t="n">
        <x:v>0</x:v>
      </x:c>
      <x:c r="F233" s="12" t="n">
        <x:f>SUM(B233,D233:E233)</x:f>
        <x:v>87759.91346</x:v>
      </x:c>
      <x:c r="G233" s="12" t="n">
        <x:f>MAX(G232,F233)</x:f>
        <x:v>100000</x:v>
      </x:c>
      <x:c r="H233" s="14" t="n">
        <x:f>F233/G233-1</x:f>
        <x:v>-0.12240086540000006</x:v>
      </x:c>
      <x:c r="I233" s="14" t="n">
        <x:f>F233/F232-1</x:f>
        <x:v>-0.0001432111694289473</x:v>
      </x:c>
      <x:c r="J233" s="12" t="n">
        <x:v>0</x:v>
      </x:c>
      <x:c r="K233" s="12" t="n">
        <x:v>0</x:v>
      </x:c>
      <x:c r="L233" s="12" t="n">
        <x:v>0</x:v>
      </x:c>
      <x:c r="M233" s="2" t="str">
        <x:v>持有</x:v>
      </x:c>
    </x:row>
    <x:row r="234" ht="23" customHeight="1">
      <x:c r="A234" s="11" t="d">
        <x:v>2015-11-27T00:00:00.000Z</x:v>
      </x:c>
      <x:c r="B234" s="12" t="n">
        <x:v>54.83346</x:v>
      </x:c>
      <x:c r="C234" s="13" t="n">
        <x:v>419</x:v>
      </x:c>
      <x:c r="D234" s="12" t="n">
        <x:v>87805.64</x:v>
      </x:c>
      <x:c r="E234" s="12" t="n">
        <x:v>0</x:v>
      </x:c>
      <x:c r="F234" s="12" t="n">
        <x:f>SUM(B234,D234:E234)</x:f>
        <x:v>87860.47346</x:v>
      </x:c>
      <x:c r="G234" s="12" t="n">
        <x:f>MAX(G233,F234)</x:f>
        <x:v>100000</x:v>
      </x:c>
      <x:c r="H234" s="14" t="n">
        <x:f>F234/G234-1</x:f>
        <x:v>-0.12139526540000001</x:v>
      </x:c>
      <x:c r="I234" s="14" t="n">
        <x:f>F234/F233-1</x:f>
        <x:v>0.0011458534544457333</x:v>
      </x:c>
      <x:c r="J234" s="12" t="n">
        <x:v>0</x:v>
      </x:c>
      <x:c r="K234" s="12" t="n">
        <x:v>0</x:v>
      </x:c>
      <x:c r="L234" s="12" t="n">
        <x:v>0</x:v>
      </x:c>
      <x:c r="M234" s="2" t="str">
        <x:v>持有</x:v>
      </x:c>
    </x:row>
    <x:row r="235" ht="23" customHeight="1">
      <x:c r="A235" s="11" t="d">
        <x:v>2015-11-30T00:00:00.000Z</x:v>
      </x:c>
      <x:c r="B235" s="12" t="n">
        <x:v>54.83346</x:v>
      </x:c>
      <x:c r="C235" s="13" t="n">
        <x:v>419</x:v>
      </x:c>
      <x:c r="D235" s="12" t="n">
        <x:v>87441.11</x:v>
      </x:c>
      <x:c r="E235" s="12" t="n">
        <x:v>0</x:v>
      </x:c>
      <x:c r="F235" s="12" t="n">
        <x:f>SUM(B235,D235:E235)</x:f>
        <x:v>87495.94346</x:v>
      </x:c>
      <x:c r="G235" s="12" t="n">
        <x:f>MAX(G234,F235)</x:f>
        <x:v>100000</x:v>
      </x:c>
      <x:c r="H235" s="14" t="n">
        <x:f>F235/G235-1</x:f>
        <x:v>-0.12504056540000008</x:v>
      </x:c>
      <x:c r="I235" s="14" t="n">
        <x:f>F235/F234-1</x:f>
        <x:v>-0.00414896466686987</x:v>
      </x:c>
      <x:c r="J235" s="12" t="n">
        <x:v>0</x:v>
      </x:c>
      <x:c r="K235" s="12" t="n">
        <x:v>0</x:v>
      </x:c>
      <x:c r="L235" s="12" t="n">
        <x:v>0</x:v>
      </x:c>
      <x:c r="M235" s="2" t="str">
        <x:v>持有</x:v>
      </x:c>
    </x:row>
    <x:row r="236" ht="23" customHeight="1">
      <x:c r="A236" s="11" t="d">
        <x:v>2015-12-01T00:00:00.000Z</x:v>
      </x:c>
      <x:c r="B236" s="12" t="n">
        <x:v>54.83346</x:v>
      </x:c>
      <x:c r="C236" s="13" t="n">
        <x:v>419</x:v>
      </x:c>
      <x:c r="D236" s="12" t="n">
        <x:v>88274.92</x:v>
      </x:c>
      <x:c r="E236" s="12" t="n">
        <x:v>0</x:v>
      </x:c>
      <x:c r="F236" s="12" t="n">
        <x:f>SUM(B236,D236:E236)</x:f>
        <x:v>88329.75345999999</x:v>
      </x:c>
      <x:c r="G236" s="12" t="n">
        <x:f>MAX(G235,F236)</x:f>
        <x:v>100000</x:v>
      </x:c>
      <x:c r="H236" s="14" t="n">
        <x:f>F236/G236-1</x:f>
        <x:v>-0.11670246540000007</x:v>
      </x:c>
      <x:c r="I236" s="14" t="n">
        <x:f>F236/F235-1</x:f>
        <x:v>0.00952969894405653</x:v>
      </x:c>
      <x:c r="J236" s="12" t="n">
        <x:v>0</x:v>
      </x:c>
      <x:c r="K236" s="12" t="n">
        <x:v>0</x:v>
      </x:c>
      <x:c r="L236" s="12" t="n">
        <x:v>0</x:v>
      </x:c>
      <x:c r="M236" s="2" t="str">
        <x:v>持有</x:v>
      </x:c>
    </x:row>
    <x:row r="237" ht="23" customHeight="1">
      <x:c r="A237" s="11" t="d">
        <x:v>2015-12-02T00:00:00.000Z</x:v>
      </x:c>
      <x:c r="B237" s="12" t="n">
        <x:v>54.83346</x:v>
      </x:c>
      <x:c r="C237" s="13" t="n">
        <x:v>419</x:v>
      </x:c>
      <x:c r="D237" s="12" t="n">
        <x:v>87374.07</x:v>
      </x:c>
      <x:c r="E237" s="12" t="n">
        <x:v>0</x:v>
      </x:c>
      <x:c r="F237" s="12" t="n">
        <x:f>SUM(B237,D237:E237)</x:f>
        <x:v>87428.90346</x:v>
      </x:c>
      <x:c r="G237" s="12" t="n">
        <x:f>MAX(G236,F237)</x:f>
        <x:v>100000</x:v>
      </x:c>
      <x:c r="H237" s="14" t="n">
        <x:f>F237/G237-1</x:f>
        <x:v>-0.12571096540000004</x:v>
      </x:c>
      <x:c r="I237" s="14" t="n">
        <x:f>F237/F236-1</x:f>
        <x:v>-0.010198715208776576</x:v>
      </x:c>
      <x:c r="J237" s="12" t="n">
        <x:v>0</x:v>
      </x:c>
      <x:c r="K237" s="12" t="n">
        <x:v>0</x:v>
      </x:c>
      <x:c r="L237" s="12" t="n">
        <x:v>0</x:v>
      </x:c>
      <x:c r="M237" s="2" t="str">
        <x:v>持有</x:v>
      </x:c>
    </x:row>
    <x:row r="238" ht="23" customHeight="1">
      <x:c r="A238" s="11" t="d">
        <x:v>2015-12-03T00:00:00.000Z</x:v>
      </x:c>
      <x:c r="B238" s="12" t="n">
        <x:v>54.83346</x:v>
      </x:c>
      <x:c r="C238" s="13" t="n">
        <x:v>419</x:v>
      </x:c>
      <x:c r="D238" s="12" t="n">
        <x:v>86150.59000000001</x:v>
      </x:c>
      <x:c r="E238" s="12" t="n">
        <x:v>0</x:v>
      </x:c>
      <x:c r="F238" s="12" t="n">
        <x:f>SUM(B238,D238:E238)</x:f>
        <x:v>86205.42346</x:v>
      </x:c>
      <x:c r="G238" s="12" t="n">
        <x:f>MAX(G237,F238)</x:f>
        <x:v>100000</x:v>
      </x:c>
      <x:c r="H238" s="14" t="n">
        <x:f>F238/G238-1</x:f>
        <x:v>-0.13794576539999992</x:v>
      </x:c>
      <x:c r="I238" s="14" t="n">
        <x:f>F238/F237-1</x:f>
        <x:v>-0.013993999141939995</x:v>
      </x:c>
      <x:c r="J238" s="12" t="n">
        <x:v>0</x:v>
      </x:c>
      <x:c r="K238" s="12" t="n">
        <x:v>0</x:v>
      </x:c>
      <x:c r="L238" s="12" t="n">
        <x:v>0</x:v>
      </x:c>
      <x:c r="M238" s="2" t="str">
        <x:v>持有</x:v>
      </x:c>
    </x:row>
    <x:row r="239" ht="23" customHeight="1">
      <x:c r="A239" s="11" t="d">
        <x:v>2015-12-04T00:00:00.000Z</x:v>
      </x:c>
      <x:c r="B239" s="12" t="n">
        <x:v>54.83346</x:v>
      </x:c>
      <x:c r="C239" s="13" t="n">
        <x:v>419</x:v>
      </x:c>
      <x:c r="D239" s="12" t="n">
        <x:v>87830.78</x:v>
      </x:c>
      <x:c r="E239" s="12" t="n">
        <x:v>0</x:v>
      </x:c>
      <x:c r="F239" s="12" t="n">
        <x:f>SUM(B239,D239:E239)</x:f>
        <x:v>87885.61346</x:v>
      </x:c>
      <x:c r="G239" s="12" t="n">
        <x:f>MAX(G238,F239)</x:f>
        <x:v>100000</x:v>
      </x:c>
      <x:c r="H239" s="14" t="n">
        <x:f>F239/G239-1</x:f>
        <x:v>-0.1211438654000001</x:v>
      </x:c>
      <x:c r="I239" s="14" t="n">
        <x:f>F239/F238-1</x:f>
        <x:v>0.019490537051646273</x:v>
      </x:c>
      <x:c r="J239" s="12" t="n">
        <x:v>0</x:v>
      </x:c>
      <x:c r="K239" s="12" t="n">
        <x:v>0</x:v>
      </x:c>
      <x:c r="L239" s="12" t="n">
        <x:v>0</x:v>
      </x:c>
      <x:c r="M239" s="2" t="str">
        <x:v>持有</x:v>
      </x:c>
    </x:row>
    <x:row r="240" ht="23" customHeight="1">
      <x:c r="A240" s="11" t="d">
        <x:v>2015-12-07T00:00:00.000Z</x:v>
      </x:c>
      <x:c r="B240" s="12" t="n">
        <x:v>54.83346</x:v>
      </x:c>
      <x:c r="C240" s="13" t="n">
        <x:v>419</x:v>
      </x:c>
      <x:c r="D240" s="12" t="n">
        <x:v>87298.65</x:v>
      </x:c>
      <x:c r="E240" s="12" t="n">
        <x:v>0</x:v>
      </x:c>
      <x:c r="F240" s="12" t="n">
        <x:f>SUM(B240,D240:E240)</x:f>
        <x:v>87353.48345999999</x:v>
      </x:c>
      <x:c r="G240" s="12" t="n">
        <x:f>MAX(G239,F240)</x:f>
        <x:v>100000</x:v>
      </x:c>
      <x:c r="H240" s="14" t="n">
        <x:f>F240/G240-1</x:f>
        <x:v>-0.12646516540000008</x:v>
      </x:c>
      <x:c r="I240" s="14" t="n">
        <x:f>F240/F239-1</x:f>
        <x:v>-0.006054802134847659</x:v>
      </x:c>
      <x:c r="J240" s="12" t="n">
        <x:v>0</x:v>
      </x:c>
      <x:c r="K240" s="12" t="n">
        <x:v>0</x:v>
      </x:c>
      <x:c r="L240" s="12" t="n">
        <x:v>0</x:v>
      </x:c>
      <x:c r="M240" s="2" t="str">
        <x:v>持有</x:v>
      </x:c>
    </x:row>
    <x:row r="241" ht="23" customHeight="1">
      <x:c r="A241" s="11" t="d">
        <x:v>2015-12-08T00:00:00.000Z</x:v>
      </x:c>
      <x:c r="B241" s="12" t="n">
        <x:v>54.83346</x:v>
      </x:c>
      <x:c r="C241" s="13" t="n">
        <x:v>419</x:v>
      </x:c>
      <x:c r="D241" s="12" t="n">
        <x:v>86712.04999999999</x:v>
      </x:c>
      <x:c r="E241" s="12" t="n">
        <x:v>0</x:v>
      </x:c>
      <x:c r="F241" s="12" t="n">
        <x:f>SUM(B241,D241:E241)</x:f>
        <x:v>86766.88345999998</x:v>
      </x:c>
      <x:c r="G241" s="12" t="n">
        <x:f>MAX(G240,F241)</x:f>
        <x:v>100000</x:v>
      </x:c>
      <x:c r="H241" s="14" t="n">
        <x:f>F241/G241-1</x:f>
        <x:v>-0.13233116540000023</x:v>
      </x:c>
      <x:c r="I241" s="14" t="n">
        <x:f>F241/F240-1</x:f>
        <x:v>-0.00671524450731964</x:v>
      </x:c>
      <x:c r="J241" s="12" t="n">
        <x:v>0</x:v>
      </x:c>
      <x:c r="K241" s="12" t="n">
        <x:v>0</x:v>
      </x:c>
      <x:c r="L241" s="12" t="n">
        <x:v>0</x:v>
      </x:c>
      <x:c r="M241" s="2" t="str">
        <x:v>持有</x:v>
      </x:c>
    </x:row>
    <x:row r="242" ht="23" customHeight="1">
      <x:c r="A242" s="11" t="d">
        <x:v>2015-12-09T00:00:00.000Z</x:v>
      </x:c>
      <x:c r="B242" s="12" t="n">
        <x:v>54.83346</x:v>
      </x:c>
      <x:c r="C242" s="13" t="n">
        <x:v>419</x:v>
      </x:c>
      <x:c r="D242" s="12" t="n">
        <x:v>86037.46</x:v>
      </x:c>
      <x:c r="E242" s="12" t="n">
        <x:v>0</x:v>
      </x:c>
      <x:c r="F242" s="12" t="n">
        <x:f>SUM(B242,D242:E242)</x:f>
        <x:v>86092.29346</x:v>
      </x:c>
      <x:c r="G242" s="12" t="n">
        <x:f>MAX(G241,F242)</x:f>
        <x:v>100000</x:v>
      </x:c>
      <x:c r="H242" s="14" t="n">
        <x:f>F242/G242-1</x:f>
        <x:v>-0.13907706539999998</x:v>
      </x:c>
      <x:c r="I242" s="14" t="n">
        <x:f>F242/F241-1</x:f>
        <x:v>-0.0077747404666317355</x:v>
      </x:c>
      <x:c r="J242" s="12" t="n">
        <x:v>0</x:v>
      </x:c>
      <x:c r="K242" s="12" t="n">
        <x:v>0</x:v>
      </x:c>
      <x:c r="L242" s="12" t="n">
        <x:v>0</x:v>
      </x:c>
      <x:c r="M242" s="2" t="str">
        <x:v>持有</x:v>
      </x:c>
    </x:row>
    <x:row r="243" ht="23" customHeight="1">
      <x:c r="A243" s="11" t="d">
        <x:v>2015-12-10T00:00:00.000Z</x:v>
      </x:c>
      <x:c r="B243" s="12" t="n">
        <x:v>54.83346</x:v>
      </x:c>
      <x:c r="C243" s="13" t="n">
        <x:v>419</x:v>
      </x:c>
      <x:c r="D243" s="12" t="n">
        <x:v>86259.53</x:v>
      </x:c>
      <x:c r="E243" s="12" t="n">
        <x:v>0</x:v>
      </x:c>
      <x:c r="F243" s="12" t="n">
        <x:f>SUM(B243,D243:E243)</x:f>
        <x:v>86314.36346</x:v>
      </x:c>
      <x:c r="G243" s="12" t="n">
        <x:f>MAX(G242,F243)</x:f>
        <x:v>100000</x:v>
      </x:c>
      <x:c r="H243" s="14" t="n">
        <x:f>F243/G243-1</x:f>
        <x:v>-0.1368563654</x:v>
      </x:c>
      <x:c r="I243" s="14" t="n">
        <x:f>F243/F242-1</x:f>
        <x:v>0.0025794410983275284</x:v>
      </x:c>
      <x:c r="J243" s="12" t="n">
        <x:v>0</x:v>
      </x:c>
      <x:c r="K243" s="12" t="n">
        <x:v>0</x:v>
      </x:c>
      <x:c r="L243" s="12" t="n">
        <x:v>0</x:v>
      </x:c>
      <x:c r="M243" s="2" t="str">
        <x:v>持有</x:v>
      </x:c>
    </x:row>
    <x:row r="244" ht="23" customHeight="1">
      <x:c r="A244" s="11" t="d">
        <x:v>2015-12-11T00:00:00.000Z</x:v>
      </x:c>
      <x:c r="B244" s="12" t="n">
        <x:v>54.83346</x:v>
      </x:c>
      <x:c r="C244" s="13" t="n">
        <x:v>419</x:v>
      </x:c>
      <x:c r="D244" s="12" t="n">
        <x:v>84587.72</x:v>
      </x:c>
      <x:c r="E244" s="12" t="n">
        <x:v>0</x:v>
      </x:c>
      <x:c r="F244" s="12" t="n">
        <x:f>SUM(B244,D244:E244)</x:f>
        <x:v>84642.55346</x:v>
      </x:c>
      <x:c r="G244" s="12" t="n">
        <x:f>MAX(G243,F244)</x:f>
        <x:v>100000</x:v>
      </x:c>
      <x:c r="H244" s="14" t="n">
        <x:f>F244/G244-1</x:f>
        <x:v>-0.15357446540000008</x:v>
      </x:c>
      <x:c r="I244" s="14" t="n">
        <x:f>F244/F243-1</x:f>
        <x:v>-0.01936885047845771</x:v>
      </x:c>
      <x:c r="J244" s="12" t="n">
        <x:v>0</x:v>
      </x:c>
      <x:c r="K244" s="12" t="n">
        <x:v>0</x:v>
      </x:c>
      <x:c r="L244" s="12" t="n">
        <x:v>0</x:v>
      </x:c>
      <x:c r="M244" s="2" t="str">
        <x:v>持有</x:v>
      </x:c>
    </x:row>
    <x:row r="245" ht="23" customHeight="1">
      <x:c r="A245" s="11" t="d">
        <x:v>2015-12-14T00:00:00.000Z</x:v>
      </x:c>
      <x:c r="B245" s="12" t="n">
        <x:v>84637.49613</x:v>
      </x:c>
      <x:c r="C245" s="13" t="n">
        <x:v>0</x:v>
      </x:c>
      <x:c r="D245" s="12" t="n">
        <x:v>0</x:v>
      </x:c>
      <x:c r="E245" s="12" t="n">
        <x:v>0</x:v>
      </x:c>
      <x:c r="F245" s="12" t="n">
        <x:f>SUM(B245,D245:E245)</x:f>
        <x:v>84637.49613</x:v>
      </x:c>
      <x:c r="G245" s="12" t="n">
        <x:f>MAX(G244,F245)</x:f>
        <x:v>100000</x:v>
      </x:c>
      <x:c r="H245" s="14" t="n">
        <x:f>F245/G245-1</x:f>
        <x:v>-0.1536250387</x:v>
      </x:c>
      <x:c r="I245" s="14" t="n">
        <x:f>F245/F244-1</x:f>
        <x:v>-0.000059749260782671065</x:v>
      </x:c>
      <x:c r="J245" s="12" t="n">
        <x:v>0</x:v>
      </x:c>
      <x:c r="K245" s="12" t="n">
        <x:v>0</x:v>
      </x:c>
      <x:c r="L245" s="12" t="n">
        <x:v>-419</x:v>
      </x:c>
      <x:c r="M245" s="2" t="str">
        <x:v>卖出</x:v>
      </x:c>
    </x:row>
    <x:row r="246" ht="23" customHeight="1">
      <x:c r="A246" s="11" t="d">
        <x:v>2015-12-15T00:00:00.000Z</x:v>
      </x:c>
      <x:c r="B246" s="12" t="n">
        <x:v>84637.49613</x:v>
      </x:c>
      <x:c r="C246" s="13" t="n">
        <x:v>0</x:v>
      </x:c>
      <x:c r="D246" s="12" t="n">
        <x:v>0</x:v>
      </x:c>
      <x:c r="E246" s="12" t="n">
        <x:v>0</x:v>
      </x:c>
      <x:c r="F246" s="12" t="n">
        <x:f>SUM(B246,D246:E246)</x:f>
        <x:v>84637.49613</x:v>
      </x:c>
      <x:c r="G246" s="12" t="n">
        <x:f>MAX(G245,F246)</x:f>
        <x:v>100000</x:v>
      </x:c>
      <x:c r="H246" s="14" t="n">
        <x:f>F246/G246-1</x:f>
        <x:v>-0.1536250387</x:v>
      </x:c>
      <x:c r="I246" s="14" t="n">
        <x:f>F246/F245-1</x:f>
        <x:v>0</x:v>
      </x:c>
      <x:c r="J246" s="12" t="n">
        <x:v>0</x:v>
      </x:c>
      <x:c r="K246" s="12" t="n">
        <x:v>0</x:v>
      </x:c>
      <x:c r="L246" s="12" t="n">
        <x:v>0</x:v>
      </x:c>
      <x:c r="M246" s="2" t="str">
        <x:v>空仓</x:v>
      </x:c>
    </x:row>
    <x:row r="247" ht="23" customHeight="1">
      <x:c r="A247" s="11" t="d">
        <x:v>2015-12-16T00:00:00.000Z</x:v>
      </x:c>
      <x:c r="B247" s="12" t="n">
        <x:v>84637.49613</x:v>
      </x:c>
      <x:c r="C247" s="13" t="n">
        <x:v>0</x:v>
      </x:c>
      <x:c r="D247" s="12" t="n">
        <x:v>0</x:v>
      </x:c>
      <x:c r="E247" s="12" t="n">
        <x:v>0</x:v>
      </x:c>
      <x:c r="F247" s="12" t="n">
        <x:f>SUM(B247,D247:E247)</x:f>
        <x:v>84637.49613</x:v>
      </x:c>
      <x:c r="G247" s="12" t="n">
        <x:f>MAX(G246,F247)</x:f>
        <x:v>100000</x:v>
      </x:c>
      <x:c r="H247" s="14" t="n">
        <x:f>F247/G247-1</x:f>
        <x:v>-0.1536250387</x:v>
      </x:c>
      <x:c r="I247" s="14" t="n">
        <x:f>F247/F246-1</x:f>
        <x:v>0</x:v>
      </x:c>
      <x:c r="J247" s="12" t="n">
        <x:v>0</x:v>
      </x:c>
      <x:c r="K247" s="12" t="n">
        <x:v>0</x:v>
      </x:c>
      <x:c r="L247" s="12" t="n">
        <x:v>0</x:v>
      </x:c>
      <x:c r="M247" s="2" t="str">
        <x:v>空仓</x:v>
      </x:c>
    </x:row>
    <x:row r="248" ht="23" customHeight="1">
      <x:c r="A248" s="11" t="d">
        <x:v>2015-12-17T00:00:00.000Z</x:v>
      </x:c>
      <x:c r="B248" s="12" t="n">
        <x:v>151.09413</x:v>
      </x:c>
      <x:c r="C248" s="13" t="n">
        <x:v>405</x:v>
      </x:c>
      <x:c r="D248" s="12" t="n">
        <x:v>82968.3</x:v>
      </x:c>
      <x:c r="E248" s="12" t="n">
        <x:v>0</x:v>
      </x:c>
      <x:c r="F248" s="12" t="n">
        <x:f>SUM(B248,D248:E248)</x:f>
        <x:v>83119.39413</x:v>
      </x:c>
      <x:c r="G248" s="12" t="n">
        <x:f>MAX(G247,F248)</x:f>
        <x:v>100000</x:v>
      </x:c>
      <x:c r="H248" s="14" t="n">
        <x:f>F248/G248-1</x:f>
        <x:v>-0.16880605869999998</x:v>
      </x:c>
      <x:c r="I248" s="14" t="n">
        <x:f>F248/F247-1</x:f>
        <x:v>-0.017936518321244432</x:v>
      </x:c>
      <x:c r="J248" s="12" t="n">
        <x:v>0</x:v>
      </x:c>
      <x:c r="K248" s="12" t="n">
        <x:v>0</x:v>
      </x:c>
      <x:c r="L248" s="12" t="n">
        <x:v>405</x:v>
      </x:c>
      <x:c r="M248" s="2" t="str">
        <x:v>买入</x:v>
      </x:c>
    </x:row>
    <x:row r="249" ht="23" customHeight="1">
      <x:c r="A249" s="11" t="d">
        <x:v>2015-12-18T00:00:00.000Z</x:v>
      </x:c>
      <x:c r="B249" s="12" t="n">
        <x:v>82190.82228</x:v>
      </x:c>
      <x:c r="C249" s="13" t="n">
        <x:v>0</x:v>
      </x:c>
      <x:c r="D249" s="12" t="n">
        <x:v>0</x:v>
      </x:c>
      <x:c r="E249" s="12" t="n">
        <x:v>490.67775</x:v>
      </x:c>
      <x:c r="F249" s="12" t="n">
        <x:f>SUM(B249,D249:E249)</x:f>
        <x:v>82681.50003</x:v>
      </x:c>
      <x:c r="G249" s="12" t="n">
        <x:f>MAX(G248,F249)</x:f>
        <x:v>100000</x:v>
      </x:c>
      <x:c r="H249" s="14" t="n">
        <x:f>F249/G249-1</x:f>
        <x:v>-0.1731849997</x:v>
      </x:c>
      <x:c r="I249" s="14" t="n">
        <x:f>F249/F248-1</x:f>
        <x:v>-0.005268254233363745</x:v>
      </x:c>
      <x:c r="J249" s="12" t="n">
        <x:v>490.67775</x:v>
      </x:c>
      <x:c r="K249" s="12" t="n">
        <x:v>0</x:v>
      </x:c>
      <x:c r="L249" s="12" t="n">
        <x:v>-405</x:v>
      </x:c>
      <x:c r="M249" s="2" t="str">
        <x:v>卖出</x:v>
      </x:c>
    </x:row>
    <x:row r="250" ht="23" customHeight="1">
      <x:c r="A250" s="11" t="d">
        <x:v>2015-12-21T00:00:00.000Z</x:v>
      </x:c>
      <x:c r="B250" s="12" t="n">
        <x:v>82190.82228</x:v>
      </x:c>
      <x:c r="C250" s="13" t="n">
        <x:v>0</x:v>
      </x:c>
      <x:c r="D250" s="12" t="n">
        <x:v>0</x:v>
      </x:c>
      <x:c r="E250" s="12" t="n">
        <x:v>490.67775</x:v>
      </x:c>
      <x:c r="F250" s="12" t="n">
        <x:f>SUM(B250,D250:E250)</x:f>
        <x:v>82681.50003</x:v>
      </x:c>
      <x:c r="G250" s="12" t="n">
        <x:f>MAX(G249,F250)</x:f>
        <x:v>100000</x:v>
      </x:c>
      <x:c r="H250" s="14" t="n">
        <x:f>F250/G250-1</x:f>
        <x:v>-0.1731849997</x:v>
      </x:c>
      <x:c r="I250" s="14" t="n">
        <x:f>F250/F249-1</x:f>
        <x:v>0</x:v>
      </x:c>
      <x:c r="J250" s="12" t="n">
        <x:v>0</x:v>
      </x:c>
      <x:c r="K250" s="12" t="n">
        <x:v>0</x:v>
      </x:c>
      <x:c r="L250" s="12" t="n">
        <x:v>0</x:v>
      </x:c>
      <x:c r="M250" s="2" t="str">
        <x:v>空仓</x:v>
      </x:c>
    </x:row>
    <x:row r="251" ht="23" customHeight="1">
      <x:c r="A251" s="11" t="d">
        <x:v>2015-12-22T00:00:00.000Z</x:v>
      </x:c>
      <x:c r="B251" s="12" t="n">
        <x:v>82190.82228</x:v>
      </x:c>
      <x:c r="C251" s="13" t="n">
        <x:v>0</x:v>
      </x:c>
      <x:c r="D251" s="12" t="n">
        <x:v>0</x:v>
      </x:c>
      <x:c r="E251" s="12" t="n">
        <x:v>490.67775</x:v>
      </x:c>
      <x:c r="F251" s="12" t="n">
        <x:f>SUM(B251,D251:E251)</x:f>
        <x:v>82681.50003</x:v>
      </x:c>
      <x:c r="G251" s="12" t="n">
        <x:f>MAX(G250,F251)</x:f>
        <x:v>100000</x:v>
      </x:c>
      <x:c r="H251" s="14" t="n">
        <x:f>F251/G251-1</x:f>
        <x:v>-0.1731849997</x:v>
      </x:c>
      <x:c r="I251" s="14" t="n">
        <x:f>F251/F250-1</x:f>
        <x:v>0</x:v>
      </x:c>
      <x:c r="J251" s="12" t="n">
        <x:v>0</x:v>
      </x:c>
      <x:c r="K251" s="12" t="n">
        <x:v>0</x:v>
      </x:c>
      <x:c r="L251" s="12" t="n">
        <x:v>0</x:v>
      </x:c>
      <x:c r="M251" s="2" t="str">
        <x:v>空仓</x:v>
      </x:c>
    </x:row>
    <x:row r="252" ht="23" customHeight="1">
      <x:c r="A252" s="11" t="d">
        <x:v>2015-12-23T00:00:00.000Z</x:v>
      </x:c>
      <x:c r="B252" s="12" t="n">
        <x:v>82190.82228</x:v>
      </x:c>
      <x:c r="C252" s="13" t="n">
        <x:v>0</x:v>
      </x:c>
      <x:c r="D252" s="12" t="n">
        <x:v>0</x:v>
      </x:c>
      <x:c r="E252" s="12" t="n">
        <x:v>490.67775</x:v>
      </x:c>
      <x:c r="F252" s="12" t="n">
        <x:f>SUM(B252,D252:E252)</x:f>
        <x:v>82681.50003</x:v>
      </x:c>
      <x:c r="G252" s="12" t="n">
        <x:f>MAX(G251,F252)</x:f>
        <x:v>100000</x:v>
      </x:c>
      <x:c r="H252" s="14" t="n">
        <x:f>F252/G252-1</x:f>
        <x:v>-0.1731849997</x:v>
      </x:c>
      <x:c r="I252" s="14" t="n">
        <x:f>F252/F251-1</x:f>
        <x:v>0</x:v>
      </x:c>
      <x:c r="J252" s="12" t="n">
        <x:v>0</x:v>
      </x:c>
      <x:c r="K252" s="12" t="n">
        <x:v>0</x:v>
      </x:c>
      <x:c r="L252" s="12" t="n">
        <x:v>0</x:v>
      </x:c>
      <x:c r="M252" s="2" t="str">
        <x:v>空仓</x:v>
      </x:c>
    </x:row>
    <x:row r="253" ht="23" customHeight="1">
      <x:c r="A253" s="11" t="d">
        <x:v>2015-12-24T00:00:00.000Z</x:v>
      </x:c>
      <x:c r="B253" s="12" t="n">
        <x:v>82190.82228</x:v>
      </x:c>
      <x:c r="C253" s="13" t="n">
        <x:v>0</x:v>
      </x:c>
      <x:c r="D253" s="12" t="n">
        <x:v>0</x:v>
      </x:c>
      <x:c r="E253" s="12" t="n">
        <x:v>490.67775</x:v>
      </x:c>
      <x:c r="F253" s="12" t="n">
        <x:f>SUM(B253,D253:E253)</x:f>
        <x:v>82681.50003</x:v>
      </x:c>
      <x:c r="G253" s="12" t="n">
        <x:f>MAX(G252,F253)</x:f>
        <x:v>100000</x:v>
      </x:c>
      <x:c r="H253" s="14" t="n">
        <x:f>F253/G253-1</x:f>
        <x:v>-0.1731849997</x:v>
      </x:c>
      <x:c r="I253" s="14" t="n">
        <x:f>F253/F252-1</x:f>
        <x:v>0</x:v>
      </x:c>
      <x:c r="J253" s="12" t="n">
        <x:v>0</x:v>
      </x:c>
      <x:c r="K253" s="12" t="n">
        <x:v>0</x:v>
      </x:c>
      <x:c r="L253" s="12" t="n">
        <x:v>0</x:v>
      </x:c>
      <x:c r="M253" s="2" t="str">
        <x:v>空仓</x:v>
      </x:c>
    </x:row>
    <x:row r="254" ht="23" customHeight="1">
      <x:c r="A254" s="11" t="d">
        <x:v>2015-12-28T00:00:00.000Z</x:v>
      </x:c>
      <x:c r="B254" s="12" t="n">
        <x:v>82190.82228</x:v>
      </x:c>
      <x:c r="C254" s="13" t="n">
        <x:v>0</x:v>
      </x:c>
      <x:c r="D254" s="12" t="n">
        <x:v>0</x:v>
      </x:c>
      <x:c r="E254" s="12" t="n">
        <x:v>490.67775</x:v>
      </x:c>
      <x:c r="F254" s="12" t="n">
        <x:f>SUM(B254,D254:E254)</x:f>
        <x:v>82681.50003</x:v>
      </x:c>
      <x:c r="G254" s="12" t="n">
        <x:f>MAX(G253,F254)</x:f>
        <x:v>100000</x:v>
      </x:c>
      <x:c r="H254" s="14" t="n">
        <x:f>F254/G254-1</x:f>
        <x:v>-0.1731849997</x:v>
      </x:c>
      <x:c r="I254" s="14" t="n">
        <x:f>F254/F253-1</x:f>
        <x:v>0</x:v>
      </x:c>
      <x:c r="J254" s="12" t="n">
        <x:v>0</x:v>
      </x:c>
      <x:c r="K254" s="12" t="n">
        <x:v>0</x:v>
      </x:c>
      <x:c r="L254" s="12" t="n">
        <x:v>0</x:v>
      </x:c>
      <x:c r="M254" s="2" t="str">
        <x:v>空仓</x:v>
      </x:c>
    </x:row>
    <x:row r="255" ht="23" customHeight="1">
      <x:c r="A255" s="11" t="d">
        <x:v>2015-12-29T00:00:00.000Z</x:v>
      </x:c>
      <x:c r="B255" s="12" t="n">
        <x:v>82190.82228</x:v>
      </x:c>
      <x:c r="C255" s="13" t="n">
        <x:v>0</x:v>
      </x:c>
      <x:c r="D255" s="12" t="n">
        <x:v>0</x:v>
      </x:c>
      <x:c r="E255" s="12" t="n">
        <x:v>490.67775</x:v>
      </x:c>
      <x:c r="F255" s="12" t="n">
        <x:f>SUM(B255,D255:E255)</x:f>
        <x:v>82681.50003</x:v>
      </x:c>
      <x:c r="G255" s="12" t="n">
        <x:f>MAX(G254,F255)</x:f>
        <x:v>100000</x:v>
      </x:c>
      <x:c r="H255" s="14" t="n">
        <x:f>F255/G255-1</x:f>
        <x:v>-0.1731849997</x:v>
      </x:c>
      <x:c r="I255" s="14" t="n">
        <x:f>F255/F254-1</x:f>
        <x:v>0</x:v>
      </x:c>
      <x:c r="J255" s="12" t="n">
        <x:v>0</x:v>
      </x:c>
      <x:c r="K255" s="12" t="n">
        <x:v>0</x:v>
      </x:c>
      <x:c r="L255" s="12" t="n">
        <x:v>0</x:v>
      </x:c>
      <x:c r="M255" s="2" t="str">
        <x:v>空仓</x:v>
      </x:c>
    </x:row>
    <x:row r="256" ht="23" customHeight="1">
      <x:c r="A256" s="11" t="d">
        <x:v>2015-12-30T00:00:00.000Z</x:v>
      </x:c>
      <x:c r="B256" s="12" t="n">
        <x:v>93.24672</x:v>
      </x:c>
      <x:c r="C256" s="13" t="n">
        <x:v>396</x:v>
      </x:c>
      <x:c r="D256" s="12" t="n">
        <x:v>81548.28</x:v>
      </x:c>
      <x:c r="E256" s="12" t="n">
        <x:v>490.67775</x:v>
      </x:c>
      <x:c r="F256" s="12" t="n">
        <x:f>SUM(B256,D256:E256)</x:f>
        <x:v>82132.20447</x:v>
      </x:c>
      <x:c r="G256" s="12" t="n">
        <x:f>MAX(G255,F256)</x:f>
        <x:v>100000</x:v>
      </x:c>
      <x:c r="H256" s="14" t="n">
        <x:f>F256/G256-1</x:f>
        <x:v>-0.17867795530000008</x:v>
      </x:c>
      <x:c r="I256" s="14" t="n">
        <x:f>F256/F255-1</x:f>
        <x:v>-0.006643512270588903</x:v>
      </x:c>
      <x:c r="J256" s="12" t="n">
        <x:v>0</x:v>
      </x:c>
      <x:c r="K256" s="12" t="n">
        <x:v>0</x:v>
      </x:c>
      <x:c r="L256" s="12" t="n">
        <x:v>396</x:v>
      </x:c>
      <x:c r="M256" s="2" t="str">
        <x:v>买入</x:v>
      </x:c>
    </x:row>
    <x:row r="257" ht="23" customHeight="1">
      <x:c r="A257" s="11" t="d">
        <x:v>2015-12-31T00:00:00.000Z</x:v>
      </x:c>
      <x:c r="B257" s="12" t="n">
        <x:v>81243.49524</x:v>
      </x:c>
      <x:c r="C257" s="13" t="n">
        <x:v>0</x:v>
      </x:c>
      <x:c r="D257" s="12" t="n">
        <x:v>0</x:v>
      </x:c>
      <x:c r="E257" s="12" t="n">
        <x:v>490.67775</x:v>
      </x:c>
      <x:c r="F257" s="12" t="n">
        <x:f>SUM(B257,D257:E257)</x:f>
        <x:v>81734.17299</x:v>
      </x:c>
      <x:c r="G257" s="12" t="n">
        <x:f>MAX(G256,F257)</x:f>
        <x:v>100000</x:v>
      </x:c>
      <x:c r="H257" s="14" t="n">
        <x:f>F257/G257-1</x:f>
        <x:v>-0.1826582700999999</x:v>
      </x:c>
      <x:c r="I257" s="14" t="n">
        <x:f>F257/F256-1</x:f>
        <x:v>-0.004846229107918099</x:v>
      </x:c>
      <x:c r="J257" s="12" t="n">
        <x:v>0</x:v>
      </x:c>
      <x:c r="K257" s="12" t="n">
        <x:v>0</x:v>
      </x:c>
      <x:c r="L257" s="12" t="n">
        <x:v>-396</x:v>
      </x:c>
      <x:c r="M257" s="2" t="str">
        <x:v>卖出</x:v>
      </x:c>
    </x:row>
    <x:row r="258" ht="23" customHeight="1">
      <x:c r="A258" s="11" t="d">
        <x:v>2016-01-04T00:00:00.000Z</x:v>
      </x:c>
      <x:c r="B258" s="12" t="n">
        <x:v>81243.49524</x:v>
      </x:c>
      <x:c r="C258" s="13" t="n">
        <x:v>0</x:v>
      </x:c>
      <x:c r="D258" s="12" t="n">
        <x:v>0</x:v>
      </x:c>
      <x:c r="E258" s="12" t="n">
        <x:v>490.67775</x:v>
      </x:c>
      <x:c r="F258" s="12" t="n">
        <x:f>SUM(B258,D258:E258)</x:f>
        <x:v>81734.17299</x:v>
      </x:c>
      <x:c r="G258" s="12" t="n">
        <x:f>MAX(G257,F258)</x:f>
        <x:v>100000</x:v>
      </x:c>
      <x:c r="H258" s="14" t="n">
        <x:f>F258/G258-1</x:f>
        <x:v>-0.1826582700999999</x:v>
      </x:c>
      <x:c r="I258" s="14" t="n">
        <x:f>F258/F257-1</x:f>
        <x:v>0</x:v>
      </x:c>
      <x:c r="J258" s="12" t="n">
        <x:v>0</x:v>
      </x:c>
      <x:c r="K258" s="12" t="n">
        <x:v>0</x:v>
      </x:c>
      <x:c r="L258" s="12" t="n">
        <x:v>0</x:v>
      </x:c>
      <x:c r="M258" s="2" t="str">
        <x:v>空仓</x:v>
      </x:c>
    </x:row>
    <x:row r="259" ht="23" customHeight="1">
      <x:c r="A259" s="11" t="d">
        <x:v>2016-01-05T00:00:00.000Z</x:v>
      </x:c>
      <x:c r="B259" s="12" t="n">
        <x:v>81243.49524</x:v>
      </x:c>
      <x:c r="C259" s="13" t="n">
        <x:v>0</x:v>
      </x:c>
      <x:c r="D259" s="12" t="n">
        <x:v>0</x:v>
      </x:c>
      <x:c r="E259" s="12" t="n">
        <x:v>490.67775</x:v>
      </x:c>
      <x:c r="F259" s="12" t="n">
        <x:f>SUM(B259,D259:E259)</x:f>
        <x:v>81734.17299</x:v>
      </x:c>
      <x:c r="G259" s="12" t="n">
        <x:f>MAX(G258,F259)</x:f>
        <x:v>100000</x:v>
      </x:c>
      <x:c r="H259" s="14" t="n">
        <x:f>F259/G259-1</x:f>
        <x:v>-0.1826582700999999</x:v>
      </x:c>
      <x:c r="I259" s="14" t="n">
        <x:f>F259/F258-1</x:f>
        <x:v>0</x:v>
      </x:c>
      <x:c r="J259" s="12" t="n">
        <x:v>0</x:v>
      </x:c>
      <x:c r="K259" s="12" t="n">
        <x:v>0</x:v>
      </x:c>
      <x:c r="L259" s="12" t="n">
        <x:v>0</x:v>
      </x:c>
      <x:c r="M259" s="2" t="str">
        <x:v>空仓</x:v>
      </x:c>
    </x:row>
    <x:row r="260" ht="23" customHeight="1">
      <x:c r="A260" s="11" t="d">
        <x:v>2016-01-06T00:00:00.000Z</x:v>
      </x:c>
      <x:c r="B260" s="12" t="n">
        <x:v>81243.49524</x:v>
      </x:c>
      <x:c r="C260" s="13" t="n">
        <x:v>0</x:v>
      </x:c>
      <x:c r="D260" s="12" t="n">
        <x:v>0</x:v>
      </x:c>
      <x:c r="E260" s="12" t="n">
        <x:v>490.67775</x:v>
      </x:c>
      <x:c r="F260" s="12" t="n">
        <x:f>SUM(B260,D260:E260)</x:f>
        <x:v>81734.17299</x:v>
      </x:c>
      <x:c r="G260" s="12" t="n">
        <x:f>MAX(G259,F260)</x:f>
        <x:v>100000</x:v>
      </x:c>
      <x:c r="H260" s="14" t="n">
        <x:f>F260/G260-1</x:f>
        <x:v>-0.1826582700999999</x:v>
      </x:c>
      <x:c r="I260" s="14" t="n">
        <x:f>F260/F259-1</x:f>
        <x:v>0</x:v>
      </x:c>
      <x:c r="J260" s="12" t="n">
        <x:v>0</x:v>
      </x:c>
      <x:c r="K260" s="12" t="n">
        <x:v>0</x:v>
      </x:c>
      <x:c r="L260" s="12" t="n">
        <x:v>0</x:v>
      </x:c>
      <x:c r="M260" s="2" t="str">
        <x:v>空仓</x:v>
      </x:c>
    </x:row>
    <x:row r="261" ht="23" customHeight="1">
      <x:c r="A261" s="11" t="d">
        <x:v>2016-01-07T00:00:00.000Z</x:v>
      </x:c>
      <x:c r="B261" s="12" t="n">
        <x:v>81243.49524</x:v>
      </x:c>
      <x:c r="C261" s="13" t="n">
        <x:v>0</x:v>
      </x:c>
      <x:c r="D261" s="12" t="n">
        <x:v>0</x:v>
      </x:c>
      <x:c r="E261" s="12" t="n">
        <x:v>490.67775</x:v>
      </x:c>
      <x:c r="F261" s="12" t="n">
        <x:f>SUM(B261,D261:E261)</x:f>
        <x:v>81734.17299</x:v>
      </x:c>
      <x:c r="G261" s="12" t="n">
        <x:f>MAX(G260,F261)</x:f>
        <x:v>100000</x:v>
      </x:c>
      <x:c r="H261" s="14" t="n">
        <x:f>F261/G261-1</x:f>
        <x:v>-0.1826582700999999</x:v>
      </x:c>
      <x:c r="I261" s="14" t="n">
        <x:f>F261/F260-1</x:f>
        <x:v>0</x:v>
      </x:c>
      <x:c r="J261" s="12" t="n">
        <x:v>0</x:v>
      </x:c>
      <x:c r="K261" s="12" t="n">
        <x:v>0</x:v>
      </x:c>
      <x:c r="L261" s="12" t="n">
        <x:v>0</x:v>
      </x:c>
      <x:c r="M261" s="2" t="str">
        <x:v>空仓</x:v>
      </x:c>
    </x:row>
    <x:row r="262" ht="23" customHeight="1">
      <x:c r="A262" s="11" t="d">
        <x:v>2016-01-08T00:00:00.000Z</x:v>
      </x:c>
      <x:c r="B262" s="12" t="n">
        <x:v>81243.49524</x:v>
      </x:c>
      <x:c r="C262" s="13" t="n">
        <x:v>0</x:v>
      </x:c>
      <x:c r="D262" s="12" t="n">
        <x:v>0</x:v>
      </x:c>
      <x:c r="E262" s="12" t="n">
        <x:v>490.67775</x:v>
      </x:c>
      <x:c r="F262" s="12" t="n">
        <x:f>SUM(B262,D262:E262)</x:f>
        <x:v>81734.17299</x:v>
      </x:c>
      <x:c r="G262" s="12" t="n">
        <x:f>MAX(G261,F262)</x:f>
        <x:v>100000</x:v>
      </x:c>
      <x:c r="H262" s="14" t="n">
        <x:f>F262/G262-1</x:f>
        <x:v>-0.1826582700999999</x:v>
      </x:c>
      <x:c r="I262" s="14" t="n">
        <x:f>F262/F261-1</x:f>
        <x:v>0</x:v>
      </x:c>
      <x:c r="J262" s="12" t="n">
        <x:v>0</x:v>
      </x:c>
      <x:c r="K262" s="12" t="n">
        <x:v>0</x:v>
      </x:c>
      <x:c r="L262" s="12" t="n">
        <x:v>0</x:v>
      </x:c>
      <x:c r="M262" s="2" t="str">
        <x:v>空仓</x:v>
      </x:c>
    </x:row>
    <x:row r="263" ht="23" customHeight="1">
      <x:c r="A263" s="11" t="d">
        <x:v>2016-01-11T00:00:00.000Z</x:v>
      </x:c>
      <x:c r="B263" s="12" t="n">
        <x:v>81243.49524</x:v>
      </x:c>
      <x:c r="C263" s="13" t="n">
        <x:v>0</x:v>
      </x:c>
      <x:c r="D263" s="12" t="n">
        <x:v>0</x:v>
      </x:c>
      <x:c r="E263" s="12" t="n">
        <x:v>490.67775</x:v>
      </x:c>
      <x:c r="F263" s="12" t="n">
        <x:f>SUM(B263,D263:E263)</x:f>
        <x:v>81734.17299</x:v>
      </x:c>
      <x:c r="G263" s="12" t="n">
        <x:f>MAX(G262,F263)</x:f>
        <x:v>100000</x:v>
      </x:c>
      <x:c r="H263" s="14" t="n">
        <x:f>F263/G263-1</x:f>
        <x:v>-0.1826582700999999</x:v>
      </x:c>
      <x:c r="I263" s="14" t="n">
        <x:f>F263/F262-1</x:f>
        <x:v>0</x:v>
      </x:c>
      <x:c r="J263" s="12" t="n">
        <x:v>0</x:v>
      </x:c>
      <x:c r="K263" s="12" t="n">
        <x:v>0</x:v>
      </x:c>
      <x:c r="L263" s="12" t="n">
        <x:v>0</x:v>
      </x:c>
      <x:c r="M263" s="2" t="str">
        <x:v>空仓</x:v>
      </x:c>
    </x:row>
    <x:row r="264" ht="23" customHeight="1">
      <x:c r="A264" s="11" t="d">
        <x:v>2016-01-12T00:00:00.000Z</x:v>
      </x:c>
      <x:c r="B264" s="12" t="n">
        <x:v>81243.49524</x:v>
      </x:c>
      <x:c r="C264" s="13" t="n">
        <x:v>0</x:v>
      </x:c>
      <x:c r="D264" s="12" t="n">
        <x:v>0</x:v>
      </x:c>
      <x:c r="E264" s="12" t="n">
        <x:v>490.67775</x:v>
      </x:c>
      <x:c r="F264" s="12" t="n">
        <x:f>SUM(B264,D264:E264)</x:f>
        <x:v>81734.17299</x:v>
      </x:c>
      <x:c r="G264" s="12" t="n">
        <x:f>MAX(G263,F264)</x:f>
        <x:v>100000</x:v>
      </x:c>
      <x:c r="H264" s="14" t="n">
        <x:f>F264/G264-1</x:f>
        <x:v>-0.1826582700999999</x:v>
      </x:c>
      <x:c r="I264" s="14" t="n">
        <x:f>F264/F263-1</x:f>
        <x:v>0</x:v>
      </x:c>
      <x:c r="J264" s="12" t="n">
        <x:v>0</x:v>
      </x:c>
      <x:c r="K264" s="12" t="n">
        <x:v>0</x:v>
      </x:c>
      <x:c r="L264" s="12" t="n">
        <x:v>0</x:v>
      </x:c>
      <x:c r="M264" s="2" t="str">
        <x:v>空仓</x:v>
      </x:c>
    </x:row>
    <x:row r="265" ht="23" customHeight="1">
      <x:c r="A265" s="11" t="d">
        <x:v>2016-01-13T00:00:00.000Z</x:v>
      </x:c>
      <x:c r="B265" s="12" t="n">
        <x:v>81243.49524</x:v>
      </x:c>
      <x:c r="C265" s="13" t="n">
        <x:v>0</x:v>
      </x:c>
      <x:c r="D265" s="12" t="n">
        <x:v>0</x:v>
      </x:c>
      <x:c r="E265" s="12" t="n">
        <x:v>490.67775</x:v>
      </x:c>
      <x:c r="F265" s="12" t="n">
        <x:f>SUM(B265,D265:E265)</x:f>
        <x:v>81734.17299</x:v>
      </x:c>
      <x:c r="G265" s="12" t="n">
        <x:f>MAX(G264,F265)</x:f>
        <x:v>100000</x:v>
      </x:c>
      <x:c r="H265" s="14" t="n">
        <x:f>F265/G265-1</x:f>
        <x:v>-0.1826582700999999</x:v>
      </x:c>
      <x:c r="I265" s="14" t="n">
        <x:f>F265/F264-1</x:f>
        <x:v>0</x:v>
      </x:c>
      <x:c r="J265" s="12" t="n">
        <x:v>0</x:v>
      </x:c>
      <x:c r="K265" s="12" t="n">
        <x:v>0</x:v>
      </x:c>
      <x:c r="L265" s="12" t="n">
        <x:v>0</x:v>
      </x:c>
      <x:c r="M265" s="2" t="str">
        <x:v>空仓</x:v>
      </x:c>
    </x:row>
    <x:row r="266" ht="23" customHeight="1">
      <x:c r="A266" s="11" t="d">
        <x:v>2016-01-14T00:00:00.000Z</x:v>
      </x:c>
      <x:c r="B266" s="12" t="n">
        <x:v>81243.49524</x:v>
      </x:c>
      <x:c r="C266" s="13" t="n">
        <x:v>0</x:v>
      </x:c>
      <x:c r="D266" s="12" t="n">
        <x:v>0</x:v>
      </x:c>
      <x:c r="E266" s="12" t="n">
        <x:v>490.67775</x:v>
      </x:c>
      <x:c r="F266" s="12" t="n">
        <x:f>SUM(B266,D266:E266)</x:f>
        <x:v>81734.17299</x:v>
      </x:c>
      <x:c r="G266" s="12" t="n">
        <x:f>MAX(G265,F266)</x:f>
        <x:v>100000</x:v>
      </x:c>
      <x:c r="H266" s="14" t="n">
        <x:f>F266/G266-1</x:f>
        <x:v>-0.1826582700999999</x:v>
      </x:c>
      <x:c r="I266" s="14" t="n">
        <x:f>F266/F265-1</x:f>
        <x:v>0</x:v>
      </x:c>
      <x:c r="J266" s="12" t="n">
        <x:v>0</x:v>
      </x:c>
      <x:c r="K266" s="12" t="n">
        <x:v>0</x:v>
      </x:c>
      <x:c r="L266" s="12" t="n">
        <x:v>0</x:v>
      </x:c>
      <x:c r="M266" s="2" t="str">
        <x:v>空仓</x:v>
      </x:c>
    </x:row>
    <x:row r="267" ht="23" customHeight="1">
      <x:c r="A267" s="11" t="d">
        <x:v>2016-01-15T00:00:00.000Z</x:v>
      </x:c>
      <x:c r="B267" s="12" t="n">
        <x:v>81243.49524</x:v>
      </x:c>
      <x:c r="C267" s="13" t="n">
        <x:v>0</x:v>
      </x:c>
      <x:c r="D267" s="12" t="n">
        <x:v>0</x:v>
      </x:c>
      <x:c r="E267" s="12" t="n">
        <x:v>490.67775</x:v>
      </x:c>
      <x:c r="F267" s="12" t="n">
        <x:f>SUM(B267,D267:E267)</x:f>
        <x:v>81734.17299</x:v>
      </x:c>
      <x:c r="G267" s="12" t="n">
        <x:f>MAX(G266,F267)</x:f>
        <x:v>100000</x:v>
      </x:c>
      <x:c r="H267" s="14" t="n">
        <x:f>F267/G267-1</x:f>
        <x:v>-0.1826582700999999</x:v>
      </x:c>
      <x:c r="I267" s="14" t="n">
        <x:f>F267/F266-1</x:f>
        <x:v>0</x:v>
      </x:c>
      <x:c r="J267" s="12" t="n">
        <x:v>0</x:v>
      </x:c>
      <x:c r="K267" s="12" t="n">
        <x:v>0</x:v>
      </x:c>
      <x:c r="L267" s="12" t="n">
        <x:v>0</x:v>
      </x:c>
      <x:c r="M267" s="2" t="str">
        <x:v>空仓</x:v>
      </x:c>
    </x:row>
    <x:row r="268" ht="23" customHeight="1">
      <x:c r="A268" s="11" t="d">
        <x:v>2016-01-19T00:00:00.000Z</x:v>
      </x:c>
      <x:c r="B268" s="12" t="n">
        <x:v>81243.49524</x:v>
      </x:c>
      <x:c r="C268" s="13" t="n">
        <x:v>0</x:v>
      </x:c>
      <x:c r="D268" s="12" t="n">
        <x:v>0</x:v>
      </x:c>
      <x:c r="E268" s="12" t="n">
        <x:v>490.67775</x:v>
      </x:c>
      <x:c r="F268" s="12" t="n">
        <x:f>SUM(B268,D268:E268)</x:f>
        <x:v>81734.17299</x:v>
      </x:c>
      <x:c r="G268" s="12" t="n">
        <x:f>MAX(G267,F268)</x:f>
        <x:v>100000</x:v>
      </x:c>
      <x:c r="H268" s="14" t="n">
        <x:f>F268/G268-1</x:f>
        <x:v>-0.1826582700999999</x:v>
      </x:c>
      <x:c r="I268" s="14" t="n">
        <x:f>F268/F267-1</x:f>
        <x:v>0</x:v>
      </x:c>
      <x:c r="J268" s="12" t="n">
        <x:v>0</x:v>
      </x:c>
      <x:c r="K268" s="12" t="n">
        <x:v>0</x:v>
      </x:c>
      <x:c r="L268" s="12" t="n">
        <x:v>0</x:v>
      </x:c>
      <x:c r="M268" s="2" t="str">
        <x:v>空仓</x:v>
      </x:c>
    </x:row>
    <x:row r="269" ht="23" customHeight="1">
      <x:c r="A269" s="11" t="d">
        <x:v>2016-01-20T00:00:00.000Z</x:v>
      </x:c>
      <x:c r="B269" s="12" t="n">
        <x:v>81243.49524</x:v>
      </x:c>
      <x:c r="C269" s="13" t="n">
        <x:v>0</x:v>
      </x:c>
      <x:c r="D269" s="12" t="n">
        <x:v>0</x:v>
      </x:c>
      <x:c r="E269" s="12" t="n">
        <x:v>490.67775</x:v>
      </x:c>
      <x:c r="F269" s="12" t="n">
        <x:f>SUM(B269,D269:E269)</x:f>
        <x:v>81734.17299</x:v>
      </x:c>
      <x:c r="G269" s="12" t="n">
        <x:f>MAX(G268,F269)</x:f>
        <x:v>100000</x:v>
      </x:c>
      <x:c r="H269" s="14" t="n">
        <x:f>F269/G269-1</x:f>
        <x:v>-0.1826582700999999</x:v>
      </x:c>
      <x:c r="I269" s="14" t="n">
        <x:f>F269/F268-1</x:f>
        <x:v>0</x:v>
      </x:c>
      <x:c r="J269" s="12" t="n">
        <x:v>0</x:v>
      </x:c>
      <x:c r="K269" s="12" t="n">
        <x:v>0</x:v>
      </x:c>
      <x:c r="L269" s="12" t="n">
        <x:v>0</x:v>
      </x:c>
      <x:c r="M269" s="2" t="str">
        <x:v>空仓</x:v>
      </x:c>
    </x:row>
    <x:row r="270" ht="23" customHeight="1">
      <x:c r="A270" s="11" t="d">
        <x:v>2016-01-21T00:00:00.000Z</x:v>
      </x:c>
      <x:c r="B270" s="12" t="n">
        <x:v>81243.49524</x:v>
      </x:c>
      <x:c r="C270" s="13" t="n">
        <x:v>0</x:v>
      </x:c>
      <x:c r="D270" s="12" t="n">
        <x:v>0</x:v>
      </x:c>
      <x:c r="E270" s="12" t="n">
        <x:v>490.67775</x:v>
      </x:c>
      <x:c r="F270" s="12" t="n">
        <x:f>SUM(B270,D270:E270)</x:f>
        <x:v>81734.17299</x:v>
      </x:c>
      <x:c r="G270" s="12" t="n">
        <x:f>MAX(G269,F270)</x:f>
        <x:v>100000</x:v>
      </x:c>
      <x:c r="H270" s="14" t="n">
        <x:f>F270/G270-1</x:f>
        <x:v>-0.1826582700999999</x:v>
      </x:c>
      <x:c r="I270" s="14" t="n">
        <x:f>F270/F269-1</x:f>
        <x:v>0</x:v>
      </x:c>
      <x:c r="J270" s="12" t="n">
        <x:v>0</x:v>
      </x:c>
      <x:c r="K270" s="12" t="n">
        <x:v>0</x:v>
      </x:c>
      <x:c r="L270" s="12" t="n">
        <x:v>0</x:v>
      </x:c>
      <x:c r="M270" s="2" t="str">
        <x:v>空仓</x:v>
      </x:c>
    </x:row>
    <x:row r="271" ht="23" customHeight="1">
      <x:c r="A271" s="11" t="d">
        <x:v>2016-01-22T00:00:00.000Z</x:v>
      </x:c>
      <x:c r="B271" s="12" t="n">
        <x:v>81243.49524</x:v>
      </x:c>
      <x:c r="C271" s="13" t="n">
        <x:v>0</x:v>
      </x:c>
      <x:c r="D271" s="12" t="n">
        <x:v>0</x:v>
      </x:c>
      <x:c r="E271" s="12" t="n">
        <x:v>490.67775</x:v>
      </x:c>
      <x:c r="F271" s="12" t="n">
        <x:f>SUM(B271,D271:E271)</x:f>
        <x:v>81734.17299</x:v>
      </x:c>
      <x:c r="G271" s="12" t="n">
        <x:f>MAX(G270,F271)</x:f>
        <x:v>100000</x:v>
      </x:c>
      <x:c r="H271" s="14" t="n">
        <x:f>F271/G271-1</x:f>
        <x:v>-0.1826582700999999</x:v>
      </x:c>
      <x:c r="I271" s="14" t="n">
        <x:f>F271/F270-1</x:f>
        <x:v>0</x:v>
      </x:c>
      <x:c r="J271" s="12" t="n">
        <x:v>0</x:v>
      </x:c>
      <x:c r="K271" s="12" t="n">
        <x:v>0</x:v>
      </x:c>
      <x:c r="L271" s="12" t="n">
        <x:v>0</x:v>
      </x:c>
      <x:c r="M271" s="2" t="str">
        <x:v>空仓</x:v>
      </x:c>
    </x:row>
    <x:row r="272" ht="23" customHeight="1">
      <x:c r="A272" s="11" t="d">
        <x:v>2016-01-25T00:00:00.000Z</x:v>
      </x:c>
      <x:c r="B272" s="12" t="n">
        <x:v>81243.49524</x:v>
      </x:c>
      <x:c r="C272" s="13" t="n">
        <x:v>0</x:v>
      </x:c>
      <x:c r="D272" s="12" t="n">
        <x:v>0</x:v>
      </x:c>
      <x:c r="E272" s="12" t="n">
        <x:v>490.67775</x:v>
      </x:c>
      <x:c r="F272" s="12" t="n">
        <x:f>SUM(B272,D272:E272)</x:f>
        <x:v>81734.17299</x:v>
      </x:c>
      <x:c r="G272" s="12" t="n">
        <x:f>MAX(G271,F272)</x:f>
        <x:v>100000</x:v>
      </x:c>
      <x:c r="H272" s="14" t="n">
        <x:f>F272/G272-1</x:f>
        <x:v>-0.1826582700999999</x:v>
      </x:c>
      <x:c r="I272" s="14" t="n">
        <x:f>F272/F271-1</x:f>
        <x:v>0</x:v>
      </x:c>
      <x:c r="J272" s="12" t="n">
        <x:v>0</x:v>
      </x:c>
      <x:c r="K272" s="12" t="n">
        <x:v>0</x:v>
      </x:c>
      <x:c r="L272" s="12" t="n">
        <x:v>0</x:v>
      </x:c>
      <x:c r="M272" s="2" t="str">
        <x:v>空仓</x:v>
      </x:c>
    </x:row>
    <x:row r="273" ht="23" customHeight="1">
      <x:c r="A273" s="11" t="d">
        <x:v>2016-01-26T00:00:00.000Z</x:v>
      </x:c>
      <x:c r="B273" s="12" t="n">
        <x:v>81243.49524</x:v>
      </x:c>
      <x:c r="C273" s="13" t="n">
        <x:v>0</x:v>
      </x:c>
      <x:c r="D273" s="12" t="n">
        <x:v>0</x:v>
      </x:c>
      <x:c r="E273" s="12" t="n">
        <x:v>490.67775</x:v>
      </x:c>
      <x:c r="F273" s="12" t="n">
        <x:f>SUM(B273,D273:E273)</x:f>
        <x:v>81734.17299</x:v>
      </x:c>
      <x:c r="G273" s="12" t="n">
        <x:f>MAX(G272,F273)</x:f>
        <x:v>100000</x:v>
      </x:c>
      <x:c r="H273" s="14" t="n">
        <x:f>F273/G273-1</x:f>
        <x:v>-0.1826582700999999</x:v>
      </x:c>
      <x:c r="I273" s="14" t="n">
        <x:f>F273/F272-1</x:f>
        <x:v>0</x:v>
      </x:c>
      <x:c r="J273" s="12" t="n">
        <x:v>0</x:v>
      </x:c>
      <x:c r="K273" s="12" t="n">
        <x:v>0</x:v>
      </x:c>
      <x:c r="L273" s="12" t="n">
        <x:v>0</x:v>
      </x:c>
      <x:c r="M273" s="2" t="str">
        <x:v>空仓</x:v>
      </x:c>
    </x:row>
    <x:row r="274" ht="23" customHeight="1">
      <x:c r="A274" s="11" t="d">
        <x:v>2016-01-27T00:00:00.000Z</x:v>
      </x:c>
      <x:c r="B274" s="12" t="n">
        <x:v>81243.49524</x:v>
      </x:c>
      <x:c r="C274" s="13" t="n">
        <x:v>0</x:v>
      </x:c>
      <x:c r="D274" s="12" t="n">
        <x:v>0</x:v>
      </x:c>
      <x:c r="E274" s="12" t="n">
        <x:v>490.67775</x:v>
      </x:c>
      <x:c r="F274" s="12" t="n">
        <x:f>SUM(B274,D274:E274)</x:f>
        <x:v>81734.17299</x:v>
      </x:c>
      <x:c r="G274" s="12" t="n">
        <x:f>MAX(G273,F274)</x:f>
        <x:v>100000</x:v>
      </x:c>
      <x:c r="H274" s="14" t="n">
        <x:f>F274/G274-1</x:f>
        <x:v>-0.1826582700999999</x:v>
      </x:c>
      <x:c r="I274" s="14" t="n">
        <x:f>F274/F273-1</x:f>
        <x:v>0</x:v>
      </x:c>
      <x:c r="J274" s="12" t="n">
        <x:v>0</x:v>
      </x:c>
      <x:c r="K274" s="12" t="n">
        <x:v>0</x:v>
      </x:c>
      <x:c r="L274" s="12" t="n">
        <x:v>0</x:v>
      </x:c>
      <x:c r="M274" s="2" t="str">
        <x:v>空仓</x:v>
      </x:c>
    </x:row>
    <x:row r="275" ht="23" customHeight="1">
      <x:c r="A275" s="11" t="d">
        <x:v>2016-01-28T00:00:00.000Z</x:v>
      </x:c>
      <x:c r="B275" s="12" t="n">
        <x:v>81243.49524</x:v>
      </x:c>
      <x:c r="C275" s="13" t="n">
        <x:v>0</x:v>
      </x:c>
      <x:c r="D275" s="12" t="n">
        <x:v>0</x:v>
      </x:c>
      <x:c r="E275" s="12" t="n">
        <x:v>490.67775</x:v>
      </x:c>
      <x:c r="F275" s="12" t="n">
        <x:f>SUM(B275,D275:E275)</x:f>
        <x:v>81734.17299</x:v>
      </x:c>
      <x:c r="G275" s="12" t="n">
        <x:f>MAX(G274,F275)</x:f>
        <x:v>100000</x:v>
      </x:c>
      <x:c r="H275" s="14" t="n">
        <x:f>F275/G275-1</x:f>
        <x:v>-0.1826582700999999</x:v>
      </x:c>
      <x:c r="I275" s="14" t="n">
        <x:f>F275/F274-1</x:f>
        <x:v>0</x:v>
      </x:c>
      <x:c r="J275" s="12" t="n">
        <x:v>0</x:v>
      </x:c>
      <x:c r="K275" s="12" t="n">
        <x:v>0</x:v>
      </x:c>
      <x:c r="L275" s="12" t="n">
        <x:v>0</x:v>
      </x:c>
      <x:c r="M275" s="2" t="str">
        <x:v>空仓</x:v>
      </x:c>
    </x:row>
    <x:row r="276" ht="23" customHeight="1">
      <x:c r="A276" s="11" t="d">
        <x:v>2016-01-29T00:00:00.000Z</x:v>
      </x:c>
      <x:c r="B276" s="12" t="n">
        <x:v>81734.17299</x:v>
      </x:c>
      <x:c r="C276" s="13" t="n">
        <x:v>0</x:v>
      </x:c>
      <x:c r="D276" s="12" t="n">
        <x:v>0</x:v>
      </x:c>
      <x:c r="E276" s="12" t="n">
        <x:v>0</x:v>
      </x:c>
      <x:c r="F276" s="12" t="n">
        <x:f>SUM(B276,D276:E276)</x:f>
        <x:v>81734.17299</x:v>
      </x:c>
      <x:c r="G276" s="12" t="n">
        <x:f>MAX(G275,F276)</x:f>
        <x:v>100000</x:v>
      </x:c>
      <x:c r="H276" s="14" t="n">
        <x:f>F276/G276-1</x:f>
        <x:v>-0.1826582700999999</x:v>
      </x:c>
      <x:c r="I276" s="14" t="n">
        <x:f>F276/F275-1</x:f>
        <x:v>0</x:v>
      </x:c>
      <x:c r="J276" s="12" t="n">
        <x:v>0</x:v>
      </x:c>
      <x:c r="K276" s="12" t="n">
        <x:v>490.67775</x:v>
      </x:c>
      <x:c r="L276" s="12" t="n">
        <x:v>0</x:v>
      </x:c>
      <x:c r="M276" s="2" t="str">
        <x:v>空仓</x:v>
      </x:c>
    </x:row>
    <x:row r="277" ht="23" customHeight="1">
      <x:c r="A277" s="11" t="d">
        <x:v>2016-02-01T00:00:00.000Z</x:v>
      </x:c>
      <x:c r="B277" s="12" t="n">
        <x:v>81734.17299</x:v>
      </x:c>
      <x:c r="C277" s="13" t="n">
        <x:v>0</x:v>
      </x:c>
      <x:c r="D277" s="12" t="n">
        <x:v>0</x:v>
      </x:c>
      <x:c r="E277" s="12" t="n">
        <x:v>0</x:v>
      </x:c>
      <x:c r="F277" s="12" t="n">
        <x:f>SUM(B277,D277:E277)</x:f>
        <x:v>81734.17299</x:v>
      </x:c>
      <x:c r="G277" s="12" t="n">
        <x:f>MAX(G276,F277)</x:f>
        <x:v>100000</x:v>
      </x:c>
      <x:c r="H277" s="14" t="n">
        <x:f>F277/G277-1</x:f>
        <x:v>-0.1826582700999999</x:v>
      </x:c>
      <x:c r="I277" s="14" t="n">
        <x:f>F277/F276-1</x:f>
        <x:v>0</x:v>
      </x:c>
      <x:c r="J277" s="12" t="n">
        <x:v>0</x:v>
      </x:c>
      <x:c r="K277" s="12" t="n">
        <x:v>0</x:v>
      </x:c>
      <x:c r="L277" s="12" t="n">
        <x:v>0</x:v>
      </x:c>
      <x:c r="M277" s="2" t="str">
        <x:v>空仓</x:v>
      </x:c>
    </x:row>
    <x:row r="278" ht="23" customHeight="1">
      <x:c r="A278" s="11" t="d">
        <x:v>2016-02-02T00:00:00.000Z</x:v>
      </x:c>
      <x:c r="B278" s="12" t="n">
        <x:v>81734.17299</x:v>
      </x:c>
      <x:c r="C278" s="13" t="n">
        <x:v>0</x:v>
      </x:c>
      <x:c r="D278" s="12" t="n">
        <x:v>0</x:v>
      </x:c>
      <x:c r="E278" s="12" t="n">
        <x:v>0</x:v>
      </x:c>
      <x:c r="F278" s="12" t="n">
        <x:f>SUM(B278,D278:E278)</x:f>
        <x:v>81734.17299</x:v>
      </x:c>
      <x:c r="G278" s="12" t="n">
        <x:f>MAX(G277,F278)</x:f>
        <x:v>100000</x:v>
      </x:c>
      <x:c r="H278" s="14" t="n">
        <x:f>F278/G278-1</x:f>
        <x:v>-0.1826582700999999</x:v>
      </x:c>
      <x:c r="I278" s="14" t="n">
        <x:f>F278/F277-1</x:f>
        <x:v>0</x:v>
      </x:c>
      <x:c r="J278" s="12" t="n">
        <x:v>0</x:v>
      </x:c>
      <x:c r="K278" s="12" t="n">
        <x:v>0</x:v>
      </x:c>
      <x:c r="L278" s="12" t="n">
        <x:v>0</x:v>
      </x:c>
      <x:c r="M278" s="2" t="str">
        <x:v>空仓</x:v>
      </x:c>
    </x:row>
    <x:row r="279" ht="23" customHeight="1">
      <x:c r="A279" s="11" t="d">
        <x:v>2016-02-03T00:00:00.000Z</x:v>
      </x:c>
      <x:c r="B279" s="12" t="n">
        <x:v>81734.17299</x:v>
      </x:c>
      <x:c r="C279" s="13" t="n">
        <x:v>0</x:v>
      </x:c>
      <x:c r="D279" s="12" t="n">
        <x:v>0</x:v>
      </x:c>
      <x:c r="E279" s="12" t="n">
        <x:v>0</x:v>
      </x:c>
      <x:c r="F279" s="12" t="n">
        <x:f>SUM(B279,D279:E279)</x:f>
        <x:v>81734.17299</x:v>
      </x:c>
      <x:c r="G279" s="12" t="n">
        <x:f>MAX(G278,F279)</x:f>
        <x:v>100000</x:v>
      </x:c>
      <x:c r="H279" s="14" t="n">
        <x:f>F279/G279-1</x:f>
        <x:v>-0.1826582700999999</x:v>
      </x:c>
      <x:c r="I279" s="14" t="n">
        <x:f>F279/F278-1</x:f>
        <x:v>0</x:v>
      </x:c>
      <x:c r="J279" s="12" t="n">
        <x:v>0</x:v>
      </x:c>
      <x:c r="K279" s="12" t="n">
        <x:v>0</x:v>
      </x:c>
      <x:c r="L279" s="12" t="n">
        <x:v>0</x:v>
      </x:c>
      <x:c r="M279" s="2" t="str">
        <x:v>空仓</x:v>
      </x:c>
    </x:row>
    <x:row r="280" ht="23" customHeight="1">
      <x:c r="A280" s="11" t="d">
        <x:v>2016-02-04T00:00:00.000Z</x:v>
      </x:c>
      <x:c r="B280" s="12" t="n">
        <x:v>81734.17299</x:v>
      </x:c>
      <x:c r="C280" s="13" t="n">
        <x:v>0</x:v>
      </x:c>
      <x:c r="D280" s="12" t="n">
        <x:v>0</x:v>
      </x:c>
      <x:c r="E280" s="12" t="n">
        <x:v>0</x:v>
      </x:c>
      <x:c r="F280" s="12" t="n">
        <x:f>SUM(B280,D280:E280)</x:f>
        <x:v>81734.17299</x:v>
      </x:c>
      <x:c r="G280" s="12" t="n">
        <x:f>MAX(G279,F280)</x:f>
        <x:v>100000</x:v>
      </x:c>
      <x:c r="H280" s="14" t="n">
        <x:f>F280/G280-1</x:f>
        <x:v>-0.1826582700999999</x:v>
      </x:c>
      <x:c r="I280" s="14" t="n">
        <x:f>F280/F279-1</x:f>
        <x:v>0</x:v>
      </x:c>
      <x:c r="J280" s="12" t="n">
        <x:v>0</x:v>
      </x:c>
      <x:c r="K280" s="12" t="n">
        <x:v>0</x:v>
      </x:c>
      <x:c r="L280" s="12" t="n">
        <x:v>0</x:v>
      </x:c>
      <x:c r="M280" s="2" t="str">
        <x:v>空仓</x:v>
      </x:c>
    </x:row>
    <x:row r="281" ht="23" customHeight="1">
      <x:c r="A281" s="11" t="d">
        <x:v>2016-02-05T00:00:00.000Z</x:v>
      </x:c>
      <x:c r="B281" s="12" t="n">
        <x:v>81734.17299</x:v>
      </x:c>
      <x:c r="C281" s="13" t="n">
        <x:v>0</x:v>
      </x:c>
      <x:c r="D281" s="12" t="n">
        <x:v>0</x:v>
      </x:c>
      <x:c r="E281" s="12" t="n">
        <x:v>0</x:v>
      </x:c>
      <x:c r="F281" s="12" t="n">
        <x:f>SUM(B281,D281:E281)</x:f>
        <x:v>81734.17299</x:v>
      </x:c>
      <x:c r="G281" s="12" t="n">
        <x:f>MAX(G280,F281)</x:f>
        <x:v>100000</x:v>
      </x:c>
      <x:c r="H281" s="14" t="n">
        <x:f>F281/G281-1</x:f>
        <x:v>-0.1826582700999999</x:v>
      </x:c>
      <x:c r="I281" s="14" t="n">
        <x:f>F281/F280-1</x:f>
        <x:v>0</x:v>
      </x:c>
      <x:c r="J281" s="12" t="n">
        <x:v>0</x:v>
      </x:c>
      <x:c r="K281" s="12" t="n">
        <x:v>0</x:v>
      </x:c>
      <x:c r="L281" s="12" t="n">
        <x:v>0</x:v>
      </x:c>
      <x:c r="M281" s="2" t="str">
        <x:v>空仓</x:v>
      </x:c>
    </x:row>
    <x:row r="282" ht="23" customHeight="1">
      <x:c r="A282" s="11" t="d">
        <x:v>2016-02-08T00:00:00.000Z</x:v>
      </x:c>
      <x:c r="B282" s="12" t="n">
        <x:v>81734.17299</x:v>
      </x:c>
      <x:c r="C282" s="13" t="n">
        <x:v>0</x:v>
      </x:c>
      <x:c r="D282" s="12" t="n">
        <x:v>0</x:v>
      </x:c>
      <x:c r="E282" s="12" t="n">
        <x:v>0</x:v>
      </x:c>
      <x:c r="F282" s="12" t="n">
        <x:f>SUM(B282,D282:E282)</x:f>
        <x:v>81734.17299</x:v>
      </x:c>
      <x:c r="G282" s="12" t="n">
        <x:f>MAX(G281,F282)</x:f>
        <x:v>100000</x:v>
      </x:c>
      <x:c r="H282" s="14" t="n">
        <x:f>F282/G282-1</x:f>
        <x:v>-0.1826582700999999</x:v>
      </x:c>
      <x:c r="I282" s="14" t="n">
        <x:f>F282/F281-1</x:f>
        <x:v>0</x:v>
      </x:c>
      <x:c r="J282" s="12" t="n">
        <x:v>0</x:v>
      </x:c>
      <x:c r="K282" s="12" t="n">
        <x:v>0</x:v>
      </x:c>
      <x:c r="L282" s="12" t="n">
        <x:v>0</x:v>
      </x:c>
      <x:c r="M282" s="2" t="str">
        <x:v>空仓</x:v>
      </x:c>
    </x:row>
    <x:row r="283" ht="23" customHeight="1">
      <x:c r="A283" s="11" t="d">
        <x:v>2016-02-09T00:00:00.000Z</x:v>
      </x:c>
      <x:c r="B283" s="12" t="n">
        <x:v>81734.17299</x:v>
      </x:c>
      <x:c r="C283" s="13" t="n">
        <x:v>0</x:v>
      </x:c>
      <x:c r="D283" s="12" t="n">
        <x:v>0</x:v>
      </x:c>
      <x:c r="E283" s="12" t="n">
        <x:v>0</x:v>
      </x:c>
      <x:c r="F283" s="12" t="n">
        <x:f>SUM(B283,D283:E283)</x:f>
        <x:v>81734.17299</x:v>
      </x:c>
      <x:c r="G283" s="12" t="n">
        <x:f>MAX(G282,F283)</x:f>
        <x:v>100000</x:v>
      </x:c>
      <x:c r="H283" s="14" t="n">
        <x:f>F283/G283-1</x:f>
        <x:v>-0.1826582700999999</x:v>
      </x:c>
      <x:c r="I283" s="14" t="n">
        <x:f>F283/F282-1</x:f>
        <x:v>0</x:v>
      </x:c>
      <x:c r="J283" s="12" t="n">
        <x:v>0</x:v>
      </x:c>
      <x:c r="K283" s="12" t="n">
        <x:v>0</x:v>
      </x:c>
      <x:c r="L283" s="12" t="n">
        <x:v>0</x:v>
      </x:c>
      <x:c r="M283" s="2" t="str">
        <x:v>空仓</x:v>
      </x:c>
    </x:row>
    <x:row r="284" ht="23" customHeight="1">
      <x:c r="A284" s="11" t="d">
        <x:v>2016-02-10T00:00:00.000Z</x:v>
      </x:c>
      <x:c r="B284" s="12" t="n">
        <x:v>81734.17299</x:v>
      </x:c>
      <x:c r="C284" s="13" t="n">
        <x:v>0</x:v>
      </x:c>
      <x:c r="D284" s="12" t="n">
        <x:v>0</x:v>
      </x:c>
      <x:c r="E284" s="12" t="n">
        <x:v>0</x:v>
      </x:c>
      <x:c r="F284" s="12" t="n">
        <x:f>SUM(B284,D284:E284)</x:f>
        <x:v>81734.17299</x:v>
      </x:c>
      <x:c r="G284" s="12" t="n">
        <x:f>MAX(G283,F284)</x:f>
        <x:v>100000</x:v>
      </x:c>
      <x:c r="H284" s="14" t="n">
        <x:f>F284/G284-1</x:f>
        <x:v>-0.1826582700999999</x:v>
      </x:c>
      <x:c r="I284" s="14" t="n">
        <x:f>F284/F283-1</x:f>
        <x:v>0</x:v>
      </x:c>
      <x:c r="J284" s="12" t="n">
        <x:v>0</x:v>
      </x:c>
      <x:c r="K284" s="12" t="n">
        <x:v>0</x:v>
      </x:c>
      <x:c r="L284" s="12" t="n">
        <x:v>0</x:v>
      </x:c>
      <x:c r="M284" s="2" t="str">
        <x:v>空仓</x:v>
      </x:c>
    </x:row>
    <x:row r="285" ht="23" customHeight="1">
      <x:c r="A285" s="11" t="d">
        <x:v>2016-02-11T00:00:00.000Z</x:v>
      </x:c>
      <x:c r="B285" s="12" t="n">
        <x:v>81734.17299</x:v>
      </x:c>
      <x:c r="C285" s="13" t="n">
        <x:v>0</x:v>
      </x:c>
      <x:c r="D285" s="12" t="n">
        <x:v>0</x:v>
      </x:c>
      <x:c r="E285" s="12" t="n">
        <x:v>0</x:v>
      </x:c>
      <x:c r="F285" s="12" t="n">
        <x:f>SUM(B285,D285:E285)</x:f>
        <x:v>81734.17299</x:v>
      </x:c>
      <x:c r="G285" s="12" t="n">
        <x:f>MAX(G284,F285)</x:f>
        <x:v>100000</x:v>
      </x:c>
      <x:c r="H285" s="14" t="n">
        <x:f>F285/G285-1</x:f>
        <x:v>-0.1826582700999999</x:v>
      </x:c>
      <x:c r="I285" s="14" t="n">
        <x:f>F285/F284-1</x:f>
        <x:v>0</x:v>
      </x:c>
      <x:c r="J285" s="12" t="n">
        <x:v>0</x:v>
      </x:c>
      <x:c r="K285" s="12" t="n">
        <x:v>0</x:v>
      </x:c>
      <x:c r="L285" s="12" t="n">
        <x:v>0</x:v>
      </x:c>
      <x:c r="M285" s="2" t="str">
        <x:v>空仓</x:v>
      </x:c>
    </x:row>
    <x:row r="286" ht="23" customHeight="1">
      <x:c r="A286" s="11" t="d">
        <x:v>2016-02-12T00:00:00.000Z</x:v>
      </x:c>
      <x:c r="B286" s="12" t="n">
        <x:v>81734.17299</x:v>
      </x:c>
      <x:c r="C286" s="13" t="n">
        <x:v>0</x:v>
      </x:c>
      <x:c r="D286" s="12" t="n">
        <x:v>0</x:v>
      </x:c>
      <x:c r="E286" s="12" t="n">
        <x:v>0</x:v>
      </x:c>
      <x:c r="F286" s="12" t="n">
        <x:f>SUM(B286,D286:E286)</x:f>
        <x:v>81734.17299</x:v>
      </x:c>
      <x:c r="G286" s="12" t="n">
        <x:f>MAX(G285,F286)</x:f>
        <x:v>100000</x:v>
      </x:c>
      <x:c r="H286" s="14" t="n">
        <x:f>F286/G286-1</x:f>
        <x:v>-0.1826582700999999</x:v>
      </x:c>
      <x:c r="I286" s="14" t="n">
        <x:f>F286/F285-1</x:f>
        <x:v>0</x:v>
      </x:c>
      <x:c r="J286" s="12" t="n">
        <x:v>0</x:v>
      </x:c>
      <x:c r="K286" s="12" t="n">
        <x:v>0</x:v>
      </x:c>
      <x:c r="L286" s="12" t="n">
        <x:v>0</x:v>
      </x:c>
      <x:c r="M286" s="2" t="str">
        <x:v>空仓</x:v>
      </x:c>
    </x:row>
    <x:row r="287" ht="23" customHeight="1">
      <x:c r="A287" s="11" t="d">
        <x:v>2016-02-16T00:00:00.000Z</x:v>
      </x:c>
      <x:c r="B287" s="12" t="n">
        <x:v>81734.17299</x:v>
      </x:c>
      <x:c r="C287" s="13" t="n">
        <x:v>0</x:v>
      </x:c>
      <x:c r="D287" s="12" t="n">
        <x:v>0</x:v>
      </x:c>
      <x:c r="E287" s="12" t="n">
        <x:v>0</x:v>
      </x:c>
      <x:c r="F287" s="12" t="n">
        <x:f>SUM(B287,D287:E287)</x:f>
        <x:v>81734.17299</x:v>
      </x:c>
      <x:c r="G287" s="12" t="n">
        <x:f>MAX(G286,F287)</x:f>
        <x:v>100000</x:v>
      </x:c>
      <x:c r="H287" s="14" t="n">
        <x:f>F287/G287-1</x:f>
        <x:v>-0.1826582700999999</x:v>
      </x:c>
      <x:c r="I287" s="14" t="n">
        <x:f>F287/F286-1</x:f>
        <x:v>0</x:v>
      </x:c>
      <x:c r="J287" s="12" t="n">
        <x:v>0</x:v>
      </x:c>
      <x:c r="K287" s="12" t="n">
        <x:v>0</x:v>
      </x:c>
      <x:c r="L287" s="12" t="n">
        <x:v>0</x:v>
      </x:c>
      <x:c r="M287" s="2" t="str">
        <x:v>空仓</x:v>
      </x:c>
    </x:row>
    <x:row r="288" ht="23" customHeight="1">
      <x:c r="A288" s="11" t="d">
        <x:v>2016-02-17T00:00:00.000Z</x:v>
      </x:c>
      <x:c r="B288" s="12" t="n">
        <x:v>81734.17299</x:v>
      </x:c>
      <x:c r="C288" s="13" t="n">
        <x:v>0</x:v>
      </x:c>
      <x:c r="D288" s="12" t="n">
        <x:v>0</x:v>
      </x:c>
      <x:c r="E288" s="12" t="n">
        <x:v>0</x:v>
      </x:c>
      <x:c r="F288" s="12" t="n">
        <x:f>SUM(B288,D288:E288)</x:f>
        <x:v>81734.17299</x:v>
      </x:c>
      <x:c r="G288" s="12" t="n">
        <x:f>MAX(G287,F288)</x:f>
        <x:v>100000</x:v>
      </x:c>
      <x:c r="H288" s="14" t="n">
        <x:f>F288/G288-1</x:f>
        <x:v>-0.1826582700999999</x:v>
      </x:c>
      <x:c r="I288" s="14" t="n">
        <x:f>F288/F287-1</x:f>
        <x:v>0</x:v>
      </x:c>
      <x:c r="J288" s="12" t="n">
        <x:v>0</x:v>
      </x:c>
      <x:c r="K288" s="12" t="n">
        <x:v>0</x:v>
      </x:c>
      <x:c r="L288" s="12" t="n">
        <x:v>0</x:v>
      </x:c>
      <x:c r="M288" s="2" t="str">
        <x:v>空仓</x:v>
      </x:c>
    </x:row>
    <x:row r="289" ht="23" customHeight="1">
      <x:c r="A289" s="11" t="d">
        <x:v>2016-02-18T00:00:00.000Z</x:v>
      </x:c>
      <x:c r="B289" s="12" t="n">
        <x:v>81734.17299</x:v>
      </x:c>
      <x:c r="C289" s="13" t="n">
        <x:v>0</x:v>
      </x:c>
      <x:c r="D289" s="12" t="n">
        <x:v>0</x:v>
      </x:c>
      <x:c r="E289" s="12" t="n">
        <x:v>0</x:v>
      </x:c>
      <x:c r="F289" s="12" t="n">
        <x:f>SUM(B289,D289:E289)</x:f>
        <x:v>81734.17299</x:v>
      </x:c>
      <x:c r="G289" s="12" t="n">
        <x:f>MAX(G288,F289)</x:f>
        <x:v>100000</x:v>
      </x:c>
      <x:c r="H289" s="14" t="n">
        <x:f>F289/G289-1</x:f>
        <x:v>-0.1826582700999999</x:v>
      </x:c>
      <x:c r="I289" s="14" t="n">
        <x:f>F289/F288-1</x:f>
        <x:v>0</x:v>
      </x:c>
      <x:c r="J289" s="12" t="n">
        <x:v>0</x:v>
      </x:c>
      <x:c r="K289" s="12" t="n">
        <x:v>0</x:v>
      </x:c>
      <x:c r="L289" s="12" t="n">
        <x:v>0</x:v>
      </x:c>
      <x:c r="M289" s="2" t="str">
        <x:v>空仓</x:v>
      </x:c>
    </x:row>
    <x:row r="290" ht="23" customHeight="1">
      <x:c r="A290" s="11" t="d">
        <x:v>2016-02-19T00:00:00.000Z</x:v>
      </x:c>
      <x:c r="B290" s="12" t="n">
        <x:v>81734.17299</x:v>
      </x:c>
      <x:c r="C290" s="13" t="n">
        <x:v>0</x:v>
      </x:c>
      <x:c r="D290" s="12" t="n">
        <x:v>0</x:v>
      </x:c>
      <x:c r="E290" s="12" t="n">
        <x:v>0</x:v>
      </x:c>
      <x:c r="F290" s="12" t="n">
        <x:f>SUM(B290,D290:E290)</x:f>
        <x:v>81734.17299</x:v>
      </x:c>
      <x:c r="G290" s="12" t="n">
        <x:f>MAX(G289,F290)</x:f>
        <x:v>100000</x:v>
      </x:c>
      <x:c r="H290" s="14" t="n">
        <x:f>F290/G290-1</x:f>
        <x:v>-0.1826582700999999</x:v>
      </x:c>
      <x:c r="I290" s="14" t="n">
        <x:f>F290/F289-1</x:f>
        <x:v>0</x:v>
      </x:c>
      <x:c r="J290" s="12" t="n">
        <x:v>0</x:v>
      </x:c>
      <x:c r="K290" s="12" t="n">
        <x:v>0</x:v>
      </x:c>
      <x:c r="L290" s="12" t="n">
        <x:v>0</x:v>
      </x:c>
      <x:c r="M290" s="2" t="str">
        <x:v>空仓</x:v>
      </x:c>
    </x:row>
    <x:row r="291" ht="23" customHeight="1">
      <x:c r="A291" s="11" t="d">
        <x:v>2016-02-22T00:00:00.000Z</x:v>
      </x:c>
      <x:c r="B291" s="12" t="n">
        <x:v>81734.17299</x:v>
      </x:c>
      <x:c r="C291" s="13" t="n">
        <x:v>0</x:v>
      </x:c>
      <x:c r="D291" s="12" t="n">
        <x:v>0</x:v>
      </x:c>
      <x:c r="E291" s="12" t="n">
        <x:v>0</x:v>
      </x:c>
      <x:c r="F291" s="12" t="n">
        <x:f>SUM(B291,D291:E291)</x:f>
        <x:v>81734.17299</x:v>
      </x:c>
      <x:c r="G291" s="12" t="n">
        <x:f>MAX(G290,F291)</x:f>
        <x:v>100000</x:v>
      </x:c>
      <x:c r="H291" s="14" t="n">
        <x:f>F291/G291-1</x:f>
        <x:v>-0.1826582700999999</x:v>
      </x:c>
      <x:c r="I291" s="14" t="n">
        <x:f>F291/F290-1</x:f>
        <x:v>0</x:v>
      </x:c>
      <x:c r="J291" s="12" t="n">
        <x:v>0</x:v>
      </x:c>
      <x:c r="K291" s="12" t="n">
        <x:v>0</x:v>
      </x:c>
      <x:c r="L291" s="12" t="n">
        <x:v>0</x:v>
      </x:c>
      <x:c r="M291" s="2" t="str">
        <x:v>空仓</x:v>
      </x:c>
    </x:row>
    <x:row r="292" ht="23" customHeight="1">
      <x:c r="A292" s="11" t="d">
        <x:v>2016-02-23T00:00:00.000Z</x:v>
      </x:c>
      <x:c r="B292" s="12" t="n">
        <x:v>81734.17299</x:v>
      </x:c>
      <x:c r="C292" s="13" t="n">
        <x:v>0</x:v>
      </x:c>
      <x:c r="D292" s="12" t="n">
        <x:v>0</x:v>
      </x:c>
      <x:c r="E292" s="12" t="n">
        <x:v>0</x:v>
      </x:c>
      <x:c r="F292" s="12" t="n">
        <x:f>SUM(B292,D292:E292)</x:f>
        <x:v>81734.17299</x:v>
      </x:c>
      <x:c r="G292" s="12" t="n">
        <x:f>MAX(G291,F292)</x:f>
        <x:v>100000</x:v>
      </x:c>
      <x:c r="H292" s="14" t="n">
        <x:f>F292/G292-1</x:f>
        <x:v>-0.1826582700999999</x:v>
      </x:c>
      <x:c r="I292" s="14" t="n">
        <x:f>F292/F291-1</x:f>
        <x:v>0</x:v>
      </x:c>
      <x:c r="J292" s="12" t="n">
        <x:v>0</x:v>
      </x:c>
      <x:c r="K292" s="12" t="n">
        <x:v>0</x:v>
      </x:c>
      <x:c r="L292" s="12" t="n">
        <x:v>0</x:v>
      </x:c>
      <x:c r="M292" s="2" t="str">
        <x:v>空仓</x:v>
      </x:c>
    </x:row>
    <x:row r="293" ht="23" customHeight="1">
      <x:c r="A293" s="11" t="d">
        <x:v>2016-02-24T00:00:00.000Z</x:v>
      </x:c>
      <x:c r="B293" s="12" t="n">
        <x:v>81734.17299</x:v>
      </x:c>
      <x:c r="C293" s="13" t="n">
        <x:v>0</x:v>
      </x:c>
      <x:c r="D293" s="12" t="n">
        <x:v>0</x:v>
      </x:c>
      <x:c r="E293" s="12" t="n">
        <x:v>0</x:v>
      </x:c>
      <x:c r="F293" s="12" t="n">
        <x:f>SUM(B293,D293:E293)</x:f>
        <x:v>81734.17299</x:v>
      </x:c>
      <x:c r="G293" s="12" t="n">
        <x:f>MAX(G292,F293)</x:f>
        <x:v>100000</x:v>
      </x:c>
      <x:c r="H293" s="14" t="n">
        <x:f>F293/G293-1</x:f>
        <x:v>-0.1826582700999999</x:v>
      </x:c>
      <x:c r="I293" s="14" t="n">
        <x:f>F293/F292-1</x:f>
        <x:v>0</x:v>
      </x:c>
      <x:c r="J293" s="12" t="n">
        <x:v>0</x:v>
      </x:c>
      <x:c r="K293" s="12" t="n">
        <x:v>0</x:v>
      </x:c>
      <x:c r="L293" s="12" t="n">
        <x:v>0</x:v>
      </x:c>
      <x:c r="M293" s="2" t="str">
        <x:v>空仓</x:v>
      </x:c>
    </x:row>
    <x:row r="294" ht="23" customHeight="1">
      <x:c r="A294" s="11" t="d">
        <x:v>2016-02-25T00:00:00.000Z</x:v>
      </x:c>
      <x:c r="B294" s="12" t="n">
        <x:v>81734.17299</x:v>
      </x:c>
      <x:c r="C294" s="13" t="n">
        <x:v>0</x:v>
      </x:c>
      <x:c r="D294" s="12" t="n">
        <x:v>0</x:v>
      </x:c>
      <x:c r="E294" s="12" t="n">
        <x:v>0</x:v>
      </x:c>
      <x:c r="F294" s="12" t="n">
        <x:f>SUM(B294,D294:E294)</x:f>
        <x:v>81734.17299</x:v>
      </x:c>
      <x:c r="G294" s="12" t="n">
        <x:f>MAX(G293,F294)</x:f>
        <x:v>100000</x:v>
      </x:c>
      <x:c r="H294" s="14" t="n">
        <x:f>F294/G294-1</x:f>
        <x:v>-0.1826582700999999</x:v>
      </x:c>
      <x:c r="I294" s="14" t="n">
        <x:f>F294/F293-1</x:f>
        <x:v>0</x:v>
      </x:c>
      <x:c r="J294" s="12" t="n">
        <x:v>0</x:v>
      </x:c>
      <x:c r="K294" s="12" t="n">
        <x:v>0</x:v>
      </x:c>
      <x:c r="L294" s="12" t="n">
        <x:v>0</x:v>
      </x:c>
      <x:c r="M294" s="2" t="str">
        <x:v>空仓</x:v>
      </x:c>
    </x:row>
    <x:row r="295" ht="23" customHeight="1">
      <x:c r="A295" s="11" t="d">
        <x:v>2016-02-26T00:00:00.000Z</x:v>
      </x:c>
      <x:c r="B295" s="12" t="n">
        <x:v>76.04644</x:v>
      </x:c>
      <x:c r="C295" s="13" t="n">
        <x:v>415</x:v>
      </x:c>
      <x:c r="D295" s="12" t="n">
        <x:v>80962.35</x:v>
      </x:c>
      <x:c r="E295" s="12" t="n">
        <x:v>0</x:v>
      </x:c>
      <x:c r="F295" s="12" t="n">
        <x:f>SUM(B295,D295:E295)</x:f>
        <x:v>81038.39644000001</x:v>
      </x:c>
      <x:c r="G295" s="12" t="n">
        <x:f>MAX(G294,F295)</x:f>
        <x:v>100000</x:v>
      </x:c>
      <x:c r="H295" s="14" t="n">
        <x:f>F295/G295-1</x:f>
        <x:v>-0.18961603559999984</x:v>
      </x:c>
      <x:c r="I295" s="14" t="n">
        <x:f>F295/F294-1</x:f>
        <x:v>-0.008512676210538306</x:v>
      </x:c>
      <x:c r="J295" s="12" t="n">
        <x:v>0</x:v>
      </x:c>
      <x:c r="K295" s="12" t="n">
        <x:v>0</x:v>
      </x:c>
      <x:c r="L295" s="12" t="n">
        <x:v>415</x:v>
      </x:c>
      <x:c r="M295" s="2" t="str">
        <x:v>买入</x:v>
      </x:c>
    </x:row>
    <x:row r="296" ht="23" customHeight="1">
      <x:c r="A296" s="11" t="d">
        <x:v>2016-02-29T00:00:00.000Z</x:v>
      </x:c>
      <x:c r="B296" s="12" t="n">
        <x:v>76.04644</x:v>
      </x:c>
      <x:c r="C296" s="13" t="n">
        <x:v>415</x:v>
      </x:c>
      <x:c r="D296" s="12" t="n">
        <x:v>80327.4</x:v>
      </x:c>
      <x:c r="E296" s="12" t="n">
        <x:v>0</x:v>
      </x:c>
      <x:c r="F296" s="12" t="n">
        <x:f>SUM(B296,D296:E296)</x:f>
        <x:v>80403.44644</x:v>
      </x:c>
      <x:c r="G296" s="12" t="n">
        <x:f>MAX(G295,F296)</x:f>
        <x:v>100000</x:v>
      </x:c>
      <x:c r="H296" s="14" t="n">
        <x:f>F296/G296-1</x:f>
        <x:v>-0.19596553559999996</x:v>
      </x:c>
      <x:c r="I296" s="14" t="n">
        <x:f>F296/F295-1</x:f>
        <x:v>-0.007835174780020715</x:v>
      </x:c>
      <x:c r="J296" s="12" t="n">
        <x:v>0</x:v>
      </x:c>
      <x:c r="K296" s="12" t="n">
        <x:v>0</x:v>
      </x:c>
      <x:c r="L296" s="12" t="n">
        <x:v>0</x:v>
      </x:c>
      <x:c r="M296" s="2" t="str">
        <x:v>持有</x:v>
      </x:c>
    </x:row>
    <x:row r="297" ht="23" customHeight="1">
      <x:c r="A297" s="11" t="d">
        <x:v>2016-03-01T00:00:00.000Z</x:v>
      </x:c>
      <x:c r="B297" s="12" t="n">
        <x:v>80924.26729</x:v>
      </x:c>
      <x:c r="C297" s="13" t="n">
        <x:v>0</x:v>
      </x:c>
      <x:c r="D297" s="12" t="n">
        <x:v>0</x:v>
      </x:c>
      <x:c r="E297" s="12" t="n">
        <x:v>0</x:v>
      </x:c>
      <x:c r="F297" s="12" t="n">
        <x:f>SUM(B297,D297:E297)</x:f>
        <x:v>80924.26729</x:v>
      </x:c>
      <x:c r="G297" s="12" t="n">
        <x:f>MAX(G296,F297)</x:f>
        <x:v>100000</x:v>
      </x:c>
      <x:c r="H297" s="14" t="n">
        <x:f>F297/G297-1</x:f>
        <x:v>-0.19075732709999993</x:v>
      </x:c>
      <x:c r="I297" s="14" t="n">
        <x:f>F297/F296-1</x:f>
        <x:v>0.006477593599033771</x:v>
      </x:c>
      <x:c r="J297" s="12" t="n">
        <x:v>0</x:v>
      </x:c>
      <x:c r="K297" s="12" t="n">
        <x:v>0</x:v>
      </x:c>
      <x:c r="L297" s="12" t="n">
        <x:v>-415</x:v>
      </x:c>
      <x:c r="M297" s="2" t="str">
        <x:v>卖出</x:v>
      </x:c>
    </x:row>
    <x:row r="298" ht="23" customHeight="1">
      <x:c r="A298" s="11" t="d">
        <x:v>2016-03-02T00:00:00.000Z</x:v>
      </x:c>
      <x:c r="B298" s="12" t="n">
        <x:v>165.66937</x:v>
      </x:c>
      <x:c r="C298" s="13" t="n">
        <x:v>408</x:v>
      </x:c>
      <x:c r="D298" s="12" t="n">
        <x:v>81192</x:v>
      </x:c>
      <x:c r="E298" s="12" t="n">
        <x:v>0</x:v>
      </x:c>
      <x:c r="F298" s="12" t="n">
        <x:f>SUM(B298,D298:E298)</x:f>
        <x:v>81357.66937</x:v>
      </x:c>
      <x:c r="G298" s="12" t="n">
        <x:f>MAX(G297,F298)</x:f>
        <x:v>100000</x:v>
      </x:c>
      <x:c r="H298" s="14" t="n">
        <x:f>F298/G298-1</x:f>
        <x:v>-0.18642330629999992</x:v>
      </x:c>
      <x:c r="I298" s="14" t="n">
        <x:f>F298/F297-1</x:f>
        <x:v>0.005355650344622376</x:v>
      </x:c>
      <x:c r="J298" s="12" t="n">
        <x:v>0</x:v>
      </x:c>
      <x:c r="K298" s="12" t="n">
        <x:v>0</x:v>
      </x:c>
      <x:c r="L298" s="12" t="n">
        <x:v>408</x:v>
      </x:c>
      <x:c r="M298" s="2" t="str">
        <x:v>买入</x:v>
      </x:c>
    </x:row>
    <x:row r="299" ht="23" customHeight="1">
      <x:c r="A299" s="11" t="d">
        <x:v>2016-03-03T00:00:00.000Z</x:v>
      </x:c>
      <x:c r="B299" s="12" t="n">
        <x:v>165.66937</x:v>
      </x:c>
      <x:c r="C299" s="13" t="n">
        <x:v>408</x:v>
      </x:c>
      <x:c r="D299" s="12" t="n">
        <x:v>81510.24</x:v>
      </x:c>
      <x:c r="E299" s="12" t="n">
        <x:v>0</x:v>
      </x:c>
      <x:c r="F299" s="12" t="n">
        <x:f>SUM(B299,D299:E299)</x:f>
        <x:v>81675.90937000001</x:v>
      </x:c>
      <x:c r="G299" s="12" t="n">
        <x:f>MAX(G298,F299)</x:f>
        <x:v>100000</x:v>
      </x:c>
      <x:c r="H299" s="14" t="n">
        <x:f>F299/G299-1</x:f>
        <x:v>-0.1832409062999999</x:v>
      </x:c>
      <x:c r="I299" s="14" t="n">
        <x:f>F299/F298-1</x:f>
        <x:v>0.003911616476532931</x:v>
      </x:c>
      <x:c r="J299" s="12" t="n">
        <x:v>0</x:v>
      </x:c>
      <x:c r="K299" s="12" t="n">
        <x:v>0</x:v>
      </x:c>
      <x:c r="L299" s="12" t="n">
        <x:v>0</x:v>
      </x:c>
      <x:c r="M299" s="2" t="str">
        <x:v>持有</x:v>
      </x:c>
    </x:row>
    <x:row r="300" ht="23" customHeight="1">
      <x:c r="A300" s="11" t="d">
        <x:v>2016-03-04T00:00:00.000Z</x:v>
      </x:c>
      <x:c r="B300" s="12" t="n">
        <x:v>165.66937</x:v>
      </x:c>
      <x:c r="C300" s="13" t="n">
        <x:v>408</x:v>
      </x:c>
      <x:c r="D300" s="12" t="n">
        <x:v>81775.44</x:v>
      </x:c>
      <x:c r="E300" s="12" t="n">
        <x:v>0</x:v>
      </x:c>
      <x:c r="F300" s="12" t="n">
        <x:f>SUM(B300,D300:E300)</x:f>
        <x:v>81941.10937</x:v>
      </x:c>
      <x:c r="G300" s="12" t="n">
        <x:f>MAX(G299,F300)</x:f>
        <x:v>100000</x:v>
      </x:c>
      <x:c r="H300" s="14" t="n">
        <x:f>F300/G300-1</x:f>
        <x:v>-0.1805889062999999</x:v>
      </x:c>
      <x:c r="I300" s="14" t="n">
        <x:f>F300/F299-1</x:f>
        <x:v>0.003246979458760846</x:v>
      </x:c>
      <x:c r="J300" s="12" t="n">
        <x:v>0</x:v>
      </x:c>
      <x:c r="K300" s="12" t="n">
        <x:v>0</x:v>
      </x:c>
      <x:c r="L300" s="12" t="n">
        <x:v>0</x:v>
      </x:c>
      <x:c r="M300" s="2" t="str">
        <x:v>持有</x:v>
      </x:c>
    </x:row>
    <x:row r="301" ht="23" customHeight="1">
      <x:c r="A301" s="11" t="d">
        <x:v>2016-03-07T00:00:00.000Z</x:v>
      </x:c>
      <x:c r="B301" s="12" t="n">
        <x:v>165.66937</x:v>
      </x:c>
      <x:c r="C301" s="13" t="n">
        <x:v>408</x:v>
      </x:c>
      <x:c r="D301" s="12" t="n">
        <x:v>81840.72</x:v>
      </x:c>
      <x:c r="E301" s="12" t="n">
        <x:v>0</x:v>
      </x:c>
      <x:c r="F301" s="12" t="n">
        <x:f>SUM(B301,D301:E301)</x:f>
        <x:v>82006.38937</x:v>
      </x:c>
      <x:c r="G301" s="12" t="n">
        <x:f>MAX(G300,F301)</x:f>
        <x:v>100000</x:v>
      </x:c>
      <x:c r="H301" s="14" t="n">
        <x:f>F301/G301-1</x:f>
        <x:v>-0.1799361063</x:v>
      </x:c>
      <x:c r="I301" s="14" t="n">
        <x:f>F301/F300-1</x:f>
        <x:v>0.0007966697119663468</x:v>
      </x:c>
      <x:c r="J301" s="12" t="n">
        <x:v>0</x:v>
      </x:c>
      <x:c r="K301" s="12" t="n">
        <x:v>0</x:v>
      </x:c>
      <x:c r="L301" s="12" t="n">
        <x:v>0</x:v>
      </x:c>
      <x:c r="M301" s="2" t="str">
        <x:v>持有</x:v>
      </x:c>
    </x:row>
    <x:row r="302" ht="23" customHeight="1">
      <x:c r="A302" s="11" t="d">
        <x:v>2016-03-08T00:00:00.000Z</x:v>
      </x:c>
      <x:c r="B302" s="12" t="n">
        <x:v>165.66937</x:v>
      </x:c>
      <x:c r="C302" s="13" t="n">
        <x:v>408</x:v>
      </x:c>
      <x:c r="D302" s="12" t="n">
        <x:v>80947.2</x:v>
      </x:c>
      <x:c r="E302" s="12" t="n">
        <x:v>0</x:v>
      </x:c>
      <x:c r="F302" s="12" t="n">
        <x:f>SUM(B302,D302:E302)</x:f>
        <x:v>81112.86937</x:v>
      </x:c>
      <x:c r="G302" s="12" t="n">
        <x:f>MAX(G301,F302)</x:f>
        <x:v>100000</x:v>
      </x:c>
      <x:c r="H302" s="14" t="n">
        <x:f>F302/G302-1</x:f>
        <x:v>-0.18887130630000004</x:v>
      </x:c>
      <x:c r="I302" s="14" t="n">
        <x:f>F302/F301-1</x:f>
        <x:v>-0.010895736379376242</x:v>
      </x:c>
      <x:c r="J302" s="12" t="n">
        <x:v>0</x:v>
      </x:c>
      <x:c r="K302" s="12" t="n">
        <x:v>0</x:v>
      </x:c>
      <x:c r="L302" s="12" t="n">
        <x:v>0</x:v>
      </x:c>
      <x:c r="M302" s="2" t="str">
        <x:v>持有</x:v>
      </x:c>
    </x:row>
    <x:row r="303" ht="23" customHeight="1">
      <x:c r="A303" s="11" t="d">
        <x:v>2016-03-09T00:00:00.000Z</x:v>
      </x:c>
      <x:c r="B303" s="12" t="n">
        <x:v>165.66937</x:v>
      </x:c>
      <x:c r="C303" s="13" t="n">
        <x:v>408</x:v>
      </x:c>
      <x:c r="D303" s="12" t="n">
        <x:v>81347.04</x:v>
      </x:c>
      <x:c r="E303" s="12" t="n">
        <x:v>0</x:v>
      </x:c>
      <x:c r="F303" s="12" t="n">
        <x:f>SUM(B303,D303:E303)</x:f>
        <x:v>81512.70937</x:v>
      </x:c>
      <x:c r="G303" s="12" t="n">
        <x:f>MAX(G302,F303)</x:f>
        <x:v>100000</x:v>
      </x:c>
      <x:c r="H303" s="14" t="n">
        <x:f>F303/G303-1</x:f>
        <x:v>-0.18487290630000008</x:v>
      </x:c>
      <x:c r="I303" s="14" t="n">
        <x:f>F303/F302-1</x:f>
        <x:v>0.0049294273905673425</x:v>
      </x:c>
      <x:c r="J303" s="12" t="n">
        <x:v>0</x:v>
      </x:c>
      <x:c r="K303" s="12" t="n">
        <x:v>0</x:v>
      </x:c>
      <x:c r="L303" s="12" t="n">
        <x:v>0</x:v>
      </x:c>
      <x:c r="M303" s="2" t="str">
        <x:v>持有</x:v>
      </x:c>
    </x:row>
    <x:row r="304" ht="23" customHeight="1">
      <x:c r="A304" s="11" t="d">
        <x:v>2016-03-10T00:00:00.000Z</x:v>
      </x:c>
      <x:c r="B304" s="12" t="n">
        <x:v>165.66937</x:v>
      </x:c>
      <x:c r="C304" s="13" t="n">
        <x:v>408</x:v>
      </x:c>
      <x:c r="D304" s="12" t="n">
        <x:v>81412.31999999999</x:v>
      </x:c>
      <x:c r="E304" s="12" t="n">
        <x:v>0</x:v>
      </x:c>
      <x:c r="F304" s="12" t="n">
        <x:f>SUM(B304,D304:E304)</x:f>
        <x:v>81577.98937</x:v>
      </x:c>
      <x:c r="G304" s="12" t="n">
        <x:f>MAX(G303,F304)</x:f>
        <x:v>100000</x:v>
      </x:c>
      <x:c r="H304" s="14" t="n">
        <x:f>F304/G304-1</x:f>
        <x:v>-0.18422010630000007</x:v>
      </x:c>
      <x:c r="I304" s="14" t="n">
        <x:f>F304/F303-1</x:f>
        <x:v>0.0008008567069421879</x:v>
      </x:c>
      <x:c r="J304" s="12" t="n">
        <x:v>0</x:v>
      </x:c>
      <x:c r="K304" s="12" t="n">
        <x:v>0</x:v>
      </x:c>
      <x:c r="L304" s="12" t="n">
        <x:v>0</x:v>
      </x:c>
      <x:c r="M304" s="2" t="str">
        <x:v>持有</x:v>
      </x:c>
    </x:row>
    <x:row r="305" ht="23" customHeight="1">
      <x:c r="A305" s="11" t="d">
        <x:v>2016-03-11T00:00:00.000Z</x:v>
      </x:c>
      <x:c r="B305" s="12" t="n">
        <x:v>165.66937</x:v>
      </x:c>
      <x:c r="C305" s="13" t="n">
        <x:v>408</x:v>
      </x:c>
      <x:c r="D305" s="12" t="n">
        <x:v>82726.08</x:v>
      </x:c>
      <x:c r="E305" s="12" t="n">
        <x:v>0</x:v>
      </x:c>
      <x:c r="F305" s="12" t="n">
        <x:f>SUM(B305,D305:E305)</x:f>
        <x:v>82891.74937</x:v>
      </x:c>
      <x:c r="G305" s="12" t="n">
        <x:f>MAX(G304,F305)</x:f>
        <x:v>100000</x:v>
      </x:c>
      <x:c r="H305" s="14" t="n">
        <x:f>F305/G305-1</x:f>
        <x:v>-0.1710825063</x:v>
      </x:c>
      <x:c r="I305" s="14" t="n">
        <x:f>F305/F304-1</x:f>
        <x:v>0.016104343955345657</x:v>
      </x:c>
      <x:c r="J305" s="12" t="n">
        <x:v>0</x:v>
      </x:c>
      <x:c r="K305" s="12" t="n">
        <x:v>0</x:v>
      </x:c>
      <x:c r="L305" s="12" t="n">
        <x:v>0</x:v>
      </x:c>
      <x:c r="M305" s="2" t="str">
        <x:v>持有</x:v>
      </x:c>
    </x:row>
    <x:row r="306" ht="23" customHeight="1">
      <x:c r="A306" s="11" t="d">
        <x:v>2016-03-14T00:00:00.000Z</x:v>
      </x:c>
      <x:c r="B306" s="12" t="n">
        <x:v>165.66937</x:v>
      </x:c>
      <x:c r="C306" s="13" t="n">
        <x:v>408</x:v>
      </x:c>
      <x:c r="D306" s="12" t="n">
        <x:v>82620</x:v>
      </x:c>
      <x:c r="E306" s="12" t="n">
        <x:v>0</x:v>
      </x:c>
      <x:c r="F306" s="12" t="n">
        <x:f>SUM(B306,D306:E306)</x:f>
        <x:v>82785.66937</x:v>
      </x:c>
      <x:c r="G306" s="12" t="n">
        <x:f>MAX(G305,F306)</x:f>
        <x:v>100000</x:v>
      </x:c>
      <x:c r="H306" s="14" t="n">
        <x:f>F306/G306-1</x:f>
        <x:v>-0.17214330629999997</x:v>
      </x:c>
      <x:c r="I306" s="14" t="n">
        <x:f>F306/F305-1</x:f>
        <x:v>-0.0012797413591368878</x:v>
      </x:c>
      <x:c r="J306" s="12" t="n">
        <x:v>0</x:v>
      </x:c>
      <x:c r="K306" s="12" t="n">
        <x:v>0</x:v>
      </x:c>
      <x:c r="L306" s="12" t="n">
        <x:v>0</x:v>
      </x:c>
      <x:c r="M306" s="2" t="str">
        <x:v>持有</x:v>
      </x:c>
    </x:row>
    <x:row r="307" ht="23" customHeight="1">
      <x:c r="A307" s="11" t="d">
        <x:v>2016-03-15T00:00:00.000Z</x:v>
      </x:c>
      <x:c r="B307" s="12" t="n">
        <x:v>165.66937</x:v>
      </x:c>
      <x:c r="C307" s="13" t="n">
        <x:v>408</x:v>
      </x:c>
      <x:c r="D307" s="12" t="n">
        <x:v>82485.36</x:v>
      </x:c>
      <x:c r="E307" s="12" t="n">
        <x:v>0</x:v>
      </x:c>
      <x:c r="F307" s="12" t="n">
        <x:f>SUM(B307,D307:E307)</x:f>
        <x:v>82651.02937</x:v>
      </x:c>
      <x:c r="G307" s="12" t="n">
        <x:f>MAX(G306,F307)</x:f>
        <x:v>100000</x:v>
      </x:c>
      <x:c r="H307" s="14" t="n">
        <x:f>F307/G307-1</x:f>
        <x:v>-0.17348970629999994</x:v>
      </x:c>
      <x:c r="I307" s="14" t="n">
        <x:f>F307/F306-1</x:f>
        <x:v>-0.001626368440632464</x:v>
      </x:c>
      <x:c r="J307" s="12" t="n">
        <x:v>0</x:v>
      </x:c>
      <x:c r="K307" s="12" t="n">
        <x:v>0</x:v>
      </x:c>
      <x:c r="L307" s="12" t="n">
        <x:v>0</x:v>
      </x:c>
      <x:c r="M307" s="2" t="str">
        <x:v>持有</x:v>
      </x:c>
    </x:row>
    <x:row r="308" ht="23" customHeight="1">
      <x:c r="A308" s="11" t="d">
        <x:v>2016-03-16T00:00:00.000Z</x:v>
      </x:c>
      <x:c r="B308" s="12" t="n">
        <x:v>165.66937</x:v>
      </x:c>
      <x:c r="C308" s="13" t="n">
        <x:v>408</x:v>
      </x:c>
      <x:c r="D308" s="12" t="n">
        <x:v>82962.72</x:v>
      </x:c>
      <x:c r="E308" s="12" t="n">
        <x:v>0</x:v>
      </x:c>
      <x:c r="F308" s="12" t="n">
        <x:f>SUM(B308,D308:E308)</x:f>
        <x:v>83128.38937</x:v>
      </x:c>
      <x:c r="G308" s="12" t="n">
        <x:f>MAX(G307,F308)</x:f>
        <x:v>100000</x:v>
      </x:c>
      <x:c r="H308" s="14" t="n">
        <x:f>F308/G308-1</x:f>
        <x:v>-0.1687161063</x:v>
      </x:c>
      <x:c r="I308" s="14" t="n">
        <x:f>F308/F307-1</x:f>
        <x:v>0.005775608648054709</x:v>
      </x:c>
      <x:c r="J308" s="12" t="n">
        <x:v>0</x:v>
      </x:c>
      <x:c r="K308" s="12" t="n">
        <x:v>0</x:v>
      </x:c>
      <x:c r="L308" s="12" t="n">
        <x:v>0</x:v>
      </x:c>
      <x:c r="M308" s="2" t="str">
        <x:v>持有</x:v>
      </x:c>
    </x:row>
    <x:row r="309" ht="23" customHeight="1">
      <x:c r="A309" s="11" t="d">
        <x:v>2016-03-17T00:00:00.000Z</x:v>
      </x:c>
      <x:c r="B309" s="12" t="n">
        <x:v>165.66937</x:v>
      </x:c>
      <x:c r="C309" s="13" t="n">
        <x:v>408</x:v>
      </x:c>
      <x:c r="D309" s="12" t="n">
        <x:v>83489.04</x:v>
      </x:c>
      <x:c r="E309" s="12" t="n">
        <x:v>0</x:v>
      </x:c>
      <x:c r="F309" s="12" t="n">
        <x:f>SUM(B309,D309:E309)</x:f>
        <x:v>83654.70937</x:v>
      </x:c>
      <x:c r="G309" s="12" t="n">
        <x:f>MAX(G308,F309)</x:f>
        <x:v>100000</x:v>
      </x:c>
      <x:c r="H309" s="14" t="n">
        <x:f>F309/G309-1</x:f>
        <x:v>-0.16345290629999998</x:v>
      </x:c>
      <x:c r="I309" s="14" t="n">
        <x:f>F309/F308-1</x:f>
        <x:v>0.006331411013599242</x:v>
      </x:c>
      <x:c r="J309" s="12" t="n">
        <x:v>0</x:v>
      </x:c>
      <x:c r="K309" s="12" t="n">
        <x:v>0</x:v>
      </x:c>
      <x:c r="L309" s="12" t="n">
        <x:v>0</x:v>
      </x:c>
      <x:c r="M309" s="2" t="str">
        <x:v>持有</x:v>
      </x:c>
    </x:row>
    <x:row r="310" ht="23" customHeight="1">
      <x:c r="A310" s="11" t="d">
        <x:v>2016-03-18T00:00:00.000Z</x:v>
      </x:c>
      <x:c r="B310" s="12" t="n">
        <x:v>165.66937</x:v>
      </x:c>
      <x:c r="C310" s="13" t="n">
        <x:v>408</x:v>
      </x:c>
      <x:c r="D310" s="12" t="n">
        <x:v>83387.04</x:v>
      </x:c>
      <x:c r="E310" s="12" t="n">
        <x:v>428.238432</x:v>
      </x:c>
      <x:c r="F310" s="12" t="n">
        <x:f>SUM(B310,D310:E310)</x:f>
        <x:v>83980.947802</x:v>
      </x:c>
      <x:c r="G310" s="12" t="n">
        <x:f>MAX(G309,F310)</x:f>
        <x:v>100000</x:v>
      </x:c>
      <x:c r="H310" s="14" t="n">
        <x:f>F310/G310-1</x:f>
        <x:v>-0.16019052198000006</x:v>
      </x:c>
      <x:c r="I310" s="14" t="n">
        <x:f>F310/F309-1</x:f>
        <x:v>0.0038998214739718318</x:v>
      </x:c>
      <x:c r="J310" s="12" t="n">
        <x:v>428.238432</x:v>
      </x:c>
      <x:c r="K310" s="12" t="n">
        <x:v>0</x:v>
      </x:c>
      <x:c r="L310" s="12" t="n">
        <x:v>0</x:v>
      </x:c>
      <x:c r="M310" s="2" t="str">
        <x:v>持有</x:v>
      </x:c>
    </x:row>
    <x:row r="311" ht="23" customHeight="1">
      <x:c r="A311" s="11" t="d">
        <x:v>2016-03-21T00:00:00.000Z</x:v>
      </x:c>
      <x:c r="B311" s="12" t="n">
        <x:v>165.66937</x:v>
      </x:c>
      <x:c r="C311" s="13" t="n">
        <x:v>408</x:v>
      </x:c>
      <x:c r="D311" s="12" t="n">
        <x:v>83505.36</x:v>
      </x:c>
      <x:c r="E311" s="12" t="n">
        <x:v>428.238432</x:v>
      </x:c>
      <x:c r="F311" s="12" t="n">
        <x:f>SUM(B311,D311:E311)</x:f>
        <x:v>84099.267802</x:v>
      </x:c>
      <x:c r="G311" s="12" t="n">
        <x:f>MAX(G310,F311)</x:f>
        <x:v>100000</x:v>
      </x:c>
      <x:c r="H311" s="14" t="n">
        <x:f>F311/G311-1</x:f>
        <x:v>-0.15900732198</x:v>
      </x:c>
      <x:c r="I311" s="14" t="n">
        <x:f>F311/F310-1</x:f>
        <x:v>0.0014088909817850936</x:v>
      </x:c>
      <x:c r="J311" s="12" t="n">
        <x:v>0</x:v>
      </x:c>
      <x:c r="K311" s="12" t="n">
        <x:v>0</x:v>
      </x:c>
      <x:c r="L311" s="12" t="n">
        <x:v>0</x:v>
      </x:c>
      <x:c r="M311" s="2" t="str">
        <x:v>持有</x:v>
      </x:c>
    </x:row>
    <x:row r="312" ht="23" customHeight="1">
      <x:c r="A312" s="11" t="d">
        <x:v>2016-03-22T00:00:00.000Z</x:v>
      </x:c>
      <x:c r="B312" s="12" t="n">
        <x:v>165.66937</x:v>
      </x:c>
      <x:c r="C312" s="13" t="n">
        <x:v>408</x:v>
      </x:c>
      <x:c r="D312" s="12" t="n">
        <x:v>83460.48</x:v>
      </x:c>
      <x:c r="E312" s="12" t="n">
        <x:v>428.238432</x:v>
      </x:c>
      <x:c r="F312" s="12" t="n">
        <x:f>SUM(B312,D312:E312)</x:f>
        <x:v>84054.387802</x:v>
      </x:c>
      <x:c r="G312" s="12" t="n">
        <x:f>MAX(G311,F312)</x:f>
        <x:v>100000</x:v>
      </x:c>
      <x:c r="H312" s="14" t="n">
        <x:f>F312/G312-1</x:f>
        <x:v>-0.15945612198000003</x:v>
      </x:c>
      <x:c r="I312" s="14" t="n">
        <x:f>F312/F311-1</x:f>
        <x:v>-0.0005336550623207259</x:v>
      </x:c>
      <x:c r="J312" s="12" t="n">
        <x:v>0</x:v>
      </x:c>
      <x:c r="K312" s="12" t="n">
        <x:v>0</x:v>
      </x:c>
      <x:c r="L312" s="12" t="n">
        <x:v>0</x:v>
      </x:c>
      <x:c r="M312" s="2" t="str">
        <x:v>持有</x:v>
      </x:c>
    </x:row>
    <x:row r="313" ht="23" customHeight="1">
      <x:c r="A313" s="11" t="d">
        <x:v>2016-03-23T00:00:00.000Z</x:v>
      </x:c>
      <x:c r="B313" s="12" t="n">
        <x:v>165.66937</x:v>
      </x:c>
      <x:c r="C313" s="13" t="n">
        <x:v>408</x:v>
      </x:c>
      <x:c r="D313" s="12" t="n">
        <x:v>82909.68000000001</x:v>
      </x:c>
      <x:c r="E313" s="12" t="n">
        <x:v>428.238432</x:v>
      </x:c>
      <x:c r="F313" s="12" t="n">
        <x:f>SUM(B313,D313:E313)</x:f>
        <x:v>83503.58780200001</x:v>
      </x:c>
      <x:c r="G313" s="12" t="n">
        <x:f>MAX(G312,F313)</x:f>
        <x:v>100000</x:v>
      </x:c>
      <x:c r="H313" s="14" t="n">
        <x:f>F313/G313-1</x:f>
        <x:v>-0.16496412197999988</x:v>
      </x:c>
      <x:c r="I313" s="14" t="n">
        <x:f>F313/F312-1</x:f>
        <x:v>-0.006552900025843522</x:v>
      </x:c>
      <x:c r="J313" s="12" t="n">
        <x:v>0</x:v>
      </x:c>
      <x:c r="K313" s="12" t="n">
        <x:v>0</x:v>
      </x:c>
      <x:c r="L313" s="12" t="n">
        <x:v>0</x:v>
      </x:c>
      <x:c r="M313" s="2" t="str">
        <x:v>持有</x:v>
      </x:c>
    </x:row>
    <x:row r="314" ht="23" customHeight="1">
      <x:c r="A314" s="11" t="d">
        <x:v>2016-03-24T00:00:00.000Z</x:v>
      </x:c>
      <x:c r="B314" s="12" t="n">
        <x:v>165.66937</x:v>
      </x:c>
      <x:c r="C314" s="13" t="n">
        <x:v>408</x:v>
      </x:c>
      <x:c r="D314" s="12" t="n">
        <x:v>82872.96</x:v>
      </x:c>
      <x:c r="E314" s="12" t="n">
        <x:v>428.238432</x:v>
      </x:c>
      <x:c r="F314" s="12" t="n">
        <x:f>SUM(B314,D314:E314)</x:f>
        <x:v>83466.86780200001</x:v>
      </x:c>
      <x:c r="G314" s="12" t="n">
        <x:f>MAX(G313,F314)</x:f>
        <x:v>100000</x:v>
      </x:c>
      <x:c r="H314" s="14" t="n">
        <x:f>F314/G314-1</x:f>
        <x:v>-0.1653313219799999</x:v>
      </x:c>
      <x:c r="I314" s="14" t="n">
        <x:f>F314/F313-1</x:f>
        <x:v>-0.0004397415843624408</x:v>
      </x:c>
      <x:c r="J314" s="12" t="n">
        <x:v>0</x:v>
      </x:c>
      <x:c r="K314" s="12" t="n">
        <x:v>0</x:v>
      </x:c>
      <x:c r="L314" s="12" t="n">
        <x:v>0</x:v>
      </x:c>
      <x:c r="M314" s="2" t="str">
        <x:v>持有</x:v>
      </x:c>
    </x:row>
    <x:row r="315" ht="23" customHeight="1">
      <x:c r="A315" s="11" t="d">
        <x:v>2016-03-28T00:00:00.000Z</x:v>
      </x:c>
      <x:c r="B315" s="12" t="n">
        <x:v>165.66937</x:v>
      </x:c>
      <x:c r="C315" s="13" t="n">
        <x:v>408</x:v>
      </x:c>
      <x:c r="D315" s="12" t="n">
        <x:v>82921.92</x:v>
      </x:c>
      <x:c r="E315" s="12" t="n">
        <x:v>428.238432</x:v>
      </x:c>
      <x:c r="F315" s="12" t="n">
        <x:f>SUM(B315,D315:E315)</x:f>
        <x:v>83515.827802</x:v>
      </x:c>
      <x:c r="G315" s="12" t="n">
        <x:f>MAX(G314,F315)</x:f>
        <x:v>100000</x:v>
      </x:c>
      <x:c r="H315" s="14" t="n">
        <x:f>F315/G315-1</x:f>
        <x:v>-0.16484172198000002</x:v>
      </x:c>
      <x:c r="I315" s="14" t="n">
        <x:f>F315/F314-1</x:f>
        <x:v>0.00058658005612644</x:v>
      </x:c>
      <x:c r="J315" s="12" t="n">
        <x:v>0</x:v>
      </x:c>
      <x:c r="K315" s="12" t="n">
        <x:v>0</x:v>
      </x:c>
      <x:c r="L315" s="12" t="n">
        <x:v>0</x:v>
      </x:c>
      <x:c r="M315" s="2" t="str">
        <x:v>持有</x:v>
      </x:c>
    </x:row>
    <x:row r="316" ht="23" customHeight="1">
      <x:c r="A316" s="11" t="d">
        <x:v>2016-03-29T00:00:00.000Z</x:v>
      </x:c>
      <x:c r="B316" s="12" t="n">
        <x:v>165.66937</x:v>
      </x:c>
      <x:c r="C316" s="13" t="n">
        <x:v>408</x:v>
      </x:c>
      <x:c r="D316" s="12" t="n">
        <x:v>83688.96</x:v>
      </x:c>
      <x:c r="E316" s="12" t="n">
        <x:v>428.238432</x:v>
      </x:c>
      <x:c r="F316" s="12" t="n">
        <x:f>SUM(B316,D316:E316)</x:f>
        <x:v>84282.86780200001</x:v>
      </x:c>
      <x:c r="G316" s="12" t="n">
        <x:f>MAX(G315,F316)</x:f>
        <x:v>100000</x:v>
      </x:c>
      <x:c r="H316" s="14" t="n">
        <x:f>F316/G316-1</x:f>
        <x:v>-0.15717132197999995</x:v>
      </x:c>
      <x:c r="I316" s="14" t="n">
        <x:f>F316/F315-1</x:f>
        <x:v>0.009184366846228365</x:v>
      </x:c>
      <x:c r="J316" s="12" t="n">
        <x:v>0</x:v>
      </x:c>
      <x:c r="K316" s="12" t="n">
        <x:v>0</x:v>
      </x:c>
      <x:c r="L316" s="12" t="n">
        <x:v>0</x:v>
      </x:c>
      <x:c r="M316" s="2" t="str">
        <x:v>持有</x:v>
      </x:c>
    </x:row>
    <x:row r="317" ht="23" customHeight="1">
      <x:c r="A317" s="11" t="d">
        <x:v>2016-03-30T00:00:00.000Z</x:v>
      </x:c>
      <x:c r="B317" s="12" t="n">
        <x:v>165.66937</x:v>
      </x:c>
      <x:c r="C317" s="13" t="n">
        <x:v>408</x:v>
      </x:c>
      <x:c r="D317" s="12" t="n">
        <x:v>84056.16</x:v>
      </x:c>
      <x:c r="E317" s="12" t="n">
        <x:v>428.238432</x:v>
      </x:c>
      <x:c r="F317" s="12" t="n">
        <x:f>SUM(B317,D317:E317)</x:f>
        <x:v>84650.067802</x:v>
      </x:c>
      <x:c r="G317" s="12" t="n">
        <x:f>MAX(G316,F317)</x:f>
        <x:v>100000</x:v>
      </x:c>
      <x:c r="H317" s="14" t="n">
        <x:f>F317/G317-1</x:f>
        <x:v>-0.15349932197999994</x:v>
      </x:c>
      <x:c r="I317" s="14" t="n">
        <x:f>F317/F316-1</x:f>
        <x:v>0.004356757305205017</x:v>
      </x:c>
      <x:c r="J317" s="12" t="n">
        <x:v>0</x:v>
      </x:c>
      <x:c r="K317" s="12" t="n">
        <x:v>0</x:v>
      </x:c>
      <x:c r="L317" s="12" t="n">
        <x:v>0</x:v>
      </x:c>
      <x:c r="M317" s="2" t="str">
        <x:v>持有</x:v>
      </x:c>
    </x:row>
    <x:row r="318" ht="23" customHeight="1">
      <x:c r="A318" s="11" t="d">
        <x:v>2016-03-31T00:00:00.000Z</x:v>
      </x:c>
      <x:c r="B318" s="12" t="n">
        <x:v>165.66937</x:v>
      </x:c>
      <x:c r="C318" s="13" t="n">
        <x:v>408</x:v>
      </x:c>
      <x:c r="D318" s="12" t="n">
        <x:v>83852.16</x:v>
      </x:c>
      <x:c r="E318" s="12" t="n">
        <x:v>428.238432</x:v>
      </x:c>
      <x:c r="F318" s="12" t="n">
        <x:f>SUM(B318,D318:E318)</x:f>
        <x:v>84446.067802</x:v>
      </x:c>
      <x:c r="G318" s="12" t="n">
        <x:f>MAX(G317,F318)</x:f>
        <x:v>100000</x:v>
      </x:c>
      <x:c r="H318" s="14" t="n">
        <x:f>F318/G318-1</x:f>
        <x:v>-0.15553932197999998</x:v>
      </x:c>
      <x:c r="I318" s="14" t="n">
        <x:f>F318/F317-1</x:f>
        <x:v>-0.0024099212829594707</x:v>
      </x:c>
      <x:c r="J318" s="12" t="n">
        <x:v>0</x:v>
      </x:c>
      <x:c r="K318" s="12" t="n">
        <x:v>0</x:v>
      </x:c>
      <x:c r="L318" s="12" t="n">
        <x:v>0</x:v>
      </x:c>
      <x:c r="M318" s="2" t="str">
        <x:v>持有</x:v>
      </x:c>
    </x:row>
    <x:row r="319" ht="23" customHeight="1">
      <x:c r="A319" s="11" t="d">
        <x:v>2016-04-01T00:00:00.000Z</x:v>
      </x:c>
      <x:c r="B319" s="12" t="n">
        <x:v>165.66937</x:v>
      </x:c>
      <x:c r="C319" s="13" t="n">
        <x:v>408</x:v>
      </x:c>
      <x:c r="D319" s="12" t="n">
        <x:v>84423.36</x:v>
      </x:c>
      <x:c r="E319" s="12" t="n">
        <x:v>428.238432</x:v>
      </x:c>
      <x:c r="F319" s="12" t="n">
        <x:f>SUM(B319,D319:E319)</x:f>
        <x:v>85017.267802</x:v>
      </x:c>
      <x:c r="G319" s="12" t="n">
        <x:f>MAX(G318,F319)</x:f>
        <x:v>100000</x:v>
      </x:c>
      <x:c r="H319" s="14" t="n">
        <x:f>F319/G319-1</x:f>
        <x:v>-0.14982732197999993</x:v>
      </x:c>
      <x:c r="I319" s="14" t="n">
        <x:f>F319/F318-1</x:f>
        <x:v>0.00676408049382804</x:v>
      </x:c>
      <x:c r="J319" s="12" t="n">
        <x:v>0</x:v>
      </x:c>
      <x:c r="K319" s="12" t="n">
        <x:v>0</x:v>
      </x:c>
      <x:c r="L319" s="12" t="n">
        <x:v>0</x:v>
      </x:c>
      <x:c r="M319" s="2" t="str">
        <x:v>持有</x:v>
      </x:c>
    </x:row>
    <x:row r="320" ht="23" customHeight="1">
      <x:c r="A320" s="11" t="d">
        <x:v>2016-04-04T00:00:00.000Z</x:v>
      </x:c>
      <x:c r="B320" s="12" t="n">
        <x:v>165.66937</x:v>
      </x:c>
      <x:c r="C320" s="13" t="n">
        <x:v>408</x:v>
      </x:c>
      <x:c r="D320" s="12" t="n">
        <x:v>84150</x:v>
      </x:c>
      <x:c r="E320" s="12" t="n">
        <x:v>428.238432</x:v>
      </x:c>
      <x:c r="F320" s="12" t="n">
        <x:f>SUM(B320,D320:E320)</x:f>
        <x:v>84743.907802</x:v>
      </x:c>
      <x:c r="G320" s="12" t="n">
        <x:f>MAX(G319,F320)</x:f>
        <x:v>100000</x:v>
      </x:c>
      <x:c r="H320" s="14" t="n">
        <x:f>F320/G320-1</x:f>
        <x:v>-0.15256092197999993</x:v>
      </x:c>
      <x:c r="I320" s="14" t="n">
        <x:f>F320/F319-1</x:f>
        <x:v>-0.003215346800330532</x:v>
      </x:c>
      <x:c r="J320" s="12" t="n">
        <x:v>0</x:v>
      </x:c>
      <x:c r="K320" s="12" t="n">
        <x:v>0</x:v>
      </x:c>
      <x:c r="L320" s="12" t="n">
        <x:v>0</x:v>
      </x:c>
      <x:c r="M320" s="2" t="str">
        <x:v>持有</x:v>
      </x:c>
    </x:row>
    <x:row r="321" ht="23" customHeight="1">
      <x:c r="A321" s="11" t="d">
        <x:v>2016-04-05T00:00:00.000Z</x:v>
      </x:c>
      <x:c r="B321" s="12" t="n">
        <x:v>165.66937</x:v>
      </x:c>
      <x:c r="C321" s="13" t="n">
        <x:v>408</x:v>
      </x:c>
      <x:c r="D321" s="12" t="n">
        <x:v>83309.52</x:v>
      </x:c>
      <x:c r="E321" s="12" t="n">
        <x:v>428.238432</x:v>
      </x:c>
      <x:c r="F321" s="12" t="n">
        <x:f>SUM(B321,D321:E321)</x:f>
        <x:v>83903.427802</x:v>
      </x:c>
      <x:c r="G321" s="12" t="n">
        <x:f>MAX(G320,F321)</x:f>
        <x:v>100000</x:v>
      </x:c>
      <x:c r="H321" s="14" t="n">
        <x:f>F321/G321-1</x:f>
        <x:v>-0.16096572197999992</x:v>
      </x:c>
      <x:c r="I321" s="14" t="n">
        <x:f>F321/F320-1</x:f>
        <x:v>-0.009917881081950242</x:v>
      </x:c>
      <x:c r="J321" s="12" t="n">
        <x:v>0</x:v>
      </x:c>
      <x:c r="K321" s="12" t="n">
        <x:v>0</x:v>
      </x:c>
      <x:c r="L321" s="12" t="n">
        <x:v>0</x:v>
      </x:c>
      <x:c r="M321" s="2" t="str">
        <x:v>持有</x:v>
      </x:c>
    </x:row>
    <x:row r="322" ht="23" customHeight="1">
      <x:c r="A322" s="11" t="d">
        <x:v>2016-04-06T00:00:00.000Z</x:v>
      </x:c>
      <x:c r="B322" s="12" t="n">
        <x:v>165.66937</x:v>
      </x:c>
      <x:c r="C322" s="13" t="n">
        <x:v>408</x:v>
      </x:c>
      <x:c r="D322" s="12" t="n">
        <x:v>84219.36</x:v>
      </x:c>
      <x:c r="E322" s="12" t="n">
        <x:v>428.238432</x:v>
      </x:c>
      <x:c r="F322" s="12" t="n">
        <x:f>SUM(B322,D322:E322)</x:f>
        <x:v>84813.267802</x:v>
      </x:c>
      <x:c r="G322" s="12" t="n">
        <x:f>MAX(G321,F322)</x:f>
        <x:v>100000</x:v>
      </x:c>
      <x:c r="H322" s="14" t="n">
        <x:f>F322/G322-1</x:f>
        <x:v>-0.15186732197999997</x:v>
      </x:c>
      <x:c r="I322" s="14" t="n">
        <x:f>F322/F321-1</x:f>
        <x:v>0.01084389546213882</x:v>
      </x:c>
      <x:c r="J322" s="12" t="n">
        <x:v>0</x:v>
      </x:c>
      <x:c r="K322" s="12" t="n">
        <x:v>0</x:v>
      </x:c>
      <x:c r="L322" s="12" t="n">
        <x:v>0</x:v>
      </x:c>
      <x:c r="M322" s="2" t="str">
        <x:v>持有</x:v>
      </x:c>
    </x:row>
    <x:row r="323" ht="23" customHeight="1">
      <x:c r="A323" s="11" t="d">
        <x:v>2016-04-07T00:00:00.000Z</x:v>
      </x:c>
      <x:c r="B323" s="12" t="n">
        <x:v>165.66937</x:v>
      </x:c>
      <x:c r="C323" s="13" t="n">
        <x:v>408</x:v>
      </x:c>
      <x:c r="D323" s="12" t="n">
        <x:v>83211.59999999999</x:v>
      </x:c>
      <x:c r="E323" s="12" t="n">
        <x:v>428.238432</x:v>
      </x:c>
      <x:c r="F323" s="12" t="n">
        <x:f>SUM(B323,D323:E323)</x:f>
        <x:v>83805.507802</x:v>
      </x:c>
      <x:c r="G323" s="12" t="n">
        <x:f>MAX(G322,F323)</x:f>
        <x:v>100000</x:v>
      </x:c>
      <x:c r="H323" s="14" t="n">
        <x:f>F323/G323-1</x:f>
        <x:v>-0.1619449219800001</x:v>
      </x:c>
      <x:c r="I323" s="14" t="n">
        <x:f>F323/F322-1</x:f>
        <x:v>-0.01188210319112648</x:v>
      </x:c>
      <x:c r="J323" s="12" t="n">
        <x:v>0</x:v>
      </x:c>
      <x:c r="K323" s="12" t="n">
        <x:v>0</x:v>
      </x:c>
      <x:c r="L323" s="12" t="n">
        <x:v>0</x:v>
      </x:c>
      <x:c r="M323" s="2" t="str">
        <x:v>持有</x:v>
      </x:c>
    </x:row>
    <x:row r="324" ht="23" customHeight="1">
      <x:c r="A324" s="11" t="d">
        <x:v>2016-04-08T00:00:00.000Z</x:v>
      </x:c>
      <x:c r="B324" s="12" t="n">
        <x:v>165.66937</x:v>
      </x:c>
      <x:c r="C324" s="13" t="n">
        <x:v>408</x:v>
      </x:c>
      <x:c r="D324" s="12" t="n">
        <x:v>83436</x:v>
      </x:c>
      <x:c r="E324" s="12" t="n">
        <x:v>428.238432</x:v>
      </x:c>
      <x:c r="F324" s="12" t="n">
        <x:f>SUM(B324,D324:E324)</x:f>
        <x:v>84029.907802</x:v>
      </x:c>
      <x:c r="G324" s="12" t="n">
        <x:f>MAX(G323,F324)</x:f>
        <x:v>100000</x:v>
      </x:c>
      <x:c r="H324" s="14" t="n">
        <x:f>F324/G324-1</x:f>
        <x:v>-0.15970092197999997</x:v>
      </x:c>
      <x:c r="I324" s="14" t="n">
        <x:f>F324/F323-1</x:f>
        <x:v>0.0026776283073206564</x:v>
      </x:c>
      <x:c r="J324" s="12" t="n">
        <x:v>0</x:v>
      </x:c>
      <x:c r="K324" s="12" t="n">
        <x:v>0</x:v>
      </x:c>
      <x:c r="L324" s="12" t="n">
        <x:v>0</x:v>
      </x:c>
      <x:c r="M324" s="2" t="str">
        <x:v>持有</x:v>
      </x:c>
    </x:row>
    <x:row r="325" ht="23" customHeight="1">
      <x:c r="A325" s="11" t="d">
        <x:v>2016-04-11T00:00:00.000Z</x:v>
      </x:c>
      <x:c r="B325" s="12" t="n">
        <x:v>165.66937</x:v>
      </x:c>
      <x:c r="C325" s="13" t="n">
        <x:v>408</x:v>
      </x:c>
      <x:c r="D325" s="12" t="n">
        <x:v>83240.16</x:v>
      </x:c>
      <x:c r="E325" s="12" t="n">
        <x:v>428.238432</x:v>
      </x:c>
      <x:c r="F325" s="12" t="n">
        <x:f>SUM(B325,D325:E325)</x:f>
        <x:v>83834.067802</x:v>
      </x:c>
      <x:c r="G325" s="12" t="n">
        <x:f>MAX(G324,F325)</x:f>
        <x:v>100000</x:v>
      </x:c>
      <x:c r="H325" s="14" t="n">
        <x:f>F325/G325-1</x:f>
        <x:v>-0.16165932198</x:v>
      </x:c>
      <x:c r="I325" s="14" t="n">
        <x:f>F325/F324-1</x:f>
        <x:v>-0.002330598772778081</x:v>
      </x:c>
      <x:c r="J325" s="12" t="n">
        <x:v>0</x:v>
      </x:c>
      <x:c r="K325" s="12" t="n">
        <x:v>0</x:v>
      </x:c>
      <x:c r="L325" s="12" t="n">
        <x:v>0</x:v>
      </x:c>
      <x:c r="M325" s="2" t="str">
        <x:v>持有</x:v>
      </x:c>
    </x:row>
    <x:row r="326" ht="23" customHeight="1">
      <x:c r="A326" s="11" t="d">
        <x:v>2016-04-12T00:00:00.000Z</x:v>
      </x:c>
      <x:c r="B326" s="12" t="n">
        <x:v>165.66937</x:v>
      </x:c>
      <x:c r="C326" s="13" t="n">
        <x:v>408</x:v>
      </x:c>
      <x:c r="D326" s="12" t="n">
        <x:v>84015.36</x:v>
      </x:c>
      <x:c r="E326" s="12" t="n">
        <x:v>428.238432</x:v>
      </x:c>
      <x:c r="F326" s="12" t="n">
        <x:f>SUM(B326,D326:E326)</x:f>
        <x:v>84609.267802</x:v>
      </x:c>
      <x:c r="G326" s="12" t="n">
        <x:f>MAX(G325,F326)</x:f>
        <x:v>100000</x:v>
      </x:c>
      <x:c r="H326" s="14" t="n">
        <x:f>F326/G326-1</x:f>
        <x:v>-0.15390732198</x:v>
      </x:c>
      <x:c r="I326" s="14" t="n">
        <x:f>F326/F325-1</x:f>
        <x:v>0.0092468374769894</x:v>
      </x:c>
      <x:c r="J326" s="12" t="n">
        <x:v>0</x:v>
      </x:c>
      <x:c r="K326" s="12" t="n">
        <x:v>0</x:v>
      </x:c>
      <x:c r="L326" s="12" t="n">
        <x:v>0</x:v>
      </x:c>
      <x:c r="M326" s="2" t="str">
        <x:v>持有</x:v>
      </x:c>
    </x:row>
    <x:row r="327" ht="23" customHeight="1">
      <x:c r="A327" s="11" t="d">
        <x:v>2016-04-13T00:00:00.000Z</x:v>
      </x:c>
      <x:c r="B327" s="12" t="n">
        <x:v>165.66937</x:v>
      </x:c>
      <x:c r="C327" s="13" t="n">
        <x:v>408</x:v>
      </x:c>
      <x:c r="D327" s="12" t="n">
        <x:v>84864</x:v>
      </x:c>
      <x:c r="E327" s="12" t="n">
        <x:v>428.238432</x:v>
      </x:c>
      <x:c r="F327" s="12" t="n">
        <x:f>SUM(B327,D327:E327)</x:f>
        <x:v>85457.907802</x:v>
      </x:c>
      <x:c r="G327" s="12" t="n">
        <x:f>MAX(G326,F327)</x:f>
        <x:v>100000</x:v>
      </x:c>
      <x:c r="H327" s="14" t="n">
        <x:f>F327/G327-1</x:f>
        <x:v>-0.14542092198</x:v>
      </x:c>
      <x:c r="I327" s="14" t="n">
        <x:f>F327/F326-1</x:f>
        <x:v>0.010030106890724477</x:v>
      </x:c>
      <x:c r="J327" s="12" t="n">
        <x:v>0</x:v>
      </x:c>
      <x:c r="K327" s="12" t="n">
        <x:v>0</x:v>
      </x:c>
      <x:c r="L327" s="12" t="n">
        <x:v>0</x:v>
      </x:c>
      <x:c r="M327" s="2" t="str">
        <x:v>持有</x:v>
      </x:c>
    </x:row>
    <x:row r="328" ht="23" customHeight="1">
      <x:c r="A328" s="11" t="d">
        <x:v>2016-04-14T00:00:00.000Z</x:v>
      </x:c>
      <x:c r="B328" s="12" t="n">
        <x:v>165.66937</x:v>
      </x:c>
      <x:c r="C328" s="13" t="n">
        <x:v>408</x:v>
      </x:c>
      <x:c r="D328" s="12" t="n">
        <x:v>84868.08</x:v>
      </x:c>
      <x:c r="E328" s="12" t="n">
        <x:v>428.238432</x:v>
      </x:c>
      <x:c r="F328" s="12" t="n">
        <x:f>SUM(B328,D328:E328)</x:f>
        <x:v>85461.987802</x:v>
      </x:c>
      <x:c r="G328" s="12" t="n">
        <x:f>MAX(G327,F328)</x:f>
        <x:v>100000</x:v>
      </x:c>
      <x:c r="H328" s="14" t="n">
        <x:f>F328/G328-1</x:f>
        <x:v>-0.14538012197999994</x:v>
      </x:c>
      <x:c r="I328" s="14" t="n">
        <x:f>F328/F327-1</x:f>
        <x:v>0.00004774280233332817</x:v>
      </x:c>
      <x:c r="J328" s="12" t="n">
        <x:v>0</x:v>
      </x:c>
      <x:c r="K328" s="12" t="n">
        <x:v>0</x:v>
      </x:c>
      <x:c r="L328" s="12" t="n">
        <x:v>0</x:v>
      </x:c>
      <x:c r="M328" s="2" t="str">
        <x:v>持有</x:v>
      </x:c>
    </x:row>
    <x:row r="329" ht="23" customHeight="1">
      <x:c r="A329" s="11" t="d">
        <x:v>2016-04-15T00:00:00.000Z</x:v>
      </x:c>
      <x:c r="B329" s="12" t="n">
        <x:v>165.66937</x:v>
      </x:c>
      <x:c r="C329" s="13" t="n">
        <x:v>408</x:v>
      </x:c>
      <x:c r="D329" s="12" t="n">
        <x:v>84774.24</x:v>
      </x:c>
      <x:c r="E329" s="12" t="n">
        <x:v>428.238432</x:v>
      </x:c>
      <x:c r="F329" s="12" t="n">
        <x:f>SUM(B329,D329:E329)</x:f>
        <x:v>85368.147802</x:v>
      </x:c>
      <x:c r="G329" s="12" t="n">
        <x:f>MAX(G328,F329)</x:f>
        <x:v>100000</x:v>
      </x:c>
      <x:c r="H329" s="14" t="n">
        <x:f>F329/G329-1</x:f>
        <x:v>-0.14631852197999995</x:v>
      </x:c>
      <x:c r="I329" s="14" t="n">
        <x:f>F329/F328-1</x:f>
        <x:v>-0.001098032030537488</x:v>
      </x:c>
      <x:c r="J329" s="12" t="n">
        <x:v>0</x:v>
      </x:c>
      <x:c r="K329" s="12" t="n">
        <x:v>0</x:v>
      </x:c>
      <x:c r="L329" s="12" t="n">
        <x:v>0</x:v>
      </x:c>
      <x:c r="M329" s="2" t="str">
        <x:v>持有</x:v>
      </x:c>
    </x:row>
    <x:row r="330" ht="23" customHeight="1">
      <x:c r="A330" s="11" t="d">
        <x:v>2016-04-18T00:00:00.000Z</x:v>
      </x:c>
      <x:c r="B330" s="12" t="n">
        <x:v>165.66937</x:v>
      </x:c>
      <x:c r="C330" s="13" t="n">
        <x:v>408</x:v>
      </x:c>
      <x:c r="D330" s="12" t="n">
        <x:v>85369.92</x:v>
      </x:c>
      <x:c r="E330" s="12" t="n">
        <x:v>428.238432</x:v>
      </x:c>
      <x:c r="F330" s="12" t="n">
        <x:f>SUM(B330,D330:E330)</x:f>
        <x:v>85963.827802</x:v>
      </x:c>
      <x:c r="G330" s="12" t="n">
        <x:f>MAX(G329,F330)</x:f>
        <x:v>100000</x:v>
      </x:c>
      <x:c r="H330" s="14" t="n">
        <x:f>F330/G330-1</x:f>
        <x:v>-0.14036172197999996</x:v>
      </x:c>
      <x:c r="I330" s="14" t="n">
        <x:f>F330/F329-1</x:f>
        <x:v>0.0069777781917161885</x:v>
      </x:c>
      <x:c r="J330" s="12" t="n">
        <x:v>0</x:v>
      </x:c>
      <x:c r="K330" s="12" t="n">
        <x:v>0</x:v>
      </x:c>
      <x:c r="L330" s="12" t="n">
        <x:v>0</x:v>
      </x:c>
      <x:c r="M330" s="2" t="str">
        <x:v>持有</x:v>
      </x:c>
    </x:row>
    <x:row r="331" ht="23" customHeight="1">
      <x:c r="A331" s="11" t="d">
        <x:v>2016-04-19T00:00:00.000Z</x:v>
      </x:c>
      <x:c r="B331" s="12" t="n">
        <x:v>165.66937</x:v>
      </x:c>
      <x:c r="C331" s="13" t="n">
        <x:v>408</x:v>
      </x:c>
      <x:c r="D331" s="12" t="n">
        <x:v>85639.2</x:v>
      </x:c>
      <x:c r="E331" s="12" t="n">
        <x:v>428.238432</x:v>
      </x:c>
      <x:c r="F331" s="12" t="n">
        <x:f>SUM(B331,D331:E331)</x:f>
        <x:v>86233.107802</x:v>
      </x:c>
      <x:c r="G331" s="12" t="n">
        <x:f>MAX(G330,F331)</x:f>
        <x:v>100000</x:v>
      </x:c>
      <x:c r="H331" s="14" t="n">
        <x:f>F331/G331-1</x:f>
        <x:v>-0.13766892198000003</x:v>
      </x:c>
      <x:c r="I331" s="14" t="n">
        <x:f>F331/F330-1</x:f>
        <x:v>0.00313248033370761</x:v>
      </x:c>
      <x:c r="J331" s="12" t="n">
        <x:v>0</x:v>
      </x:c>
      <x:c r="K331" s="12" t="n">
        <x:v>0</x:v>
      </x:c>
      <x:c r="L331" s="12" t="n">
        <x:v>0</x:v>
      </x:c>
      <x:c r="M331" s="2" t="str">
        <x:v>持有</x:v>
      </x:c>
    </x:row>
    <x:row r="332" ht="23" customHeight="1">
      <x:c r="A332" s="11" t="d">
        <x:v>2016-04-20T00:00:00.000Z</x:v>
      </x:c>
      <x:c r="B332" s="12" t="n">
        <x:v>165.66937</x:v>
      </x:c>
      <x:c r="C332" s="13" t="n">
        <x:v>408</x:v>
      </x:c>
      <x:c r="D332" s="12" t="n">
        <x:v>85720.8</x:v>
      </x:c>
      <x:c r="E332" s="12" t="n">
        <x:v>428.238432</x:v>
      </x:c>
      <x:c r="F332" s="12" t="n">
        <x:f>SUM(B332,D332:E332)</x:f>
        <x:v>86314.707802</x:v>
      </x:c>
      <x:c r="G332" s="12" t="n">
        <x:f>MAX(G331,F332)</x:f>
        <x:v>100000</x:v>
      </x:c>
      <x:c r="H332" s="14" t="n">
        <x:f>F332/G332-1</x:f>
        <x:v>-0.13685292198</x:v>
      </x:c>
      <x:c r="I332" s="14" t="n">
        <x:f>F332/F331-1</x:f>
        <x:v>0.0009462722854354233</x:v>
      </x:c>
      <x:c r="J332" s="12" t="n">
        <x:v>0</x:v>
      </x:c>
      <x:c r="K332" s="12" t="n">
        <x:v>0</x:v>
      </x:c>
      <x:c r="L332" s="12" t="n">
        <x:v>0</x:v>
      </x:c>
      <x:c r="M332" s="2" t="str">
        <x:v>持有</x:v>
      </x:c>
    </x:row>
    <x:row r="333" ht="23" customHeight="1">
      <x:c r="A333" s="11" t="d">
        <x:v>2016-04-21T00:00:00.000Z</x:v>
      </x:c>
      <x:c r="B333" s="12" t="n">
        <x:v>165.66937</x:v>
      </x:c>
      <x:c r="C333" s="13" t="n">
        <x:v>408</x:v>
      </x:c>
      <x:c r="D333" s="12" t="n">
        <x:v>85259.76</x:v>
      </x:c>
      <x:c r="E333" s="12" t="n">
        <x:v>428.238432</x:v>
      </x:c>
      <x:c r="F333" s="12" t="n">
        <x:f>SUM(B333,D333:E333)</x:f>
        <x:v>85853.667802</x:v>
      </x:c>
      <x:c r="G333" s="12" t="n">
        <x:f>MAX(G332,F333)</x:f>
        <x:v>100000</x:v>
      </x:c>
      <x:c r="H333" s="14" t="n">
        <x:f>F333/G333-1</x:f>
        <x:v>-0.14146332198</x:v>
      </x:c>
      <x:c r="I333" s="14" t="n">
        <x:f>F333/F332-1</x:f>
        <x:v>-0.005341384009056704</x:v>
      </x:c>
      <x:c r="J333" s="12" t="n">
        <x:v>0</x:v>
      </x:c>
      <x:c r="K333" s="12" t="n">
        <x:v>0</x:v>
      </x:c>
      <x:c r="L333" s="12" t="n">
        <x:v>0</x:v>
      </x:c>
      <x:c r="M333" s="2" t="str">
        <x:v>持有</x:v>
      </x:c>
    </x:row>
    <x:row r="334" ht="23" customHeight="1">
      <x:c r="A334" s="11" t="d">
        <x:v>2016-04-22T00:00:00.000Z</x:v>
      </x:c>
      <x:c r="B334" s="12" t="n">
        <x:v>165.66937</x:v>
      </x:c>
      <x:c r="C334" s="13" t="n">
        <x:v>408</x:v>
      </x:c>
      <x:c r="D334" s="12" t="n">
        <x:v>85259.76</x:v>
      </x:c>
      <x:c r="E334" s="12" t="n">
        <x:v>428.238432</x:v>
      </x:c>
      <x:c r="F334" s="12" t="n">
        <x:f>SUM(B334,D334:E334)</x:f>
        <x:v>85853.667802</x:v>
      </x:c>
      <x:c r="G334" s="12" t="n">
        <x:f>MAX(G333,F334)</x:f>
        <x:v>100000</x:v>
      </x:c>
      <x:c r="H334" s="14" t="n">
        <x:f>F334/G334-1</x:f>
        <x:v>-0.14146332198</x:v>
      </x:c>
      <x:c r="I334" s="14" t="n">
        <x:f>F334/F333-1</x:f>
        <x:v>0</x:v>
      </x:c>
      <x:c r="J334" s="12" t="n">
        <x:v>0</x:v>
      </x:c>
      <x:c r="K334" s="12" t="n">
        <x:v>0</x:v>
      </x:c>
      <x:c r="L334" s="12" t="n">
        <x:v>0</x:v>
      </x:c>
      <x:c r="M334" s="2" t="str">
        <x:v>持有</x:v>
      </x:c>
    </x:row>
    <x:row r="335" ht="23" customHeight="1">
      <x:c r="A335" s="11" t="d">
        <x:v>2016-04-25T00:00:00.000Z</x:v>
      </x:c>
      <x:c r="B335" s="12" t="n">
        <x:v>165.66937</x:v>
      </x:c>
      <x:c r="C335" s="13" t="n">
        <x:v>408</x:v>
      </x:c>
      <x:c r="D335" s="12" t="n">
        <x:v>85112.88</x:v>
      </x:c>
      <x:c r="E335" s="12" t="n">
        <x:v>428.238432</x:v>
      </x:c>
      <x:c r="F335" s="12" t="n">
        <x:f>SUM(B335,D335:E335)</x:f>
        <x:v>85706.787802</x:v>
      </x:c>
      <x:c r="G335" s="12" t="n">
        <x:f>MAX(G334,F335)</x:f>
        <x:v>100000</x:v>
      </x:c>
      <x:c r="H335" s="14" t="n">
        <x:f>F335/G335-1</x:f>
        <x:v>-0.14293212197999994</x:v>
      </x:c>
      <x:c r="I335" s="14" t="n">
        <x:f>F335/F334-1</x:f>
        <x:v>-0.0017108179971848658</x:v>
      </x:c>
      <x:c r="J335" s="12" t="n">
        <x:v>0</x:v>
      </x:c>
      <x:c r="K335" s="12" t="n">
        <x:v>0</x:v>
      </x:c>
      <x:c r="L335" s="12" t="n">
        <x:v>0</x:v>
      </x:c>
      <x:c r="M335" s="2" t="str">
        <x:v>持有</x:v>
      </x:c>
    </x:row>
    <x:row r="336" ht="23" customHeight="1">
      <x:c r="A336" s="11" t="d">
        <x:v>2016-04-26T00:00:00.000Z</x:v>
      </x:c>
      <x:c r="B336" s="12" t="n">
        <x:v>165.66937</x:v>
      </x:c>
      <x:c r="C336" s="13" t="n">
        <x:v>408</x:v>
      </x:c>
      <x:c r="D336" s="12" t="n">
        <x:v>85239.36</x:v>
      </x:c>
      <x:c r="E336" s="12" t="n">
        <x:v>428.238432</x:v>
      </x:c>
      <x:c r="F336" s="12" t="n">
        <x:f>SUM(B336,D336:E336)</x:f>
        <x:v>85833.267802</x:v>
      </x:c>
      <x:c r="G336" s="12" t="n">
        <x:f>MAX(G335,F336)</x:f>
        <x:v>100000</x:v>
      </x:c>
      <x:c r="H336" s="14" t="n">
        <x:f>F336/G336-1</x:f>
        <x:v>-0.14166732197999998</x:v>
      </x:c>
      <x:c r="I336" s="14" t="n">
        <x:f>F336/F335-1</x:f>
        <x:v>0.0014757290903515408</x:v>
      </x:c>
      <x:c r="J336" s="12" t="n">
        <x:v>0</x:v>
      </x:c>
      <x:c r="K336" s="12" t="n">
        <x:v>0</x:v>
      </x:c>
      <x:c r="L336" s="12" t="n">
        <x:v>0</x:v>
      </x:c>
      <x:c r="M336" s="2" t="str">
        <x:v>持有</x:v>
      </x:c>
    </x:row>
    <x:row r="337" ht="23" customHeight="1">
      <x:c r="A337" s="11" t="d">
        <x:v>2016-04-27T00:00:00.000Z</x:v>
      </x:c>
      <x:c r="B337" s="12" t="n">
        <x:v>165.66937</x:v>
      </x:c>
      <x:c r="C337" s="13" t="n">
        <x:v>408</x:v>
      </x:c>
      <x:c r="D337" s="12" t="n">
        <x:v>85414.8</x:v>
      </x:c>
      <x:c r="E337" s="12" t="n">
        <x:v>428.238432</x:v>
      </x:c>
      <x:c r="F337" s="12" t="n">
        <x:f>SUM(B337,D337:E337)</x:f>
        <x:v>86008.707802</x:v>
      </x:c>
      <x:c r="G337" s="12" t="n">
        <x:f>MAX(G336,F337)</x:f>
        <x:v>100000</x:v>
      </x:c>
      <x:c r="H337" s="14" t="n">
        <x:f>F337/G337-1</x:f>
        <x:v>-0.13991292197999994</x:v>
      </x:c>
      <x:c r="I337" s="14" t="n">
        <x:f>F337/F336-1</x:f>
        <x:v>0.002043962725556625</x:v>
      </x:c>
      <x:c r="J337" s="12" t="n">
        <x:v>0</x:v>
      </x:c>
      <x:c r="K337" s="12" t="n">
        <x:v>0</x:v>
      </x:c>
      <x:c r="L337" s="12" t="n">
        <x:v>0</x:v>
      </x:c>
      <x:c r="M337" s="2" t="str">
        <x:v>持有</x:v>
      </x:c>
    </x:row>
    <x:row r="338" ht="23" customHeight="1">
      <x:c r="A338" s="11" t="d">
        <x:v>2016-04-28T00:00:00.000Z</x:v>
      </x:c>
      <x:c r="B338" s="12" t="n">
        <x:v>165.66937</x:v>
      </x:c>
      <x:c r="C338" s="13" t="n">
        <x:v>408</x:v>
      </x:c>
      <x:c r="D338" s="12" t="n">
        <x:v>84639.59999999999</x:v>
      </x:c>
      <x:c r="E338" s="12" t="n">
        <x:v>428.238432</x:v>
      </x:c>
      <x:c r="F338" s="12" t="n">
        <x:f>SUM(B338,D338:E338)</x:f>
        <x:v>85233.507802</x:v>
      </x:c>
      <x:c r="G338" s="12" t="n">
        <x:f>MAX(G337,F338)</x:f>
        <x:v>100000</x:v>
      </x:c>
      <x:c r="H338" s="14" t="n">
        <x:f>F338/G338-1</x:f>
        <x:v>-0.14766492198000003</x:v>
      </x:c>
      <x:c r="I338" s="14" t="n">
        <x:f>F338/F337-1</x:f>
        <x:v>-0.009013040886332035</x:v>
      </x:c>
      <x:c r="J338" s="12" t="n">
        <x:v>0</x:v>
      </x:c>
      <x:c r="K338" s="12" t="n">
        <x:v>0</x:v>
      </x:c>
      <x:c r="L338" s="12" t="n">
        <x:v>0</x:v>
      </x:c>
      <x:c r="M338" s="2" t="str">
        <x:v>持有</x:v>
      </x:c>
    </x:row>
    <x:row r="339" ht="23" customHeight="1">
      <x:c r="A339" s="11" t="d">
        <x:v>2016-04-29T00:00:00.000Z</x:v>
      </x:c>
      <x:c r="B339" s="12" t="n">
        <x:v>593.907802</x:v>
      </x:c>
      <x:c r="C339" s="13" t="n">
        <x:v>408</x:v>
      </x:c>
      <x:c r="D339" s="12" t="n">
        <x:v>84182.64</x:v>
      </x:c>
      <x:c r="E339" s="12" t="n">
        <x:v>0</x:v>
      </x:c>
      <x:c r="F339" s="12" t="n">
        <x:f>SUM(B339,D339:E339)</x:f>
        <x:v>84776.547802</x:v>
      </x:c>
      <x:c r="G339" s="12" t="n">
        <x:f>MAX(G338,F339)</x:f>
        <x:v>100000</x:v>
      </x:c>
      <x:c r="H339" s="14" t="n">
        <x:f>F339/G339-1</x:f>
        <x:v>-0.15223452197999998</x:v>
      </x:c>
      <x:c r="I339" s="14" t="n">
        <x:f>F339/F338-1</x:f>
        <x:v>-0.005361271778952514</x:v>
      </x:c>
      <x:c r="J339" s="12" t="n">
        <x:v>0</x:v>
      </x:c>
      <x:c r="K339" s="12" t="n">
        <x:v>428.238432</x:v>
      </x:c>
      <x:c r="L339" s="12" t="n">
        <x:v>0</x:v>
      </x:c>
      <x:c r="M339" s="2" t="str">
        <x:v>持有</x:v>
      </x:c>
    </x:row>
    <x:row r="340" ht="23" customHeight="1">
      <x:c r="A340" s="11" t="d">
        <x:v>2016-05-02T00:00:00.000Z</x:v>
      </x:c>
      <x:c r="B340" s="12" t="n">
        <x:v>593.907802</x:v>
      </x:c>
      <x:c r="C340" s="13" t="n">
        <x:v>408</x:v>
      </x:c>
      <x:c r="D340" s="12" t="n">
        <x:v>84851.76</x:v>
      </x:c>
      <x:c r="E340" s="12" t="n">
        <x:v>0</x:v>
      </x:c>
      <x:c r="F340" s="12" t="n">
        <x:f>SUM(B340,D340:E340)</x:f>
        <x:v>85445.667802</x:v>
      </x:c>
      <x:c r="G340" s="12" t="n">
        <x:f>MAX(G339,F340)</x:f>
        <x:v>100000</x:v>
      </x:c>
      <x:c r="H340" s="14" t="n">
        <x:f>F340/G340-1</x:f>
        <x:v>-0.14554332198000008</x:v>
      </x:c>
      <x:c r="I340" s="14" t="n">
        <x:f>F340/F339-1</x:f>
        <x:v>0.007892748847980524</x:v>
      </x:c>
      <x:c r="J340" s="12" t="n">
        <x:v>0</x:v>
      </x:c>
      <x:c r="K340" s="12" t="n">
        <x:v>0</x:v>
      </x:c>
      <x:c r="L340" s="12" t="n">
        <x:v>0</x:v>
      </x:c>
      <x:c r="M340" s="2" t="str">
        <x:v>持有</x:v>
      </x:c>
    </x:row>
    <x:row r="341" ht="23" customHeight="1">
      <x:c r="A341" s="11" t="d">
        <x:v>2016-05-03T00:00:00.000Z</x:v>
      </x:c>
      <x:c r="B341" s="12" t="n">
        <x:v>593.907802</x:v>
      </x:c>
      <x:c r="C341" s="13" t="n">
        <x:v>408</x:v>
      </x:c>
      <x:c r="D341" s="12" t="n">
        <x:v>84113.28</x:v>
      </x:c>
      <x:c r="E341" s="12" t="n">
        <x:v>0</x:v>
      </x:c>
      <x:c r="F341" s="12" t="n">
        <x:f>SUM(B341,D341:E341)</x:f>
        <x:v>84707.187802</x:v>
      </x:c>
      <x:c r="G341" s="12" t="n">
        <x:f>MAX(G340,F341)</x:f>
        <x:v>100000</x:v>
      </x:c>
      <x:c r="H341" s="14" t="n">
        <x:f>F341/G341-1</x:f>
        <x:v>-0.15292812197999994</x:v>
      </x:c>
      <x:c r="I341" s="14" t="n">
        <x:f>F341/F340-1</x:f>
        <x:v>-0.00864268510032884</x:v>
      </x:c>
      <x:c r="J341" s="12" t="n">
        <x:v>0</x:v>
      </x:c>
      <x:c r="K341" s="12" t="n">
        <x:v>0</x:v>
      </x:c>
      <x:c r="L341" s="12" t="n">
        <x:v>0</x:v>
      </x:c>
      <x:c r="M341" s="2" t="str">
        <x:v>持有</x:v>
      </x:c>
    </x:row>
    <x:row r="342" ht="23" customHeight="1">
      <x:c r="A342" s="11" t="d">
        <x:v>2016-05-04T00:00:00.000Z</x:v>
      </x:c>
      <x:c r="B342" s="12" t="n">
        <x:v>593.907802</x:v>
      </x:c>
      <x:c r="C342" s="13" t="n">
        <x:v>408</x:v>
      </x:c>
      <x:c r="D342" s="12" t="n">
        <x:v>83644.08</x:v>
      </x:c>
      <x:c r="E342" s="12" t="n">
        <x:v>0</x:v>
      </x:c>
      <x:c r="F342" s="12" t="n">
        <x:f>SUM(B342,D342:E342)</x:f>
        <x:v>84237.987802</x:v>
      </x:c>
      <x:c r="G342" s="12" t="n">
        <x:f>MAX(G341,F342)</x:f>
        <x:v>100000</x:v>
      </x:c>
      <x:c r="H342" s="14" t="n">
        <x:f>F342/G342-1</x:f>
        <x:v>-0.15762012197999997</x:v>
      </x:c>
      <x:c r="I342" s="14" t="n">
        <x:f>F342/F341-1</x:f>
        <x:v>-0.005539081300830473</x:v>
      </x:c>
      <x:c r="J342" s="12" t="n">
        <x:v>0</x:v>
      </x:c>
      <x:c r="K342" s="12" t="n">
        <x:v>0</x:v>
      </x:c>
      <x:c r="L342" s="12" t="n">
        <x:v>0</x:v>
      </x:c>
      <x:c r="M342" s="2" t="str">
        <x:v>持有</x:v>
      </x:c>
    </x:row>
    <x:row r="343" ht="23" customHeight="1">
      <x:c r="A343" s="11" t="d">
        <x:v>2016-05-05T00:00:00.000Z</x:v>
      </x:c>
      <x:c r="B343" s="12" t="n">
        <x:v>593.907802</x:v>
      </x:c>
      <x:c r="C343" s="13" t="n">
        <x:v>408</x:v>
      </x:c>
      <x:c r="D343" s="12" t="n">
        <x:v>83627.76</x:v>
      </x:c>
      <x:c r="E343" s="12" t="n">
        <x:v>0</x:v>
      </x:c>
      <x:c r="F343" s="12" t="n">
        <x:f>SUM(B343,D343:E343)</x:f>
        <x:v>84221.667802</x:v>
      </x:c>
      <x:c r="G343" s="12" t="n">
        <x:f>MAX(G342,F343)</x:f>
        <x:v>100000</x:v>
      </x:c>
      <x:c r="H343" s="14" t="n">
        <x:f>F343/G343-1</x:f>
        <x:v>-0.15778332198</x:v>
      </x:c>
      <x:c r="I343" s="14" t="n">
        <x:f>F343/F342-1</x:f>
        <x:v>-0.00019373682142509452</x:v>
      </x:c>
      <x:c r="J343" s="12" t="n">
        <x:v>0</x:v>
      </x:c>
      <x:c r="K343" s="12" t="n">
        <x:v>0</x:v>
      </x:c>
      <x:c r="L343" s="12" t="n">
        <x:v>0</x:v>
      </x:c>
      <x:c r="M343" s="2" t="str">
        <x:v>持有</x:v>
      </x:c>
    </x:row>
    <x:row r="344" ht="23" customHeight="1">
      <x:c r="A344" s="11" t="d">
        <x:v>2016-05-06T00:00:00.000Z</x:v>
      </x:c>
      <x:c r="B344" s="12" t="n">
        <x:v>593.907802</x:v>
      </x:c>
      <x:c r="C344" s="13" t="n">
        <x:v>408</x:v>
      </x:c>
      <x:c r="D344" s="12" t="n">
        <x:v>83933.76</x:v>
      </x:c>
      <x:c r="E344" s="12" t="n">
        <x:v>0</x:v>
      </x:c>
      <x:c r="F344" s="12" t="n">
        <x:f>SUM(B344,D344:E344)</x:f>
        <x:v>84527.667802</x:v>
      </x:c>
      <x:c r="G344" s="12" t="n">
        <x:f>MAX(G343,F344)</x:f>
        <x:v>100000</x:v>
      </x:c>
      <x:c r="H344" s="14" t="n">
        <x:f>F344/G344-1</x:f>
        <x:v>-0.15472332198000005</x:v>
      </x:c>
      <x:c r="I344" s="14" t="n">
        <x:f>F344/F343-1</x:f>
        <x:v>0.0036332692997649296</x:v>
      </x:c>
      <x:c r="J344" s="12" t="n">
        <x:v>0</x:v>
      </x:c>
      <x:c r="K344" s="12" t="n">
        <x:v>0</x:v>
      </x:c>
      <x:c r="L344" s="12" t="n">
        <x:v>0</x:v>
      </x:c>
      <x:c r="M344" s="2" t="str">
        <x:v>持有</x:v>
      </x:c>
    </x:row>
    <x:row r="345" ht="23" customHeight="1">
      <x:c r="A345" s="11" t="d">
        <x:v>2016-05-09T00:00:00.000Z</x:v>
      </x:c>
      <x:c r="B345" s="12" t="n">
        <x:v>593.907802</x:v>
      </x:c>
      <x:c r="C345" s="13" t="n">
        <x:v>408</x:v>
      </x:c>
      <x:c r="D345" s="12" t="n">
        <x:v>84003.12</x:v>
      </x:c>
      <x:c r="E345" s="12" t="n">
        <x:v>0</x:v>
      </x:c>
      <x:c r="F345" s="12" t="n">
        <x:f>SUM(B345,D345:E345)</x:f>
        <x:v>84597.027802</x:v>
      </x:c>
      <x:c r="G345" s="12" t="n">
        <x:f>MAX(G344,F345)</x:f>
        <x:v>100000</x:v>
      </x:c>
      <x:c r="H345" s="14" t="n">
        <x:f>F345/G345-1</x:f>
        <x:v>-0.15402972197999998</x:v>
      </x:c>
      <x:c r="I345" s="14" t="n">
        <x:f>F345/F344-1</x:f>
        <x:v>0.0008205597268160503</x:v>
      </x:c>
      <x:c r="J345" s="12" t="n">
        <x:v>0</x:v>
      </x:c>
      <x:c r="K345" s="12" t="n">
        <x:v>0</x:v>
      </x:c>
      <x:c r="L345" s="12" t="n">
        <x:v>0</x:v>
      </x:c>
      <x:c r="M345" s="2" t="str">
        <x:v>持有</x:v>
      </x:c>
    </x:row>
    <x:row r="346" ht="23" customHeight="1">
      <x:c r="A346" s="11" t="d">
        <x:v>2016-05-10T00:00:00.000Z</x:v>
      </x:c>
      <x:c r="B346" s="12" t="n">
        <x:v>593.907802</x:v>
      </x:c>
      <x:c r="C346" s="13" t="n">
        <x:v>408</x:v>
      </x:c>
      <x:c r="D346" s="12" t="n">
        <x:v>85047.59999999999</x:v>
      </x:c>
      <x:c r="E346" s="12" t="n">
        <x:v>0</x:v>
      </x:c>
      <x:c r="F346" s="12" t="n">
        <x:f>SUM(B346,D346:E346)</x:f>
        <x:v>85641.507802</x:v>
      </x:c>
      <x:c r="G346" s="12" t="n">
        <x:f>MAX(G345,F346)</x:f>
        <x:v>100000</x:v>
      </x:c>
      <x:c r="H346" s="14" t="n">
        <x:f>F346/G346-1</x:f>
        <x:v>-0.14358492198000006</x:v>
      </x:c>
      <x:c r="I346" s="14" t="n">
        <x:f>F346/F345-1</x:f>
        <x:v>0.01234653305367428</x:v>
      </x:c>
      <x:c r="J346" s="12" t="n">
        <x:v>0</x:v>
      </x:c>
      <x:c r="K346" s="12" t="n">
        <x:v>0</x:v>
      </x:c>
      <x:c r="L346" s="12" t="n">
        <x:v>0</x:v>
      </x:c>
      <x:c r="M346" s="2" t="str">
        <x:v>持有</x:v>
      </x:c>
    </x:row>
    <x:row r="347" ht="23" customHeight="1">
      <x:c r="A347" s="11" t="d">
        <x:v>2016-05-11T00:00:00.000Z</x:v>
      </x:c>
      <x:c r="B347" s="12" t="n">
        <x:v>593.907802</x:v>
      </x:c>
      <x:c r="C347" s="13" t="n">
        <x:v>408</x:v>
      </x:c>
      <x:c r="D347" s="12" t="n">
        <x:v>84252</x:v>
      </x:c>
      <x:c r="E347" s="12" t="n">
        <x:v>0</x:v>
      </x:c>
      <x:c r="F347" s="12" t="n">
        <x:f>SUM(B347,D347:E347)</x:f>
        <x:v>84845.907802</x:v>
      </x:c>
      <x:c r="G347" s="12" t="n">
        <x:f>MAX(G346,F347)</x:f>
        <x:v>100000</x:v>
      </x:c>
      <x:c r="H347" s="14" t="n">
        <x:f>F347/G347-1</x:f>
        <x:v>-0.15154092198000002</x:v>
      </x:c>
      <x:c r="I347" s="14" t="n">
        <x:f>F347/F346-1</x:f>
        <x:v>-0.009289887817474973</x:v>
      </x:c>
      <x:c r="J347" s="12" t="n">
        <x:v>0</x:v>
      </x:c>
      <x:c r="K347" s="12" t="n">
        <x:v>0</x:v>
      </x:c>
      <x:c r="L347" s="12" t="n">
        <x:v>0</x:v>
      </x:c>
      <x:c r="M347" s="2" t="str">
        <x:v>持有</x:v>
      </x:c>
    </x:row>
    <x:row r="348" ht="23" customHeight="1">
      <x:c r="A348" s="11" t="d">
        <x:v>2016-05-12T00:00:00.000Z</x:v>
      </x:c>
      <x:c r="B348" s="12" t="n">
        <x:v>593.907802</x:v>
      </x:c>
      <x:c r="C348" s="13" t="n">
        <x:v>408</x:v>
      </x:c>
      <x:c r="D348" s="12" t="n">
        <x:v>84276.48</x:v>
      </x:c>
      <x:c r="E348" s="12" t="n">
        <x:v>0</x:v>
      </x:c>
      <x:c r="F348" s="12" t="n">
        <x:f>SUM(B348,D348:E348)</x:f>
        <x:v>84870.387802</x:v>
      </x:c>
      <x:c r="G348" s="12" t="n">
        <x:f>MAX(G347,F348)</x:f>
        <x:v>100000</x:v>
      </x:c>
      <x:c r="H348" s="14" t="n">
        <x:f>F348/G348-1</x:f>
        <x:v>-0.15129612197999998</x:v>
      </x:c>
      <x:c r="I348" s="14" t="n">
        <x:f>F348/F347-1</x:f>
        <x:v>0.0002885230488325341</x:v>
      </x:c>
      <x:c r="J348" s="12" t="n">
        <x:v>0</x:v>
      </x:c>
      <x:c r="K348" s="12" t="n">
        <x:v>0</x:v>
      </x:c>
      <x:c r="L348" s="12" t="n">
        <x:v>0</x:v>
      </x:c>
      <x:c r="M348" s="2" t="str">
        <x:v>持有</x:v>
      </x:c>
    </x:row>
    <x:row r="349" ht="23" customHeight="1">
      <x:c r="A349" s="11" t="d">
        <x:v>2016-05-13T00:00:00.000Z</x:v>
      </x:c>
      <x:c r="B349" s="12" t="n">
        <x:v>593.907802</x:v>
      </x:c>
      <x:c r="C349" s="13" t="n">
        <x:v>408</x:v>
      </x:c>
      <x:c r="D349" s="12" t="n">
        <x:v>83542.08</x:v>
      </x:c>
      <x:c r="E349" s="12" t="n">
        <x:v>0</x:v>
      </x:c>
      <x:c r="F349" s="12" t="n">
        <x:f>SUM(B349,D349:E349)</x:f>
        <x:v>84135.987802</x:v>
      </x:c>
      <x:c r="G349" s="12" t="n">
        <x:f>MAX(G348,F349)</x:f>
        <x:v>100000</x:v>
      </x:c>
      <x:c r="H349" s="14" t="n">
        <x:f>F349/G349-1</x:f>
        <x:v>-0.15864012198</x:v>
      </x:c>
      <x:c r="I349" s="14" t="n">
        <x:f>F349/F348-1</x:f>
        <x:v>-0.008653194818825649</x:v>
      </x:c>
      <x:c r="J349" s="12" t="n">
        <x:v>0</x:v>
      </x:c>
      <x:c r="K349" s="12" t="n">
        <x:v>0</x:v>
      </x:c>
      <x:c r="L349" s="12" t="n">
        <x:v>0</x:v>
      </x:c>
      <x:c r="M349" s="2" t="str">
        <x:v>持有</x:v>
      </x:c>
    </x:row>
    <x:row r="350" ht="23" customHeight="1">
      <x:c r="A350" s="11" t="d">
        <x:v>2016-05-16T00:00:00.000Z</x:v>
      </x:c>
      <x:c r="B350" s="12" t="n">
        <x:v>84133.964122</x:v>
      </x:c>
      <x:c r="C350" s="13" t="n">
        <x:v>0</x:v>
      </x:c>
      <x:c r="D350" s="12" t="n">
        <x:v>0</x:v>
      </x:c>
      <x:c r="E350" s="12" t="n">
        <x:v>0</x:v>
      </x:c>
      <x:c r="F350" s="12" t="n">
        <x:f>SUM(B350,D350:E350)</x:f>
        <x:v>84133.964122</x:v>
      </x:c>
      <x:c r="G350" s="12" t="n">
        <x:f>MAX(G349,F350)</x:f>
        <x:v>100000</x:v>
      </x:c>
      <x:c r="H350" s="14" t="n">
        <x:f>F350/G350-1</x:f>
        <x:v>-0.15866035877999995</x:v>
      </x:c>
      <x:c r="I350" s="14" t="n">
        <x:f>F350/F349-1</x:f>
        <x:v>-0.00002405248993764264</x:v>
      </x:c>
      <x:c r="J350" s="12" t="n">
        <x:v>0</x:v>
      </x:c>
      <x:c r="K350" s="12" t="n">
        <x:v>0</x:v>
      </x:c>
      <x:c r="L350" s="12" t="n">
        <x:v>-408</x:v>
      </x:c>
      <x:c r="M350" s="2" t="str">
        <x:v>卖出</x:v>
      </x:c>
    </x:row>
    <x:row r="351" ht="23" customHeight="1">
      <x:c r="A351" s="11" t="d">
        <x:v>2016-05-17T00:00:00.000Z</x:v>
      </x:c>
      <x:c r="B351" s="12" t="n">
        <x:v>20.714902</x:v>
      </x:c>
      <x:c r="C351" s="13" t="n">
        <x:v>407</x:v>
      </x:c>
      <x:c r="D351" s="12" t="n">
        <x:v>83373.95</x:v>
      </x:c>
      <x:c r="E351" s="12" t="n">
        <x:v>0</x:v>
      </x:c>
      <x:c r="F351" s="12" t="n">
        <x:f>SUM(B351,D351:E351)</x:f>
        <x:v>83394.664902</x:v>
      </x:c>
      <x:c r="G351" s="12" t="n">
        <x:f>MAX(G350,F351)</x:f>
        <x:v>100000</x:v>
      </x:c>
      <x:c r="H351" s="14" t="n">
        <x:f>F351/G351-1</x:f>
        <x:v>-0.16605335097999996</x:v>
      </x:c>
      <x:c r="I351" s="14" t="n">
        <x:f>F351/F350-1</x:f>
        <x:v>-0.008787167319585287</x:v>
      </x:c>
      <x:c r="J351" s="12" t="n">
        <x:v>0</x:v>
      </x:c>
      <x:c r="K351" s="12" t="n">
        <x:v>0</x:v>
      </x:c>
      <x:c r="L351" s="12" t="n">
        <x:v>407</x:v>
      </x:c>
      <x:c r="M351" s="2" t="str">
        <x:v>买入</x:v>
      </x:c>
    </x:row>
    <x:row r="352" ht="23" customHeight="1">
      <x:c r="A352" s="11" t="d">
        <x:v>2016-05-18T00:00:00.000Z</x:v>
      </x:c>
      <x:c r="B352" s="12" t="n">
        <x:v>83144.587822</x:v>
      </x:c>
      <x:c r="C352" s="13" t="n">
        <x:v>0</x:v>
      </x:c>
      <x:c r="D352" s="12" t="n">
        <x:v>0</x:v>
      </x:c>
      <x:c r="E352" s="12" t="n">
        <x:v>0</x:v>
      </x:c>
      <x:c r="F352" s="12" t="n">
        <x:f>SUM(B352,D352:E352)</x:f>
        <x:v>83144.587822</x:v>
      </x:c>
      <x:c r="G352" s="12" t="n">
        <x:f>MAX(G351,F352)</x:f>
        <x:v>100000</x:v>
      </x:c>
      <x:c r="H352" s="14" t="n">
        <x:f>F352/G352-1</x:f>
        <x:v>-0.16855412177999995</x:v>
      </x:c>
      <x:c r="I352" s="14" t="n">
        <x:f>F352/F351-1</x:f>
        <x:v>-0.002998717967077069</x:v>
      </x:c>
      <x:c r="J352" s="12" t="n">
        <x:v>0</x:v>
      </x:c>
      <x:c r="K352" s="12" t="n">
        <x:v>0</x:v>
      </x:c>
      <x:c r="L352" s="12" t="n">
        <x:v>-407</x:v>
      </x:c>
      <x:c r="M352" s="2" t="str">
        <x:v>卖出</x:v>
      </x:c>
    </x:row>
    <x:row r="353" ht="23" customHeight="1">
      <x:c r="A353" s="11" t="d">
        <x:v>2016-05-19T00:00:00.000Z</x:v>
      </x:c>
      <x:c r="B353" s="12" t="n">
        <x:v>83144.587822</x:v>
      </x:c>
      <x:c r="C353" s="13" t="n">
        <x:v>0</x:v>
      </x:c>
      <x:c r="D353" s="12" t="n">
        <x:v>0</x:v>
      </x:c>
      <x:c r="E353" s="12" t="n">
        <x:v>0</x:v>
      </x:c>
      <x:c r="F353" s="12" t="n">
        <x:f>SUM(B353,D353:E353)</x:f>
        <x:v>83144.587822</x:v>
      </x:c>
      <x:c r="G353" s="12" t="n">
        <x:f>MAX(G352,F353)</x:f>
        <x:v>100000</x:v>
      </x:c>
      <x:c r="H353" s="14" t="n">
        <x:f>F353/G353-1</x:f>
        <x:v>-0.16855412177999995</x:v>
      </x:c>
      <x:c r="I353" s="14" t="n">
        <x:f>F353/F352-1</x:f>
        <x:v>0</x:v>
      </x:c>
      <x:c r="J353" s="12" t="n">
        <x:v>0</x:v>
      </x:c>
      <x:c r="K353" s="12" t="n">
        <x:v>0</x:v>
      </x:c>
      <x:c r="L353" s="12" t="n">
        <x:v>0</x:v>
      </x:c>
      <x:c r="M353" s="2" t="str">
        <x:v>空仓</x:v>
      </x:c>
    </x:row>
    <x:row r="354" ht="23" customHeight="1">
      <x:c r="A354" s="11" t="d">
        <x:v>2016-05-20T00:00:00.000Z</x:v>
      </x:c>
      <x:c r="B354" s="12" t="n">
        <x:v>83144.587822</x:v>
      </x:c>
      <x:c r="C354" s="13" t="n">
        <x:v>0</x:v>
      </x:c>
      <x:c r="D354" s="12" t="n">
        <x:v>0</x:v>
      </x:c>
      <x:c r="E354" s="12" t="n">
        <x:v>0</x:v>
      </x:c>
      <x:c r="F354" s="12" t="n">
        <x:f>SUM(B354,D354:E354)</x:f>
        <x:v>83144.587822</x:v>
      </x:c>
      <x:c r="G354" s="12" t="n">
        <x:f>MAX(G353,F354)</x:f>
        <x:v>100000</x:v>
      </x:c>
      <x:c r="H354" s="14" t="n">
        <x:f>F354/G354-1</x:f>
        <x:v>-0.16855412177999995</x:v>
      </x:c>
      <x:c r="I354" s="14" t="n">
        <x:f>F354/F353-1</x:f>
        <x:v>0</x:v>
      </x:c>
      <x:c r="J354" s="12" t="n">
        <x:v>0</x:v>
      </x:c>
      <x:c r="K354" s="12" t="n">
        <x:v>0</x:v>
      </x:c>
      <x:c r="L354" s="12" t="n">
        <x:v>0</x:v>
      </x:c>
      <x:c r="M354" s="2" t="str">
        <x:v>空仓</x:v>
      </x:c>
    </x:row>
    <x:row r="355" ht="23" customHeight="1">
      <x:c r="A355" s="11" t="d">
        <x:v>2016-05-23T00:00:00.000Z</x:v>
      </x:c>
      <x:c r="B355" s="12" t="n">
        <x:v>83144.587822</x:v>
      </x:c>
      <x:c r="C355" s="13" t="n">
        <x:v>0</x:v>
      </x:c>
      <x:c r="D355" s="12" t="n">
        <x:v>0</x:v>
      </x:c>
      <x:c r="E355" s="12" t="n">
        <x:v>0</x:v>
      </x:c>
      <x:c r="F355" s="12" t="n">
        <x:f>SUM(B355,D355:E355)</x:f>
        <x:v>83144.587822</x:v>
      </x:c>
      <x:c r="G355" s="12" t="n">
        <x:f>MAX(G354,F355)</x:f>
        <x:v>100000</x:v>
      </x:c>
      <x:c r="H355" s="14" t="n">
        <x:f>F355/G355-1</x:f>
        <x:v>-0.16855412177999995</x:v>
      </x:c>
      <x:c r="I355" s="14" t="n">
        <x:f>F355/F354-1</x:f>
        <x:v>0</x:v>
      </x:c>
      <x:c r="J355" s="12" t="n">
        <x:v>0</x:v>
      </x:c>
      <x:c r="K355" s="12" t="n">
        <x:v>0</x:v>
      </x:c>
      <x:c r="L355" s="12" t="n">
        <x:v>0</x:v>
      </x:c>
      <x:c r="M355" s="2" t="str">
        <x:v>空仓</x:v>
      </x:c>
    </x:row>
    <x:row r="356" ht="23" customHeight="1">
      <x:c r="A356" s="11" t="d">
        <x:v>2016-05-24T00:00:00.000Z</x:v>
      </x:c>
      <x:c r="B356" s="12" t="n">
        <x:v>83144.587822</x:v>
      </x:c>
      <x:c r="C356" s="13" t="n">
        <x:v>0</x:v>
      </x:c>
      <x:c r="D356" s="12" t="n">
        <x:v>0</x:v>
      </x:c>
      <x:c r="E356" s="12" t="n">
        <x:v>0</x:v>
      </x:c>
      <x:c r="F356" s="12" t="n">
        <x:f>SUM(B356,D356:E356)</x:f>
        <x:v>83144.587822</x:v>
      </x:c>
      <x:c r="G356" s="12" t="n">
        <x:f>MAX(G355,F356)</x:f>
        <x:v>100000</x:v>
      </x:c>
      <x:c r="H356" s="14" t="n">
        <x:f>F356/G356-1</x:f>
        <x:v>-0.16855412177999995</x:v>
      </x:c>
      <x:c r="I356" s="14" t="n">
        <x:f>F356/F355-1</x:f>
        <x:v>0</x:v>
      </x:c>
      <x:c r="J356" s="12" t="n">
        <x:v>0</x:v>
      </x:c>
      <x:c r="K356" s="12" t="n">
        <x:v>0</x:v>
      </x:c>
      <x:c r="L356" s="12" t="n">
        <x:v>0</x:v>
      </x:c>
      <x:c r="M356" s="2" t="str">
        <x:v>空仓</x:v>
      </x:c>
    </x:row>
    <x:row r="357" ht="23" customHeight="1">
      <x:c r="A357" s="11" t="d">
        <x:v>2016-05-25T00:00:00.000Z</x:v>
      </x:c>
      <x:c r="B357" s="12" t="n">
        <x:v>10.877162</x:v>
      </x:c>
      <x:c r="C357" s="13" t="n">
        <x:v>398</x:v>
      </x:c>
      <x:c r="D357" s="12" t="n">
        <x:v>83293.44</x:v>
      </x:c>
      <x:c r="E357" s="12" t="n">
        <x:v>0</x:v>
      </x:c>
      <x:c r="F357" s="12" t="n">
        <x:f>SUM(B357,D357:E357)</x:f>
        <x:v>83304.317162</x:v>
      </x:c>
      <x:c r="G357" s="12" t="n">
        <x:f>MAX(G356,F357)</x:f>
        <x:v>100000</x:v>
      </x:c>
      <x:c r="H357" s="14" t="n">
        <x:f>F357/G357-1</x:f>
        <x:v>-0.16695682837999992</x:v>
      </x:c>
      <x:c r="I357" s="14" t="n">
        <x:f>F357/F356-1</x:f>
        <x:v>0.0019211032754407054</x:v>
      </x:c>
      <x:c r="J357" s="12" t="n">
        <x:v>0</x:v>
      </x:c>
      <x:c r="K357" s="12" t="n">
        <x:v>0</x:v>
      </x:c>
      <x:c r="L357" s="12" t="n">
        <x:v>398</x:v>
      </x:c>
      <x:c r="M357" s="2" t="str">
        <x:v>买入</x:v>
      </x:c>
    </x:row>
    <x:row r="358" ht="23" customHeight="1">
      <x:c r="A358" s="11" t="d">
        <x:v>2016-05-26T00:00:00.000Z</x:v>
      </x:c>
      <x:c r="B358" s="12" t="n">
        <x:v>10.877162</x:v>
      </x:c>
      <x:c r="C358" s="13" t="n">
        <x:v>398</x:v>
      </x:c>
      <x:c r="D358" s="12" t="n">
        <x:v>83317.32</x:v>
      </x:c>
      <x:c r="E358" s="12" t="n">
        <x:v>0</x:v>
      </x:c>
      <x:c r="F358" s="12" t="n">
        <x:f>SUM(B358,D358:E358)</x:f>
        <x:v>83328.19716200001</x:v>
      </x:c>
      <x:c r="G358" s="12" t="n">
        <x:f>MAX(G357,F358)</x:f>
        <x:v>100000</x:v>
      </x:c>
      <x:c r="H358" s="14" t="n">
        <x:f>F358/G358-1</x:f>
        <x:v>-0.16671802837999994</x:v>
      </x:c>
      <x:c r="I358" s="14" t="n">
        <x:f>F358/F357-1</x:f>
        <x:v>0.0002866598132431619</x:v>
      </x:c>
      <x:c r="J358" s="12" t="n">
        <x:v>0</x:v>
      </x:c>
      <x:c r="K358" s="12" t="n">
        <x:v>0</x:v>
      </x:c>
      <x:c r="L358" s="12" t="n">
        <x:v>0</x:v>
      </x:c>
      <x:c r="M358" s="2" t="str">
        <x:v>持有</x:v>
      </x:c>
    </x:row>
    <x:row r="359" ht="23" customHeight="1">
      <x:c r="A359" s="11" t="d">
        <x:v>2016-05-27T00:00:00.000Z</x:v>
      </x:c>
      <x:c r="B359" s="12" t="n">
        <x:v>10.877162</x:v>
      </x:c>
      <x:c r="C359" s="13" t="n">
        <x:v>398</x:v>
      </x:c>
      <x:c r="D359" s="12" t="n">
        <x:v>83675.52</x:v>
      </x:c>
      <x:c r="E359" s="12" t="n">
        <x:v>0</x:v>
      </x:c>
      <x:c r="F359" s="12" t="n">
        <x:f>SUM(B359,D359:E359)</x:f>
        <x:v>83686.39716200001</x:v>
      </x:c>
      <x:c r="G359" s="12" t="n">
        <x:f>MAX(G358,F359)</x:f>
        <x:v>100000</x:v>
      </x:c>
      <x:c r="H359" s="14" t="n">
        <x:f>F359/G359-1</x:f>
        <x:v>-0.16313602837999996</x:v>
      </x:c>
      <x:c r="I359" s="14" t="n">
        <x:f>F359/F358-1</x:f>
        <x:v>0.004298664944155872</x:v>
      </x:c>
      <x:c r="J359" s="12" t="n">
        <x:v>0</x:v>
      </x:c>
      <x:c r="K359" s="12" t="n">
        <x:v>0</x:v>
      </x:c>
      <x:c r="L359" s="12" t="n">
        <x:v>0</x:v>
      </x:c>
      <x:c r="M359" s="2" t="str">
        <x:v>持有</x:v>
      </x:c>
    </x:row>
    <x:row r="360" ht="23" customHeight="1">
      <x:c r="A360" s="11" t="d">
        <x:v>2016-05-31T00:00:00.000Z</x:v>
      </x:c>
      <x:c r="B360" s="12" t="n">
        <x:v>10.877162</x:v>
      </x:c>
      <x:c r="C360" s="13" t="n">
        <x:v>398</x:v>
      </x:c>
      <x:c r="D360" s="12" t="n">
        <x:v>83516.32</x:v>
      </x:c>
      <x:c r="E360" s="12" t="n">
        <x:v>0</x:v>
      </x:c>
      <x:c r="F360" s="12" t="n">
        <x:f>SUM(B360,D360:E360)</x:f>
        <x:v>83527.19716200001</x:v>
      </x:c>
      <x:c r="G360" s="12" t="n">
        <x:f>MAX(G359,F360)</x:f>
        <x:v>100000</x:v>
      </x:c>
      <x:c r="H360" s="14" t="n">
        <x:f>F360/G360-1</x:f>
        <x:v>-0.1647280283799999</x:v>
      </x:c>
      <x:c r="I360" s="14" t="n">
        <x:f>F360/F359-1</x:f>
        <x:v>-0.0019023402297008163</x:v>
      </x:c>
      <x:c r="J360" s="12" t="n">
        <x:v>0</x:v>
      </x:c>
      <x:c r="K360" s="12" t="n">
        <x:v>0</x:v>
      </x:c>
      <x:c r="L360" s="12" t="n">
        <x:v>0</x:v>
      </x:c>
      <x:c r="M360" s="2" t="str">
        <x:v>持有</x:v>
      </x:c>
    </x:row>
    <x:row r="361" ht="23" customHeight="1">
      <x:c r="A361" s="11" t="d">
        <x:v>2016-06-01T00:00:00.000Z</x:v>
      </x:c>
      <x:c r="B361" s="12" t="n">
        <x:v>10.877162</x:v>
      </x:c>
      <x:c r="C361" s="13" t="n">
        <x:v>398</x:v>
      </x:c>
      <x:c r="D361" s="12" t="n">
        <x:v>83687.46</x:v>
      </x:c>
      <x:c r="E361" s="12" t="n">
        <x:v>0</x:v>
      </x:c>
      <x:c r="F361" s="12" t="n">
        <x:f>SUM(B361,D361:E361)</x:f>
        <x:v>83698.33716200001</x:v>
      </x:c>
      <x:c r="G361" s="12" t="n">
        <x:f>MAX(G360,F361)</x:f>
        <x:v>100000</x:v>
      </x:c>
      <x:c r="H361" s="14" t="n">
        <x:f>F361/G361-1</x:f>
        <x:v>-0.16301662837999986</x:v>
      </x:c>
      <x:c r="I361" s="14" t="n">
        <x:f>F361/F360-1</x:f>
        <x:v>0.0020489134774637208</x:v>
      </x:c>
      <x:c r="J361" s="12" t="n">
        <x:v>0</x:v>
      </x:c>
      <x:c r="K361" s="12" t="n">
        <x:v>0</x:v>
      </x:c>
      <x:c r="L361" s="12" t="n">
        <x:v>0</x:v>
      </x:c>
      <x:c r="M361" s="2" t="str">
        <x:v>持有</x:v>
      </x:c>
    </x:row>
    <x:row r="362" ht="23" customHeight="1">
      <x:c r="A362" s="11" t="d">
        <x:v>2016-06-02T00:00:00.000Z</x:v>
      </x:c>
      <x:c r="B362" s="12" t="n">
        <x:v>10.877162</x:v>
      </x:c>
      <x:c r="C362" s="13" t="n">
        <x:v>398</x:v>
      </x:c>
      <x:c r="D362" s="12" t="n">
        <x:v>83942.18</x:v>
      </x:c>
      <x:c r="E362" s="12" t="n">
        <x:v>0</x:v>
      </x:c>
      <x:c r="F362" s="12" t="n">
        <x:f>SUM(B362,D362:E362)</x:f>
        <x:v>83953.057162</x:v>
      </x:c>
      <x:c r="G362" s="12" t="n">
        <x:f>MAX(G361,F362)</x:f>
        <x:v>100000</x:v>
      </x:c>
      <x:c r="H362" s="14" t="n">
        <x:f>F362/G362-1</x:f>
        <x:v>-0.16046942838</x:v>
      </x:c>
      <x:c r="I362" s="14" t="n">
        <x:f>F362/F361-1</x:f>
        <x:v>0.00304331016166981</x:v>
      </x:c>
      <x:c r="J362" s="12" t="n">
        <x:v>0</x:v>
      </x:c>
      <x:c r="K362" s="12" t="n">
        <x:v>0</x:v>
      </x:c>
      <x:c r="L362" s="12" t="n">
        <x:v>0</x:v>
      </x:c>
      <x:c r="M362" s="2" t="str">
        <x:v>持有</x:v>
      </x:c>
    </x:row>
    <x:row r="363" ht="23" customHeight="1">
      <x:c r="A363" s="11" t="d">
        <x:v>2016-06-03T00:00:00.000Z</x:v>
      </x:c>
      <x:c r="B363" s="12" t="n">
        <x:v>10.877162</x:v>
      </x:c>
      <x:c r="C363" s="13" t="n">
        <x:v>398</x:v>
      </x:c>
      <x:c r="D363" s="12" t="n">
        <x:v>83691.44</x:v>
      </x:c>
      <x:c r="E363" s="12" t="n">
        <x:v>0</x:v>
      </x:c>
      <x:c r="F363" s="12" t="n">
        <x:f>SUM(B363,D363:E363)</x:f>
        <x:v>83702.317162</x:v>
      </x:c>
      <x:c r="G363" s="12" t="n">
        <x:f>MAX(G362,F363)</x:f>
        <x:v>100000</x:v>
      </x:c>
      <x:c r="H363" s="14" t="n">
        <x:f>F363/G363-1</x:f>
        <x:v>-0.16297682837999994</x:v>
      </x:c>
      <x:c r="I363" s="14" t="n">
        <x:f>F363/F362-1</x:f>
        <x:v>-0.0029866690800329776</x:v>
      </x:c>
      <x:c r="J363" s="12" t="n">
        <x:v>0</x:v>
      </x:c>
      <x:c r="K363" s="12" t="n">
        <x:v>0</x:v>
      </x:c>
      <x:c r="L363" s="12" t="n">
        <x:v>0</x:v>
      </x:c>
      <x:c r="M363" s="2" t="str">
        <x:v>持有</x:v>
      </x:c>
    </x:row>
    <x:row r="364" ht="23" customHeight="1">
      <x:c r="A364" s="11" t="d">
        <x:v>2016-06-06T00:00:00.000Z</x:v>
      </x:c>
      <x:c r="B364" s="12" t="n">
        <x:v>10.877162</x:v>
      </x:c>
      <x:c r="C364" s="13" t="n">
        <x:v>398</x:v>
      </x:c>
      <x:c r="D364" s="12" t="n">
        <x:v>84117.3</x:v>
      </x:c>
      <x:c r="E364" s="12" t="n">
        <x:v>0</x:v>
      </x:c>
      <x:c r="F364" s="12" t="n">
        <x:f>SUM(B364,D364:E364)</x:f>
        <x:v>84128.177162</x:v>
      </x:c>
      <x:c r="G364" s="12" t="n">
        <x:f>MAX(G363,F364)</x:f>
        <x:v>100000</x:v>
      </x:c>
      <x:c r="H364" s="14" t="n">
        <x:f>F364/G364-1</x:f>
        <x:v>-0.15871822837999994</x:v>
      </x:c>
      <x:c r="I364" s="14" t="n">
        <x:f>F364/F363-1</x:f>
        <x:v>0.0050877922432635</x:v>
      </x:c>
      <x:c r="J364" s="12" t="n">
        <x:v>0</x:v>
      </x:c>
      <x:c r="K364" s="12" t="n">
        <x:v>0</x:v>
      </x:c>
      <x:c r="L364" s="12" t="n">
        <x:v>0</x:v>
      </x:c>
      <x:c r="M364" s="2" t="str">
        <x:v>持有</x:v>
      </x:c>
    </x:row>
    <x:row r="365" ht="23" customHeight="1">
      <x:c r="A365" s="11" t="d">
        <x:v>2016-06-07T00:00:00.000Z</x:v>
      </x:c>
      <x:c r="B365" s="12" t="n">
        <x:v>10.877162</x:v>
      </x:c>
      <x:c r="C365" s="13" t="n">
        <x:v>398</x:v>
      </x:c>
      <x:c r="D365" s="12" t="n">
        <x:v>84248.64</x:v>
      </x:c>
      <x:c r="E365" s="12" t="n">
        <x:v>0</x:v>
      </x:c>
      <x:c r="F365" s="12" t="n">
        <x:f>SUM(B365,D365:E365)</x:f>
        <x:v>84259.517162</x:v>
      </x:c>
      <x:c r="G365" s="12" t="n">
        <x:f>MAX(G364,F365)</x:f>
        <x:v>100000</x:v>
      </x:c>
      <x:c r="H365" s="14" t="n">
        <x:f>F365/G365-1</x:f>
        <x:v>-0.15740482837999992</x:v>
      </x:c>
      <x:c r="I365" s="14" t="n">
        <x:f>F365/F364-1</x:f>
        <x:v>0.00156118918096948</x:v>
      </x:c>
      <x:c r="J365" s="12" t="n">
        <x:v>0</x:v>
      </x:c>
      <x:c r="K365" s="12" t="n">
        <x:v>0</x:v>
      </x:c>
      <x:c r="L365" s="12" t="n">
        <x:v>0</x:v>
      </x:c>
      <x:c r="M365" s="2" t="str">
        <x:v>持有</x:v>
      </x:c>
    </x:row>
    <x:row r="366" ht="23" customHeight="1">
      <x:c r="A366" s="11" t="d">
        <x:v>2016-06-08T00:00:00.000Z</x:v>
      </x:c>
      <x:c r="B366" s="12" t="n">
        <x:v>10.877162</x:v>
      </x:c>
      <x:c r="C366" s="13" t="n">
        <x:v>398</x:v>
      </x:c>
      <x:c r="D366" s="12" t="n">
        <x:v>84523.26</x:v>
      </x:c>
      <x:c r="E366" s="12" t="n">
        <x:v>0</x:v>
      </x:c>
      <x:c r="F366" s="12" t="n">
        <x:f>SUM(B366,D366:E366)</x:f>
        <x:v>84534.137162</x:v>
      </x:c>
      <x:c r="G366" s="12" t="n">
        <x:f>MAX(G365,F366)</x:f>
        <x:v>100000</x:v>
      </x:c>
      <x:c r="H366" s="14" t="n">
        <x:f>F366/G366-1</x:f>
        <x:v>-0.15465862838</x:v>
      </x:c>
      <x:c r="I366" s="14" t="n">
        <x:f>F366/F365-1</x:f>
        <x:v>0.003259216397739406</x:v>
      </x:c>
      <x:c r="J366" s="12" t="n">
        <x:v>0</x:v>
      </x:c>
      <x:c r="K366" s="12" t="n">
        <x:v>0</x:v>
      </x:c>
      <x:c r="L366" s="12" t="n">
        <x:v>0</x:v>
      </x:c>
      <x:c r="M366" s="2" t="str">
        <x:v>持有</x:v>
      </x:c>
    </x:row>
    <x:row r="367" ht="23" customHeight="1">
      <x:c r="A367" s="11" t="d">
        <x:v>2016-06-09T00:00:00.000Z</x:v>
      </x:c>
      <x:c r="B367" s="12" t="n">
        <x:v>10.877162</x:v>
      </x:c>
      <x:c r="C367" s="13" t="n">
        <x:v>398</x:v>
      </x:c>
      <x:c r="D367" s="12" t="n">
        <x:v>84407.84000000001</x:v>
      </x:c>
      <x:c r="E367" s="12" t="n">
        <x:v>0</x:v>
      </x:c>
      <x:c r="F367" s="12" t="n">
        <x:f>SUM(B367,D367:E367)</x:f>
        <x:v>84418.71716200002</x:v>
      </x:c>
      <x:c r="G367" s="12" t="n">
        <x:f>MAX(G366,F367)</x:f>
        <x:v>100000</x:v>
      </x:c>
      <x:c r="H367" s="14" t="n">
        <x:f>F367/G367-1</x:f>
        <x:v>-0.15581282837999988</x:v>
      </x:c>
      <x:c r="I367" s="14" t="n">
        <x:f>F367/F366-1</x:f>
        <x:v>-0.001365365565615173</x:v>
      </x:c>
      <x:c r="J367" s="12" t="n">
        <x:v>0</x:v>
      </x:c>
      <x:c r="K367" s="12" t="n">
        <x:v>0</x:v>
      </x:c>
      <x:c r="L367" s="12" t="n">
        <x:v>0</x:v>
      </x:c>
      <x:c r="M367" s="2" t="str">
        <x:v>持有</x:v>
      </x:c>
    </x:row>
    <x:row r="368" ht="23" customHeight="1">
      <x:c r="A368" s="11" t="d">
        <x:v>2016-06-10T00:00:00.000Z</x:v>
      </x:c>
      <x:c r="B368" s="12" t="n">
        <x:v>10.877162</x:v>
      </x:c>
      <x:c r="C368" s="13" t="n">
        <x:v>398</x:v>
      </x:c>
      <x:c r="D368" s="12" t="n">
        <x:v>83607.86</x:v>
      </x:c>
      <x:c r="E368" s="12" t="n">
        <x:v>0</x:v>
      </x:c>
      <x:c r="F368" s="12" t="n">
        <x:f>SUM(B368,D368:E368)</x:f>
        <x:v>83618.737162</x:v>
      </x:c>
      <x:c r="G368" s="12" t="n">
        <x:f>MAX(G367,F368)</x:f>
        <x:v>100000</x:v>
      </x:c>
      <x:c r="H368" s="14" t="n">
        <x:f>F368/G368-1</x:f>
        <x:v>-0.16381262838</x:v>
      </x:c>
      <x:c r="I368" s="14" t="n">
        <x:f>F368/F367-1</x:f>
        <x:v>-0.009476334477635406</x:v>
      </x:c>
      <x:c r="J368" s="12" t="n">
        <x:v>0</x:v>
      </x:c>
      <x:c r="K368" s="12" t="n">
        <x:v>0</x:v>
      </x:c>
      <x:c r="L368" s="12" t="n">
        <x:v>0</x:v>
      </x:c>
      <x:c r="M368" s="2" t="str">
        <x:v>持有</x:v>
      </x:c>
    </x:row>
    <x:row r="369" ht="23" customHeight="1">
      <x:c r="A369" s="11" t="d">
        <x:v>2016-06-13T00:00:00.000Z</x:v>
      </x:c>
      <x:c r="B369" s="12" t="n">
        <x:v>10.877162</x:v>
      </x:c>
      <x:c r="C369" s="13" t="n">
        <x:v>398</x:v>
      </x:c>
      <x:c r="D369" s="12" t="n">
        <x:v>82963.09999999999</x:v>
      </x:c>
      <x:c r="E369" s="12" t="n">
        <x:v>0</x:v>
      </x:c>
      <x:c r="F369" s="12" t="n">
        <x:f>SUM(B369,D369:E369)</x:f>
        <x:v>82973.977162</x:v>
      </x:c>
      <x:c r="G369" s="12" t="n">
        <x:f>MAX(G368,F369)</x:f>
        <x:v>100000</x:v>
      </x:c>
      <x:c r="H369" s="14" t="n">
        <x:f>F369/G369-1</x:f>
        <x:v>-0.17026022838</x:v>
      </x:c>
      <x:c r="I369" s="14" t="n">
        <x:f>F369/F368-1</x:f>
        <x:v>-0.00771071199928397</x:v>
      </x:c>
      <x:c r="J369" s="12" t="n">
        <x:v>0</x:v>
      </x:c>
      <x:c r="K369" s="12" t="n">
        <x:v>0</x:v>
      </x:c>
      <x:c r="L369" s="12" t="n">
        <x:v>0</x:v>
      </x:c>
      <x:c r="M369" s="2" t="str">
        <x:v>持有</x:v>
      </x:c>
    </x:row>
    <x:row r="370" ht="23" customHeight="1">
      <x:c r="A370" s="11" t="d">
        <x:v>2016-06-14T00:00:00.000Z</x:v>
      </x:c>
      <x:c r="B370" s="12" t="n">
        <x:v>10.877162</x:v>
      </x:c>
      <x:c r="C370" s="13" t="n">
        <x:v>398</x:v>
      </x:c>
      <x:c r="D370" s="12" t="n">
        <x:v>82799.92</x:v>
      </x:c>
      <x:c r="E370" s="12" t="n">
        <x:v>0</x:v>
      </x:c>
      <x:c r="F370" s="12" t="n">
        <x:f>SUM(B370,D370:E370)</x:f>
        <x:v>82810.797162</x:v>
      </x:c>
      <x:c r="G370" s="12" t="n">
        <x:f>MAX(G369,F370)</x:f>
        <x:v>100000</x:v>
      </x:c>
      <x:c r="H370" s="14" t="n">
        <x:f>F370/G370-1</x:f>
        <x:v>-0.17189202837999995</x:v>
      </x:c>
      <x:c r="I370" s="14" t="n">
        <x:f>F370/F369-1</x:f>
        <x:v>-0.001966640693640609</x:v>
      </x:c>
      <x:c r="J370" s="12" t="n">
        <x:v>0</x:v>
      </x:c>
      <x:c r="K370" s="12" t="n">
        <x:v>0</x:v>
      </x:c>
      <x:c r="L370" s="12" t="n">
        <x:v>0</x:v>
      </x:c>
      <x:c r="M370" s="2" t="str">
        <x:v>持有</x:v>
      </x:c>
    </x:row>
    <x:row r="371" ht="23" customHeight="1">
      <x:c r="A371" s="11" t="d">
        <x:v>2016-06-15T00:00:00.000Z</x:v>
      </x:c>
      <x:c r="B371" s="12" t="n">
        <x:v>10.877162</x:v>
      </x:c>
      <x:c r="C371" s="13" t="n">
        <x:v>398</x:v>
      </x:c>
      <x:c r="D371" s="12" t="n">
        <x:v>82684.5</x:v>
      </x:c>
      <x:c r="E371" s="12" t="n">
        <x:v>0</x:v>
      </x:c>
      <x:c r="F371" s="12" t="n">
        <x:f>SUM(B371,D371:E371)</x:f>
        <x:v>82695.377162</x:v>
      </x:c>
      <x:c r="G371" s="12" t="n">
        <x:f>MAX(G370,F371)</x:f>
        <x:v>100000</x:v>
      </x:c>
      <x:c r="H371" s="14" t="n">
        <x:f>F371/G371-1</x:f>
        <x:v>-0.17304622837999994</x:v>
      </x:c>
      <x:c r="I371" s="14" t="n">
        <x:f>F371/F370-1</x:f>
        <x:v>-0.0013937796030897287</x:v>
      </x:c>
      <x:c r="J371" s="12" t="n">
        <x:v>0</x:v>
      </x:c>
      <x:c r="K371" s="12" t="n">
        <x:v>0</x:v>
      </x:c>
      <x:c r="L371" s="12" t="n">
        <x:v>0</x:v>
      </x:c>
      <x:c r="M371" s="2" t="str">
        <x:v>持有</x:v>
      </x:c>
    </x:row>
    <x:row r="372" ht="23" customHeight="1">
      <x:c r="A372" s="11" t="d">
        <x:v>2016-06-16T00:00:00.000Z</x:v>
      </x:c>
      <x:c r="B372" s="12" t="n">
        <x:v>82612.692662</x:v>
      </x:c>
      <x:c r="C372" s="13" t="n">
        <x:v>0</x:v>
      </x:c>
      <x:c r="D372" s="12" t="n">
        <x:v>0</x:v>
      </x:c>
      <x:c r="E372" s="12" t="n">
        <x:v>0</x:v>
      </x:c>
      <x:c r="F372" s="12" t="n">
        <x:f>SUM(B372,D372:E372)</x:f>
        <x:v>82612.692662</x:v>
      </x:c>
      <x:c r="G372" s="12" t="n">
        <x:f>MAX(G371,F372)</x:f>
        <x:v>100000</x:v>
      </x:c>
      <x:c r="H372" s="14" t="n">
        <x:f>F372/G372-1</x:f>
        <x:v>-0.17387307338000002</x:v>
      </x:c>
      <x:c r="I372" s="14" t="n">
        <x:f>F372/F371-1</x:f>
        <x:v>-0.0009998684671094216</x:v>
      </x:c>
      <x:c r="J372" s="12" t="n">
        <x:v>0</x:v>
      </x:c>
      <x:c r="K372" s="12" t="n">
        <x:v>0</x:v>
      </x:c>
      <x:c r="L372" s="12" t="n">
        <x:v>-398</x:v>
      </x:c>
      <x:c r="M372" s="2" t="str">
        <x:v>卖出</x:v>
      </x:c>
    </x:row>
    <x:row r="373" ht="23" customHeight="1">
      <x:c r="A373" s="11" t="d">
        <x:v>2016-06-17T00:00:00.000Z</x:v>
      </x:c>
      <x:c r="B373" s="12" t="n">
        <x:v>76.579002</x:v>
      </x:c>
      <x:c r="C373" s="13" t="n">
        <x:v>398</x:v>
      </x:c>
      <x:c r="D373" s="12" t="n">
        <x:v>82194.96</x:v>
      </x:c>
      <x:c r="E373" s="12" t="n">
        <x:v>0</x:v>
      </x:c>
      <x:c r="F373" s="12" t="n">
        <x:f>SUM(B373,D373:E373)</x:f>
        <x:v>82271.539002</x:v>
      </x:c>
      <x:c r="G373" s="12" t="n">
        <x:f>MAX(G372,F373)</x:f>
        <x:v>100000</x:v>
      </x:c>
      <x:c r="H373" s="14" t="n">
        <x:f>F373/G373-1</x:f>
        <x:v>-0.17728460997999995</x:v>
      </x:c>
      <x:c r="I373" s="14" t="n">
        <x:f>F373/F372-1</x:f>
        <x:v>-0.004129555023654641</x:v>
      </x:c>
      <x:c r="J373" s="12" t="n">
        <x:v>0</x:v>
      </x:c>
      <x:c r="K373" s="12" t="n">
        <x:v>0</x:v>
      </x:c>
      <x:c r="L373" s="12" t="n">
        <x:v>398</x:v>
      </x:c>
      <x:c r="M373" s="2" t="str">
        <x:v>买入</x:v>
      </x:c>
    </x:row>
    <x:row r="374" ht="23" customHeight="1">
      <x:c r="A374" s="11" t="d">
        <x:v>2016-06-20T00:00:00.000Z</x:v>
      </x:c>
      <x:c r="B374" s="12" t="n">
        <x:v>83103.828642</x:v>
      </x:c>
      <x:c r="C374" s="13" t="n">
        <x:v>0</x:v>
      </x:c>
      <x:c r="D374" s="12" t="n">
        <x:v>0</x:v>
      </x:c>
      <x:c r="E374" s="12" t="n">
        <x:v>0</x:v>
      </x:c>
      <x:c r="F374" s="12" t="n">
        <x:f>SUM(B374,D374:E374)</x:f>
        <x:v>83103.828642</x:v>
      </x:c>
      <x:c r="G374" s="12" t="n">
        <x:f>MAX(G373,F374)</x:f>
        <x:v>100000</x:v>
      </x:c>
      <x:c r="H374" s="14" t="n">
        <x:f>F374/G374-1</x:f>
        <x:v>-0.16896171358000012</x:v>
      </x:c>
      <x:c r="I374" s="14" t="n">
        <x:f>F374/F373-1</x:f>
        <x:v>0.010116373779998966</x:v>
      </x:c>
      <x:c r="J374" s="12" t="n">
        <x:v>0</x:v>
      </x:c>
      <x:c r="K374" s="12" t="n">
        <x:v>0</x:v>
      </x:c>
      <x:c r="L374" s="12" t="n">
        <x:v>-398</x:v>
      </x:c>
      <x:c r="M374" s="2" t="str">
        <x:v>卖出</x:v>
      </x:c>
    </x:row>
    <x:row r="375" ht="23" customHeight="1">
      <x:c r="A375" s="11" t="d">
        <x:v>2016-06-21T00:00:00.000Z</x:v>
      </x:c>
      <x:c r="B375" s="12" t="n">
        <x:v>83103.828642</x:v>
      </x:c>
      <x:c r="C375" s="13" t="n">
        <x:v>0</x:v>
      </x:c>
      <x:c r="D375" s="12" t="n">
        <x:v>0</x:v>
      </x:c>
      <x:c r="E375" s="12" t="n">
        <x:v>0</x:v>
      </x:c>
      <x:c r="F375" s="12" t="n">
        <x:f>SUM(B375,D375:E375)</x:f>
        <x:v>83103.828642</x:v>
      </x:c>
      <x:c r="G375" s="12" t="n">
        <x:f>MAX(G374,F375)</x:f>
        <x:v>100000</x:v>
      </x:c>
      <x:c r="H375" s="14" t="n">
        <x:f>F375/G375-1</x:f>
        <x:v>-0.16896171358000012</x:v>
      </x:c>
      <x:c r="I375" s="14" t="n">
        <x:f>F375/F374-1</x:f>
        <x:v>0</x:v>
      </x:c>
      <x:c r="J375" s="12" t="n">
        <x:v>0</x:v>
      </x:c>
      <x:c r="K375" s="12" t="n">
        <x:v>0</x:v>
      </x:c>
      <x:c r="L375" s="12" t="n">
        <x:v>0</x:v>
      </x:c>
      <x:c r="M375" s="2" t="str">
        <x:v>空仓</x:v>
      </x:c>
    </x:row>
    <x:row r="376" ht="23" customHeight="1">
      <x:c r="A376" s="11" t="d">
        <x:v>2016-06-22T00:00:00.000Z</x:v>
      </x:c>
      <x:c r="B376" s="12" t="n">
        <x:v>186.944592</x:v>
      </x:c>
      <x:c r="C376" s="13" t="n">
        <x:v>397</x:v>
      </x:c>
      <x:c r="D376" s="12" t="n">
        <x:v>82615.7</x:v>
      </x:c>
      <x:c r="E376" s="12" t="n">
        <x:v>0</x:v>
      </x:c>
      <x:c r="F376" s="12" t="n">
        <x:f>SUM(B376,D376:E376)</x:f>
        <x:v>82802.644592</x:v>
      </x:c>
      <x:c r="G376" s="12" t="n">
        <x:f>MAX(G375,F376)</x:f>
        <x:v>100000</x:v>
      </x:c>
      <x:c r="H376" s="14" t="n">
        <x:f>F376/G376-1</x:f>
        <x:v>-0.17197355408000004</x:v>
      </x:c>
      <x:c r="I376" s="14" t="n">
        <x:f>F376/F375-1</x:f>
        <x:v>-0.0036241898227993286</x:v>
      </x:c>
      <x:c r="J376" s="12" t="n">
        <x:v>0</x:v>
      </x:c>
      <x:c r="K376" s="12" t="n">
        <x:v>0</x:v>
      </x:c>
      <x:c r="L376" s="12" t="n">
        <x:v>397</x:v>
      </x:c>
      <x:c r="M376" s="2" t="str">
        <x:v>买入</x:v>
      </x:c>
    </x:row>
    <x:row r="377" ht="23" customHeight="1">
      <x:c r="A377" s="11" t="d">
        <x:v>2016-06-23T00:00:00.000Z</x:v>
      </x:c>
      <x:c r="B377" s="12" t="n">
        <x:v>186.944592</x:v>
      </x:c>
      <x:c r="C377" s="13" t="n">
        <x:v>397</x:v>
      </x:c>
      <x:c r="D377" s="12" t="n">
        <x:v>83691.57</x:v>
      </x:c>
      <x:c r="E377" s="12" t="n">
        <x:v>0</x:v>
      </x:c>
      <x:c r="F377" s="12" t="n">
        <x:f>SUM(B377,D377:E377)</x:f>
        <x:v>83878.514592</x:v>
      </x:c>
      <x:c r="G377" s="12" t="n">
        <x:f>MAX(G376,F377)</x:f>
        <x:v>100000</x:v>
      </x:c>
      <x:c r="H377" s="14" t="n">
        <x:f>F377/G377-1</x:f>
        <x:v>-0.16121485407999991</x:v>
      </x:c>
      <x:c r="I377" s="14" t="n">
        <x:f>F377/F376-1</x:f>
        <x:v>0.012993184037795258</x:v>
      </x:c>
      <x:c r="J377" s="12" t="n">
        <x:v>0</x:v>
      </x:c>
      <x:c r="K377" s="12" t="n">
        <x:v>0</x:v>
      </x:c>
      <x:c r="L377" s="12" t="n">
        <x:v>0</x:v>
      </x:c>
      <x:c r="M377" s="2" t="str">
        <x:v>持有</x:v>
      </x:c>
    </x:row>
    <x:row r="378" ht="23" customHeight="1">
      <x:c r="A378" s="11" t="d">
        <x:v>2016-06-24T00:00:00.000Z</x:v>
      </x:c>
      <x:c r="B378" s="12" t="n">
        <x:v>186.944592</x:v>
      </x:c>
      <x:c r="C378" s="13" t="n">
        <x:v>397</x:v>
      </x:c>
      <x:c r="D378" s="12" t="n">
        <x:v>80686.28</x:v>
      </x:c>
      <x:c r="E378" s="12" t="n">
        <x:v>0</x:v>
      </x:c>
      <x:c r="F378" s="12" t="n">
        <x:f>SUM(B378,D378:E378)</x:f>
        <x:v>80873.224592</x:v>
      </x:c>
      <x:c r="G378" s="12" t="n">
        <x:f>MAX(G377,F378)</x:f>
        <x:v>100000</x:v>
      </x:c>
      <x:c r="H378" s="14" t="n">
        <x:f>F378/G378-1</x:f>
        <x:v>-0.19126775407999996</x:v>
      </x:c>
      <x:c r="I378" s="14" t="n">
        <x:f>F378/F377-1</x:f>
        <x:v>-0.03582907988557349</x:v>
      </x:c>
      <x:c r="J378" s="12" t="n">
        <x:v>0</x:v>
      </x:c>
      <x:c r="K378" s="12" t="n">
        <x:v>0</x:v>
      </x:c>
      <x:c r="L378" s="12" t="n">
        <x:v>0</x:v>
      </x:c>
      <x:c r="M378" s="2" t="str">
        <x:v>持有</x:v>
      </x:c>
    </x:row>
    <x:row r="379" ht="23" customHeight="1">
      <x:c r="A379" s="11" t="d">
        <x:v>2016-06-27T00:00:00.000Z</x:v>
      </x:c>
      <x:c r="B379" s="12" t="n">
        <x:v>80138.143362</x:v>
      </x:c>
      <x:c r="C379" s="13" t="n">
        <x:v>0</x:v>
      </x:c>
      <x:c r="D379" s="12" t="n">
        <x:v>0</x:v>
      </x:c>
      <x:c r="E379" s="12" t="n">
        <x:v>0</x:v>
      </x:c>
      <x:c r="F379" s="12" t="n">
        <x:f>SUM(B379,D379:E379)</x:f>
        <x:v>80138.143362</x:v>
      </x:c>
      <x:c r="G379" s="12" t="n">
        <x:f>MAX(G378,F379)</x:f>
        <x:v>100000</x:v>
      </x:c>
      <x:c r="H379" s="14" t="n">
        <x:f>F379/G379-1</x:f>
        <x:v>-0.19861856637999997</x:v>
      </x:c>
      <x:c r="I379" s="14" t="n">
        <x:f>F379/F378-1</x:f>
        <x:v>-0.009089302840444846</x:v>
      </x:c>
      <x:c r="J379" s="12" t="n">
        <x:v>0</x:v>
      </x:c>
      <x:c r="K379" s="12" t="n">
        <x:v>0</x:v>
      </x:c>
      <x:c r="L379" s="12" t="n">
        <x:v>-397</x:v>
      </x:c>
      <x:c r="M379" s="2" t="str">
        <x:v>卖出</x:v>
      </x:c>
    </x:row>
    <x:row r="380" ht="23" customHeight="1">
      <x:c r="A380" s="11" t="d">
        <x:v>2016-06-28T00:00:00.000Z</x:v>
      </x:c>
      <x:c r="B380" s="12" t="n">
        <x:v>80138.143362</x:v>
      </x:c>
      <x:c r="C380" s="13" t="n">
        <x:v>0</x:v>
      </x:c>
      <x:c r="D380" s="12" t="n">
        <x:v>0</x:v>
      </x:c>
      <x:c r="E380" s="12" t="n">
        <x:v>0</x:v>
      </x:c>
      <x:c r="F380" s="12" t="n">
        <x:f>SUM(B380,D380:E380)</x:f>
        <x:v>80138.143362</x:v>
      </x:c>
      <x:c r="G380" s="12" t="n">
        <x:f>MAX(G379,F380)</x:f>
        <x:v>100000</x:v>
      </x:c>
      <x:c r="H380" s="14" t="n">
        <x:f>F380/G380-1</x:f>
        <x:v>-0.19861856637999997</x:v>
      </x:c>
      <x:c r="I380" s="14" t="n">
        <x:f>F380/F379-1</x:f>
        <x:v>0</x:v>
      </x:c>
      <x:c r="J380" s="12" t="n">
        <x:v>0</x:v>
      </x:c>
      <x:c r="K380" s="12" t="n">
        <x:v>0</x:v>
      </x:c>
      <x:c r="L380" s="12" t="n">
        <x:v>0</x:v>
      </x:c>
      <x:c r="M380" s="2" t="str">
        <x:v>空仓</x:v>
      </x:c>
    </x:row>
    <x:row r="381" ht="23" customHeight="1">
      <x:c r="A381" s="11" t="d">
        <x:v>2016-06-29T00:00:00.000Z</x:v>
      </x:c>
      <x:c r="B381" s="12" t="n">
        <x:v>80138.143362</x:v>
      </x:c>
      <x:c r="C381" s="13" t="n">
        <x:v>0</x:v>
      </x:c>
      <x:c r="D381" s="12" t="n">
        <x:v>0</x:v>
      </x:c>
      <x:c r="E381" s="12" t="n">
        <x:v>0</x:v>
      </x:c>
      <x:c r="F381" s="12" t="n">
        <x:f>SUM(B381,D381:E381)</x:f>
        <x:v>80138.143362</x:v>
      </x:c>
      <x:c r="G381" s="12" t="n">
        <x:f>MAX(G380,F381)</x:f>
        <x:v>100000</x:v>
      </x:c>
      <x:c r="H381" s="14" t="n">
        <x:f>F381/G381-1</x:f>
        <x:v>-0.19861856637999997</x:v>
      </x:c>
      <x:c r="I381" s="14" t="n">
        <x:f>F381/F380-1</x:f>
        <x:v>0</x:v>
      </x:c>
      <x:c r="J381" s="12" t="n">
        <x:v>0</x:v>
      </x:c>
      <x:c r="K381" s="12" t="n">
        <x:v>0</x:v>
      </x:c>
      <x:c r="L381" s="12" t="n">
        <x:v>0</x:v>
      </x:c>
      <x:c r="M381" s="2" t="str">
        <x:v>空仓</x:v>
      </x:c>
    </x:row>
    <x:row r="382" ht="23" customHeight="1">
      <x:c r="A382" s="11" t="d">
        <x:v>2016-06-30T00:00:00.000Z</x:v>
      </x:c>
      <x:c r="B382" s="12" t="n">
        <x:v>80138.143362</x:v>
      </x:c>
      <x:c r="C382" s="13" t="n">
        <x:v>0</x:v>
      </x:c>
      <x:c r="D382" s="12" t="n">
        <x:v>0</x:v>
      </x:c>
      <x:c r="E382" s="12" t="n">
        <x:v>0</x:v>
      </x:c>
      <x:c r="F382" s="12" t="n">
        <x:f>SUM(B382,D382:E382)</x:f>
        <x:v>80138.143362</x:v>
      </x:c>
      <x:c r="G382" s="12" t="n">
        <x:f>MAX(G381,F382)</x:f>
        <x:v>100000</x:v>
      </x:c>
      <x:c r="H382" s="14" t="n">
        <x:f>F382/G382-1</x:f>
        <x:v>-0.19861856637999997</x:v>
      </x:c>
      <x:c r="I382" s="14" t="n">
        <x:f>F382/F381-1</x:f>
        <x:v>0</x:v>
      </x:c>
      <x:c r="J382" s="12" t="n">
        <x:v>0</x:v>
      </x:c>
      <x:c r="K382" s="12" t="n">
        <x:v>0</x:v>
      </x:c>
      <x:c r="L382" s="12" t="n">
        <x:v>0</x:v>
      </x:c>
      <x:c r="M382" s="2" t="str">
        <x:v>空仓</x:v>
      </x:c>
    </x:row>
    <x:row r="383" ht="23" customHeight="1">
      <x:c r="A383" s="11" t="d">
        <x:v>2016-07-01T00:00:00.000Z</x:v>
      </x:c>
      <x:c r="B383" s="12" t="n">
        <x:v>36.762002</x:v>
      </x:c>
      <x:c r="C383" s="13" t="n">
        <x:v>382</x:v>
      </x:c>
      <x:c r="D383" s="12" t="n">
        <x:v>80189.44</x:v>
      </x:c>
      <x:c r="E383" s="12" t="n">
        <x:v>0</x:v>
      </x:c>
      <x:c r="F383" s="12" t="n">
        <x:f>SUM(B383,D383:E383)</x:f>
        <x:v>80226.202002</x:v>
      </x:c>
      <x:c r="G383" s="12" t="n">
        <x:f>MAX(G382,F383)</x:f>
        <x:v>100000</x:v>
      </x:c>
      <x:c r="H383" s="14" t="n">
        <x:f>F383/G383-1</x:f>
        <x:v>-0.19773797997999998</x:v>
      </x:c>
      <x:c r="I383" s="14" t="n">
        <x:f>F383/F382-1</x:f>
        <x:v>0.0010988355395535887</x:v>
      </x:c>
      <x:c r="J383" s="12" t="n">
        <x:v>0</x:v>
      </x:c>
      <x:c r="K383" s="12" t="n">
        <x:v>0</x:v>
      </x:c>
      <x:c r="L383" s="12" t="n">
        <x:v>382</x:v>
      </x:c>
      <x:c r="M383" s="2" t="str">
        <x:v>买入</x:v>
      </x:c>
    </x:row>
    <x:row r="384" ht="23" customHeight="1">
      <x:c r="A384" s="11" t="d">
        <x:v>2016-07-05T00:00:00.000Z</x:v>
      </x:c>
      <x:c r="B384" s="12" t="n">
        <x:v>36.762002</x:v>
      </x:c>
      <x:c r="C384" s="13" t="n">
        <x:v>382</x:v>
      </x:c>
      <x:c r="D384" s="12" t="n">
        <x:v>79612.62</x:v>
      </x:c>
      <x:c r="E384" s="12" t="n">
        <x:v>0</x:v>
      </x:c>
      <x:c r="F384" s="12" t="n">
        <x:f>SUM(B384,D384:E384)</x:f>
        <x:v>79649.382002</x:v>
      </x:c>
      <x:c r="G384" s="12" t="n">
        <x:f>MAX(G383,F384)</x:f>
        <x:v>100000</x:v>
      </x:c>
      <x:c r="H384" s="14" t="n">
        <x:f>F384/G384-1</x:f>
        <x:v>-0.20350617997999998</x:v>
      </x:c>
      <x:c r="I384" s="14" t="n">
        <x:f>F384/F383-1</x:f>
        <x:v>-0.007189920320366472</x:v>
      </x:c>
      <x:c r="J384" s="12" t="n">
        <x:v>0</x:v>
      </x:c>
      <x:c r="K384" s="12" t="n">
        <x:v>0</x:v>
      </x:c>
      <x:c r="L384" s="12" t="n">
        <x:v>0</x:v>
      </x:c>
      <x:c r="M384" s="2" t="str">
        <x:v>持有</x:v>
      </x:c>
    </x:row>
    <x:row r="385" ht="23" customHeight="1">
      <x:c r="A385" s="11" t="d">
        <x:v>2016-07-06T00:00:00.000Z</x:v>
      </x:c>
      <x:c r="B385" s="12" t="n">
        <x:v>36.762002</x:v>
      </x:c>
      <x:c r="C385" s="13" t="n">
        <x:v>382</x:v>
      </x:c>
      <x:c r="D385" s="12" t="n">
        <x:v>80090.12</x:v>
      </x:c>
      <x:c r="E385" s="12" t="n">
        <x:v>0</x:v>
      </x:c>
      <x:c r="F385" s="12" t="n">
        <x:f>SUM(B385,D385:E385)</x:f>
        <x:v>80126.882002</x:v>
      </x:c>
      <x:c r="G385" s="12" t="n">
        <x:f>MAX(G384,F385)</x:f>
        <x:v>100000</x:v>
      </x:c>
      <x:c r="H385" s="14" t="n">
        <x:f>F385/G385-1</x:f>
        <x:v>-0.19873117998</x:v>
      </x:c>
      <x:c r="I385" s="14" t="n">
        <x:f>F385/F384-1</x:f>
        <x:v>0.005995024543793859</x:v>
      </x:c>
      <x:c r="J385" s="12" t="n">
        <x:v>0</x:v>
      </x:c>
      <x:c r="K385" s="12" t="n">
        <x:v>0</x:v>
      </x:c>
      <x:c r="L385" s="12" t="n">
        <x:v>0</x:v>
      </x:c>
      <x:c r="M385" s="2" t="str">
        <x:v>持有</x:v>
      </x:c>
    </x:row>
    <x:row r="386" ht="23" customHeight="1">
      <x:c r="A386" s="11" t="d">
        <x:v>2016-07-07T00:00:00.000Z</x:v>
      </x:c>
      <x:c r="B386" s="12" t="n">
        <x:v>36.762002</x:v>
      </x:c>
      <x:c r="C386" s="13" t="n">
        <x:v>382</x:v>
      </x:c>
      <x:c r="D386" s="12" t="n">
        <x:v>80040.46</x:v>
      </x:c>
      <x:c r="E386" s="12" t="n">
        <x:v>0</x:v>
      </x:c>
      <x:c r="F386" s="12" t="n">
        <x:f>SUM(B386,D386:E386)</x:f>
        <x:v>80077.22200200001</x:v>
      </x:c>
      <x:c r="G386" s="12" t="n">
        <x:f>MAX(G385,F386)</x:f>
        <x:v>100000</x:v>
      </x:c>
      <x:c r="H386" s="14" t="n">
        <x:f>F386/G386-1</x:f>
        <x:v>-0.19922777997999985</x:v>
      </x:c>
      <x:c r="I386" s="14" t="n">
        <x:f>F386/F385-1</x:f>
        <x:v>-0.0006197670339742611</x:v>
      </x:c>
      <x:c r="J386" s="12" t="n">
        <x:v>0</x:v>
      </x:c>
      <x:c r="K386" s="12" t="n">
        <x:v>0</x:v>
      </x:c>
      <x:c r="L386" s="12" t="n">
        <x:v>0</x:v>
      </x:c>
      <x:c r="M386" s="2" t="str">
        <x:v>持有</x:v>
      </x:c>
    </x:row>
    <x:row r="387" ht="23" customHeight="1">
      <x:c r="A387" s="11" t="d">
        <x:v>2016-07-08T00:00:00.000Z</x:v>
      </x:c>
      <x:c r="B387" s="12" t="n">
        <x:v>36.762002</x:v>
      </x:c>
      <x:c r="C387" s="13" t="n">
        <x:v>382</x:v>
      </x:c>
      <x:c r="D387" s="12" t="n">
        <x:v>81232.3</x:v>
      </x:c>
      <x:c r="E387" s="12" t="n">
        <x:v>0</x:v>
      </x:c>
      <x:c r="F387" s="12" t="n">
        <x:f>SUM(B387,D387:E387)</x:f>
        <x:v>81269.062002</x:v>
      </x:c>
      <x:c r="G387" s="12" t="n">
        <x:f>MAX(G386,F387)</x:f>
        <x:v>100000</x:v>
      </x:c>
      <x:c r="H387" s="14" t="n">
        <x:f>F387/G387-1</x:f>
        <x:v>-0.18730937997999997</x:v>
      </x:c>
      <x:c r="I387" s="14" t="n">
        <x:f>F387/F386-1</x:f>
        <x:v>0.014883633200590163</x:v>
      </x:c>
      <x:c r="J387" s="12" t="n">
        <x:v>0</x:v>
      </x:c>
      <x:c r="K387" s="12" t="n">
        <x:v>0</x:v>
      </x:c>
      <x:c r="L387" s="12" t="n">
        <x:v>0</x:v>
      </x:c>
      <x:c r="M387" s="2" t="str">
        <x:v>持有</x:v>
      </x:c>
    </x:row>
    <x:row r="388" ht="23" customHeight="1">
      <x:c r="A388" s="11" t="d">
        <x:v>2016-07-11T00:00:00.000Z</x:v>
      </x:c>
      <x:c r="B388" s="12" t="n">
        <x:v>36.762002</x:v>
      </x:c>
      <x:c r="C388" s="13" t="n">
        <x:v>382</x:v>
      </x:c>
      <x:c r="D388" s="12" t="n">
        <x:v>81518.8</x:v>
      </x:c>
      <x:c r="E388" s="12" t="n">
        <x:v>0</x:v>
      </x:c>
      <x:c r="F388" s="12" t="n">
        <x:f>SUM(B388,D388:E388)</x:f>
        <x:v>81555.562002</x:v>
      </x:c>
      <x:c r="G388" s="12" t="n">
        <x:f>MAX(G387,F388)</x:f>
        <x:v>100000</x:v>
      </x:c>
      <x:c r="H388" s="14" t="n">
        <x:f>F388/G388-1</x:f>
        <x:v>-0.18444437997999996</x:v>
      </x:c>
      <x:c r="I388" s="14" t="n">
        <x:f>F388/F387-1</x:f>
        <x:v>0.0035253267718649006</x:v>
      </x:c>
      <x:c r="J388" s="12" t="n">
        <x:v>0</x:v>
      </x:c>
      <x:c r="K388" s="12" t="n">
        <x:v>0</x:v>
      </x:c>
      <x:c r="L388" s="12" t="n">
        <x:v>0</x:v>
      </x:c>
      <x:c r="M388" s="2" t="str">
        <x:v>持有</x:v>
      </x:c>
    </x:row>
    <x:row r="389" ht="23" customHeight="1">
      <x:c r="A389" s="11" t="d">
        <x:v>2016-07-12T00:00:00.000Z</x:v>
      </x:c>
      <x:c r="B389" s="12" t="n">
        <x:v>36.762002</x:v>
      </x:c>
      <x:c r="C389" s="13" t="n">
        <x:v>382</x:v>
      </x:c>
      <x:c r="D389" s="12" t="n">
        <x:v>82110.9</x:v>
      </x:c>
      <x:c r="E389" s="12" t="n">
        <x:v>0</x:v>
      </x:c>
      <x:c r="F389" s="12" t="n">
        <x:f>SUM(B389,D389:E389)</x:f>
        <x:v>82147.662002</x:v>
      </x:c>
      <x:c r="G389" s="12" t="n">
        <x:f>MAX(G388,F389)</x:f>
        <x:v>100000</x:v>
      </x:c>
      <x:c r="H389" s="14" t="n">
        <x:f>F389/G389-1</x:f>
        <x:v>-0.17852337998</x:v>
      </x:c>
      <x:c r="I389" s="14" t="n">
        <x:f>F389/F388-1</x:f>
        <x:v>0.007260081170006094</x:v>
      </x:c>
      <x:c r="J389" s="12" t="n">
        <x:v>0</x:v>
      </x:c>
      <x:c r="K389" s="12" t="n">
        <x:v>0</x:v>
      </x:c>
      <x:c r="L389" s="12" t="n">
        <x:v>0</x:v>
      </x:c>
      <x:c r="M389" s="2" t="str">
        <x:v>持有</x:v>
      </x:c>
    </x:row>
    <x:row r="390" ht="23" customHeight="1">
      <x:c r="A390" s="11" t="d">
        <x:v>2016-07-13T00:00:00.000Z</x:v>
      </x:c>
      <x:c r="B390" s="12" t="n">
        <x:v>36.762002</x:v>
      </x:c>
      <x:c r="C390" s="13" t="n">
        <x:v>382</x:v>
      </x:c>
      <x:c r="D390" s="12" t="n">
        <x:v>82099.44</x:v>
      </x:c>
      <x:c r="E390" s="12" t="n">
        <x:v>0</x:v>
      </x:c>
      <x:c r="F390" s="12" t="n">
        <x:f>SUM(B390,D390:E390)</x:f>
        <x:v>82136.202002</x:v>
      </x:c>
      <x:c r="G390" s="12" t="n">
        <x:f>MAX(G389,F390)</x:f>
        <x:v>100000</x:v>
      </x:c>
      <x:c r="H390" s="14" t="n">
        <x:f>F390/G390-1</x:f>
        <x:v>-0.17863797997999997</x:v>
      </x:c>
      <x:c r="I390" s="14" t="n">
        <x:f>F390/F389-1</x:f>
        <x:v>-0.00013950488328828836</x:v>
      </x:c>
      <x:c r="J390" s="12" t="n">
        <x:v>0</x:v>
      </x:c>
      <x:c r="K390" s="12" t="n">
        <x:v>0</x:v>
      </x:c>
      <x:c r="L390" s="12" t="n">
        <x:v>0</x:v>
      </x:c>
      <x:c r="M390" s="2" t="str">
        <x:v>持有</x:v>
      </x:c>
    </x:row>
    <x:row r="391" ht="23" customHeight="1">
      <x:c r="A391" s="11" t="d">
        <x:v>2016-07-14T00:00:00.000Z</x:v>
      </x:c>
      <x:c r="B391" s="12" t="n">
        <x:v>36.762002</x:v>
      </x:c>
      <x:c r="C391" s="13" t="n">
        <x:v>382</x:v>
      </x:c>
      <x:c r="D391" s="12" t="n">
        <x:v>82557.84</x:v>
      </x:c>
      <x:c r="E391" s="12" t="n">
        <x:v>0</x:v>
      </x:c>
      <x:c r="F391" s="12" t="n">
        <x:f>SUM(B391,D391:E391)</x:f>
        <x:v>82594.602002</x:v>
      </x:c>
      <x:c r="G391" s="12" t="n">
        <x:f>MAX(G390,F391)</x:f>
        <x:v>100000</x:v>
      </x:c>
      <x:c r="H391" s="14" t="n">
        <x:f>F391/G391-1</x:f>
        <x:v>-0.17405397998000005</x:v>
      </x:c>
      <x:c r="I391" s="14" t="n">
        <x:f>F391/F390-1</x:f>
        <x:v>0.005580973904647291</x:v>
      </x:c>
      <x:c r="J391" s="12" t="n">
        <x:v>0</x:v>
      </x:c>
      <x:c r="K391" s="12" t="n">
        <x:v>0</x:v>
      </x:c>
      <x:c r="L391" s="12" t="n">
        <x:v>0</x:v>
      </x:c>
      <x:c r="M391" s="2" t="str">
        <x:v>持有</x:v>
      </x:c>
    </x:row>
    <x:row r="392" ht="23" customHeight="1">
      <x:c r="A392" s="11" t="d">
        <x:v>2016-07-15T00:00:00.000Z</x:v>
      </x:c>
      <x:c r="B392" s="12" t="n">
        <x:v>36.762002</x:v>
      </x:c>
      <x:c r="C392" s="13" t="n">
        <x:v>382</x:v>
      </x:c>
      <x:c r="D392" s="12" t="n">
        <x:v>82447.06</x:v>
      </x:c>
      <x:c r="E392" s="12" t="n">
        <x:v>0</x:v>
      </x:c>
      <x:c r="F392" s="12" t="n">
        <x:f>SUM(B392,D392:E392)</x:f>
        <x:v>82483.822002</x:v>
      </x:c>
      <x:c r="G392" s="12" t="n">
        <x:f>MAX(G391,F392)</x:f>
        <x:v>100000</x:v>
      </x:c>
      <x:c r="H392" s="14" t="n">
        <x:f>F392/G392-1</x:f>
        <x:v>-0.17516177998000004</x:v>
      </x:c>
      <x:c r="I392" s="14" t="n">
        <x:f>F392/F391-1</x:f>
        <x:v>-0.0013412498797115147</x:v>
      </x:c>
      <x:c r="J392" s="12" t="n">
        <x:v>0</x:v>
      </x:c>
      <x:c r="K392" s="12" t="n">
        <x:v>0</x:v>
      </x:c>
      <x:c r="L392" s="12" t="n">
        <x:v>0</x:v>
      </x:c>
      <x:c r="M392" s="2" t="str">
        <x:v>持有</x:v>
      </x:c>
    </x:row>
    <x:row r="393" ht="23" customHeight="1">
      <x:c r="A393" s="11" t="d">
        <x:v>2016-07-18T00:00:00.000Z</x:v>
      </x:c>
      <x:c r="B393" s="12" t="n">
        <x:v>36.762002</x:v>
      </x:c>
      <x:c r="C393" s="13" t="n">
        <x:v>382</x:v>
      </x:c>
      <x:c r="D393" s="12" t="n">
        <x:v>82668.62</x:v>
      </x:c>
      <x:c r="E393" s="12" t="n">
        <x:v>0</x:v>
      </x:c>
      <x:c r="F393" s="12" t="n">
        <x:f>SUM(B393,D393:E393)</x:f>
        <x:v>82705.382002</x:v>
      </x:c>
      <x:c r="G393" s="12" t="n">
        <x:f>MAX(G392,F393)</x:f>
        <x:v>100000</x:v>
      </x:c>
      <x:c r="H393" s="14" t="n">
        <x:f>F393/G393-1</x:f>
        <x:v>-0.17294617998000006</x:v>
      </x:c>
      <x:c r="I393" s="14" t="n">
        <x:f>F393/F392-1</x:f>
        <x:v>0.002686102494070086</x:v>
      </x:c>
      <x:c r="J393" s="12" t="n">
        <x:v>0</x:v>
      </x:c>
      <x:c r="K393" s="12" t="n">
        <x:v>0</x:v>
      </x:c>
      <x:c r="L393" s="12" t="n">
        <x:v>0</x:v>
      </x:c>
      <x:c r="M393" s="2" t="str">
        <x:v>持有</x:v>
      </x:c>
    </x:row>
    <x:row r="394" ht="23" customHeight="1">
      <x:c r="A394" s="11" t="d">
        <x:v>2016-07-19T00:00:00.000Z</x:v>
      </x:c>
      <x:c r="B394" s="12" t="n">
        <x:v>36.762002</x:v>
      </x:c>
      <x:c r="C394" s="13" t="n">
        <x:v>382</x:v>
      </x:c>
      <x:c r="D394" s="12" t="n">
        <x:v>82584.58</x:v>
      </x:c>
      <x:c r="E394" s="12" t="n">
        <x:v>0</x:v>
      </x:c>
      <x:c r="F394" s="12" t="n">
        <x:f>SUM(B394,D394:E394)</x:f>
        <x:v>82621.342002</x:v>
      </x:c>
      <x:c r="G394" s="12" t="n">
        <x:f>MAX(G393,F394)</x:f>
        <x:v>100000</x:v>
      </x:c>
      <x:c r="H394" s="14" t="n">
        <x:f>F394/G394-1</x:f>
        <x:v>-0.1737865799799999</x:v>
      </x:c>
      <x:c r="I394" s="14" t="n">
        <x:f>F394/F393-1</x:f>
        <x:v>-0.0010161370150972848</x:v>
      </x:c>
      <x:c r="J394" s="12" t="n">
        <x:v>0</x:v>
      </x:c>
      <x:c r="K394" s="12" t="n">
        <x:v>0</x:v>
      </x:c>
      <x:c r="L394" s="12" t="n">
        <x:v>0</x:v>
      </x:c>
      <x:c r="M394" s="2" t="str">
        <x:v>持有</x:v>
      </x:c>
    </x:row>
    <x:row r="395" ht="23" customHeight="1">
      <x:c r="A395" s="11" t="d">
        <x:v>2016-07-20T00:00:00.000Z</x:v>
      </x:c>
      <x:c r="B395" s="12" t="n">
        <x:v>36.762002</x:v>
      </x:c>
      <x:c r="C395" s="13" t="n">
        <x:v>382</x:v>
      </x:c>
      <x:c r="D395" s="12" t="n">
        <x:v>82928.38</x:v>
      </x:c>
      <x:c r="E395" s="12" t="n">
        <x:v>0</x:v>
      </x:c>
      <x:c r="F395" s="12" t="n">
        <x:f>SUM(B395,D395:E395)</x:f>
        <x:v>82965.14200200001</x:v>
      </x:c>
      <x:c r="G395" s="12" t="n">
        <x:f>MAX(G394,F395)</x:f>
        <x:v>100000</x:v>
      </x:c>
      <x:c r="H395" s="14" t="n">
        <x:f>F395/G395-1</x:f>
        <x:v>-0.17034857997999997</x:v>
      </x:c>
      <x:c r="I395" s="14" t="n">
        <x:f>F395/F394-1</x:f>
        <x:v>0.004161152453704853</x:v>
      </x:c>
      <x:c r="J395" s="12" t="n">
        <x:v>0</x:v>
      </x:c>
      <x:c r="K395" s="12" t="n">
        <x:v>0</x:v>
      </x:c>
      <x:c r="L395" s="12" t="n">
        <x:v>0</x:v>
      </x:c>
      <x:c r="M395" s="2" t="str">
        <x:v>持有</x:v>
      </x:c>
    </x:row>
    <x:row r="396" ht="23" customHeight="1">
      <x:c r="A396" s="11" t="d">
        <x:v>2016-07-21T00:00:00.000Z</x:v>
      </x:c>
      <x:c r="B396" s="12" t="n">
        <x:v>36.762002</x:v>
      </x:c>
      <x:c r="C396" s="13" t="n">
        <x:v>382</x:v>
      </x:c>
      <x:c r="D396" s="12" t="n">
        <x:v>82615.14</x:v>
      </x:c>
      <x:c r="E396" s="12" t="n">
        <x:v>0</x:v>
      </x:c>
      <x:c r="F396" s="12" t="n">
        <x:f>SUM(B396,D396:E396)</x:f>
        <x:v>82651.902002</x:v>
      </x:c>
      <x:c r="G396" s="12" t="n">
        <x:f>MAX(G395,F396)</x:f>
        <x:v>100000</x:v>
      </x:c>
      <x:c r="H396" s="14" t="n">
        <x:f>F396/G396-1</x:f>
        <x:v>-0.17348097998</x:v>
      </x:c>
      <x:c r="I396" s="14" t="n">
        <x:f>F396/F395-1</x:f>
        <x:v>-0.0037755615483965332</x:v>
      </x:c>
      <x:c r="J396" s="12" t="n">
        <x:v>0</x:v>
      </x:c>
      <x:c r="K396" s="12" t="n">
        <x:v>0</x:v>
      </x:c>
      <x:c r="L396" s="12" t="n">
        <x:v>0</x:v>
      </x:c>
      <x:c r="M396" s="2" t="str">
        <x:v>持有</x:v>
      </x:c>
    </x:row>
    <x:row r="397" ht="23" customHeight="1">
      <x:c r="A397" s="11" t="d">
        <x:v>2016-07-22T00:00:00.000Z</x:v>
      </x:c>
      <x:c r="B397" s="12" t="n">
        <x:v>36.762002</x:v>
      </x:c>
      <x:c r="C397" s="13" t="n">
        <x:v>382</x:v>
      </x:c>
      <x:c r="D397" s="12" t="n">
        <x:v>82985.68000000001</x:v>
      </x:c>
      <x:c r="E397" s="12" t="n">
        <x:v>0</x:v>
      </x:c>
      <x:c r="F397" s="12" t="n">
        <x:f>SUM(B397,D397:E397)</x:f>
        <x:v>83022.44200200001</x:v>
      </x:c>
      <x:c r="G397" s="12" t="n">
        <x:f>MAX(G396,F397)</x:f>
        <x:v>100000</x:v>
      </x:c>
      <x:c r="H397" s="14" t="n">
        <x:f>F397/G397-1</x:f>
        <x:v>-0.16977557997999992</x:v>
      </x:c>
      <x:c r="I397" s="14" t="n">
        <x:f>F397/F396-1</x:f>
        <x:v>0.0044831394199620345</x:v>
      </x:c>
      <x:c r="J397" s="12" t="n">
        <x:v>0</x:v>
      </x:c>
      <x:c r="K397" s="12" t="n">
        <x:v>0</x:v>
      </x:c>
      <x:c r="L397" s="12" t="n">
        <x:v>0</x:v>
      </x:c>
      <x:c r="M397" s="2" t="str">
        <x:v>持有</x:v>
      </x:c>
    </x:row>
    <x:row r="398" ht="23" customHeight="1">
      <x:c r="A398" s="11" t="d">
        <x:v>2016-07-25T00:00:00.000Z</x:v>
      </x:c>
      <x:c r="B398" s="12" t="n">
        <x:v>36.762002</x:v>
      </x:c>
      <x:c r="C398" s="13" t="n">
        <x:v>382</x:v>
      </x:c>
      <x:c r="D398" s="12" t="n">
        <x:v>82760.3</x:v>
      </x:c>
      <x:c r="E398" s="12" t="n">
        <x:v>0</x:v>
      </x:c>
      <x:c r="F398" s="12" t="n">
        <x:f>SUM(B398,D398:E398)</x:f>
        <x:v>82797.062002</x:v>
      </x:c>
      <x:c r="G398" s="12" t="n">
        <x:f>MAX(G397,F398)</x:f>
        <x:v>100000</x:v>
      </x:c>
      <x:c r="H398" s="14" t="n">
        <x:f>F398/G398-1</x:f>
        <x:v>-0.1720293799799999</x:v>
      </x:c>
      <x:c r="I398" s="14" t="n">
        <x:f>F398/F397-1</x:f>
        <x:v>-0.0027146876743829873</x:v>
      </x:c>
      <x:c r="J398" s="12" t="n">
        <x:v>0</x:v>
      </x:c>
      <x:c r="K398" s="12" t="n">
        <x:v>0</x:v>
      </x:c>
      <x:c r="L398" s="12" t="n">
        <x:v>0</x:v>
      </x:c>
      <x:c r="M398" s="2" t="str">
        <x:v>持有</x:v>
      </x:c>
    </x:row>
    <x:row r="399" ht="23" customHeight="1">
      <x:c r="A399" s="11" t="d">
        <x:v>2016-07-26T00:00:00.000Z</x:v>
      </x:c>
      <x:c r="B399" s="12" t="n">
        <x:v>36.762002</x:v>
      </x:c>
      <x:c r="C399" s="13" t="n">
        <x:v>382</x:v>
      </x:c>
      <x:c r="D399" s="12" t="n">
        <x:v>82798.5</x:v>
      </x:c>
      <x:c r="E399" s="12" t="n">
        <x:v>0</x:v>
      </x:c>
      <x:c r="F399" s="12" t="n">
        <x:f>SUM(B399,D399:E399)</x:f>
        <x:v>82835.262002</x:v>
      </x:c>
      <x:c r="G399" s="12" t="n">
        <x:f>MAX(G398,F399)</x:f>
        <x:v>100000</x:v>
      </x:c>
      <x:c r="H399" s="14" t="n">
        <x:f>F399/G399-1</x:f>
        <x:v>-0.17164737998000001</x:v>
      </x:c>
      <x:c r="I399" s="14" t="n">
        <x:f>F399/F398-1</x:f>
        <x:v>0.00046136902779325695</x:v>
      </x:c>
      <x:c r="J399" s="12" t="n">
        <x:v>0</x:v>
      </x:c>
      <x:c r="K399" s="12" t="n">
        <x:v>0</x:v>
      </x:c>
      <x:c r="L399" s="12" t="n">
        <x:v>0</x:v>
      </x:c>
      <x:c r="M399" s="2" t="str">
        <x:v>持有</x:v>
      </x:c>
    </x:row>
    <x:row r="400" ht="23" customHeight="1">
      <x:c r="A400" s="11" t="d">
        <x:v>2016-07-27T00:00:00.000Z</x:v>
      </x:c>
      <x:c r="B400" s="12" t="n">
        <x:v>36.762002</x:v>
      </x:c>
      <x:c r="C400" s="13" t="n">
        <x:v>382</x:v>
      </x:c>
      <x:c r="D400" s="12" t="n">
        <x:v>82710.64</x:v>
      </x:c>
      <x:c r="E400" s="12" t="n">
        <x:v>0</x:v>
      </x:c>
      <x:c r="F400" s="12" t="n">
        <x:f>SUM(B400,D400:E400)</x:f>
        <x:v>82747.402002</x:v>
      </x:c>
      <x:c r="G400" s="12" t="n">
        <x:f>MAX(G399,F400)</x:f>
        <x:v>100000</x:v>
      </x:c>
      <x:c r="H400" s="14" t="n">
        <x:f>F400/G400-1</x:f>
        <x:v>-0.17252597997999997</x:v>
      </x:c>
      <x:c r="I400" s="14" t="n">
        <x:f>F400/F399-1</x:f>
        <x:v>-0.0010606594085244003</x:v>
      </x:c>
      <x:c r="J400" s="12" t="n">
        <x:v>0</x:v>
      </x:c>
      <x:c r="K400" s="12" t="n">
        <x:v>0</x:v>
      </x:c>
      <x:c r="L400" s="12" t="n">
        <x:v>0</x:v>
      </x:c>
      <x:c r="M400" s="2" t="str">
        <x:v>持有</x:v>
      </x:c>
    </x:row>
    <x:row r="401" ht="23" customHeight="1">
      <x:c r="A401" s="11" t="d">
        <x:v>2016-07-28T00:00:00.000Z</x:v>
      </x:c>
      <x:c r="B401" s="12" t="n">
        <x:v>36.762002</x:v>
      </x:c>
      <x:c r="C401" s="13" t="n">
        <x:v>382</x:v>
      </x:c>
      <x:c r="D401" s="12" t="n">
        <x:v>82806.14</x:v>
      </x:c>
      <x:c r="E401" s="12" t="n">
        <x:v>0</x:v>
      </x:c>
      <x:c r="F401" s="12" t="n">
        <x:f>SUM(B401,D401:E401)</x:f>
        <x:v>82842.902002</x:v>
      </x:c>
      <x:c r="G401" s="12" t="n">
        <x:f>MAX(G400,F401)</x:f>
        <x:v>100000</x:v>
      </x:c>
      <x:c r="H401" s="14" t="n">
        <x:f>F401/G401-1</x:f>
        <x:v>-0.17157097997999993</x:v>
      </x:c>
      <x:c r="I401" s="14" t="n">
        <x:f>F401/F400-1</x:f>
        <x:v>0.0011541147841438448</x:v>
      </x:c>
      <x:c r="J401" s="12" t="n">
        <x:v>0</x:v>
      </x:c>
      <x:c r="K401" s="12" t="n">
        <x:v>0</x:v>
      </x:c>
      <x:c r="L401" s="12" t="n">
        <x:v>0</x:v>
      </x:c>
      <x:c r="M401" s="2" t="str">
        <x:v>持有</x:v>
      </x:c>
    </x:row>
    <x:row r="402" ht="23" customHeight="1">
      <x:c r="A402" s="11" t="d">
        <x:v>2016-07-29T00:00:00.000Z</x:v>
      </x:c>
      <x:c r="B402" s="12" t="n">
        <x:v>36.762002</x:v>
      </x:c>
      <x:c r="C402" s="13" t="n">
        <x:v>382</x:v>
      </x:c>
      <x:c r="D402" s="12" t="n">
        <x:v>82939.84</x:v>
      </x:c>
      <x:c r="E402" s="12" t="n">
        <x:v>0</x:v>
      </x:c>
      <x:c r="F402" s="12" t="n">
        <x:f>SUM(B402,D402:E402)</x:f>
        <x:v>82976.602002</x:v>
      </x:c>
      <x:c r="G402" s="12" t="n">
        <x:f>MAX(G401,F402)</x:f>
        <x:v>100000</x:v>
      </x:c>
      <x:c r="H402" s="14" t="n">
        <x:f>F402/G402-1</x:f>
        <x:v>-0.17023397998</x:v>
      </x:c>
      <x:c r="I402" s="14" t="n">
        <x:f>F402/F401-1</x:f>
        <x:v>0.0016138980741737807</x:v>
      </x:c>
      <x:c r="J402" s="12" t="n">
        <x:v>0</x:v>
      </x:c>
      <x:c r="K402" s="12" t="n">
        <x:v>0</x:v>
      </x:c>
      <x:c r="L402" s="12" t="n">
        <x:v>0</x:v>
      </x:c>
      <x:c r="M402" s="2" t="str">
        <x:v>持有</x:v>
      </x:c>
    </x:row>
    <x:row r="403" ht="23" customHeight="1">
      <x:c r="A403" s="11" t="d">
        <x:v>2016-08-01T00:00:00.000Z</x:v>
      </x:c>
      <x:c r="B403" s="12" t="n">
        <x:v>36.762002</x:v>
      </x:c>
      <x:c r="C403" s="13" t="n">
        <x:v>382</x:v>
      </x:c>
      <x:c r="D403" s="12" t="n">
        <x:v>82871.08</x:v>
      </x:c>
      <x:c r="E403" s="12" t="n">
        <x:v>0</x:v>
      </x:c>
      <x:c r="F403" s="12" t="n">
        <x:f>SUM(B403,D403:E403)</x:f>
        <x:v>82907.842002</x:v>
      </x:c>
      <x:c r="G403" s="12" t="n">
        <x:f>MAX(G402,F403)</x:f>
        <x:v>100000</x:v>
      </x:c>
      <x:c r="H403" s="14" t="n">
        <x:f>F403/G403-1</x:f>
        <x:v>-0.1709215799799999</x:v>
      </x:c>
      <x:c r="I403" s="14" t="n">
        <x:f>F403/F402-1</x:f>
        <x:v>-0.0008286673392378097</x:v>
      </x:c>
      <x:c r="J403" s="12" t="n">
        <x:v>0</x:v>
      </x:c>
      <x:c r="K403" s="12" t="n">
        <x:v>0</x:v>
      </x:c>
      <x:c r="L403" s="12" t="n">
        <x:v>0</x:v>
      </x:c>
      <x:c r="M403" s="2" t="str">
        <x:v>持有</x:v>
      </x:c>
    </x:row>
    <x:row r="404" ht="23" customHeight="1">
      <x:c r="A404" s="11" t="d">
        <x:v>2016-08-02T00:00:00.000Z</x:v>
      </x:c>
      <x:c r="B404" s="12" t="n">
        <x:v>36.762002</x:v>
      </x:c>
      <x:c r="C404" s="13" t="n">
        <x:v>382</x:v>
      </x:c>
      <x:c r="D404" s="12" t="n">
        <x:v>82340.1</x:v>
      </x:c>
      <x:c r="E404" s="12" t="n">
        <x:v>0</x:v>
      </x:c>
      <x:c r="F404" s="12" t="n">
        <x:f>SUM(B404,D404:E404)</x:f>
        <x:v>82376.86200200001</x:v>
      </x:c>
      <x:c r="G404" s="12" t="n">
        <x:f>MAX(G403,F404)</x:f>
        <x:v>100000</x:v>
      </x:c>
      <x:c r="H404" s="14" t="n">
        <x:f>F404/G404-1</x:f>
        <x:v>-0.17623137997999994</x:v>
      </x:c>
      <x:c r="I404" s="14" t="n">
        <x:f>F404/F403-1</x:f>
        <x:v>-0.006404460509142007</x:v>
      </x:c>
      <x:c r="J404" s="12" t="n">
        <x:v>0</x:v>
      </x:c>
      <x:c r="K404" s="12" t="n">
        <x:v>0</x:v>
      </x:c>
      <x:c r="L404" s="12" t="n">
        <x:v>0</x:v>
      </x:c>
      <x:c r="M404" s="2" t="str">
        <x:v>持有</x:v>
      </x:c>
    </x:row>
    <x:row r="405" ht="23" customHeight="1">
      <x:c r="A405" s="11" t="d">
        <x:v>2016-08-03T00:00:00.000Z</x:v>
      </x:c>
      <x:c r="B405" s="12" t="n">
        <x:v>36.762002</x:v>
      </x:c>
      <x:c r="C405" s="13" t="n">
        <x:v>382</x:v>
      </x:c>
      <x:c r="D405" s="12" t="n">
        <x:v>82580.76000000001</x:v>
      </x:c>
      <x:c r="E405" s="12" t="n">
        <x:v>0</x:v>
      </x:c>
      <x:c r="F405" s="12" t="n">
        <x:f>SUM(B405,D405:E405)</x:f>
        <x:v>82617.52200200001</x:v>
      </x:c>
      <x:c r="G405" s="12" t="n">
        <x:f>MAX(G404,F405)</x:f>
        <x:v>100000</x:v>
      </x:c>
      <x:c r="H405" s="14" t="n">
        <x:f>F405/G405-1</x:f>
        <x:v>-0.1738247799799999</x:v>
      </x:c>
      <x:c r="I405" s="14" t="n">
        <x:f>F405/F404-1</x:f>
        <x:v>0.0029214514142836823</x:v>
      </x:c>
      <x:c r="J405" s="12" t="n">
        <x:v>0</x:v>
      </x:c>
      <x:c r="K405" s="12" t="n">
        <x:v>0</x:v>
      </x:c>
      <x:c r="L405" s="12" t="n">
        <x:v>0</x:v>
      </x:c>
      <x:c r="M405" s="2" t="str">
        <x:v>持有</x:v>
      </x:c>
    </x:row>
    <x:row r="406" ht="23" customHeight="1">
      <x:c r="A406" s="11" t="d">
        <x:v>2016-08-04T00:00:00.000Z</x:v>
      </x:c>
      <x:c r="B406" s="12" t="n">
        <x:v>36.762002</x:v>
      </x:c>
      <x:c r="C406" s="13" t="n">
        <x:v>382</x:v>
      </x:c>
      <x:c r="D406" s="12" t="n">
        <x:v>82668.62</x:v>
      </x:c>
      <x:c r="E406" s="12" t="n">
        <x:v>0</x:v>
      </x:c>
      <x:c r="F406" s="12" t="n">
        <x:f>SUM(B406,D406:E406)</x:f>
        <x:v>82705.382002</x:v>
      </x:c>
      <x:c r="G406" s="12" t="n">
        <x:f>MAX(G405,F406)</x:f>
        <x:v>100000</x:v>
      </x:c>
      <x:c r="H406" s="14" t="n">
        <x:f>F406/G406-1</x:f>
        <x:v>-0.17294617998000006</x:v>
      </x:c>
      <x:c r="I406" s="14" t="n">
        <x:f>F406/F405-1</x:f>
        <x:v>0.0010634547959191831</x:v>
      </x:c>
      <x:c r="J406" s="12" t="n">
        <x:v>0</x:v>
      </x:c>
      <x:c r="K406" s="12" t="n">
        <x:v>0</x:v>
      </x:c>
      <x:c r="L406" s="12" t="n">
        <x:v>0</x:v>
      </x:c>
      <x:c r="M406" s="2" t="str">
        <x:v>持有</x:v>
      </x:c>
    </x:row>
    <x:row r="407" ht="23" customHeight="1">
      <x:c r="A407" s="11" t="d">
        <x:v>2016-08-05T00:00:00.000Z</x:v>
      </x:c>
      <x:c r="B407" s="12" t="n">
        <x:v>36.762002</x:v>
      </x:c>
      <x:c r="C407" s="13" t="n">
        <x:v>382</x:v>
      </x:c>
      <x:c r="D407" s="12" t="n">
        <x:v>83344.76000000001</x:v>
      </x:c>
      <x:c r="E407" s="12" t="n">
        <x:v>0</x:v>
      </x:c>
      <x:c r="F407" s="12" t="n">
        <x:f>SUM(B407,D407:E407)</x:f>
        <x:v>83381.52200200001</x:v>
      </x:c>
      <x:c r="G407" s="12" t="n">
        <x:f>MAX(G406,F407)</x:f>
        <x:v>100000</x:v>
      </x:c>
      <x:c r="H407" s="14" t="n">
        <x:f>F407/G407-1</x:f>
        <x:v>-0.16618477997999992</x:v>
      </x:c>
      <x:c r="I407" s="14" t="n">
        <x:f>F407/F406-1</x:f>
        <x:v>0.008175284166919816</x:v>
      </x:c>
      <x:c r="J407" s="12" t="n">
        <x:v>0</x:v>
      </x:c>
      <x:c r="K407" s="12" t="n">
        <x:v>0</x:v>
      </x:c>
      <x:c r="L407" s="12" t="n">
        <x:v>0</x:v>
      </x:c>
      <x:c r="M407" s="2" t="str">
        <x:v>持有</x:v>
      </x:c>
    </x:row>
    <x:row r="408" ht="23" customHeight="1">
      <x:c r="A408" s="11" t="d">
        <x:v>2016-08-08T00:00:00.000Z</x:v>
      </x:c>
      <x:c r="B408" s="12" t="n">
        <x:v>36.762002</x:v>
      </x:c>
      <x:c r="C408" s="13" t="n">
        <x:v>382</x:v>
      </x:c>
      <x:c r="D408" s="12" t="n">
        <x:v>83295.1</x:v>
      </x:c>
      <x:c r="E408" s="12" t="n">
        <x:v>0</x:v>
      </x:c>
      <x:c r="F408" s="12" t="n">
        <x:f>SUM(B408,D408:E408)</x:f>
        <x:v>83331.86200200001</x:v>
      </x:c>
      <x:c r="G408" s="12" t="n">
        <x:f>MAX(G407,F408)</x:f>
        <x:v>100000</x:v>
      </x:c>
      <x:c r="H408" s="14" t="n">
        <x:f>F408/G408-1</x:f>
        <x:v>-0.16668137997999988</x:v>
      </x:c>
      <x:c r="I408" s="14" t="n">
        <x:f>F408/F407-1</x:f>
        <x:v>-0.0005955756000569634</x:v>
      </x:c>
      <x:c r="J408" s="12" t="n">
        <x:v>0</x:v>
      </x:c>
      <x:c r="K408" s="12" t="n">
        <x:v>0</x:v>
      </x:c>
      <x:c r="L408" s="12" t="n">
        <x:v>0</x:v>
      </x:c>
      <x:c r="M408" s="2" t="str">
        <x:v>持有</x:v>
      </x:c>
    </x:row>
    <x:row r="409" ht="23" customHeight="1">
      <x:c r="A409" s="11" t="d">
        <x:v>2016-08-09T00:00:00.000Z</x:v>
      </x:c>
      <x:c r="B409" s="12" t="n">
        <x:v>36.762002</x:v>
      </x:c>
      <x:c r="C409" s="13" t="n">
        <x:v>382</x:v>
      </x:c>
      <x:c r="D409" s="12" t="n">
        <x:v>83344.76000000001</x:v>
      </x:c>
      <x:c r="E409" s="12" t="n">
        <x:v>0</x:v>
      </x:c>
      <x:c r="F409" s="12" t="n">
        <x:f>SUM(B409,D409:E409)</x:f>
        <x:v>83381.52200200001</x:v>
      </x:c>
      <x:c r="G409" s="12" t="n">
        <x:f>MAX(G408,F409)</x:f>
        <x:v>100000</x:v>
      </x:c>
      <x:c r="H409" s="14" t="n">
        <x:f>F409/G409-1</x:f>
        <x:v>-0.16618477997999992</x:v>
      </x:c>
      <x:c r="I409" s="14" t="n">
        <x:f>F409/F408-1</x:f>
        <x:v>0.0005959305217351218</x:v>
      </x:c>
      <x:c r="J409" s="12" t="n">
        <x:v>0</x:v>
      </x:c>
      <x:c r="K409" s="12" t="n">
        <x:v>0</x:v>
      </x:c>
      <x:c r="L409" s="12" t="n">
        <x:v>0</x:v>
      </x:c>
      <x:c r="M409" s="2" t="str">
        <x:v>持有</x:v>
      </x:c>
    </x:row>
    <x:row r="410" ht="23" customHeight="1">
      <x:c r="A410" s="11" t="d">
        <x:v>2016-08-10T00:00:00.000Z</x:v>
      </x:c>
      <x:c r="B410" s="12" t="n">
        <x:v>36.762002</x:v>
      </x:c>
      <x:c r="C410" s="13" t="n">
        <x:v>382</x:v>
      </x:c>
      <x:c r="D410" s="12" t="n">
        <x:v>83138.48</x:v>
      </x:c>
      <x:c r="E410" s="12" t="n">
        <x:v>0</x:v>
      </x:c>
      <x:c r="F410" s="12" t="n">
        <x:f>SUM(B410,D410:E410)</x:f>
        <x:v>83175.242002</x:v>
      </x:c>
      <x:c r="G410" s="12" t="n">
        <x:f>MAX(G409,F410)</x:f>
        <x:v>100000</x:v>
      </x:c>
      <x:c r="H410" s="14" t="n">
        <x:f>F410/G410-1</x:f>
        <x:v>-0.16824757998000006</x:v>
      </x:c>
      <x:c r="I410" s="14" t="n">
        <x:f>F410/F409-1</x:f>
        <x:v>-0.00247392941562119</x:v>
      </x:c>
      <x:c r="J410" s="12" t="n">
        <x:v>0</x:v>
      </x:c>
      <x:c r="K410" s="12" t="n">
        <x:v>0</x:v>
      </x:c>
      <x:c r="L410" s="12" t="n">
        <x:v>0</x:v>
      </x:c>
      <x:c r="M410" s="2" t="str">
        <x:v>持有</x:v>
      </x:c>
    </x:row>
    <x:row r="411" ht="23" customHeight="1">
      <x:c r="A411" s="11" t="d">
        <x:v>2016-08-11T00:00:00.000Z</x:v>
      </x:c>
      <x:c r="B411" s="12" t="n">
        <x:v>36.762002</x:v>
      </x:c>
      <x:c r="C411" s="13" t="n">
        <x:v>382</x:v>
      </x:c>
      <x:c r="D411" s="12" t="n">
        <x:v>83524.3</x:v>
      </x:c>
      <x:c r="E411" s="12" t="n">
        <x:v>0</x:v>
      </x:c>
      <x:c r="F411" s="12" t="n">
        <x:f>SUM(B411,D411:E411)</x:f>
        <x:v>83561.062002</x:v>
      </x:c>
      <x:c r="G411" s="12" t="n">
        <x:f>MAX(G410,F411)</x:f>
        <x:v>100000</x:v>
      </x:c>
      <x:c r="H411" s="14" t="n">
        <x:f>F411/G411-1</x:f>
        <x:v>-0.16438937997999992</x:v>
      </x:c>
      <x:c r="I411" s="14" t="n">
        <x:f>F411/F410-1</x:f>
        <x:v>0.004638639945174106</x:v>
      </x:c>
      <x:c r="J411" s="12" t="n">
        <x:v>0</x:v>
      </x:c>
      <x:c r="K411" s="12" t="n">
        <x:v>0</x:v>
      </x:c>
      <x:c r="L411" s="12" t="n">
        <x:v>0</x:v>
      </x:c>
      <x:c r="M411" s="2" t="str">
        <x:v>持有</x:v>
      </x:c>
    </x:row>
    <x:row r="412" ht="23" customHeight="1">
      <x:c r="A412" s="11" t="d">
        <x:v>2016-08-12T00:00:00.000Z</x:v>
      </x:c>
      <x:c r="B412" s="12" t="n">
        <x:v>36.762002</x:v>
      </x:c>
      <x:c r="C412" s="13" t="n">
        <x:v>382</x:v>
      </x:c>
      <x:c r="D412" s="12" t="n">
        <x:v>83451.72</x:v>
      </x:c>
      <x:c r="E412" s="12" t="n">
        <x:v>0</x:v>
      </x:c>
      <x:c r="F412" s="12" t="n">
        <x:f>SUM(B412,D412:E412)</x:f>
        <x:v>83488.482002</x:v>
      </x:c>
      <x:c r="G412" s="12" t="n">
        <x:f>MAX(G411,F412)</x:f>
        <x:v>100000</x:v>
      </x:c>
      <x:c r="H412" s="14" t="n">
        <x:f>F412/G412-1</x:f>
        <x:v>-0.16511517997999992</x:v>
      </x:c>
      <x:c r="I412" s="14" t="n">
        <x:f>F412/F411-1</x:f>
        <x:v>-0.0008685863757722512</x:v>
      </x:c>
      <x:c r="J412" s="12" t="n">
        <x:v>0</x:v>
      </x:c>
      <x:c r="K412" s="12" t="n">
        <x:v>0</x:v>
      </x:c>
      <x:c r="L412" s="12" t="n">
        <x:v>0</x:v>
      </x:c>
      <x:c r="M412" s="2" t="str">
        <x:v>持有</x:v>
      </x:c>
    </x:row>
    <x:row r="413" ht="23" customHeight="1">
      <x:c r="A413" s="11" t="d">
        <x:v>2016-08-15T00:00:00.000Z</x:v>
      </x:c>
      <x:c r="B413" s="12" t="n">
        <x:v>36.762002</x:v>
      </x:c>
      <x:c r="C413" s="13" t="n">
        <x:v>382</x:v>
      </x:c>
      <x:c r="D413" s="12" t="n">
        <x:v>83692.38</x:v>
      </x:c>
      <x:c r="E413" s="12" t="n">
        <x:v>0</x:v>
      </x:c>
      <x:c r="F413" s="12" t="n">
        <x:f>SUM(B413,D413:E413)</x:f>
        <x:v>83729.14200200001</x:v>
      </x:c>
      <x:c r="G413" s="12" t="n">
        <x:f>MAX(G412,F413)</x:f>
        <x:v>100000</x:v>
      </x:c>
      <x:c r="H413" s="14" t="n">
        <x:f>F413/G413-1</x:f>
        <x:v>-0.16270857997999988</x:v>
      </x:c>
      <x:c r="I413" s="14" t="n">
        <x:f>F413/F412-1</x:f>
        <x:v>0.002882553308302338</x:v>
      </x:c>
      <x:c r="J413" s="12" t="n">
        <x:v>0</x:v>
      </x:c>
      <x:c r="K413" s="12" t="n">
        <x:v>0</x:v>
      </x:c>
      <x:c r="L413" s="12" t="n">
        <x:v>0</x:v>
      </x:c>
      <x:c r="M413" s="2" t="str">
        <x:v>持有</x:v>
      </x:c>
    </x:row>
    <x:row r="414" ht="23" customHeight="1">
      <x:c r="A414" s="11" t="d">
        <x:v>2016-08-16T00:00:00.000Z</x:v>
      </x:c>
      <x:c r="B414" s="12" t="n">
        <x:v>36.762002</x:v>
      </x:c>
      <x:c r="C414" s="13" t="n">
        <x:v>382</x:v>
      </x:c>
      <x:c r="D414" s="12" t="n">
        <x:v>83260.72</x:v>
      </x:c>
      <x:c r="E414" s="12" t="n">
        <x:v>0</x:v>
      </x:c>
      <x:c r="F414" s="12" t="n">
        <x:f>SUM(B414,D414:E414)</x:f>
        <x:v>83297.482002</x:v>
      </x:c>
      <x:c r="G414" s="12" t="n">
        <x:f>MAX(G413,F414)</x:f>
        <x:v>100000</x:v>
      </x:c>
      <x:c r="H414" s="14" t="n">
        <x:f>F414/G414-1</x:f>
        <x:v>-0.16702517998</x:v>
      </x:c>
      <x:c r="I414" s="14" t="n">
        <x:f>F414/F413-1</x:f>
        <x:v>-0.005155433218098526</x:v>
      </x:c>
      <x:c r="J414" s="12" t="n">
        <x:v>0</x:v>
      </x:c>
      <x:c r="K414" s="12" t="n">
        <x:v>0</x:v>
      </x:c>
      <x:c r="L414" s="12" t="n">
        <x:v>0</x:v>
      </x:c>
      <x:c r="M414" s="2" t="str">
        <x:v>持有</x:v>
      </x:c>
    </x:row>
    <x:row r="415" ht="23" customHeight="1">
      <x:c r="A415" s="11" t="d">
        <x:v>2016-08-17T00:00:00.000Z</x:v>
      </x:c>
      <x:c r="B415" s="12" t="n">
        <x:v>36.762002</x:v>
      </x:c>
      <x:c r="C415" s="13" t="n">
        <x:v>382</x:v>
      </x:c>
      <x:c r="D415" s="12" t="n">
        <x:v>83417.34</x:v>
      </x:c>
      <x:c r="E415" s="12" t="n">
        <x:v>0</x:v>
      </x:c>
      <x:c r="F415" s="12" t="n">
        <x:f>SUM(B415,D415:E415)</x:f>
        <x:v>83454.102002</x:v>
      </x:c>
      <x:c r="G415" s="12" t="n">
        <x:f>MAX(G414,F415)</x:f>
        <x:v>100000</x:v>
      </x:c>
      <x:c r="H415" s="14" t="n">
        <x:f>F415/G415-1</x:f>
        <x:v>-0.16545897998000003</x:v>
      </x:c>
      <x:c r="I415" s="14" t="n">
        <x:f>F415/F414-1</x:f>
        <x:v>0.0018802489131213296</x:v>
      </x:c>
      <x:c r="J415" s="12" t="n">
        <x:v>0</x:v>
      </x:c>
      <x:c r="K415" s="12" t="n">
        <x:v>0</x:v>
      </x:c>
      <x:c r="L415" s="12" t="n">
        <x:v>0</x:v>
      </x:c>
      <x:c r="M415" s="2" t="str">
        <x:v>持有</x:v>
      </x:c>
    </x:row>
    <x:row r="416" ht="23" customHeight="1">
      <x:c r="A416" s="11" t="d">
        <x:v>2016-08-18T00:00:00.000Z</x:v>
      </x:c>
      <x:c r="B416" s="12" t="n">
        <x:v>36.762002</x:v>
      </x:c>
      <x:c r="C416" s="13" t="n">
        <x:v>382</x:v>
      </x:c>
      <x:c r="D416" s="12" t="n">
        <x:v>83604.52</x:v>
      </x:c>
      <x:c r="E416" s="12" t="n">
        <x:v>0</x:v>
      </x:c>
      <x:c r="F416" s="12" t="n">
        <x:f>SUM(B416,D416:E416)</x:f>
        <x:v>83641.282002</x:v>
      </x:c>
      <x:c r="G416" s="12" t="n">
        <x:f>MAX(G415,F416)</x:f>
        <x:v>100000</x:v>
      </x:c>
      <x:c r="H416" s="14" t="n">
        <x:f>F416/G416-1</x:f>
        <x:v>-0.16358717997999994</x:v>
      </x:c>
      <x:c r="I416" s="14" t="n">
        <x:f>F416/F415-1</x:f>
        <x:v>0.002242909521637637</x:v>
      </x:c>
      <x:c r="J416" s="12" t="n">
        <x:v>0</x:v>
      </x:c>
      <x:c r="K416" s="12" t="n">
        <x:v>0</x:v>
      </x:c>
      <x:c r="L416" s="12" t="n">
        <x:v>0</x:v>
      </x:c>
      <x:c r="M416" s="2" t="str">
        <x:v>持有</x:v>
      </x:c>
    </x:row>
    <x:row r="417" ht="23" customHeight="1">
      <x:c r="A417" s="11" t="d">
        <x:v>2016-08-19T00:00:00.000Z</x:v>
      </x:c>
      <x:c r="B417" s="12" t="n">
        <x:v>36.762002</x:v>
      </x:c>
      <x:c r="C417" s="13" t="n">
        <x:v>382</x:v>
      </x:c>
      <x:c r="D417" s="12" t="n">
        <x:v>83482.28</x:v>
      </x:c>
      <x:c r="E417" s="12" t="n">
        <x:v>0</x:v>
      </x:c>
      <x:c r="F417" s="12" t="n">
        <x:f>SUM(B417,D417:E417)</x:f>
        <x:v>83519.042002</x:v>
      </x:c>
      <x:c r="G417" s="12" t="n">
        <x:f>MAX(G416,F417)</x:f>
        <x:v>100000</x:v>
      </x:c>
      <x:c r="H417" s="14" t="n">
        <x:f>F417/G417-1</x:f>
        <x:v>-0.16480957998</x:v>
      </x:c>
      <x:c r="I417" s="14" t="n">
        <x:f>F417/F416-1</x:f>
        <x:v>-0.0014614792728437909</x:v>
      </x:c>
      <x:c r="J417" s="12" t="n">
        <x:v>0</x:v>
      </x:c>
      <x:c r="K417" s="12" t="n">
        <x:v>0</x:v>
      </x:c>
      <x:c r="L417" s="12" t="n">
        <x:v>0</x:v>
      </x:c>
      <x:c r="M417" s="2" t="str">
        <x:v>持有</x:v>
      </x:c>
    </x:row>
    <x:row r="418" ht="23" customHeight="1">
      <x:c r="A418" s="11" t="d">
        <x:v>2016-08-22T00:00:00.000Z</x:v>
      </x:c>
      <x:c r="B418" s="12" t="n">
        <x:v>36.762002</x:v>
      </x:c>
      <x:c r="C418" s="13" t="n">
        <x:v>382</x:v>
      </x:c>
      <x:c r="D418" s="12" t="n">
        <x:v>83478.46</x:v>
      </x:c>
      <x:c r="E418" s="12" t="n">
        <x:v>0</x:v>
      </x:c>
      <x:c r="F418" s="12" t="n">
        <x:f>SUM(B418,D418:E418)</x:f>
        <x:v>83515.22200200001</x:v>
      </x:c>
      <x:c r="G418" s="12" t="n">
        <x:f>MAX(G417,F418)</x:f>
        <x:v>100000</x:v>
      </x:c>
      <x:c r="H418" s="14" t="n">
        <x:f>F418/G418-1</x:f>
        <x:v>-0.1648477799799999</x:v>
      </x:c>
      <x:c r="I418" s="14" t="n">
        <x:f>F418/F417-1</x:f>
        <x:v>-0.000045738072521284145</x:v>
      </x:c>
      <x:c r="J418" s="12" t="n">
        <x:v>0</x:v>
      </x:c>
      <x:c r="K418" s="12" t="n">
        <x:v>0</x:v>
      </x:c>
      <x:c r="L418" s="12" t="n">
        <x:v>0</x:v>
      </x:c>
      <x:c r="M418" s="2" t="str">
        <x:v>持有</x:v>
      </x:c>
    </x:row>
    <x:row r="419" ht="23" customHeight="1">
      <x:c r="A419" s="11" t="d">
        <x:v>2016-08-23T00:00:00.000Z</x:v>
      </x:c>
      <x:c r="B419" s="12" t="n">
        <x:v>36.762002</x:v>
      </x:c>
      <x:c r="C419" s="13" t="n">
        <x:v>382</x:v>
      </x:c>
      <x:c r="D419" s="12" t="n">
        <x:v>83646.54</x:v>
      </x:c>
      <x:c r="E419" s="12" t="n">
        <x:v>0</x:v>
      </x:c>
      <x:c r="F419" s="12" t="n">
        <x:f>SUM(B419,D419:E419)</x:f>
        <x:v>83683.302002</x:v>
      </x:c>
      <x:c r="G419" s="12" t="n">
        <x:f>MAX(G418,F419)</x:f>
        <x:v>100000</x:v>
      </x:c>
      <x:c r="H419" s="14" t="n">
        <x:f>F419/G419-1</x:f>
        <x:v>-0.16316697998000007</x:v>
      </x:c>
      <x:c r="I419" s="14" t="n">
        <x:f>F419/F418-1</x:f>
        <x:v>0.0020125672418851437</x:v>
      </x:c>
      <x:c r="J419" s="12" t="n">
        <x:v>0</x:v>
      </x:c>
      <x:c r="K419" s="12" t="n">
        <x:v>0</x:v>
      </x:c>
      <x:c r="L419" s="12" t="n">
        <x:v>0</x:v>
      </x:c>
      <x:c r="M419" s="2" t="str">
        <x:v>持有</x:v>
      </x:c>
    </x:row>
    <x:row r="420" ht="23" customHeight="1">
      <x:c r="A420" s="11" t="d">
        <x:v>2016-08-24T00:00:00.000Z</x:v>
      </x:c>
      <x:c r="B420" s="12" t="n">
        <x:v>36.762002</x:v>
      </x:c>
      <x:c r="C420" s="13" t="n">
        <x:v>382</x:v>
      </x:c>
      <x:c r="D420" s="12" t="n">
        <x:v>83218.7</x:v>
      </x:c>
      <x:c r="E420" s="12" t="n">
        <x:v>0</x:v>
      </x:c>
      <x:c r="F420" s="12" t="n">
        <x:f>SUM(B420,D420:E420)</x:f>
        <x:v>83255.462002</x:v>
      </x:c>
      <x:c r="G420" s="12" t="n">
        <x:f>MAX(G419,F420)</x:f>
        <x:v>100000</x:v>
      </x:c>
      <x:c r="H420" s="14" t="n">
        <x:f>F420/G420-1</x:f>
        <x:v>-0.16744537997999998</x:v>
      </x:c>
      <x:c r="I420" s="14" t="n">
        <x:f>F420/F419-1</x:f>
        <x:v>-0.005112608964567</x:v>
      </x:c>
      <x:c r="J420" s="12" t="n">
        <x:v>0</x:v>
      </x:c>
      <x:c r="K420" s="12" t="n">
        <x:v>0</x:v>
      </x:c>
      <x:c r="L420" s="12" t="n">
        <x:v>0</x:v>
      </x:c>
      <x:c r="M420" s="2" t="str">
        <x:v>持有</x:v>
      </x:c>
    </x:row>
    <x:row r="421" ht="23" customHeight="1">
      <x:c r="A421" s="11" t="d">
        <x:v>2016-08-25T00:00:00.000Z</x:v>
      </x:c>
      <x:c r="B421" s="12" t="n">
        <x:v>36.762002</x:v>
      </x:c>
      <x:c r="C421" s="13" t="n">
        <x:v>382</x:v>
      </x:c>
      <x:c r="D421" s="12" t="n">
        <x:v>83161.4</x:v>
      </x:c>
      <x:c r="E421" s="12" t="n">
        <x:v>0</x:v>
      </x:c>
      <x:c r="F421" s="12" t="n">
        <x:f>SUM(B421,D421:E421)</x:f>
        <x:v>83198.162002</x:v>
      </x:c>
      <x:c r="G421" s="12" t="n">
        <x:f>MAX(G420,F421)</x:f>
        <x:v>100000</x:v>
      </x:c>
      <x:c r="H421" s="14" t="n">
        <x:f>F421/G421-1</x:f>
        <x:v>-0.16801837998000002</x:v>
      </x:c>
      <x:c r="I421" s="14" t="n">
        <x:f>F421/F420-1</x:f>
        <x:v>-0.0006882431329084948</x:v>
      </x:c>
      <x:c r="J421" s="12" t="n">
        <x:v>0</x:v>
      </x:c>
      <x:c r="K421" s="12" t="n">
        <x:v>0</x:v>
      </x:c>
      <x:c r="L421" s="12" t="n">
        <x:v>0</x:v>
      </x:c>
      <x:c r="M421" s="2" t="str">
        <x:v>持有</x:v>
      </x:c>
    </x:row>
    <x:row r="422" ht="23" customHeight="1">
      <x:c r="A422" s="11" t="d">
        <x:v>2016-08-26T00:00:00.000Z</x:v>
      </x:c>
      <x:c r="B422" s="12" t="n">
        <x:v>36.762002</x:v>
      </x:c>
      <x:c r="C422" s="13" t="n">
        <x:v>382</x:v>
      </x:c>
      <x:c r="D422" s="12" t="n">
        <x:v>83004.78</x:v>
      </x:c>
      <x:c r="E422" s="12" t="n">
        <x:v>0</x:v>
      </x:c>
      <x:c r="F422" s="12" t="n">
        <x:f>SUM(B422,D422:E422)</x:f>
        <x:v>83041.542002</x:v>
      </x:c>
      <x:c r="G422" s="12" t="n">
        <x:f>MAX(G421,F422)</x:f>
        <x:v>100000</x:v>
      </x:c>
      <x:c r="H422" s="14" t="n">
        <x:f>F422/G422-1</x:f>
        <x:v>-0.16958457997999998</x:v>
      </x:c>
      <x:c r="I422" s="14" t="n">
        <x:f>F422/F421-1</x:f>
        <x:v>-0.0018824935098473716</x:v>
      </x:c>
      <x:c r="J422" s="12" t="n">
        <x:v>0</x:v>
      </x:c>
      <x:c r="K422" s="12" t="n">
        <x:v>0</x:v>
      </x:c>
      <x:c r="L422" s="12" t="n">
        <x:v>0</x:v>
      </x:c>
      <x:c r="M422" s="2" t="str">
        <x:v>持有</x:v>
      </x:c>
    </x:row>
    <x:row r="423" ht="23" customHeight="1">
      <x:c r="A423" s="11" t="d">
        <x:v>2016-08-29T00:00:00.000Z</x:v>
      </x:c>
      <x:c r="B423" s="12" t="n">
        <x:v>36.762002</x:v>
      </x:c>
      <x:c r="C423" s="13" t="n">
        <x:v>382</x:v>
      </x:c>
      <x:c r="D423" s="12" t="n">
        <x:v>83413.52</x:v>
      </x:c>
      <x:c r="E423" s="12" t="n">
        <x:v>0</x:v>
      </x:c>
      <x:c r="F423" s="12" t="n">
        <x:f>SUM(B423,D423:E423)</x:f>
        <x:v>83450.282002</x:v>
      </x:c>
      <x:c r="G423" s="12" t="n">
        <x:f>MAX(G422,F423)</x:f>
        <x:v>100000</x:v>
      </x:c>
      <x:c r="H423" s="14" t="n">
        <x:f>F423/G423-1</x:f>
        <x:v>-0.1654971799799999</x:v>
      </x:c>
      <x:c r="I423" s="14" t="n">
        <x:f>F423/F422-1</x:f>
        <x:v>0.0049221147650433394</x:v>
      </x:c>
      <x:c r="J423" s="12" t="n">
        <x:v>0</x:v>
      </x:c>
      <x:c r="K423" s="12" t="n">
        <x:v>0</x:v>
      </x:c>
      <x:c r="L423" s="12" t="n">
        <x:v>0</x:v>
      </x:c>
      <x:c r="M423" s="2" t="str">
        <x:v>持有</x:v>
      </x:c>
    </x:row>
    <x:row r="424" ht="23" customHeight="1">
      <x:c r="A424" s="11" t="d">
        <x:v>2016-08-30T00:00:00.000Z</x:v>
      </x:c>
      <x:c r="B424" s="12" t="n">
        <x:v>36.762002</x:v>
      </x:c>
      <x:c r="C424" s="13" t="n">
        <x:v>382</x:v>
      </x:c>
      <x:c r="D424" s="12" t="n">
        <x:v>83276</x:v>
      </x:c>
      <x:c r="E424" s="12" t="n">
        <x:v>0</x:v>
      </x:c>
      <x:c r="F424" s="12" t="n">
        <x:f>SUM(B424,D424:E424)</x:f>
        <x:v>83312.762002</x:v>
      </x:c>
      <x:c r="G424" s="12" t="n">
        <x:f>MAX(G423,F424)</x:f>
        <x:v>100000</x:v>
      </x:c>
      <x:c r="H424" s="14" t="n">
        <x:f>F424/G424-1</x:f>
        <x:v>-0.16687237997999993</x:v>
      </x:c>
      <x:c r="I424" s="14" t="n">
        <x:f>F424/F423-1</x:f>
        <x:v>-0.0016479273251193138</x:v>
      </x:c>
      <x:c r="J424" s="12" t="n">
        <x:v>0</x:v>
      </x:c>
      <x:c r="K424" s="12" t="n">
        <x:v>0</x:v>
      </x:c>
      <x:c r="L424" s="12" t="n">
        <x:v>0</x:v>
      </x:c>
      <x:c r="M424" s="2" t="str">
        <x:v>持有</x:v>
      </x:c>
    </x:row>
    <x:row r="425" ht="23" customHeight="1">
      <x:c r="A425" s="11" t="d">
        <x:v>2016-08-31T00:00:00.000Z</x:v>
      </x:c>
      <x:c r="B425" s="12" t="n">
        <x:v>36.762002</x:v>
      </x:c>
      <x:c r="C425" s="13" t="n">
        <x:v>382</x:v>
      </x:c>
      <x:c r="D425" s="12" t="n">
        <x:v>83039.16</x:v>
      </x:c>
      <x:c r="E425" s="12" t="n">
        <x:v>0</x:v>
      </x:c>
      <x:c r="F425" s="12" t="n">
        <x:f>SUM(B425,D425:E425)</x:f>
        <x:v>83075.922002</x:v>
      </x:c>
      <x:c r="G425" s="12" t="n">
        <x:f>MAX(G424,F425)</x:f>
        <x:v>100000</x:v>
      </x:c>
      <x:c r="H425" s="14" t="n">
        <x:f>F425/G425-1</x:f>
        <x:v>-0.16924077997999998</x:v>
      </x:c>
      <x:c r="I425" s="14" t="n">
        <x:f>F425/F424-1</x:f>
        <x:v>-0.0028427817576652803</x:v>
      </x:c>
      <x:c r="J425" s="12" t="n">
        <x:v>0</x:v>
      </x:c>
      <x:c r="K425" s="12" t="n">
        <x:v>0</x:v>
      </x:c>
      <x:c r="L425" s="12" t="n">
        <x:v>0</x:v>
      </x:c>
      <x:c r="M425" s="2" t="str">
        <x:v>持有</x:v>
      </x:c>
    </x:row>
    <x:row r="426" ht="23" customHeight="1">
      <x:c r="A426" s="11" t="d">
        <x:v>2016-09-01T00:00:00.000Z</x:v>
      </x:c>
      <x:c r="B426" s="12" t="n">
        <x:v>36.762002</x:v>
      </x:c>
      <x:c r="C426" s="13" t="n">
        <x:v>382</x:v>
      </x:c>
      <x:c r="D426" s="12" t="n">
        <x:v>83042.98</x:v>
      </x:c>
      <x:c r="E426" s="12" t="n">
        <x:v>0</x:v>
      </x:c>
      <x:c r="F426" s="12" t="n">
        <x:f>SUM(B426,D426:E426)</x:f>
        <x:v>83079.742002</x:v>
      </x:c>
      <x:c r="G426" s="12" t="n">
        <x:f>MAX(G425,F426)</x:f>
        <x:v>100000</x:v>
      </x:c>
      <x:c r="H426" s="14" t="n">
        <x:f>F426/G426-1</x:f>
        <x:v>-0.16920257998</x:v>
      </x:c>
      <x:c r="I426" s="14" t="n">
        <x:f>F426/F425-1</x:f>
        <x:v>0.000045982035563829626</x:v>
      </x:c>
      <x:c r="J426" s="12" t="n">
        <x:v>0</x:v>
      </x:c>
      <x:c r="K426" s="12" t="n">
        <x:v>0</x:v>
      </x:c>
      <x:c r="L426" s="12" t="n">
        <x:v>0</x:v>
      </x:c>
      <x:c r="M426" s="2" t="str">
        <x:v>持有</x:v>
      </x:c>
    </x:row>
    <x:row r="427" ht="23" customHeight="1">
      <x:c r="A427" s="11" t="d">
        <x:v>2016-09-02T00:00:00.000Z</x:v>
      </x:c>
      <x:c r="B427" s="12" t="n">
        <x:v>36.762002</x:v>
      </x:c>
      <x:c r="C427" s="13" t="n">
        <x:v>382</x:v>
      </x:c>
      <x:c r="D427" s="12" t="n">
        <x:v>83417.34</x:v>
      </x:c>
      <x:c r="E427" s="12" t="n">
        <x:v>0</x:v>
      </x:c>
      <x:c r="F427" s="12" t="n">
        <x:f>SUM(B427,D427:E427)</x:f>
        <x:v>83454.102002</x:v>
      </x:c>
      <x:c r="G427" s="12" t="n">
        <x:f>MAX(G426,F427)</x:f>
        <x:v>100000</x:v>
      </x:c>
      <x:c r="H427" s="14" t="n">
        <x:f>F427/G427-1</x:f>
        <x:v>-0.16545897998000003</x:v>
      </x:c>
      <x:c r="I427" s="14" t="n">
        <x:f>F427/F426-1</x:f>
        <x:v>0.004506032288725592</x:v>
      </x:c>
      <x:c r="J427" s="12" t="n">
        <x:v>0</x:v>
      </x:c>
      <x:c r="K427" s="12" t="n">
        <x:v>0</x:v>
      </x:c>
      <x:c r="L427" s="12" t="n">
        <x:v>0</x:v>
      </x:c>
      <x:c r="M427" s="2" t="str">
        <x:v>持有</x:v>
      </x:c>
    </x:row>
    <x:row r="428" ht="23" customHeight="1">
      <x:c r="A428" s="11" t="d">
        <x:v>2016-09-06T00:00:00.000Z</x:v>
      </x:c>
      <x:c r="B428" s="12" t="n">
        <x:v>36.762002</x:v>
      </x:c>
      <x:c r="C428" s="13" t="n">
        <x:v>382</x:v>
      </x:c>
      <x:c r="D428" s="12" t="n">
        <x:v>83669.46</x:v>
      </x:c>
      <x:c r="E428" s="12" t="n">
        <x:v>0</x:v>
      </x:c>
      <x:c r="F428" s="12" t="n">
        <x:f>SUM(B428,D428:E428)</x:f>
        <x:v>83706.22200200001</x:v>
      </x:c>
      <x:c r="G428" s="12" t="n">
        <x:f>MAX(G427,F428)</x:f>
        <x:v>100000</x:v>
      </x:c>
      <x:c r="H428" s="14" t="n">
        <x:f>F428/G428-1</x:f>
        <x:v>-0.16293777997999992</x:v>
      </x:c>
      <x:c r="I428" s="14" t="n">
        <x:f>F428/F427-1</x:f>
        <x:v>0.00302106180465489</x:v>
      </x:c>
      <x:c r="J428" s="12" t="n">
        <x:v>0</x:v>
      </x:c>
      <x:c r="K428" s="12" t="n">
        <x:v>0</x:v>
      </x:c>
      <x:c r="L428" s="12" t="n">
        <x:v>0</x:v>
      </x:c>
      <x:c r="M428" s="2" t="str">
        <x:v>持有</x:v>
      </x:c>
    </x:row>
    <x:row r="429" ht="23" customHeight="1">
      <x:c r="A429" s="11" t="d">
        <x:v>2016-09-07T00:00:00.000Z</x:v>
      </x:c>
      <x:c r="B429" s="12" t="n">
        <x:v>36.762002</x:v>
      </x:c>
      <x:c r="C429" s="13" t="n">
        <x:v>382</x:v>
      </x:c>
      <x:c r="D429" s="12" t="n">
        <x:v>83661.81999999999</x:v>
      </x:c>
      <x:c r="E429" s="12" t="n">
        <x:v>0</x:v>
      </x:c>
      <x:c r="F429" s="12" t="n">
        <x:f>SUM(B429,D429:E429)</x:f>
        <x:v>83698.582002</x:v>
      </x:c>
      <x:c r="G429" s="12" t="n">
        <x:f>MAX(G428,F429)</x:f>
        <x:v>100000</x:v>
      </x:c>
      <x:c r="H429" s="14" t="n">
        <x:f>F429/G429-1</x:f>
        <x:v>-0.16301417998</x:v>
      </x:c>
      <x:c r="I429" s="14" t="n">
        <x:f>F429/F428-1</x:f>
        <x:v>-0.00009127159029864718</x:v>
      </x:c>
      <x:c r="J429" s="12" t="n">
        <x:v>0</x:v>
      </x:c>
      <x:c r="K429" s="12" t="n">
        <x:v>0</x:v>
      </x:c>
      <x:c r="L429" s="12" t="n">
        <x:v>0</x:v>
      </x:c>
      <x:c r="M429" s="2" t="str">
        <x:v>持有</x:v>
      </x:c>
    </x:row>
    <x:row r="430" ht="23" customHeight="1">
      <x:c r="A430" s="11" t="d">
        <x:v>2016-09-08T00:00:00.000Z</x:v>
      </x:c>
      <x:c r="B430" s="12" t="n">
        <x:v>36.762002</x:v>
      </x:c>
      <x:c r="C430" s="13" t="n">
        <x:v>382</x:v>
      </x:c>
      <x:c r="D430" s="12" t="n">
        <x:v>83470.81999999999</x:v>
      </x:c>
      <x:c r="E430" s="12" t="n">
        <x:v>0</x:v>
      </x:c>
      <x:c r="F430" s="12" t="n">
        <x:f>SUM(B430,D430:E430)</x:f>
        <x:v>83507.582002</x:v>
      </x:c>
      <x:c r="G430" s="12" t="n">
        <x:f>MAX(G429,F430)</x:f>
        <x:v>100000</x:v>
      </x:c>
      <x:c r="H430" s="14" t="n">
        <x:f>F430/G430-1</x:f>
        <x:v>-0.16492417998000009</x:v>
      </x:c>
      <x:c r="I430" s="14" t="n">
        <x:f>F430/F429-1</x:f>
        <x:v>-0.0022819980390520467</x:v>
      </x:c>
      <x:c r="J430" s="12" t="n">
        <x:v>0</x:v>
      </x:c>
      <x:c r="K430" s="12" t="n">
        <x:v>0</x:v>
      </x:c>
      <x:c r="L430" s="12" t="n">
        <x:v>0</x:v>
      </x:c>
      <x:c r="M430" s="2" t="str">
        <x:v>持有</x:v>
      </x:c>
    </x:row>
    <x:row r="431" ht="23" customHeight="1">
      <x:c r="A431" s="11" t="d">
        <x:v>2016-09-09T00:00:00.000Z</x:v>
      </x:c>
      <x:c r="B431" s="12" t="n">
        <x:v>36.762002</x:v>
      </x:c>
      <x:c r="C431" s="13" t="n">
        <x:v>382</x:v>
      </x:c>
      <x:c r="D431" s="12" t="n">
        <x:v>81472.96</x:v>
      </x:c>
      <x:c r="E431" s="12" t="n">
        <x:v>0</x:v>
      </x:c>
      <x:c r="F431" s="12" t="n">
        <x:f>SUM(B431,D431:E431)</x:f>
        <x:v>81509.72200200001</x:v>
      </x:c>
      <x:c r="G431" s="12" t="n">
        <x:f>MAX(G430,F431)</x:f>
        <x:v>100000</x:v>
      </x:c>
      <x:c r="H431" s="14" t="n">
        <x:f>F431/G431-1</x:f>
        <x:v>-0.18490277997999993</x:v>
      </x:c>
      <x:c r="I431" s="14" t="n">
        <x:f>F431/F430-1</x:f>
        <x:v>-0.023924294682034275</x:v>
      </x:c>
      <x:c r="J431" s="12" t="n">
        <x:v>0</x:v>
      </x:c>
      <x:c r="K431" s="12" t="n">
        <x:v>0</x:v>
      </x:c>
      <x:c r="L431" s="12" t="n">
        <x:v>0</x:v>
      </x:c>
      <x:c r="M431" s="2" t="str">
        <x:v>持有</x:v>
      </x:c>
    </x:row>
    <x:row r="432" ht="23" customHeight="1">
      <x:c r="A432" s="11" t="d">
        <x:v>2016-09-12T00:00:00.000Z</x:v>
      </x:c>
      <x:c r="B432" s="12" t="n">
        <x:v>81088.609022</x:v>
      </x:c>
      <x:c r="C432" s="13" t="n">
        <x:v>0</x:v>
      </x:c>
      <x:c r="D432" s="12" t="n">
        <x:v>0</x:v>
      </x:c>
      <x:c r="E432" s="12" t="n">
        <x:v>0</x:v>
      </x:c>
      <x:c r="F432" s="12" t="n">
        <x:f>SUM(B432,D432:E432)</x:f>
        <x:v>81088.609022</x:v>
      </x:c>
      <x:c r="G432" s="12" t="n">
        <x:f>MAX(G431,F432)</x:f>
        <x:v>100000</x:v>
      </x:c>
      <x:c r="H432" s="14" t="n">
        <x:f>F432/G432-1</x:f>
        <x:v>-0.18911390977999998</x:v>
      </x:c>
      <x:c r="I432" s="14" t="n">
        <x:f>F432/F431-1</x:f>
        <x:v>-0.005166414136336672</x:v>
      </x:c>
      <x:c r="J432" s="12" t="n">
        <x:v>0</x:v>
      </x:c>
      <x:c r="K432" s="12" t="n">
        <x:v>0</x:v>
      </x:c>
      <x:c r="L432" s="12" t="n">
        <x:v>-382</x:v>
      </x:c>
      <x:c r="M432" s="2" t="str">
        <x:v>卖出</x:v>
      </x:c>
    </x:row>
    <x:row r="433" ht="23" customHeight="1">
      <x:c r="A433" s="11" t="d">
        <x:v>2016-09-13T00:00:00.000Z</x:v>
      </x:c>
      <x:c r="B433" s="12" t="n">
        <x:v>81088.609022</x:v>
      </x:c>
      <x:c r="C433" s="13" t="n">
        <x:v>0</x:v>
      </x:c>
      <x:c r="D433" s="12" t="n">
        <x:v>0</x:v>
      </x:c>
      <x:c r="E433" s="12" t="n">
        <x:v>0</x:v>
      </x:c>
      <x:c r="F433" s="12" t="n">
        <x:f>SUM(B433,D433:E433)</x:f>
        <x:v>81088.609022</x:v>
      </x:c>
      <x:c r="G433" s="12" t="n">
        <x:f>MAX(G432,F433)</x:f>
        <x:v>100000</x:v>
      </x:c>
      <x:c r="H433" s="14" t="n">
        <x:f>F433/G433-1</x:f>
        <x:v>-0.18911390977999998</x:v>
      </x:c>
      <x:c r="I433" s="14" t="n">
        <x:f>F433/F432-1</x:f>
        <x:v>0</x:v>
      </x:c>
      <x:c r="J433" s="12" t="n">
        <x:v>0</x:v>
      </x:c>
      <x:c r="K433" s="12" t="n">
        <x:v>0</x:v>
      </x:c>
      <x:c r="L433" s="12" t="n">
        <x:v>0</x:v>
      </x:c>
      <x:c r="M433" s="2" t="str">
        <x:v>空仓</x:v>
      </x:c>
    </x:row>
    <x:row r="434" ht="23" customHeight="1">
      <x:c r="A434" s="11" t="d">
        <x:v>2016-09-14T00:00:00.000Z</x:v>
      </x:c>
      <x:c r="B434" s="12" t="n">
        <x:v>81088.609022</x:v>
      </x:c>
      <x:c r="C434" s="13" t="n">
        <x:v>0</x:v>
      </x:c>
      <x:c r="D434" s="12" t="n">
        <x:v>0</x:v>
      </x:c>
      <x:c r="E434" s="12" t="n">
        <x:v>0</x:v>
      </x:c>
      <x:c r="F434" s="12" t="n">
        <x:f>SUM(B434,D434:E434)</x:f>
        <x:v>81088.609022</x:v>
      </x:c>
      <x:c r="G434" s="12" t="n">
        <x:f>MAX(G433,F434)</x:f>
        <x:v>100000</x:v>
      </x:c>
      <x:c r="H434" s="14" t="n">
        <x:f>F434/G434-1</x:f>
        <x:v>-0.18911390977999998</x:v>
      </x:c>
      <x:c r="I434" s="14" t="n">
        <x:f>F434/F433-1</x:f>
        <x:v>0</x:v>
      </x:c>
      <x:c r="J434" s="12" t="n">
        <x:v>0</x:v>
      </x:c>
      <x:c r="K434" s="12" t="n">
        <x:v>0</x:v>
      </x:c>
      <x:c r="L434" s="12" t="n">
        <x:v>0</x:v>
      </x:c>
      <x:c r="M434" s="2" t="str">
        <x:v>空仓</x:v>
      </x:c>
    </x:row>
    <x:row r="435" ht="23" customHeight="1">
      <x:c r="A435" s="11" t="d">
        <x:v>2016-09-15T00:00:00.000Z</x:v>
      </x:c>
      <x:c r="B435" s="12" t="n">
        <x:v>81088.609022</x:v>
      </x:c>
      <x:c r="C435" s="13" t="n">
        <x:v>0</x:v>
      </x:c>
      <x:c r="D435" s="12" t="n">
        <x:v>0</x:v>
      </x:c>
      <x:c r="E435" s="12" t="n">
        <x:v>0</x:v>
      </x:c>
      <x:c r="F435" s="12" t="n">
        <x:f>SUM(B435,D435:E435)</x:f>
        <x:v>81088.609022</x:v>
      </x:c>
      <x:c r="G435" s="12" t="n">
        <x:f>MAX(G434,F435)</x:f>
        <x:v>100000</x:v>
      </x:c>
      <x:c r="H435" s="14" t="n">
        <x:f>F435/G435-1</x:f>
        <x:v>-0.18911390977999998</x:v>
      </x:c>
      <x:c r="I435" s="14" t="n">
        <x:f>F435/F434-1</x:f>
        <x:v>0</x:v>
      </x:c>
      <x:c r="J435" s="12" t="n">
        <x:v>0</x:v>
      </x:c>
      <x:c r="K435" s="12" t="n">
        <x:v>0</x:v>
      </x:c>
      <x:c r="L435" s="12" t="n">
        <x:v>0</x:v>
      </x:c>
      <x:c r="M435" s="2" t="str">
        <x:v>空仓</x:v>
      </x:c>
    </x:row>
    <x:row r="436" ht="23" customHeight="1">
      <x:c r="A436" s="11" t="d">
        <x:v>2016-09-16T00:00:00.000Z</x:v>
      </x:c>
      <x:c r="B436" s="12" t="n">
        <x:v>81088.609022</x:v>
      </x:c>
      <x:c r="C436" s="13" t="n">
        <x:v>0</x:v>
      </x:c>
      <x:c r="D436" s="12" t="n">
        <x:v>0</x:v>
      </x:c>
      <x:c r="E436" s="12" t="n">
        <x:v>0</x:v>
      </x:c>
      <x:c r="F436" s="12" t="n">
        <x:f>SUM(B436,D436:E436)</x:f>
        <x:v>81088.609022</x:v>
      </x:c>
      <x:c r="G436" s="12" t="n">
        <x:f>MAX(G435,F436)</x:f>
        <x:v>100000</x:v>
      </x:c>
      <x:c r="H436" s="14" t="n">
        <x:f>F436/G436-1</x:f>
        <x:v>-0.18911390977999998</x:v>
      </x:c>
      <x:c r="I436" s="14" t="n">
        <x:f>F436/F435-1</x:f>
        <x:v>0</x:v>
      </x:c>
      <x:c r="J436" s="12" t="n">
        <x:v>0</x:v>
      </x:c>
      <x:c r="K436" s="12" t="n">
        <x:v>0</x:v>
      </x:c>
      <x:c r="L436" s="12" t="n">
        <x:v>0</x:v>
      </x:c>
      <x:c r="M436" s="2" t="str">
        <x:v>空仓</x:v>
      </x:c>
    </x:row>
    <x:row r="437" ht="23" customHeight="1">
      <x:c r="A437" s="11" t="d">
        <x:v>2016-09-19T00:00:00.000Z</x:v>
      </x:c>
      <x:c r="B437" s="12" t="n">
        <x:v>81088.609022</x:v>
      </x:c>
      <x:c r="C437" s="13" t="n">
        <x:v>0</x:v>
      </x:c>
      <x:c r="D437" s="12" t="n">
        <x:v>0</x:v>
      </x:c>
      <x:c r="E437" s="12" t="n">
        <x:v>0</x:v>
      </x:c>
      <x:c r="F437" s="12" t="n">
        <x:f>SUM(B437,D437:E437)</x:f>
        <x:v>81088.609022</x:v>
      </x:c>
      <x:c r="G437" s="12" t="n">
        <x:f>MAX(G436,F437)</x:f>
        <x:v>100000</x:v>
      </x:c>
      <x:c r="H437" s="14" t="n">
        <x:f>F437/G437-1</x:f>
        <x:v>-0.18911390977999998</x:v>
      </x:c>
      <x:c r="I437" s="14" t="n">
        <x:f>F437/F436-1</x:f>
        <x:v>0</x:v>
      </x:c>
      <x:c r="J437" s="12" t="n">
        <x:v>0</x:v>
      </x:c>
      <x:c r="K437" s="12" t="n">
        <x:v>0</x:v>
      </x:c>
      <x:c r="L437" s="12" t="n">
        <x:v>0</x:v>
      </x:c>
      <x:c r="M437" s="2" t="str">
        <x:v>空仓</x:v>
      </x:c>
    </x:row>
    <x:row r="438" ht="23" customHeight="1">
      <x:c r="A438" s="11" t="d">
        <x:v>2016-09-20T00:00:00.000Z</x:v>
      </x:c>
      <x:c r="B438" s="12" t="n">
        <x:v>81088.609022</x:v>
      </x:c>
      <x:c r="C438" s="13" t="n">
        <x:v>0</x:v>
      </x:c>
      <x:c r="D438" s="12" t="n">
        <x:v>0</x:v>
      </x:c>
      <x:c r="E438" s="12" t="n">
        <x:v>0</x:v>
      </x:c>
      <x:c r="F438" s="12" t="n">
        <x:f>SUM(B438,D438:E438)</x:f>
        <x:v>81088.609022</x:v>
      </x:c>
      <x:c r="G438" s="12" t="n">
        <x:f>MAX(G437,F438)</x:f>
        <x:v>100000</x:v>
      </x:c>
      <x:c r="H438" s="14" t="n">
        <x:f>F438/G438-1</x:f>
        <x:v>-0.18911390977999998</x:v>
      </x:c>
      <x:c r="I438" s="14" t="n">
        <x:f>F438/F437-1</x:f>
        <x:v>0</x:v>
      </x:c>
      <x:c r="J438" s="12" t="n">
        <x:v>0</x:v>
      </x:c>
      <x:c r="K438" s="12" t="n">
        <x:v>0</x:v>
      </x:c>
      <x:c r="L438" s="12" t="n">
        <x:v>0</x:v>
      </x:c>
      <x:c r="M438" s="2" t="str">
        <x:v>空仓</x:v>
      </x:c>
    </x:row>
    <x:row r="439" ht="23" customHeight="1">
      <x:c r="A439" s="11" t="d">
        <x:v>2016-09-21T00:00:00.000Z</x:v>
      </x:c>
      <x:c r="B439" s="12" t="n">
        <x:v>81088.609022</x:v>
      </x:c>
      <x:c r="C439" s="13" t="n">
        <x:v>0</x:v>
      </x:c>
      <x:c r="D439" s="12" t="n">
        <x:v>0</x:v>
      </x:c>
      <x:c r="E439" s="12" t="n">
        <x:v>0</x:v>
      </x:c>
      <x:c r="F439" s="12" t="n">
        <x:f>SUM(B439,D439:E439)</x:f>
        <x:v>81088.609022</x:v>
      </x:c>
      <x:c r="G439" s="12" t="n">
        <x:f>MAX(G438,F439)</x:f>
        <x:v>100000</x:v>
      </x:c>
      <x:c r="H439" s="14" t="n">
        <x:f>F439/G439-1</x:f>
        <x:v>-0.18911390977999998</x:v>
      </x:c>
      <x:c r="I439" s="14" t="n">
        <x:f>F439/F438-1</x:f>
        <x:v>0</x:v>
      </x:c>
      <x:c r="J439" s="12" t="n">
        <x:v>0</x:v>
      </x:c>
      <x:c r="K439" s="12" t="n">
        <x:v>0</x:v>
      </x:c>
      <x:c r="L439" s="12" t="n">
        <x:v>0</x:v>
      </x:c>
      <x:c r="M439" s="2" t="str">
        <x:v>空仓</x:v>
      </x:c>
    </x:row>
    <x:row r="440" ht="23" customHeight="1">
      <x:c r="A440" s="11" t="d">
        <x:v>2016-09-22T00:00:00.000Z</x:v>
      </x:c>
      <x:c r="B440" s="12" t="n">
        <x:v>81088.609022</x:v>
      </x:c>
      <x:c r="C440" s="13" t="n">
        <x:v>0</x:v>
      </x:c>
      <x:c r="D440" s="12" t="n">
        <x:v>0</x:v>
      </x:c>
      <x:c r="E440" s="12" t="n">
        <x:v>0</x:v>
      </x:c>
      <x:c r="F440" s="12" t="n">
        <x:f>SUM(B440,D440:E440)</x:f>
        <x:v>81088.609022</x:v>
      </x:c>
      <x:c r="G440" s="12" t="n">
        <x:f>MAX(G439,F440)</x:f>
        <x:v>100000</x:v>
      </x:c>
      <x:c r="H440" s="14" t="n">
        <x:f>F440/G440-1</x:f>
        <x:v>-0.18911390977999998</x:v>
      </x:c>
      <x:c r="I440" s="14" t="n">
        <x:f>F440/F439-1</x:f>
        <x:v>0</x:v>
      </x:c>
      <x:c r="J440" s="12" t="n">
        <x:v>0</x:v>
      </x:c>
      <x:c r="K440" s="12" t="n">
        <x:v>0</x:v>
      </x:c>
      <x:c r="L440" s="12" t="n">
        <x:v>0</x:v>
      </x:c>
      <x:c r="M440" s="2" t="str">
        <x:v>空仓</x:v>
      </x:c>
    </x:row>
    <x:row r="441" ht="23" customHeight="1">
      <x:c r="A441" s="11" t="d">
        <x:v>2016-09-23T00:00:00.000Z</x:v>
      </x:c>
      <x:c r="B441" s="12" t="n">
        <x:v>171.212462</x:v>
      </x:c>
      <x:c r="C441" s="13" t="n">
        <x:v>373</x:v>
      </x:c>
      <x:c r="D441" s="12" t="n">
        <x:v>80564.27</x:v>
      </x:c>
      <x:c r="E441" s="12" t="n">
        <x:v>0</x:v>
      </x:c>
      <x:c r="F441" s="12" t="n">
        <x:f>SUM(B441,D441:E441)</x:f>
        <x:v>80735.482462</x:v>
      </x:c>
      <x:c r="G441" s="12" t="n">
        <x:f>MAX(G440,F441)</x:f>
        <x:v>100000</x:v>
      </x:c>
      <x:c r="H441" s="14" t="n">
        <x:f>F441/G441-1</x:f>
        <x:v>-0.19264517538000003</x:v>
      </x:c>
      <x:c r="I441" s="14" t="n">
        <x:f>F441/F440-1</x:f>
        <x:v>-0.00435482325149017</x:v>
      </x:c>
      <x:c r="J441" s="12" t="n">
        <x:v>0</x:v>
      </x:c>
      <x:c r="K441" s="12" t="n">
        <x:v>0</x:v>
      </x:c>
      <x:c r="L441" s="12" t="n">
        <x:v>373</x:v>
      </x:c>
      <x:c r="M441" s="2" t="str">
        <x:v>买入</x:v>
      </x:c>
    </x:row>
    <x:row r="442" ht="23" customHeight="1">
      <x:c r="A442" s="11" t="d">
        <x:v>2016-09-26T00:00:00.000Z</x:v>
      </x:c>
      <x:c r="B442" s="12" t="n">
        <x:v>80293.470002</x:v>
      </x:c>
      <x:c r="C442" s="13" t="n">
        <x:v>0</x:v>
      </x:c>
      <x:c r="D442" s="12" t="n">
        <x:v>0</x:v>
      </x:c>
      <x:c r="E442" s="12" t="n">
        <x:v>0</x:v>
      </x:c>
      <x:c r="F442" s="12" t="n">
        <x:f>SUM(B442,D442:E442)</x:f>
        <x:v>80293.470002</x:v>
      </x:c>
      <x:c r="G442" s="12" t="n">
        <x:f>MAX(G441,F442)</x:f>
        <x:v>100000</x:v>
      </x:c>
      <x:c r="H442" s="14" t="n">
        <x:f>F442/G442-1</x:f>
        <x:v>-0.19706529998</x:v>
      </x:c>
      <x:c r="I442" s="14" t="n">
        <x:f>F442/F441-1</x:f>
        <x:v>-0.00547482279811784</x:v>
      </x:c>
      <x:c r="J442" s="12" t="n">
        <x:v>0</x:v>
      </x:c>
      <x:c r="K442" s="12" t="n">
        <x:v>0</x:v>
      </x:c>
      <x:c r="L442" s="12" t="n">
        <x:v>-373</x:v>
      </x:c>
      <x:c r="M442" s="2" t="str">
        <x:v>卖出</x:v>
      </x:c>
    </x:row>
    <x:row r="443" ht="23" customHeight="1">
      <x:c r="A443" s="11" t="d">
        <x:v>2016-09-27T00:00:00.000Z</x:v>
      </x:c>
      <x:c r="B443" s="12" t="n">
        <x:v>80293.470002</x:v>
      </x:c>
      <x:c r="C443" s="13" t="n">
        <x:v>0</x:v>
      </x:c>
      <x:c r="D443" s="12" t="n">
        <x:v>0</x:v>
      </x:c>
      <x:c r="E443" s="12" t="n">
        <x:v>0</x:v>
      </x:c>
      <x:c r="F443" s="12" t="n">
        <x:f>SUM(B443,D443:E443)</x:f>
        <x:v>80293.470002</x:v>
      </x:c>
      <x:c r="G443" s="12" t="n">
        <x:f>MAX(G442,F443)</x:f>
        <x:v>100000</x:v>
      </x:c>
      <x:c r="H443" s="14" t="n">
        <x:f>F443/G443-1</x:f>
        <x:v>-0.19706529998</x:v>
      </x:c>
      <x:c r="I443" s="14" t="n">
        <x:f>F443/F442-1</x:f>
        <x:v>0</x:v>
      </x:c>
      <x:c r="J443" s="12" t="n">
        <x:v>0</x:v>
      </x:c>
      <x:c r="K443" s="12" t="n">
        <x:v>0</x:v>
      </x:c>
      <x:c r="L443" s="12" t="n">
        <x:v>0</x:v>
      </x:c>
      <x:c r="M443" s="2" t="str">
        <x:v>空仓</x:v>
      </x:c>
    </x:row>
    <x:row r="444" ht="23" customHeight="1">
      <x:c r="A444" s="11" t="d">
        <x:v>2016-09-28T00:00:00.000Z</x:v>
      </x:c>
      <x:c r="B444" s="12" t="n">
        <x:v>80293.470002</x:v>
      </x:c>
      <x:c r="C444" s="13" t="n">
        <x:v>0</x:v>
      </x:c>
      <x:c r="D444" s="12" t="n">
        <x:v>0</x:v>
      </x:c>
      <x:c r="E444" s="12" t="n">
        <x:v>0</x:v>
      </x:c>
      <x:c r="F444" s="12" t="n">
        <x:f>SUM(B444,D444:E444)</x:f>
        <x:v>80293.470002</x:v>
      </x:c>
      <x:c r="G444" s="12" t="n">
        <x:f>MAX(G443,F444)</x:f>
        <x:v>100000</x:v>
      </x:c>
      <x:c r="H444" s="14" t="n">
        <x:f>F444/G444-1</x:f>
        <x:v>-0.19706529998</x:v>
      </x:c>
      <x:c r="I444" s="14" t="n">
        <x:f>F444/F443-1</x:f>
        <x:v>0</x:v>
      </x:c>
      <x:c r="J444" s="12" t="n">
        <x:v>0</x:v>
      </x:c>
      <x:c r="K444" s="12" t="n">
        <x:v>0</x:v>
      </x:c>
      <x:c r="L444" s="12" t="n">
        <x:v>0</x:v>
      </x:c>
      <x:c r="M444" s="2" t="str">
        <x:v>空仓</x:v>
      </x:c>
    </x:row>
    <x:row r="445" ht="23" customHeight="1">
      <x:c r="A445" s="11" t="d">
        <x:v>2016-09-29T00:00:00.000Z</x:v>
      </x:c>
      <x:c r="B445" s="12" t="n">
        <x:v>80293.470002</x:v>
      </x:c>
      <x:c r="C445" s="13" t="n">
        <x:v>0</x:v>
      </x:c>
      <x:c r="D445" s="12" t="n">
        <x:v>0</x:v>
      </x:c>
      <x:c r="E445" s="12" t="n">
        <x:v>0</x:v>
      </x:c>
      <x:c r="F445" s="12" t="n">
        <x:f>SUM(B445,D445:E445)</x:f>
        <x:v>80293.470002</x:v>
      </x:c>
      <x:c r="G445" s="12" t="n">
        <x:f>MAX(G444,F445)</x:f>
        <x:v>100000</x:v>
      </x:c>
      <x:c r="H445" s="14" t="n">
        <x:f>F445/G445-1</x:f>
        <x:v>-0.19706529998</x:v>
      </x:c>
      <x:c r="I445" s="14" t="n">
        <x:f>F445/F444-1</x:f>
        <x:v>0</x:v>
      </x:c>
      <x:c r="J445" s="12" t="n">
        <x:v>0</x:v>
      </x:c>
      <x:c r="K445" s="12" t="n">
        <x:v>0</x:v>
      </x:c>
      <x:c r="L445" s="12" t="n">
        <x:v>0</x:v>
      </x:c>
      <x:c r="M445" s="2" t="str">
        <x:v>空仓</x:v>
      </x:c>
    </x:row>
    <x:row r="446" ht="23" customHeight="1">
      <x:c r="A446" s="11" t="d">
        <x:v>2016-09-30T00:00:00.000Z</x:v>
      </x:c>
      <x:c r="B446" s="12" t="n">
        <x:v>80293.470002</x:v>
      </x:c>
      <x:c r="C446" s="13" t="n">
        <x:v>0</x:v>
      </x:c>
      <x:c r="D446" s="12" t="n">
        <x:v>0</x:v>
      </x:c>
      <x:c r="E446" s="12" t="n">
        <x:v>0</x:v>
      </x:c>
      <x:c r="F446" s="12" t="n">
        <x:f>SUM(B446,D446:E446)</x:f>
        <x:v>80293.470002</x:v>
      </x:c>
      <x:c r="G446" s="12" t="n">
        <x:f>MAX(G445,F446)</x:f>
        <x:v>100000</x:v>
      </x:c>
      <x:c r="H446" s="14" t="n">
        <x:f>F446/G446-1</x:f>
        <x:v>-0.19706529998</x:v>
      </x:c>
      <x:c r="I446" s="14" t="n">
        <x:f>F446/F445-1</x:f>
        <x:v>0</x:v>
      </x:c>
      <x:c r="J446" s="12" t="n">
        <x:v>0</x:v>
      </x:c>
      <x:c r="K446" s="12" t="n">
        <x:v>0</x:v>
      </x:c>
      <x:c r="L446" s="12" t="n">
        <x:v>0</x:v>
      </x:c>
      <x:c r="M446" s="2" t="str">
        <x:v>空仓</x:v>
      </x:c>
    </x:row>
    <x:row r="447" ht="23" customHeight="1">
      <x:c r="A447" s="11" t="d">
        <x:v>2016-10-03T00:00:00.000Z</x:v>
      </x:c>
      <x:c r="B447" s="12" t="n">
        <x:v>80293.470002</x:v>
      </x:c>
      <x:c r="C447" s="13" t="n">
        <x:v>0</x:v>
      </x:c>
      <x:c r="D447" s="12" t="n">
        <x:v>0</x:v>
      </x:c>
      <x:c r="E447" s="12" t="n">
        <x:v>0</x:v>
      </x:c>
      <x:c r="F447" s="12" t="n">
        <x:f>SUM(B447,D447:E447)</x:f>
        <x:v>80293.470002</x:v>
      </x:c>
      <x:c r="G447" s="12" t="n">
        <x:f>MAX(G446,F447)</x:f>
        <x:v>100000</x:v>
      </x:c>
      <x:c r="H447" s="14" t="n">
        <x:f>F447/G447-1</x:f>
        <x:v>-0.19706529998</x:v>
      </x:c>
      <x:c r="I447" s="14" t="n">
        <x:f>F447/F446-1</x:f>
        <x:v>0</x:v>
      </x:c>
      <x:c r="J447" s="12" t="n">
        <x:v>0</x:v>
      </x:c>
      <x:c r="K447" s="12" t="n">
        <x:v>0</x:v>
      </x:c>
      <x:c r="L447" s="12" t="n">
        <x:v>0</x:v>
      </x:c>
      <x:c r="M447" s="2" t="str">
        <x:v>空仓</x:v>
      </x:c>
    </x:row>
    <x:row r="448" ht="23" customHeight="1">
      <x:c r="A448" s="11" t="d">
        <x:v>2016-10-04T00:00:00.000Z</x:v>
      </x:c>
      <x:c r="B448" s="12" t="n">
        <x:v>80293.470002</x:v>
      </x:c>
      <x:c r="C448" s="13" t="n">
        <x:v>0</x:v>
      </x:c>
      <x:c r="D448" s="12" t="n">
        <x:v>0</x:v>
      </x:c>
      <x:c r="E448" s="12" t="n">
        <x:v>0</x:v>
      </x:c>
      <x:c r="F448" s="12" t="n">
        <x:f>SUM(B448,D448:E448)</x:f>
        <x:v>80293.470002</x:v>
      </x:c>
      <x:c r="G448" s="12" t="n">
        <x:f>MAX(G447,F448)</x:f>
        <x:v>100000</x:v>
      </x:c>
      <x:c r="H448" s="14" t="n">
        <x:f>F448/G448-1</x:f>
        <x:v>-0.19706529998</x:v>
      </x:c>
      <x:c r="I448" s="14" t="n">
        <x:f>F448/F447-1</x:f>
        <x:v>0</x:v>
      </x:c>
      <x:c r="J448" s="12" t="n">
        <x:v>0</x:v>
      </x:c>
      <x:c r="K448" s="12" t="n">
        <x:v>0</x:v>
      </x:c>
      <x:c r="L448" s="12" t="n">
        <x:v>0</x:v>
      </x:c>
      <x:c r="M448" s="2" t="str">
        <x:v>空仓</x:v>
      </x:c>
    </x:row>
    <x:row r="449" ht="23" customHeight="1">
      <x:c r="A449" s="11" t="d">
        <x:v>2016-10-05T00:00:00.000Z</x:v>
      </x:c>
      <x:c r="B449" s="12" t="n">
        <x:v>80293.470002</x:v>
      </x:c>
      <x:c r="C449" s="13" t="n">
        <x:v>0</x:v>
      </x:c>
      <x:c r="D449" s="12" t="n">
        <x:v>0</x:v>
      </x:c>
      <x:c r="E449" s="12" t="n">
        <x:v>0</x:v>
      </x:c>
      <x:c r="F449" s="12" t="n">
        <x:f>SUM(B449,D449:E449)</x:f>
        <x:v>80293.470002</x:v>
      </x:c>
      <x:c r="G449" s="12" t="n">
        <x:f>MAX(G448,F449)</x:f>
        <x:v>100000</x:v>
      </x:c>
      <x:c r="H449" s="14" t="n">
        <x:f>F449/G449-1</x:f>
        <x:v>-0.19706529998</x:v>
      </x:c>
      <x:c r="I449" s="14" t="n">
        <x:f>F449/F448-1</x:f>
        <x:v>0</x:v>
      </x:c>
      <x:c r="J449" s="12" t="n">
        <x:v>0</x:v>
      </x:c>
      <x:c r="K449" s="12" t="n">
        <x:v>0</x:v>
      </x:c>
      <x:c r="L449" s="12" t="n">
        <x:v>0</x:v>
      </x:c>
      <x:c r="M449" s="2" t="str">
        <x:v>空仓</x:v>
      </x:c>
    </x:row>
    <x:row r="450" ht="23" customHeight="1">
      <x:c r="A450" s="11" t="d">
        <x:v>2016-10-06T00:00:00.000Z</x:v>
      </x:c>
      <x:c r="B450" s="12" t="n">
        <x:v>80293.470002</x:v>
      </x:c>
      <x:c r="C450" s="13" t="n">
        <x:v>0</x:v>
      </x:c>
      <x:c r="D450" s="12" t="n">
        <x:v>0</x:v>
      </x:c>
      <x:c r="E450" s="12" t="n">
        <x:v>0</x:v>
      </x:c>
      <x:c r="F450" s="12" t="n">
        <x:f>SUM(B450,D450:E450)</x:f>
        <x:v>80293.470002</x:v>
      </x:c>
      <x:c r="G450" s="12" t="n">
        <x:f>MAX(G449,F450)</x:f>
        <x:v>100000</x:v>
      </x:c>
      <x:c r="H450" s="14" t="n">
        <x:f>F450/G450-1</x:f>
        <x:v>-0.19706529998</x:v>
      </x:c>
      <x:c r="I450" s="14" t="n">
        <x:f>F450/F449-1</x:f>
        <x:v>0</x:v>
      </x:c>
      <x:c r="J450" s="12" t="n">
        <x:v>0</x:v>
      </x:c>
      <x:c r="K450" s="12" t="n">
        <x:v>0</x:v>
      </x:c>
      <x:c r="L450" s="12" t="n">
        <x:v>0</x:v>
      </x:c>
      <x:c r="M450" s="2" t="str">
        <x:v>空仓</x:v>
      </x:c>
    </x:row>
    <x:row r="451" ht="23" customHeight="1">
      <x:c r="A451" s="11" t="d">
        <x:v>2016-10-07T00:00:00.000Z</x:v>
      </x:c>
      <x:c r="B451" s="12" t="n">
        <x:v>80293.470002</x:v>
      </x:c>
      <x:c r="C451" s="13" t="n">
        <x:v>0</x:v>
      </x:c>
      <x:c r="D451" s="12" t="n">
        <x:v>0</x:v>
      </x:c>
      <x:c r="E451" s="12" t="n">
        <x:v>0</x:v>
      </x:c>
      <x:c r="F451" s="12" t="n">
        <x:f>SUM(B451,D451:E451)</x:f>
        <x:v>80293.470002</x:v>
      </x:c>
      <x:c r="G451" s="12" t="n">
        <x:f>MAX(G450,F451)</x:f>
        <x:v>100000</x:v>
      </x:c>
      <x:c r="H451" s="14" t="n">
        <x:f>F451/G451-1</x:f>
        <x:v>-0.19706529998</x:v>
      </x:c>
      <x:c r="I451" s="14" t="n">
        <x:f>F451/F450-1</x:f>
        <x:v>0</x:v>
      </x:c>
      <x:c r="J451" s="12" t="n">
        <x:v>0</x:v>
      </x:c>
      <x:c r="K451" s="12" t="n">
        <x:v>0</x:v>
      </x:c>
      <x:c r="L451" s="12" t="n">
        <x:v>0</x:v>
      </x:c>
      <x:c r="M451" s="2" t="str">
        <x:v>空仓</x:v>
      </x:c>
    </x:row>
    <x:row r="452" ht="23" customHeight="1">
      <x:c r="A452" s="11" t="d">
        <x:v>2016-10-10T00:00:00.000Z</x:v>
      </x:c>
      <x:c r="B452" s="12" t="n">
        <x:v>80293.470002</x:v>
      </x:c>
      <x:c r="C452" s="13" t="n">
        <x:v>0</x:v>
      </x:c>
      <x:c r="D452" s="12" t="n">
        <x:v>0</x:v>
      </x:c>
      <x:c r="E452" s="12" t="n">
        <x:v>0</x:v>
      </x:c>
      <x:c r="F452" s="12" t="n">
        <x:f>SUM(B452,D452:E452)</x:f>
        <x:v>80293.470002</x:v>
      </x:c>
      <x:c r="G452" s="12" t="n">
        <x:f>MAX(G451,F452)</x:f>
        <x:v>100000</x:v>
      </x:c>
      <x:c r="H452" s="14" t="n">
        <x:f>F452/G452-1</x:f>
        <x:v>-0.19706529998</x:v>
      </x:c>
      <x:c r="I452" s="14" t="n">
        <x:f>F452/F451-1</x:f>
        <x:v>0</x:v>
      </x:c>
      <x:c r="J452" s="12" t="n">
        <x:v>0</x:v>
      </x:c>
      <x:c r="K452" s="12" t="n">
        <x:v>0</x:v>
      </x:c>
      <x:c r="L452" s="12" t="n">
        <x:v>0</x:v>
      </x:c>
      <x:c r="M452" s="2" t="str">
        <x:v>空仓</x:v>
      </x:c>
    </x:row>
    <x:row r="453" ht="23" customHeight="1">
      <x:c r="A453" s="11" t="d">
        <x:v>2016-10-11T00:00:00.000Z</x:v>
      </x:c>
      <x:c r="B453" s="12" t="n">
        <x:v>80293.470002</x:v>
      </x:c>
      <x:c r="C453" s="13" t="n">
        <x:v>0</x:v>
      </x:c>
      <x:c r="D453" s="12" t="n">
        <x:v>0</x:v>
      </x:c>
      <x:c r="E453" s="12" t="n">
        <x:v>0</x:v>
      </x:c>
      <x:c r="F453" s="12" t="n">
        <x:f>SUM(B453,D453:E453)</x:f>
        <x:v>80293.470002</x:v>
      </x:c>
      <x:c r="G453" s="12" t="n">
        <x:f>MAX(G452,F453)</x:f>
        <x:v>100000</x:v>
      </x:c>
      <x:c r="H453" s="14" t="n">
        <x:f>F453/G453-1</x:f>
        <x:v>-0.19706529998</x:v>
      </x:c>
      <x:c r="I453" s="14" t="n">
        <x:f>F453/F452-1</x:f>
        <x:v>0</x:v>
      </x:c>
      <x:c r="J453" s="12" t="n">
        <x:v>0</x:v>
      </x:c>
      <x:c r="K453" s="12" t="n">
        <x:v>0</x:v>
      </x:c>
      <x:c r="L453" s="12" t="n">
        <x:v>0</x:v>
      </x:c>
      <x:c r="M453" s="2" t="str">
        <x:v>空仓</x:v>
      </x:c>
    </x:row>
    <x:row r="454" ht="23" customHeight="1">
      <x:c r="A454" s="11" t="d">
        <x:v>2016-10-12T00:00:00.000Z</x:v>
      </x:c>
      <x:c r="B454" s="12" t="n">
        <x:v>80293.470002</x:v>
      </x:c>
      <x:c r="C454" s="13" t="n">
        <x:v>0</x:v>
      </x:c>
      <x:c r="D454" s="12" t="n">
        <x:v>0</x:v>
      </x:c>
      <x:c r="E454" s="12" t="n">
        <x:v>0</x:v>
      </x:c>
      <x:c r="F454" s="12" t="n">
        <x:f>SUM(B454,D454:E454)</x:f>
        <x:v>80293.470002</x:v>
      </x:c>
      <x:c r="G454" s="12" t="n">
        <x:f>MAX(G453,F454)</x:f>
        <x:v>100000</x:v>
      </x:c>
      <x:c r="H454" s="14" t="n">
        <x:f>F454/G454-1</x:f>
        <x:v>-0.19706529998</x:v>
      </x:c>
      <x:c r="I454" s="14" t="n">
        <x:f>F454/F453-1</x:f>
        <x:v>0</x:v>
      </x:c>
      <x:c r="J454" s="12" t="n">
        <x:v>0</x:v>
      </x:c>
      <x:c r="K454" s="12" t="n">
        <x:v>0</x:v>
      </x:c>
      <x:c r="L454" s="12" t="n">
        <x:v>0</x:v>
      </x:c>
      <x:c r="M454" s="2" t="str">
        <x:v>空仓</x:v>
      </x:c>
    </x:row>
    <x:row r="455" ht="23" customHeight="1">
      <x:c r="A455" s="11" t="d">
        <x:v>2016-10-13T00:00:00.000Z</x:v>
      </x:c>
      <x:c r="B455" s="12" t="n">
        <x:v>80293.470002</x:v>
      </x:c>
      <x:c r="C455" s="13" t="n">
        <x:v>0</x:v>
      </x:c>
      <x:c r="D455" s="12" t="n">
        <x:v>0</x:v>
      </x:c>
      <x:c r="E455" s="12" t="n">
        <x:v>0</x:v>
      </x:c>
      <x:c r="F455" s="12" t="n">
        <x:f>SUM(B455,D455:E455)</x:f>
        <x:v>80293.470002</x:v>
      </x:c>
      <x:c r="G455" s="12" t="n">
        <x:f>MAX(G454,F455)</x:f>
        <x:v>100000</x:v>
      </x:c>
      <x:c r="H455" s="14" t="n">
        <x:f>F455/G455-1</x:f>
        <x:v>-0.19706529998</x:v>
      </x:c>
      <x:c r="I455" s="14" t="n">
        <x:f>F455/F454-1</x:f>
        <x:v>0</x:v>
      </x:c>
      <x:c r="J455" s="12" t="n">
        <x:v>0</x:v>
      </x:c>
      <x:c r="K455" s="12" t="n">
        <x:v>0</x:v>
      </x:c>
      <x:c r="L455" s="12" t="n">
        <x:v>0</x:v>
      </x:c>
      <x:c r="M455" s="2" t="str">
        <x:v>空仓</x:v>
      </x:c>
    </x:row>
    <x:row r="456" ht="23" customHeight="1">
      <x:c r="A456" s="11" t="d">
        <x:v>2016-10-14T00:00:00.000Z</x:v>
      </x:c>
      <x:c r="B456" s="12" t="n">
        <x:v>80293.470002</x:v>
      </x:c>
      <x:c r="C456" s="13" t="n">
        <x:v>0</x:v>
      </x:c>
      <x:c r="D456" s="12" t="n">
        <x:v>0</x:v>
      </x:c>
      <x:c r="E456" s="12" t="n">
        <x:v>0</x:v>
      </x:c>
      <x:c r="F456" s="12" t="n">
        <x:f>SUM(B456,D456:E456)</x:f>
        <x:v>80293.470002</x:v>
      </x:c>
      <x:c r="G456" s="12" t="n">
        <x:f>MAX(G455,F456)</x:f>
        <x:v>100000</x:v>
      </x:c>
      <x:c r="H456" s="14" t="n">
        <x:f>F456/G456-1</x:f>
        <x:v>-0.19706529998</x:v>
      </x:c>
      <x:c r="I456" s="14" t="n">
        <x:f>F456/F455-1</x:f>
        <x:v>0</x:v>
      </x:c>
      <x:c r="J456" s="12" t="n">
        <x:v>0</x:v>
      </x:c>
      <x:c r="K456" s="12" t="n">
        <x:v>0</x:v>
      </x:c>
      <x:c r="L456" s="12" t="n">
        <x:v>0</x:v>
      </x:c>
      <x:c r="M456" s="2" t="str">
        <x:v>空仓</x:v>
      </x:c>
    </x:row>
    <x:row r="457" ht="23" customHeight="1">
      <x:c r="A457" s="11" t="d">
        <x:v>2016-10-17T00:00:00.000Z</x:v>
      </x:c>
      <x:c r="B457" s="12" t="n">
        <x:v>80293.470002</x:v>
      </x:c>
      <x:c r="C457" s="13" t="n">
        <x:v>0</x:v>
      </x:c>
      <x:c r="D457" s="12" t="n">
        <x:v>0</x:v>
      </x:c>
      <x:c r="E457" s="12" t="n">
        <x:v>0</x:v>
      </x:c>
      <x:c r="F457" s="12" t="n">
        <x:f>SUM(B457,D457:E457)</x:f>
        <x:v>80293.470002</x:v>
      </x:c>
      <x:c r="G457" s="12" t="n">
        <x:f>MAX(G456,F457)</x:f>
        <x:v>100000</x:v>
      </x:c>
      <x:c r="H457" s="14" t="n">
        <x:f>F457/G457-1</x:f>
        <x:v>-0.19706529998</x:v>
      </x:c>
      <x:c r="I457" s="14" t="n">
        <x:f>F457/F456-1</x:f>
        <x:v>0</x:v>
      </x:c>
      <x:c r="J457" s="12" t="n">
        <x:v>0</x:v>
      </x:c>
      <x:c r="K457" s="12" t="n">
        <x:v>0</x:v>
      </x:c>
      <x:c r="L457" s="12" t="n">
        <x:v>0</x:v>
      </x:c>
      <x:c r="M457" s="2" t="str">
        <x:v>空仓</x:v>
      </x:c>
    </x:row>
    <x:row r="458" ht="23" customHeight="1">
      <x:c r="A458" s="11" t="d">
        <x:v>2016-10-18T00:00:00.000Z</x:v>
      </x:c>
      <x:c r="B458" s="12" t="n">
        <x:v>80293.470002</x:v>
      </x:c>
      <x:c r="C458" s="13" t="n">
        <x:v>0</x:v>
      </x:c>
      <x:c r="D458" s="12" t="n">
        <x:v>0</x:v>
      </x:c>
      <x:c r="E458" s="12" t="n">
        <x:v>0</x:v>
      </x:c>
      <x:c r="F458" s="12" t="n">
        <x:f>SUM(B458,D458:E458)</x:f>
        <x:v>80293.470002</x:v>
      </x:c>
      <x:c r="G458" s="12" t="n">
        <x:f>MAX(G457,F458)</x:f>
        <x:v>100000</x:v>
      </x:c>
      <x:c r="H458" s="14" t="n">
        <x:f>F458/G458-1</x:f>
        <x:v>-0.19706529998</x:v>
      </x:c>
      <x:c r="I458" s="14" t="n">
        <x:f>F458/F457-1</x:f>
        <x:v>0</x:v>
      </x:c>
      <x:c r="J458" s="12" t="n">
        <x:v>0</x:v>
      </x:c>
      <x:c r="K458" s="12" t="n">
        <x:v>0</x:v>
      </x:c>
      <x:c r="L458" s="12" t="n">
        <x:v>0</x:v>
      </x:c>
      <x:c r="M458" s="2" t="str">
        <x:v>空仓</x:v>
      </x:c>
    </x:row>
    <x:row r="459" ht="23" customHeight="1">
      <x:c r="A459" s="11" t="d">
        <x:v>2016-10-19T00:00:00.000Z</x:v>
      </x:c>
      <x:c r="B459" s="12" t="n">
        <x:v>80293.470002</x:v>
      </x:c>
      <x:c r="C459" s="13" t="n">
        <x:v>0</x:v>
      </x:c>
      <x:c r="D459" s="12" t="n">
        <x:v>0</x:v>
      </x:c>
      <x:c r="E459" s="12" t="n">
        <x:v>0</x:v>
      </x:c>
      <x:c r="F459" s="12" t="n">
        <x:f>SUM(B459,D459:E459)</x:f>
        <x:v>80293.470002</x:v>
      </x:c>
      <x:c r="G459" s="12" t="n">
        <x:f>MAX(G458,F459)</x:f>
        <x:v>100000</x:v>
      </x:c>
      <x:c r="H459" s="14" t="n">
        <x:f>F459/G459-1</x:f>
        <x:v>-0.19706529998</x:v>
      </x:c>
      <x:c r="I459" s="14" t="n">
        <x:f>F459/F458-1</x:f>
        <x:v>0</x:v>
      </x:c>
      <x:c r="J459" s="12" t="n">
        <x:v>0</x:v>
      </x:c>
      <x:c r="K459" s="12" t="n">
        <x:v>0</x:v>
      </x:c>
      <x:c r="L459" s="12" t="n">
        <x:v>0</x:v>
      </x:c>
      <x:c r="M459" s="2" t="str">
        <x:v>空仓</x:v>
      </x:c>
    </x:row>
    <x:row r="460" ht="23" customHeight="1">
      <x:c r="A460" s="11" t="d">
        <x:v>2016-10-20T00:00:00.000Z</x:v>
      </x:c>
      <x:c r="B460" s="12" t="n">
        <x:v>80293.470002</x:v>
      </x:c>
      <x:c r="C460" s="13" t="n">
        <x:v>0</x:v>
      </x:c>
      <x:c r="D460" s="12" t="n">
        <x:v>0</x:v>
      </x:c>
      <x:c r="E460" s="12" t="n">
        <x:v>0</x:v>
      </x:c>
      <x:c r="F460" s="12" t="n">
        <x:f>SUM(B460,D460:E460)</x:f>
        <x:v>80293.470002</x:v>
      </x:c>
      <x:c r="G460" s="12" t="n">
        <x:f>MAX(G459,F460)</x:f>
        <x:v>100000</x:v>
      </x:c>
      <x:c r="H460" s="14" t="n">
        <x:f>F460/G460-1</x:f>
        <x:v>-0.19706529998</x:v>
      </x:c>
      <x:c r="I460" s="14" t="n">
        <x:f>F460/F459-1</x:f>
        <x:v>0</x:v>
      </x:c>
      <x:c r="J460" s="12" t="n">
        <x:v>0</x:v>
      </x:c>
      <x:c r="K460" s="12" t="n">
        <x:v>0</x:v>
      </x:c>
      <x:c r="L460" s="12" t="n">
        <x:v>0</x:v>
      </x:c>
      <x:c r="M460" s="2" t="str">
        <x:v>空仓</x:v>
      </x:c>
    </x:row>
    <x:row r="461" ht="23" customHeight="1">
      <x:c r="A461" s="11" t="d">
        <x:v>2016-10-21T00:00:00.000Z</x:v>
      </x:c>
      <x:c r="B461" s="12" t="n">
        <x:v>80293.470002</x:v>
      </x:c>
      <x:c r="C461" s="13" t="n">
        <x:v>0</x:v>
      </x:c>
      <x:c r="D461" s="12" t="n">
        <x:v>0</x:v>
      </x:c>
      <x:c r="E461" s="12" t="n">
        <x:v>0</x:v>
      </x:c>
      <x:c r="F461" s="12" t="n">
        <x:f>SUM(B461,D461:E461)</x:f>
        <x:v>80293.470002</x:v>
      </x:c>
      <x:c r="G461" s="12" t="n">
        <x:f>MAX(G460,F461)</x:f>
        <x:v>100000</x:v>
      </x:c>
      <x:c r="H461" s="14" t="n">
        <x:f>F461/G461-1</x:f>
        <x:v>-0.19706529998</x:v>
      </x:c>
      <x:c r="I461" s="14" t="n">
        <x:f>F461/F460-1</x:f>
        <x:v>0</x:v>
      </x:c>
      <x:c r="J461" s="12" t="n">
        <x:v>0</x:v>
      </x:c>
      <x:c r="K461" s="12" t="n">
        <x:v>0</x:v>
      </x:c>
      <x:c r="L461" s="12" t="n">
        <x:v>0</x:v>
      </x:c>
      <x:c r="M461" s="2" t="str">
        <x:v>空仓</x:v>
      </x:c>
    </x:row>
    <x:row r="462" ht="23" customHeight="1">
      <x:c r="A462" s="11" t="d">
        <x:v>2016-10-24T00:00:00.000Z</x:v>
      </x:c>
      <x:c r="B462" s="12" t="n">
        <x:v>80293.470002</x:v>
      </x:c>
      <x:c r="C462" s="13" t="n">
        <x:v>0</x:v>
      </x:c>
      <x:c r="D462" s="12" t="n">
        <x:v>0</x:v>
      </x:c>
      <x:c r="E462" s="12" t="n">
        <x:v>0</x:v>
      </x:c>
      <x:c r="F462" s="12" t="n">
        <x:f>SUM(B462,D462:E462)</x:f>
        <x:v>80293.470002</x:v>
      </x:c>
      <x:c r="G462" s="12" t="n">
        <x:f>MAX(G461,F462)</x:f>
        <x:v>100000</x:v>
      </x:c>
      <x:c r="H462" s="14" t="n">
        <x:f>F462/G462-1</x:f>
        <x:v>-0.19706529998</x:v>
      </x:c>
      <x:c r="I462" s="14" t="n">
        <x:f>F462/F461-1</x:f>
        <x:v>0</x:v>
      </x:c>
      <x:c r="J462" s="12" t="n">
        <x:v>0</x:v>
      </x:c>
      <x:c r="K462" s="12" t="n">
        <x:v>0</x:v>
      </x:c>
      <x:c r="L462" s="12" t="n">
        <x:v>0</x:v>
      </x:c>
      <x:c r="M462" s="2" t="str">
        <x:v>空仓</x:v>
      </x:c>
    </x:row>
    <x:row r="463" ht="23" customHeight="1">
      <x:c r="A463" s="11" t="d">
        <x:v>2016-10-25T00:00:00.000Z</x:v>
      </x:c>
      <x:c r="B463" s="12" t="n">
        <x:v>80293.470002</x:v>
      </x:c>
      <x:c r="C463" s="13" t="n">
        <x:v>0</x:v>
      </x:c>
      <x:c r="D463" s="12" t="n">
        <x:v>0</x:v>
      </x:c>
      <x:c r="E463" s="12" t="n">
        <x:v>0</x:v>
      </x:c>
      <x:c r="F463" s="12" t="n">
        <x:f>SUM(B463,D463:E463)</x:f>
        <x:v>80293.470002</x:v>
      </x:c>
      <x:c r="G463" s="12" t="n">
        <x:f>MAX(G462,F463)</x:f>
        <x:v>100000</x:v>
      </x:c>
      <x:c r="H463" s="14" t="n">
        <x:f>F463/G463-1</x:f>
        <x:v>-0.19706529998</x:v>
      </x:c>
      <x:c r="I463" s="14" t="n">
        <x:f>F463/F462-1</x:f>
        <x:v>0</x:v>
      </x:c>
      <x:c r="J463" s="12" t="n">
        <x:v>0</x:v>
      </x:c>
      <x:c r="K463" s="12" t="n">
        <x:v>0</x:v>
      </x:c>
      <x:c r="L463" s="12" t="n">
        <x:v>0</x:v>
      </x:c>
      <x:c r="M463" s="2" t="str">
        <x:v>空仓</x:v>
      </x:c>
    </x:row>
    <x:row r="464" ht="23" customHeight="1">
      <x:c r="A464" s="11" t="d">
        <x:v>2016-10-26T00:00:00.000Z</x:v>
      </x:c>
      <x:c r="B464" s="12" t="n">
        <x:v>80293.470002</x:v>
      </x:c>
      <x:c r="C464" s="13" t="n">
        <x:v>0</x:v>
      </x:c>
      <x:c r="D464" s="12" t="n">
        <x:v>0</x:v>
      </x:c>
      <x:c r="E464" s="12" t="n">
        <x:v>0</x:v>
      </x:c>
      <x:c r="F464" s="12" t="n">
        <x:f>SUM(B464,D464:E464)</x:f>
        <x:v>80293.470002</x:v>
      </x:c>
      <x:c r="G464" s="12" t="n">
        <x:f>MAX(G463,F464)</x:f>
        <x:v>100000</x:v>
      </x:c>
      <x:c r="H464" s="14" t="n">
        <x:f>F464/G464-1</x:f>
        <x:v>-0.19706529998</x:v>
      </x:c>
      <x:c r="I464" s="14" t="n">
        <x:f>F464/F463-1</x:f>
        <x:v>0</x:v>
      </x:c>
      <x:c r="J464" s="12" t="n">
        <x:v>0</x:v>
      </x:c>
      <x:c r="K464" s="12" t="n">
        <x:v>0</x:v>
      </x:c>
      <x:c r="L464" s="12" t="n">
        <x:v>0</x:v>
      </x:c>
      <x:c r="M464" s="2" t="str">
        <x:v>空仓</x:v>
      </x:c>
    </x:row>
    <x:row r="465" ht="23" customHeight="1">
      <x:c r="A465" s="11" t="d">
        <x:v>2016-10-27T00:00:00.000Z</x:v>
      </x:c>
      <x:c r="B465" s="12" t="n">
        <x:v>80293.470002</x:v>
      </x:c>
      <x:c r="C465" s="13" t="n">
        <x:v>0</x:v>
      </x:c>
      <x:c r="D465" s="12" t="n">
        <x:v>0</x:v>
      </x:c>
      <x:c r="E465" s="12" t="n">
        <x:v>0</x:v>
      </x:c>
      <x:c r="F465" s="12" t="n">
        <x:f>SUM(B465,D465:E465)</x:f>
        <x:v>80293.470002</x:v>
      </x:c>
      <x:c r="G465" s="12" t="n">
        <x:f>MAX(G464,F465)</x:f>
        <x:v>100000</x:v>
      </x:c>
      <x:c r="H465" s="14" t="n">
        <x:f>F465/G465-1</x:f>
        <x:v>-0.19706529998</x:v>
      </x:c>
      <x:c r="I465" s="14" t="n">
        <x:f>F465/F464-1</x:f>
        <x:v>0</x:v>
      </x:c>
      <x:c r="J465" s="12" t="n">
        <x:v>0</x:v>
      </x:c>
      <x:c r="K465" s="12" t="n">
        <x:v>0</x:v>
      </x:c>
      <x:c r="L465" s="12" t="n">
        <x:v>0</x:v>
      </x:c>
      <x:c r="M465" s="2" t="str">
        <x:v>空仓</x:v>
      </x:c>
    </x:row>
    <x:row r="466" ht="23" customHeight="1">
      <x:c r="A466" s="11" t="d">
        <x:v>2016-10-28T00:00:00.000Z</x:v>
      </x:c>
      <x:c r="B466" s="12" t="n">
        <x:v>80293.470002</x:v>
      </x:c>
      <x:c r="C466" s="13" t="n">
        <x:v>0</x:v>
      </x:c>
      <x:c r="D466" s="12" t="n">
        <x:v>0</x:v>
      </x:c>
      <x:c r="E466" s="12" t="n">
        <x:v>0</x:v>
      </x:c>
      <x:c r="F466" s="12" t="n">
        <x:f>SUM(B466,D466:E466)</x:f>
        <x:v>80293.470002</x:v>
      </x:c>
      <x:c r="G466" s="12" t="n">
        <x:f>MAX(G465,F466)</x:f>
        <x:v>100000</x:v>
      </x:c>
      <x:c r="H466" s="14" t="n">
        <x:f>F466/G466-1</x:f>
        <x:v>-0.19706529998</x:v>
      </x:c>
      <x:c r="I466" s="14" t="n">
        <x:f>F466/F465-1</x:f>
        <x:v>0</x:v>
      </x:c>
      <x:c r="J466" s="12" t="n">
        <x:v>0</x:v>
      </x:c>
      <x:c r="K466" s="12" t="n">
        <x:v>0</x:v>
      </x:c>
      <x:c r="L466" s="12" t="n">
        <x:v>0</x:v>
      </x:c>
      <x:c r="M466" s="2" t="str">
        <x:v>空仓</x:v>
      </x:c>
    </x:row>
    <x:row r="467" ht="23" customHeight="1">
      <x:c r="A467" s="11" t="d">
        <x:v>2016-10-31T00:00:00.000Z</x:v>
      </x:c>
      <x:c r="B467" s="12" t="n">
        <x:v>80293.470002</x:v>
      </x:c>
      <x:c r="C467" s="13" t="n">
        <x:v>0</x:v>
      </x:c>
      <x:c r="D467" s="12" t="n">
        <x:v>0</x:v>
      </x:c>
      <x:c r="E467" s="12" t="n">
        <x:v>0</x:v>
      </x:c>
      <x:c r="F467" s="12" t="n">
        <x:f>SUM(B467,D467:E467)</x:f>
        <x:v>80293.470002</x:v>
      </x:c>
      <x:c r="G467" s="12" t="n">
        <x:f>MAX(G466,F467)</x:f>
        <x:v>100000</x:v>
      </x:c>
      <x:c r="H467" s="14" t="n">
        <x:f>F467/G467-1</x:f>
        <x:v>-0.19706529998</x:v>
      </x:c>
      <x:c r="I467" s="14" t="n">
        <x:f>F467/F466-1</x:f>
        <x:v>0</x:v>
      </x:c>
      <x:c r="J467" s="12" t="n">
        <x:v>0</x:v>
      </x:c>
      <x:c r="K467" s="12" t="n">
        <x:v>0</x:v>
      </x:c>
      <x:c r="L467" s="12" t="n">
        <x:v>0</x:v>
      </x:c>
      <x:c r="M467" s="2" t="str">
        <x:v>空仓</x:v>
      </x:c>
    </x:row>
    <x:row r="468" ht="23" customHeight="1">
      <x:c r="A468" s="11" t="d">
        <x:v>2016-11-01T00:00:00.000Z</x:v>
      </x:c>
      <x:c r="B468" s="12" t="n">
        <x:v>80293.470002</x:v>
      </x:c>
      <x:c r="C468" s="13" t="n">
        <x:v>0</x:v>
      </x:c>
      <x:c r="D468" s="12" t="n">
        <x:v>0</x:v>
      </x:c>
      <x:c r="E468" s="12" t="n">
        <x:v>0</x:v>
      </x:c>
      <x:c r="F468" s="12" t="n">
        <x:f>SUM(B468,D468:E468)</x:f>
        <x:v>80293.470002</x:v>
      </x:c>
      <x:c r="G468" s="12" t="n">
        <x:f>MAX(G467,F468)</x:f>
        <x:v>100000</x:v>
      </x:c>
      <x:c r="H468" s="14" t="n">
        <x:f>F468/G468-1</x:f>
        <x:v>-0.19706529998</x:v>
      </x:c>
      <x:c r="I468" s="14" t="n">
        <x:f>F468/F467-1</x:f>
        <x:v>0</x:v>
      </x:c>
      <x:c r="J468" s="12" t="n">
        <x:v>0</x:v>
      </x:c>
      <x:c r="K468" s="12" t="n">
        <x:v>0</x:v>
      </x:c>
      <x:c r="L468" s="12" t="n">
        <x:v>0</x:v>
      </x:c>
      <x:c r="M468" s="2" t="str">
        <x:v>空仓</x:v>
      </x:c>
    </x:row>
    <x:row r="469" ht="23" customHeight="1">
      <x:c r="A469" s="11" t="d">
        <x:v>2016-11-02T00:00:00.000Z</x:v>
      </x:c>
      <x:c r="B469" s="12" t="n">
        <x:v>80293.470002</x:v>
      </x:c>
      <x:c r="C469" s="13" t="n">
        <x:v>0</x:v>
      </x:c>
      <x:c r="D469" s="12" t="n">
        <x:v>0</x:v>
      </x:c>
      <x:c r="E469" s="12" t="n">
        <x:v>0</x:v>
      </x:c>
      <x:c r="F469" s="12" t="n">
        <x:f>SUM(B469,D469:E469)</x:f>
        <x:v>80293.470002</x:v>
      </x:c>
      <x:c r="G469" s="12" t="n">
        <x:f>MAX(G468,F469)</x:f>
        <x:v>100000</x:v>
      </x:c>
      <x:c r="H469" s="14" t="n">
        <x:f>F469/G469-1</x:f>
        <x:v>-0.19706529998</x:v>
      </x:c>
      <x:c r="I469" s="14" t="n">
        <x:f>F469/F468-1</x:f>
        <x:v>0</x:v>
      </x:c>
      <x:c r="J469" s="12" t="n">
        <x:v>0</x:v>
      </x:c>
      <x:c r="K469" s="12" t="n">
        <x:v>0</x:v>
      </x:c>
      <x:c r="L469" s="12" t="n">
        <x:v>0</x:v>
      </x:c>
      <x:c r="M469" s="2" t="str">
        <x:v>空仓</x:v>
      </x:c>
    </x:row>
    <x:row r="470" ht="23" customHeight="1">
      <x:c r="A470" s="11" t="d">
        <x:v>2016-11-03T00:00:00.000Z</x:v>
      </x:c>
      <x:c r="B470" s="12" t="n">
        <x:v>80293.470002</x:v>
      </x:c>
      <x:c r="C470" s="13" t="n">
        <x:v>0</x:v>
      </x:c>
      <x:c r="D470" s="12" t="n">
        <x:v>0</x:v>
      </x:c>
      <x:c r="E470" s="12" t="n">
        <x:v>0</x:v>
      </x:c>
      <x:c r="F470" s="12" t="n">
        <x:f>SUM(B470,D470:E470)</x:f>
        <x:v>80293.470002</x:v>
      </x:c>
      <x:c r="G470" s="12" t="n">
        <x:f>MAX(G469,F470)</x:f>
        <x:v>100000</x:v>
      </x:c>
      <x:c r="H470" s="14" t="n">
        <x:f>F470/G470-1</x:f>
        <x:v>-0.19706529998</x:v>
      </x:c>
      <x:c r="I470" s="14" t="n">
        <x:f>F470/F469-1</x:f>
        <x:v>0</x:v>
      </x:c>
      <x:c r="J470" s="12" t="n">
        <x:v>0</x:v>
      </x:c>
      <x:c r="K470" s="12" t="n">
        <x:v>0</x:v>
      </x:c>
      <x:c r="L470" s="12" t="n">
        <x:v>0</x:v>
      </x:c>
      <x:c r="M470" s="2" t="str">
        <x:v>空仓</x:v>
      </x:c>
    </x:row>
    <x:row r="471" ht="23" customHeight="1">
      <x:c r="A471" s="11" t="d">
        <x:v>2016-11-04T00:00:00.000Z</x:v>
      </x:c>
      <x:c r="B471" s="12" t="n">
        <x:v>80293.470002</x:v>
      </x:c>
      <x:c r="C471" s="13" t="n">
        <x:v>0</x:v>
      </x:c>
      <x:c r="D471" s="12" t="n">
        <x:v>0</x:v>
      </x:c>
      <x:c r="E471" s="12" t="n">
        <x:v>0</x:v>
      </x:c>
      <x:c r="F471" s="12" t="n">
        <x:f>SUM(B471,D471:E471)</x:f>
        <x:v>80293.470002</x:v>
      </x:c>
      <x:c r="G471" s="12" t="n">
        <x:f>MAX(G470,F471)</x:f>
        <x:v>100000</x:v>
      </x:c>
      <x:c r="H471" s="14" t="n">
        <x:f>F471/G471-1</x:f>
        <x:v>-0.19706529998</x:v>
      </x:c>
      <x:c r="I471" s="14" t="n">
        <x:f>F471/F470-1</x:f>
        <x:v>0</x:v>
      </x:c>
      <x:c r="J471" s="12" t="n">
        <x:v>0</x:v>
      </x:c>
      <x:c r="K471" s="12" t="n">
        <x:v>0</x:v>
      </x:c>
      <x:c r="L471" s="12" t="n">
        <x:v>0</x:v>
      </x:c>
      <x:c r="M471" s="2" t="str">
        <x:v>空仓</x:v>
      </x:c>
    </x:row>
    <x:row r="472" ht="23" customHeight="1">
      <x:c r="A472" s="11" t="d">
        <x:v>2016-11-07T00:00:00.000Z</x:v>
      </x:c>
      <x:c r="B472" s="12" t="n">
        <x:v>80293.470002</x:v>
      </x:c>
      <x:c r="C472" s="13" t="n">
        <x:v>0</x:v>
      </x:c>
      <x:c r="D472" s="12" t="n">
        <x:v>0</x:v>
      </x:c>
      <x:c r="E472" s="12" t="n">
        <x:v>0</x:v>
      </x:c>
      <x:c r="F472" s="12" t="n">
        <x:f>SUM(B472,D472:E472)</x:f>
        <x:v>80293.470002</x:v>
      </x:c>
      <x:c r="G472" s="12" t="n">
        <x:f>MAX(G471,F472)</x:f>
        <x:v>100000</x:v>
      </x:c>
      <x:c r="H472" s="14" t="n">
        <x:f>F472/G472-1</x:f>
        <x:v>-0.19706529998</x:v>
      </x:c>
      <x:c r="I472" s="14" t="n">
        <x:f>F472/F471-1</x:f>
        <x:v>0</x:v>
      </x:c>
      <x:c r="J472" s="12" t="n">
        <x:v>0</x:v>
      </x:c>
      <x:c r="K472" s="12" t="n">
        <x:v>0</x:v>
      </x:c>
      <x:c r="L472" s="12" t="n">
        <x:v>0</x:v>
      </x:c>
      <x:c r="M472" s="2" t="str">
        <x:v>空仓</x:v>
      </x:c>
    </x:row>
    <x:row r="473" ht="23" customHeight="1">
      <x:c r="A473" s="11" t="d">
        <x:v>2016-11-08T00:00:00.000Z</x:v>
      </x:c>
      <x:c r="B473" s="12" t="n">
        <x:v>80293.470002</x:v>
      </x:c>
      <x:c r="C473" s="13" t="n">
        <x:v>0</x:v>
      </x:c>
      <x:c r="D473" s="12" t="n">
        <x:v>0</x:v>
      </x:c>
      <x:c r="E473" s="12" t="n">
        <x:v>0</x:v>
      </x:c>
      <x:c r="F473" s="12" t="n">
        <x:f>SUM(B473,D473:E473)</x:f>
        <x:v>80293.470002</x:v>
      </x:c>
      <x:c r="G473" s="12" t="n">
        <x:f>MAX(G472,F473)</x:f>
        <x:v>100000</x:v>
      </x:c>
      <x:c r="H473" s="14" t="n">
        <x:f>F473/G473-1</x:f>
        <x:v>-0.19706529998</x:v>
      </x:c>
      <x:c r="I473" s="14" t="n">
        <x:f>F473/F472-1</x:f>
        <x:v>0</x:v>
      </x:c>
      <x:c r="J473" s="12" t="n">
        <x:v>0</x:v>
      </x:c>
      <x:c r="K473" s="12" t="n">
        <x:v>0</x:v>
      </x:c>
      <x:c r="L473" s="12" t="n">
        <x:v>0</x:v>
      </x:c>
      <x:c r="M473" s="2" t="str">
        <x:v>空仓</x:v>
      </x:c>
    </x:row>
    <x:row r="474" ht="23" customHeight="1">
      <x:c r="A474" s="11" t="d">
        <x:v>2016-11-09T00:00:00.000Z</x:v>
      </x:c>
      <x:c r="B474" s="12" t="n">
        <x:v>80293.470002</x:v>
      </x:c>
      <x:c r="C474" s="13" t="n">
        <x:v>0</x:v>
      </x:c>
      <x:c r="D474" s="12" t="n">
        <x:v>0</x:v>
      </x:c>
      <x:c r="E474" s="12" t="n">
        <x:v>0</x:v>
      </x:c>
      <x:c r="F474" s="12" t="n">
        <x:f>SUM(B474,D474:E474)</x:f>
        <x:v>80293.470002</x:v>
      </x:c>
      <x:c r="G474" s="12" t="n">
        <x:f>MAX(G473,F474)</x:f>
        <x:v>100000</x:v>
      </x:c>
      <x:c r="H474" s="14" t="n">
        <x:f>F474/G474-1</x:f>
        <x:v>-0.19706529998</x:v>
      </x:c>
      <x:c r="I474" s="14" t="n">
        <x:f>F474/F473-1</x:f>
        <x:v>0</x:v>
      </x:c>
      <x:c r="J474" s="12" t="n">
        <x:v>0</x:v>
      </x:c>
      <x:c r="K474" s="12" t="n">
        <x:v>0</x:v>
      </x:c>
      <x:c r="L474" s="12" t="n">
        <x:v>0</x:v>
      </x:c>
      <x:c r="M474" s="2" t="str">
        <x:v>空仓</x:v>
      </x:c>
    </x:row>
    <x:row r="475" ht="23" customHeight="1">
      <x:c r="A475" s="11" t="d">
        <x:v>2016-11-10T00:00:00.000Z</x:v>
      </x:c>
      <x:c r="B475" s="12" t="n">
        <x:v>29.586302</x:v>
      </x:c>
      <x:c r="C475" s="13" t="n">
        <x:v>369</x:v>
      </x:c>
      <x:c r="D475" s="12" t="n">
        <x:v>80043.48</x:v>
      </x:c>
      <x:c r="E475" s="12" t="n">
        <x:v>0</x:v>
      </x:c>
      <x:c r="F475" s="12" t="n">
        <x:f>SUM(B475,D475:E475)</x:f>
        <x:v>80073.06630199999</x:v>
      </x:c>
      <x:c r="G475" s="12" t="n">
        <x:f>MAX(G474,F475)</x:f>
        <x:v>100000</x:v>
      </x:c>
      <x:c r="H475" s="14" t="n">
        <x:f>F475/G475-1</x:f>
        <x:v>-0.19926933698000004</x:v>
      </x:c>
      <x:c r="I475" s="14" t="n">
        <x:f>F475/F474-1</x:f>
        <x:v>-0.00274497664622686</x:v>
      </x:c>
      <x:c r="J475" s="12" t="n">
        <x:v>0</x:v>
      </x:c>
      <x:c r="K475" s="12" t="n">
        <x:v>0</x:v>
      </x:c>
      <x:c r="L475" s="12" t="n">
        <x:v>369</x:v>
      </x:c>
      <x:c r="M475" s="2" t="str">
        <x:v>买入</x:v>
      </x:c>
    </x:row>
    <x:row r="476" ht="23" customHeight="1">
      <x:c r="A476" s="11" t="d">
        <x:v>2016-11-11T00:00:00.000Z</x:v>
      </x:c>
      <x:c r="B476" s="12" t="n">
        <x:v>29.586302</x:v>
      </x:c>
      <x:c r="C476" s="13" t="n">
        <x:v>369</x:v>
      </x:c>
      <x:c r="D476" s="12" t="n">
        <x:v>79858.98</x:v>
      </x:c>
      <x:c r="E476" s="12" t="n">
        <x:v>0</x:v>
      </x:c>
      <x:c r="F476" s="12" t="n">
        <x:f>SUM(B476,D476:E476)</x:f>
        <x:v>79888.56630199999</x:v>
      </x:c>
      <x:c r="G476" s="12" t="n">
        <x:f>MAX(G475,F476)</x:f>
        <x:v>100000</x:v>
      </x:c>
      <x:c r="H476" s="14" t="n">
        <x:f>F476/G476-1</x:f>
        <x:v>-0.20111433698000003</x:v>
      </x:c>
      <x:c r="I476" s="14" t="n">
        <x:f>F476/F475-1</x:f>
        <x:v>-0.002304145557560533</x:v>
      </x:c>
      <x:c r="J476" s="12" t="n">
        <x:v>0</x:v>
      </x:c>
      <x:c r="K476" s="12" t="n">
        <x:v>0</x:v>
      </x:c>
      <x:c r="L476" s="12" t="n">
        <x:v>0</x:v>
      </x:c>
      <x:c r="M476" s="2" t="str">
        <x:v>持有</x:v>
      </x:c>
    </x:row>
    <x:row r="477" ht="23" customHeight="1">
      <x:c r="A477" s="11" t="d">
        <x:v>2016-11-14T00:00:00.000Z</x:v>
      </x:c>
      <x:c r="B477" s="12" t="n">
        <x:v>29.586302</x:v>
      </x:c>
      <x:c r="C477" s="13" t="n">
        <x:v>369</x:v>
      </x:c>
      <x:c r="D477" s="12" t="n">
        <x:v>79921.71</x:v>
      </x:c>
      <x:c r="E477" s="12" t="n">
        <x:v>0</x:v>
      </x:c>
      <x:c r="F477" s="12" t="n">
        <x:f>SUM(B477,D477:E477)</x:f>
        <x:v>79951.296302</x:v>
      </x:c>
      <x:c r="G477" s="12" t="n">
        <x:f>MAX(G476,F477)</x:f>
        <x:v>100000</x:v>
      </x:c>
      <x:c r="H477" s="14" t="n">
        <x:f>F477/G477-1</x:f>
        <x:v>-0.20048703697999992</x:v>
      </x:c>
      <x:c r="I477" s="14" t="n">
        <x:f>F477/F476-1</x:f>
        <x:v>0.0007852187478603057</x:v>
      </x:c>
      <x:c r="J477" s="12" t="n">
        <x:v>0</x:v>
      </x:c>
      <x:c r="K477" s="12" t="n">
        <x:v>0</x:v>
      </x:c>
      <x:c r="L477" s="12" t="n">
        <x:v>0</x:v>
      </x:c>
      <x:c r="M477" s="2" t="str">
        <x:v>持有</x:v>
      </x:c>
    </x:row>
    <x:row r="478" ht="23" customHeight="1">
      <x:c r="A478" s="11" t="d">
        <x:v>2016-11-15T00:00:00.000Z</x:v>
      </x:c>
      <x:c r="B478" s="12" t="n">
        <x:v>29.586302</x:v>
      </x:c>
      <x:c r="C478" s="13" t="n">
        <x:v>369</x:v>
      </x:c>
      <x:c r="D478" s="12" t="n">
        <x:v>80545.32</x:v>
      </x:c>
      <x:c r="E478" s="12" t="n">
        <x:v>0</x:v>
      </x:c>
      <x:c r="F478" s="12" t="n">
        <x:f>SUM(B478,D478:E478)</x:f>
        <x:v>80574.906302</x:v>
      </x:c>
      <x:c r="G478" s="12" t="n">
        <x:f>MAX(G477,F478)</x:f>
        <x:v>100000</x:v>
      </x:c>
      <x:c r="H478" s="14" t="n">
        <x:f>F478/G478-1</x:f>
        <x:v>-0.19425093697999996</x:v>
      </x:c>
      <x:c r="I478" s="14" t="n">
        <x:f>F478/F477-1</x:f>
        <x:v>0.007799873533562707</x:v>
      </x:c>
      <x:c r="J478" s="12" t="n">
        <x:v>0</x:v>
      </x:c>
      <x:c r="K478" s="12" t="n">
        <x:v>0</x:v>
      </x:c>
      <x:c r="L478" s="12" t="n">
        <x:v>0</x:v>
      </x:c>
      <x:c r="M478" s="2" t="str">
        <x:v>持有</x:v>
      </x:c>
    </x:row>
    <x:row r="479" ht="23" customHeight="1">
      <x:c r="A479" s="11" t="d">
        <x:v>2016-11-16T00:00:00.000Z</x:v>
      </x:c>
      <x:c r="B479" s="12" t="n">
        <x:v>29.586302</x:v>
      </x:c>
      <x:c r="C479" s="13" t="n">
        <x:v>369</x:v>
      </x:c>
      <x:c r="D479" s="12" t="n">
        <x:v>80394.03</x:v>
      </x:c>
      <x:c r="E479" s="12" t="n">
        <x:v>0</x:v>
      </x:c>
      <x:c r="F479" s="12" t="n">
        <x:f>SUM(B479,D479:E479)</x:f>
        <x:v>80423.616302</x:v>
      </x:c>
      <x:c r="G479" s="12" t="n">
        <x:f>MAX(G478,F479)</x:f>
        <x:v>100000</x:v>
      </x:c>
      <x:c r="H479" s="14" t="n">
        <x:f>F479/G479-1</x:f>
        <x:v>-0.1957638369800001</x:v>
      </x:c>
      <x:c r="I479" s="14" t="n">
        <x:f>F479/F478-1</x:f>
        <x:v>-0.0018776317211336435</x:v>
      </x:c>
      <x:c r="J479" s="12" t="n">
        <x:v>0</x:v>
      </x:c>
      <x:c r="K479" s="12" t="n">
        <x:v>0</x:v>
      </x:c>
      <x:c r="L479" s="12" t="n">
        <x:v>0</x:v>
      </x:c>
      <x:c r="M479" s="2" t="str">
        <x:v>持有</x:v>
      </x:c>
    </x:row>
    <x:row r="480" ht="23" customHeight="1">
      <x:c r="A480" s="11" t="d">
        <x:v>2016-11-17T00:00:00.000Z</x:v>
      </x:c>
      <x:c r="B480" s="12" t="n">
        <x:v>29.586302</x:v>
      </x:c>
      <x:c r="C480" s="13" t="n">
        <x:v>369</x:v>
      </x:c>
      <x:c r="D480" s="12" t="n">
        <x:v>80807.31</x:v>
      </x:c>
      <x:c r="E480" s="12" t="n">
        <x:v>0</x:v>
      </x:c>
      <x:c r="F480" s="12" t="n">
        <x:f>SUM(B480,D480:E480)</x:f>
        <x:v>80836.896302</x:v>
      </x:c>
      <x:c r="G480" s="12" t="n">
        <x:f>MAX(G479,F480)</x:f>
        <x:v>100000</x:v>
      </x:c>
      <x:c r="H480" s="14" t="n">
        <x:f>F480/G480-1</x:f>
        <x:v>-0.19163103698000006</x:v>
      </x:c>
      <x:c r="I480" s="14" t="n">
        <x:f>F480/F479-1</x:f>
        <x:v>0.005138789064745408</x:v>
      </x:c>
      <x:c r="J480" s="12" t="n">
        <x:v>0</x:v>
      </x:c>
      <x:c r="K480" s="12" t="n">
        <x:v>0</x:v>
      </x:c>
      <x:c r="L480" s="12" t="n">
        <x:v>0</x:v>
      </x:c>
      <x:c r="M480" s="2" t="str">
        <x:v>持有</x:v>
      </x:c>
    </x:row>
    <x:row r="481" ht="23" customHeight="1">
      <x:c r="A481" s="11" t="d">
        <x:v>2016-11-18T00:00:00.000Z</x:v>
      </x:c>
      <x:c r="B481" s="12" t="n">
        <x:v>29.586302</x:v>
      </x:c>
      <x:c r="C481" s="13" t="n">
        <x:v>369</x:v>
      </x:c>
      <x:c r="D481" s="12" t="n">
        <x:v>80626.5</x:v>
      </x:c>
      <x:c r="E481" s="12" t="n">
        <x:v>0</x:v>
      </x:c>
      <x:c r="F481" s="12" t="n">
        <x:f>SUM(B481,D481:E481)</x:f>
        <x:v>80656.086302</x:v>
      </x:c>
      <x:c r="G481" s="12" t="n">
        <x:f>MAX(G480,F481)</x:f>
        <x:v>100000</x:v>
      </x:c>
      <x:c r="H481" s="14" t="n">
        <x:f>F481/G481-1</x:f>
        <x:v>-0.19343913698000004</x:v>
      </x:c>
      <x:c r="I481" s="14" t="n">
        <x:f>F481/F480-1</x:f>
        <x:v>-0.0022367261519357085</x:v>
      </x:c>
      <x:c r="J481" s="12" t="n">
        <x:v>0</x:v>
      </x:c>
      <x:c r="K481" s="12" t="n">
        <x:v>0</x:v>
      </x:c>
      <x:c r="L481" s="12" t="n">
        <x:v>0</x:v>
      </x:c>
      <x:c r="M481" s="2" t="str">
        <x:v>持有</x:v>
      </x:c>
    </x:row>
    <x:row r="482" ht="23" customHeight="1">
      <x:c r="A482" s="11" t="d">
        <x:v>2016-11-21T00:00:00.000Z</x:v>
      </x:c>
      <x:c r="B482" s="12" t="n">
        <x:v>29.586302</x:v>
      </x:c>
      <x:c r="C482" s="13" t="n">
        <x:v>369</x:v>
      </x:c>
      <x:c r="D482" s="12" t="n">
        <x:v>81235.35</x:v>
      </x:c>
      <x:c r="E482" s="12" t="n">
        <x:v>0</x:v>
      </x:c>
      <x:c r="F482" s="12" t="n">
        <x:f>SUM(B482,D482:E482)</x:f>
        <x:v>81264.936302</x:v>
      </x:c>
      <x:c r="G482" s="12" t="n">
        <x:f>MAX(G481,F482)</x:f>
        <x:v>100000</x:v>
      </x:c>
      <x:c r="H482" s="14" t="n">
        <x:f>F482/G482-1</x:f>
        <x:v>-0.18735063697999998</x:v>
      </x:c>
      <x:c r="I482" s="14" t="n">
        <x:f>F482/F481-1</x:f>
        <x:v>0.007548717374164404</x:v>
      </x:c>
      <x:c r="J482" s="12" t="n">
        <x:v>0</x:v>
      </x:c>
      <x:c r="K482" s="12" t="n">
        <x:v>0</x:v>
      </x:c>
      <x:c r="L482" s="12" t="n">
        <x:v>0</x:v>
      </x:c>
      <x:c r="M482" s="2" t="str">
        <x:v>持有</x:v>
      </x:c>
    </x:row>
    <x:row r="483" ht="23" customHeight="1">
      <x:c r="A483" s="11" t="d">
        <x:v>2016-11-22T00:00:00.000Z</x:v>
      </x:c>
      <x:c r="B483" s="12" t="n">
        <x:v>29.586302</x:v>
      </x:c>
      <x:c r="C483" s="13" t="n">
        <x:v>369</x:v>
      </x:c>
      <x:c r="D483" s="12" t="n">
        <x:v>81394.02</x:v>
      </x:c>
      <x:c r="E483" s="12" t="n">
        <x:v>0</x:v>
      </x:c>
      <x:c r="F483" s="12" t="n">
        <x:f>SUM(B483,D483:E483)</x:f>
        <x:v>81423.606302</x:v>
      </x:c>
      <x:c r="G483" s="12" t="n">
        <x:f>MAX(G482,F483)</x:f>
        <x:v>100000</x:v>
      </x:c>
      <x:c r="H483" s="14" t="n">
        <x:f>F483/G483-1</x:f>
        <x:v>-0.18576393698000004</x:v>
      </x:c>
      <x:c r="I483" s="14" t="n">
        <x:f>F483/F482-1</x:f>
        <x:v>0.0019525026071556262</x:v>
      </x:c>
      <x:c r="J483" s="12" t="n">
        <x:v>0</x:v>
      </x:c>
      <x:c r="K483" s="12" t="n">
        <x:v>0</x:v>
      </x:c>
      <x:c r="L483" s="12" t="n">
        <x:v>0</x:v>
      </x:c>
      <x:c r="M483" s="2" t="str">
        <x:v>持有</x:v>
      </x:c>
    </x:row>
    <x:row r="484" ht="23" customHeight="1">
      <x:c r="A484" s="11" t="d">
        <x:v>2016-11-23T00:00:00.000Z</x:v>
      </x:c>
      <x:c r="B484" s="12" t="n">
        <x:v>29.586302</x:v>
      </x:c>
      <x:c r="C484" s="13" t="n">
        <x:v>369</x:v>
      </x:c>
      <x:c r="D484" s="12" t="n">
        <x:v>81438.3</x:v>
      </x:c>
      <x:c r="E484" s="12" t="n">
        <x:v>0</x:v>
      </x:c>
      <x:c r="F484" s="12" t="n">
        <x:f>SUM(B484,D484:E484)</x:f>
        <x:v>81467.886302</x:v>
      </x:c>
      <x:c r="G484" s="12" t="n">
        <x:f>MAX(G483,F484)</x:f>
        <x:v>100000</x:v>
      </x:c>
      <x:c r="H484" s="14" t="n">
        <x:f>F484/G484-1</x:f>
        <x:v>-0.18532113697999997</x:v>
      </x:c>
      <x:c r="I484" s="14" t="n">
        <x:f>F484/F483-1</x:f>
        <x:v>0.000543822633398916</x:v>
      </x:c>
      <x:c r="J484" s="12" t="n">
        <x:v>0</x:v>
      </x:c>
      <x:c r="K484" s="12" t="n">
        <x:v>0</x:v>
      </x:c>
      <x:c r="L484" s="12" t="n">
        <x:v>0</x:v>
      </x:c>
      <x:c r="M484" s="2" t="str">
        <x:v>持有</x:v>
      </x:c>
    </x:row>
    <x:row r="485" ht="23" customHeight="1">
      <x:c r="A485" s="11" t="d">
        <x:v>2016-11-25T00:00:00.000Z</x:v>
      </x:c>
      <x:c r="B485" s="12" t="n">
        <x:v>29.586302</x:v>
      </x:c>
      <x:c r="C485" s="13" t="n">
        <x:v>369</x:v>
      </x:c>
      <x:c r="D485" s="12" t="n">
        <x:v>81740.88</x:v>
      </x:c>
      <x:c r="E485" s="12" t="n">
        <x:v>0</x:v>
      </x:c>
      <x:c r="F485" s="12" t="n">
        <x:f>SUM(B485,D485:E485)</x:f>
        <x:v>81770.466302</x:v>
      </x:c>
      <x:c r="G485" s="12" t="n">
        <x:f>MAX(G484,F485)</x:f>
        <x:v>100000</x:v>
      </x:c>
      <x:c r="H485" s="14" t="n">
        <x:f>F485/G485-1</x:f>
        <x:v>-0.18229533698</x:v>
      </x:c>
      <x:c r="I485" s="14" t="n">
        <x:f>F485/F484-1</x:f>
        <x:v>0.0037141015157597934</x:v>
      </x:c>
      <x:c r="J485" s="12" t="n">
        <x:v>0</x:v>
      </x:c>
      <x:c r="K485" s="12" t="n">
        <x:v>0</x:v>
      </x:c>
      <x:c r="L485" s="12" t="n">
        <x:v>0</x:v>
      </x:c>
      <x:c r="M485" s="2" t="str">
        <x:v>持有</x:v>
      </x:c>
    </x:row>
    <x:row r="486" ht="23" customHeight="1">
      <x:c r="A486" s="11" t="d">
        <x:v>2016-11-28T00:00:00.000Z</x:v>
      </x:c>
      <x:c r="B486" s="12" t="n">
        <x:v>29.586302</x:v>
      </x:c>
      <x:c r="C486" s="13" t="n">
        <x:v>369</x:v>
      </x:c>
      <x:c r="D486" s="12" t="n">
        <x:v>81357.12</x:v>
      </x:c>
      <x:c r="E486" s="12" t="n">
        <x:v>0</x:v>
      </x:c>
      <x:c r="F486" s="12" t="n">
        <x:f>SUM(B486,D486:E486)</x:f>
        <x:v>81386.70630199999</x:v>
      </x:c>
      <x:c r="G486" s="12" t="n">
        <x:f>MAX(G485,F486)</x:f>
        <x:v>100000</x:v>
      </x:c>
      <x:c r="H486" s="14" t="n">
        <x:f>F486/G486-1</x:f>
        <x:v>-0.1861329369800001</x:v>
      </x:c>
      <x:c r="I486" s="14" t="n">
        <x:f>F486/F485-1</x:f>
        <x:v>-0.004693136988881519</x:v>
      </x:c>
      <x:c r="J486" s="12" t="n">
        <x:v>0</x:v>
      </x:c>
      <x:c r="K486" s="12" t="n">
        <x:v>0</x:v>
      </x:c>
      <x:c r="L486" s="12" t="n">
        <x:v>0</x:v>
      </x:c>
      <x:c r="M486" s="2" t="str">
        <x:v>持有</x:v>
      </x:c>
    </x:row>
    <x:row r="487" ht="23" customHeight="1">
      <x:c r="A487" s="11" t="d">
        <x:v>2016-11-29T00:00:00.000Z</x:v>
      </x:c>
      <x:c r="B487" s="12" t="n">
        <x:v>29.586302</x:v>
      </x:c>
      <x:c r="C487" s="13" t="n">
        <x:v>369</x:v>
      </x:c>
      <x:c r="D487" s="12" t="n">
        <x:v>81515.79</x:v>
      </x:c>
      <x:c r="E487" s="12" t="n">
        <x:v>0</x:v>
      </x:c>
      <x:c r="F487" s="12" t="n">
        <x:f>SUM(B487,D487:E487)</x:f>
        <x:v>81545.37630199999</x:v>
      </x:c>
      <x:c r="G487" s="12" t="n">
        <x:f>MAX(G486,F487)</x:f>
        <x:v>100000</x:v>
      </x:c>
      <x:c r="H487" s="14" t="n">
        <x:f>F487/G487-1</x:f>
        <x:v>-0.18454623698000006</x:v>
      </x:c>
      <x:c r="I487" s="14" t="n">
        <x:f>F487/F486-1</x:f>
        <x:v>0.0019495812917065258</x:v>
      </x:c>
      <x:c r="J487" s="12" t="n">
        <x:v>0</x:v>
      </x:c>
      <x:c r="K487" s="12" t="n">
        <x:v>0</x:v>
      </x:c>
      <x:c r="L487" s="12" t="n">
        <x:v>0</x:v>
      </x:c>
      <x:c r="M487" s="2" t="str">
        <x:v>持有</x:v>
      </x:c>
    </x:row>
    <x:row r="488" ht="23" customHeight="1">
      <x:c r="A488" s="11" t="d">
        <x:v>2016-11-30T00:00:00.000Z</x:v>
      </x:c>
      <x:c r="B488" s="12" t="n">
        <x:v>29.586302</x:v>
      </x:c>
      <x:c r="C488" s="13" t="n">
        <x:v>369</x:v>
      </x:c>
      <x:c r="D488" s="12" t="n">
        <x:v>81320.22</x:v>
      </x:c>
      <x:c r="E488" s="12" t="n">
        <x:v>0</x:v>
      </x:c>
      <x:c r="F488" s="12" t="n">
        <x:f>SUM(B488,D488:E488)</x:f>
        <x:v>81349.806302</x:v>
      </x:c>
      <x:c r="G488" s="12" t="n">
        <x:f>MAX(G487,F488)</x:f>
        <x:v>100000</x:v>
      </x:c>
      <x:c r="H488" s="14" t="n">
        <x:f>F488/G488-1</x:f>
        <x:v>-0.18650193698000006</x:v>
      </x:c>
      <x:c r="I488" s="14" t="n">
        <x:f>F488/F487-1</x:f>
        <x:v>-0.0023982966155641217</x:v>
      </x:c>
      <x:c r="J488" s="12" t="n">
        <x:v>0</x:v>
      </x:c>
      <x:c r="K488" s="12" t="n">
        <x:v>0</x:v>
      </x:c>
      <x:c r="L488" s="12" t="n">
        <x:v>0</x:v>
      </x:c>
      <x:c r="M488" s="2" t="str">
        <x:v>持有</x:v>
      </x:c>
    </x:row>
    <x:row r="489" ht="23" customHeight="1">
      <x:c r="A489" s="11" t="d">
        <x:v>2016-12-01T00:00:00.000Z</x:v>
      </x:c>
      <x:c r="B489" s="12" t="n">
        <x:v>29.586302</x:v>
      </x:c>
      <x:c r="C489" s="13" t="n">
        <x:v>369</x:v>
      </x:c>
      <x:c r="D489" s="12" t="n">
        <x:v>81021.33</x:v>
      </x:c>
      <x:c r="E489" s="12" t="n">
        <x:v>0</x:v>
      </x:c>
      <x:c r="F489" s="12" t="n">
        <x:f>SUM(B489,D489:E489)</x:f>
        <x:v>81050.916302</x:v>
      </x:c>
      <x:c r="G489" s="12" t="n">
        <x:f>MAX(G488,F489)</x:f>
        <x:v>100000</x:v>
      </x:c>
      <x:c r="H489" s="14" t="n">
        <x:f>F489/G489-1</x:f>
        <x:v>-0.18949083698000002</x:v>
      </x:c>
      <x:c r="I489" s="14" t="n">
        <x:f>F489/F488-1</x:f>
        <x:v>-0.003674132903161542</x:v>
      </x:c>
      <x:c r="J489" s="12" t="n">
        <x:v>0</x:v>
      </x:c>
      <x:c r="K489" s="12" t="n">
        <x:v>0</x:v>
      </x:c>
      <x:c r="L489" s="12" t="n">
        <x:v>0</x:v>
      </x:c>
      <x:c r="M489" s="2" t="str">
        <x:v>持有</x:v>
      </x:c>
    </x:row>
    <x:row r="490" ht="23" customHeight="1">
      <x:c r="A490" s="11" t="d">
        <x:v>2016-12-02T00:00:00.000Z</x:v>
      </x:c>
      <x:c r="B490" s="12" t="n">
        <x:v>29.586302</x:v>
      </x:c>
      <x:c r="C490" s="13" t="n">
        <x:v>369</x:v>
      </x:c>
      <x:c r="D490" s="12" t="n">
        <x:v>81061.92</x:v>
      </x:c>
      <x:c r="E490" s="12" t="n">
        <x:v>0</x:v>
      </x:c>
      <x:c r="F490" s="12" t="n">
        <x:f>SUM(B490,D490:E490)</x:f>
        <x:v>81091.506302</x:v>
      </x:c>
      <x:c r="G490" s="12" t="n">
        <x:f>MAX(G489,F490)</x:f>
        <x:v>100000</x:v>
      </x:c>
      <x:c r="H490" s="14" t="n">
        <x:f>F490/G490-1</x:f>
        <x:v>-0.18908493698000006</x:v>
      </x:c>
      <x:c r="I490" s="14" t="n">
        <x:f>F490/F489-1</x:f>
        <x:v>0.0005007963123915271</x:v>
      </x:c>
      <x:c r="J490" s="12" t="n">
        <x:v>0</x:v>
      </x:c>
      <x:c r="K490" s="12" t="n">
        <x:v>0</x:v>
      </x:c>
      <x:c r="L490" s="12" t="n">
        <x:v>0</x:v>
      </x:c>
      <x:c r="M490" s="2" t="str">
        <x:v>持有</x:v>
      </x:c>
    </x:row>
    <x:row r="491" ht="23" customHeight="1">
      <x:c r="A491" s="11" t="d">
        <x:v>2016-12-05T00:00:00.000Z</x:v>
      </x:c>
      <x:c r="B491" s="12" t="n">
        <x:v>29.586302</x:v>
      </x:c>
      <x:c r="C491" s="13" t="n">
        <x:v>369</x:v>
      </x:c>
      <x:c r="D491" s="12" t="n">
        <x:v>81549</x:v>
      </x:c>
      <x:c r="E491" s="12" t="n">
        <x:v>0</x:v>
      </x:c>
      <x:c r="F491" s="12" t="n">
        <x:f>SUM(B491,D491:E491)</x:f>
        <x:v>81578.586302</x:v>
      </x:c>
      <x:c r="G491" s="12" t="n">
        <x:f>MAX(G490,F491)</x:f>
        <x:v>100000</x:v>
      </x:c>
      <x:c r="H491" s="14" t="n">
        <x:f>F491/G491-1</x:f>
        <x:v>-0.18421413698</x:v>
      </x:c>
      <x:c r="I491" s="14" t="n">
        <x:f>F491/F490-1</x:f>
        <x:v>0.006006547691764785</x:v>
      </x:c>
      <x:c r="J491" s="12" t="n">
        <x:v>0</x:v>
      </x:c>
      <x:c r="K491" s="12" t="n">
        <x:v>0</x:v>
      </x:c>
      <x:c r="L491" s="12" t="n">
        <x:v>0</x:v>
      </x:c>
      <x:c r="M491" s="2" t="str">
        <x:v>持有</x:v>
      </x:c>
    </x:row>
    <x:row r="492" ht="23" customHeight="1">
      <x:c r="A492" s="11" t="d">
        <x:v>2016-12-06T00:00:00.000Z</x:v>
      </x:c>
      <x:c r="B492" s="12" t="n">
        <x:v>29.586302</x:v>
      </x:c>
      <x:c r="C492" s="13" t="n">
        <x:v>369</x:v>
      </x:c>
      <x:c r="D492" s="12" t="n">
        <x:v>81807.3</x:v>
      </x:c>
      <x:c r="E492" s="12" t="n">
        <x:v>0</x:v>
      </x:c>
      <x:c r="F492" s="12" t="n">
        <x:f>SUM(B492,D492:E492)</x:f>
        <x:v>81836.886302</x:v>
      </x:c>
      <x:c r="G492" s="12" t="n">
        <x:f>MAX(G491,F492)</x:f>
        <x:v>100000</x:v>
      </x:c>
      <x:c r="H492" s="14" t="n">
        <x:f>F492/G492-1</x:f>
        <x:v>-0.18163113698</x:v>
      </x:c>
      <x:c r="I492" s="14" t="n">
        <x:f>F492/F491-1</x:f>
        <x:v>0.003166272078358734</x:v>
      </x:c>
      <x:c r="J492" s="12" t="n">
        <x:v>0</x:v>
      </x:c>
      <x:c r="K492" s="12" t="n">
        <x:v>0</x:v>
      </x:c>
      <x:c r="L492" s="12" t="n">
        <x:v>0</x:v>
      </x:c>
      <x:c r="M492" s="2" t="str">
        <x:v>持有</x:v>
      </x:c>
    </x:row>
    <x:row r="493" ht="23" customHeight="1">
      <x:c r="A493" s="11" t="d">
        <x:v>2016-12-07T00:00:00.000Z</x:v>
      </x:c>
      <x:c r="B493" s="12" t="n">
        <x:v>29.586302</x:v>
      </x:c>
      <x:c r="C493" s="13" t="n">
        <x:v>369</x:v>
      </x:c>
      <x:c r="D493" s="12" t="n">
        <x:v>82877.4</x:v>
      </x:c>
      <x:c r="E493" s="12" t="n">
        <x:v>0</x:v>
      </x:c>
      <x:c r="F493" s="12" t="n">
        <x:f>SUM(B493,D493:E493)</x:f>
        <x:v>82906.98630199999</x:v>
      </x:c>
      <x:c r="G493" s="12" t="n">
        <x:f>MAX(G492,F493)</x:f>
        <x:v>100000</x:v>
      </x:c>
      <x:c r="H493" s="14" t="n">
        <x:f>F493/G493-1</x:f>
        <x:v>-0.17093013698000015</x:v>
      </x:c>
      <x:c r="I493" s="14" t="n">
        <x:f>F493/F492-1</x:f>
        <x:v>0.013076010688518158</x:v>
      </x:c>
      <x:c r="J493" s="12" t="n">
        <x:v>0</x:v>
      </x:c>
      <x:c r="K493" s="12" t="n">
        <x:v>0</x:v>
      </x:c>
      <x:c r="L493" s="12" t="n">
        <x:v>0</x:v>
      </x:c>
      <x:c r="M493" s="2" t="str">
        <x:v>持有</x:v>
      </x:c>
    </x:row>
    <x:row r="494" ht="23" customHeight="1">
      <x:c r="A494" s="11" t="d">
        <x:v>2016-12-08T00:00:00.000Z</x:v>
      </x:c>
      <x:c r="B494" s="12" t="n">
        <x:v>29.586302</x:v>
      </x:c>
      <x:c r="C494" s="13" t="n">
        <x:v>369</x:v>
      </x:c>
      <x:c r="D494" s="12" t="n">
        <x:v>83080.35</x:v>
      </x:c>
      <x:c r="E494" s="12" t="n">
        <x:v>0</x:v>
      </x:c>
      <x:c r="F494" s="12" t="n">
        <x:f>SUM(B494,D494:E494)</x:f>
        <x:v>83109.936302</x:v>
      </x:c>
      <x:c r="G494" s="12" t="n">
        <x:f>MAX(G493,F494)</x:f>
        <x:v>100000</x:v>
      </x:c>
      <x:c r="H494" s="14" t="n">
        <x:f>F494/G494-1</x:f>
        <x:v>-0.16890063698000002</x:v>
      </x:c>
      <x:c r="I494" s="14" t="n">
        <x:f>F494/F493-1</x:f>
        <x:v>0.002447923981469202</x:v>
      </x:c>
      <x:c r="J494" s="12" t="n">
        <x:v>0</x:v>
      </x:c>
      <x:c r="K494" s="12" t="n">
        <x:v>0</x:v>
      </x:c>
      <x:c r="L494" s="12" t="n">
        <x:v>0</x:v>
      </x:c>
      <x:c r="M494" s="2" t="str">
        <x:v>持有</x:v>
      </x:c>
    </x:row>
    <x:row r="495" ht="23" customHeight="1">
      <x:c r="A495" s="11" t="d">
        <x:v>2016-12-09T00:00:00.000Z</x:v>
      </x:c>
      <x:c r="B495" s="12" t="n">
        <x:v>29.586302</x:v>
      </x:c>
      <x:c r="C495" s="13" t="n">
        <x:v>369</x:v>
      </x:c>
      <x:c r="D495" s="12" t="n">
        <x:v>83582.19</x:v>
      </x:c>
      <x:c r="E495" s="12" t="n">
        <x:v>0</x:v>
      </x:c>
      <x:c r="F495" s="12" t="n">
        <x:f>SUM(B495,D495:E495)</x:f>
        <x:v>83611.776302</x:v>
      </x:c>
      <x:c r="G495" s="12" t="n">
        <x:f>MAX(G494,F495)</x:f>
        <x:v>100000</x:v>
      </x:c>
      <x:c r="H495" s="14" t="n">
        <x:f>F495/G495-1</x:f>
        <x:v>-0.16388223698000004</x:v>
      </x:c>
      <x:c r="I495" s="14" t="n">
        <x:f>F495/F494-1</x:f>
        <x:v>0.006038267171526224</x:v>
      </x:c>
      <x:c r="J495" s="12" t="n">
        <x:v>0</x:v>
      </x:c>
      <x:c r="K495" s="12" t="n">
        <x:v>0</x:v>
      </x:c>
      <x:c r="L495" s="12" t="n">
        <x:v>0</x:v>
      </x:c>
      <x:c r="M495" s="2" t="str">
        <x:v>持有</x:v>
      </x:c>
    </x:row>
    <x:row r="496" ht="23" customHeight="1">
      <x:c r="A496" s="11" t="d">
        <x:v>2016-12-12T00:00:00.000Z</x:v>
      </x:c>
      <x:c r="B496" s="12" t="n">
        <x:v>29.586302</x:v>
      </x:c>
      <x:c r="C496" s="13" t="n">
        <x:v>369</x:v>
      </x:c>
      <x:c r="D496" s="12" t="n">
        <x:v>83486.25</x:v>
      </x:c>
      <x:c r="E496" s="12" t="n">
        <x:v>0</x:v>
      </x:c>
      <x:c r="F496" s="12" t="n">
        <x:f>SUM(B496,D496:E496)</x:f>
        <x:v>83515.836302</x:v>
      </x:c>
      <x:c r="G496" s="12" t="n">
        <x:f>MAX(G495,F496)</x:f>
        <x:v>100000</x:v>
      </x:c>
      <x:c r="H496" s="14" t="n">
        <x:f>F496/G496-1</x:f>
        <x:v>-0.1648416369800001</x:v>
      </x:c>
      <x:c r="I496" s="14" t="n">
        <x:f>F496/F495-1</x:f>
        <x:v>-0.0011474460206833959</x:v>
      </x:c>
      <x:c r="J496" s="12" t="n">
        <x:v>0</x:v>
      </x:c>
      <x:c r="K496" s="12" t="n">
        <x:v>0</x:v>
      </x:c>
      <x:c r="L496" s="12" t="n">
        <x:v>0</x:v>
      </x:c>
      <x:c r="M496" s="2" t="str">
        <x:v>持有</x:v>
      </x:c>
    </x:row>
    <x:row r="497" ht="23" customHeight="1">
      <x:c r="A497" s="11" t="d">
        <x:v>2016-12-13T00:00:00.000Z</x:v>
      </x:c>
      <x:c r="B497" s="12" t="n">
        <x:v>29.586302</x:v>
      </x:c>
      <x:c r="C497" s="13" t="n">
        <x:v>369</x:v>
      </x:c>
      <x:c r="D497" s="12" t="n">
        <x:v>84043.44</x:v>
      </x:c>
      <x:c r="E497" s="12" t="n">
        <x:v>0</x:v>
      </x:c>
      <x:c r="F497" s="12" t="n">
        <x:f>SUM(B497,D497:E497)</x:f>
        <x:v>84073.026302</x:v>
      </x:c>
      <x:c r="G497" s="12" t="n">
        <x:f>MAX(G496,F497)</x:f>
        <x:v>100000</x:v>
      </x:c>
      <x:c r="H497" s="14" t="n">
        <x:f>F497/G497-1</x:f>
        <x:v>-0.15926973698000002</x:v>
      </x:c>
      <x:c r="I497" s="14" t="n">
        <x:f>F497/F496-1</x:f>
        <x:v>0.006671668807639808</x:v>
      </x:c>
      <x:c r="J497" s="12" t="n">
        <x:v>0</x:v>
      </x:c>
      <x:c r="K497" s="12" t="n">
        <x:v>0</x:v>
      </x:c>
      <x:c r="L497" s="12" t="n">
        <x:v>0</x:v>
      </x:c>
      <x:c r="M497" s="2" t="str">
        <x:v>持有</x:v>
      </x:c>
    </x:row>
    <x:row r="498" ht="23" customHeight="1">
      <x:c r="A498" s="11" t="d">
        <x:v>2016-12-14T00:00:00.000Z</x:v>
      </x:c>
      <x:c r="B498" s="12" t="n">
        <x:v>29.586302</x:v>
      </x:c>
      <x:c r="C498" s="13" t="n">
        <x:v>369</x:v>
      </x:c>
      <x:c r="D498" s="12" t="n">
        <x:v>83349.72</x:v>
      </x:c>
      <x:c r="E498" s="12" t="n">
        <x:v>0</x:v>
      </x:c>
      <x:c r="F498" s="12" t="n">
        <x:f>SUM(B498,D498:E498)</x:f>
        <x:v>83379.306302</x:v>
      </x:c>
      <x:c r="G498" s="12" t="n">
        <x:f>MAX(G497,F498)</x:f>
        <x:v>100000</x:v>
      </x:c>
      <x:c r="H498" s="14" t="n">
        <x:f>F498/G498-1</x:f>
        <x:v>-0.16620693698</x:v>
      </x:c>
      <x:c r="I498" s="14" t="n">
        <x:f>F498/F497-1</x:f>
        <x:v>-0.00825139798712704</x:v>
      </x:c>
      <x:c r="J498" s="12" t="n">
        <x:v>0</x:v>
      </x:c>
      <x:c r="K498" s="12" t="n">
        <x:v>0</x:v>
      </x:c>
      <x:c r="L498" s="12" t="n">
        <x:v>0</x:v>
      </x:c>
      <x:c r="M498" s="2" t="str">
        <x:v>持有</x:v>
      </x:c>
    </x:row>
    <x:row r="499" ht="23" customHeight="1">
      <x:c r="A499" s="11" t="d">
        <x:v>2016-12-15T00:00:00.000Z</x:v>
      </x:c>
      <x:c r="B499" s="12" t="n">
        <x:v>29.586302</x:v>
      </x:c>
      <x:c r="C499" s="13" t="n">
        <x:v>369</x:v>
      </x:c>
      <x:c r="D499" s="12" t="n">
        <x:v>83692.89</x:v>
      </x:c>
      <x:c r="E499" s="12" t="n">
        <x:v>0</x:v>
      </x:c>
      <x:c r="F499" s="12" t="n">
        <x:f>SUM(B499,D499:E499)</x:f>
        <x:v>83722.476302</x:v>
      </x:c>
      <x:c r="G499" s="12" t="n">
        <x:f>MAX(G498,F499)</x:f>
        <x:v>100000</x:v>
      </x:c>
      <x:c r="H499" s="14" t="n">
        <x:f>F499/G499-1</x:f>
        <x:v>-0.16277523698000007</x:v>
      </x:c>
      <x:c r="I499" s="14" t="n">
        <x:f>F499/F498-1</x:f>
        <x:v>0.0041157694303313175</x:v>
      </x:c>
      <x:c r="J499" s="12" t="n">
        <x:v>0</x:v>
      </x:c>
      <x:c r="K499" s="12" t="n">
        <x:v>0</x:v>
      </x:c>
      <x:c r="L499" s="12" t="n">
        <x:v>0</x:v>
      </x:c>
      <x:c r="M499" s="2" t="str">
        <x:v>持有</x:v>
      </x:c>
    </x:row>
    <x:row r="500" ht="23" customHeight="1">
      <x:c r="A500" s="11" t="d">
        <x:v>2016-12-16T00:00:00.000Z</x:v>
      </x:c>
      <x:c r="B500" s="12" t="n">
        <x:v>29.586302</x:v>
      </x:c>
      <x:c r="C500" s="13" t="n">
        <x:v>369</x:v>
      </x:c>
      <x:c r="D500" s="12" t="n">
        <x:v>83039.76</x:v>
      </x:c>
      <x:c r="E500" s="12" t="n">
        <x:v>490.37517</x:v>
      </x:c>
      <x:c r="F500" s="12" t="n">
        <x:f>SUM(B500,D500:E500)</x:f>
        <x:v>83559.72147199999</x:v>
      </x:c>
      <x:c r="G500" s="12" t="n">
        <x:f>MAX(G499,F500)</x:f>
        <x:v>100000</x:v>
      </x:c>
      <x:c r="H500" s="14" t="n">
        <x:f>F500/G500-1</x:f>
        <x:v>-0.16440278528000007</x:v>
      </x:c>
      <x:c r="I500" s="14" t="n">
        <x:f>F500/F499-1</x:f>
        <x:v>-0.0019439801256346811</x:v>
      </x:c>
      <x:c r="J500" s="12" t="n">
        <x:v>490.37517</x:v>
      </x:c>
      <x:c r="K500" s="12" t="n">
        <x:v>0</x:v>
      </x:c>
      <x:c r="L500" s="12" t="n">
        <x:v>0</x:v>
      </x:c>
      <x:c r="M500" s="2" t="str">
        <x:v>持有</x:v>
      </x:c>
    </x:row>
    <x:row r="501" ht="23" customHeight="1">
      <x:c r="A501" s="11" t="d">
        <x:v>2016-12-19T00:00:00.000Z</x:v>
      </x:c>
      <x:c r="B501" s="12" t="n">
        <x:v>29.586302</x:v>
      </x:c>
      <x:c r="C501" s="13" t="n">
        <x:v>369</x:v>
      </x:c>
      <x:c r="D501" s="12" t="n">
        <x:v>83220.57</x:v>
      </x:c>
      <x:c r="E501" s="12" t="n">
        <x:v>490.37517</x:v>
      </x:c>
      <x:c r="F501" s="12" t="n">
        <x:f>SUM(B501,D501:E501)</x:f>
        <x:v>83740.531472</x:v>
      </x:c>
      <x:c r="G501" s="12" t="n">
        <x:f>MAX(G500,F501)</x:f>
        <x:v>100000</x:v>
      </x:c>
      <x:c r="H501" s="14" t="n">
        <x:f>F501/G501-1</x:f>
        <x:v>-0.16259468527999998</x:v>
      </x:c>
      <x:c r="I501" s="14" t="n">
        <x:f>F501/F500-1</x:f>
        <x:v>0.0021638415831795044</x:v>
      </x:c>
      <x:c r="J501" s="12" t="n">
        <x:v>0</x:v>
      </x:c>
      <x:c r="K501" s="12" t="n">
        <x:v>0</x:v>
      </x:c>
      <x:c r="L501" s="12" t="n">
        <x:v>0</x:v>
      </x:c>
      <x:c r="M501" s="2" t="str">
        <x:v>持有</x:v>
      </x:c>
    </x:row>
    <x:row r="502" ht="23" customHeight="1">
      <x:c r="A502" s="11" t="d">
        <x:v>2016-12-20T00:00:00.000Z</x:v>
      </x:c>
      <x:c r="B502" s="12" t="n">
        <x:v>29.586302</x:v>
      </x:c>
      <x:c r="C502" s="13" t="n">
        <x:v>369</x:v>
      </x:c>
      <x:c r="D502" s="12" t="n">
        <x:v>83541.6</x:v>
      </x:c>
      <x:c r="E502" s="12" t="n">
        <x:v>490.37517</x:v>
      </x:c>
      <x:c r="F502" s="12" t="n">
        <x:f>SUM(B502,D502:E502)</x:f>
        <x:v>84061.561472</x:v>
      </x:c>
      <x:c r="G502" s="12" t="n">
        <x:f>MAX(G501,F502)</x:f>
        <x:v>100000</x:v>
      </x:c>
      <x:c r="H502" s="14" t="n">
        <x:f>F502/G502-1</x:f>
        <x:v>-0.15938438527999998</x:v>
      </x:c>
      <x:c r="I502" s="14" t="n">
        <x:f>F502/F501-1</x:f>
        <x:v>0.0038336274484636057</x:v>
      </x:c>
      <x:c r="J502" s="12" t="n">
        <x:v>0</x:v>
      </x:c>
      <x:c r="K502" s="12" t="n">
        <x:v>0</x:v>
      </x:c>
      <x:c r="L502" s="12" t="n">
        <x:v>0</x:v>
      </x:c>
      <x:c r="M502" s="2" t="str">
        <x:v>持有</x:v>
      </x:c>
    </x:row>
    <x:row r="503" ht="23" customHeight="1">
      <x:c r="A503" s="11" t="d">
        <x:v>2016-12-21T00:00:00.000Z</x:v>
      </x:c>
      <x:c r="B503" s="12" t="n">
        <x:v>29.586302</x:v>
      </x:c>
      <x:c r="C503" s="13" t="n">
        <x:v>369</x:v>
      </x:c>
      <x:c r="D503" s="12" t="n">
        <x:v>83309.13</x:v>
      </x:c>
      <x:c r="E503" s="12" t="n">
        <x:v>490.37517</x:v>
      </x:c>
      <x:c r="F503" s="12" t="n">
        <x:f>SUM(B503,D503:E503)</x:f>
        <x:v>83829.091472</x:v>
      </x:c>
      <x:c r="G503" s="12" t="n">
        <x:f>MAX(G502,F503)</x:f>
        <x:v>100000</x:v>
      </x:c>
      <x:c r="H503" s="14" t="n">
        <x:f>F503/G503-1</x:f>
        <x:v>-0.16170908528000005</x:v>
      </x:c>
      <x:c r="I503" s="14" t="n">
        <x:f>F503/F502-1</x:f>
        <x:v>-0.0027654732547103267</x:v>
      </x:c>
      <x:c r="J503" s="12" t="n">
        <x:v>0</x:v>
      </x:c>
      <x:c r="K503" s="12" t="n">
        <x:v>0</x:v>
      </x:c>
      <x:c r="L503" s="12" t="n">
        <x:v>0</x:v>
      </x:c>
      <x:c r="M503" s="2" t="str">
        <x:v>持有</x:v>
      </x:c>
    </x:row>
    <x:row r="504" ht="23" customHeight="1">
      <x:c r="A504" s="11" t="d">
        <x:v>2016-12-22T00:00:00.000Z</x:v>
      </x:c>
      <x:c r="B504" s="12" t="n">
        <x:v>29.586302</x:v>
      </x:c>
      <x:c r="C504" s="13" t="n">
        <x:v>369</x:v>
      </x:c>
      <x:c r="D504" s="12" t="n">
        <x:v>83165.22</x:v>
      </x:c>
      <x:c r="E504" s="12" t="n">
        <x:v>490.37517</x:v>
      </x:c>
      <x:c r="F504" s="12" t="n">
        <x:f>SUM(B504,D504:E504)</x:f>
        <x:v>83685.181472</x:v>
      </x:c>
      <x:c r="G504" s="12" t="n">
        <x:f>MAX(G503,F504)</x:f>
        <x:v>100000</x:v>
      </x:c>
      <x:c r="H504" s="14" t="n">
        <x:f>F504/G504-1</x:f>
        <x:v>-0.16314818528000008</x:v>
      </x:c>
      <x:c r="I504" s="14" t="n">
        <x:f>F504/F503-1</x:f>
        <x:v>-0.0017167071415544743</x:v>
      </x:c>
      <x:c r="J504" s="12" t="n">
        <x:v>0</x:v>
      </x:c>
      <x:c r="K504" s="12" t="n">
        <x:v>0</x:v>
      </x:c>
      <x:c r="L504" s="12" t="n">
        <x:v>0</x:v>
      </x:c>
      <x:c r="M504" s="2" t="str">
        <x:v>持有</x:v>
      </x:c>
    </x:row>
    <x:row r="505" ht="23" customHeight="1">
      <x:c r="A505" s="11" t="d">
        <x:v>2016-12-23T00:00:00.000Z</x:v>
      </x:c>
      <x:c r="B505" s="12" t="n">
        <x:v>29.586302</x:v>
      </x:c>
      <x:c r="C505" s="13" t="n">
        <x:v>369</x:v>
      </x:c>
      <x:c r="D505" s="12" t="n">
        <x:v>83286.99</x:v>
      </x:c>
      <x:c r="E505" s="12" t="n">
        <x:v>490.37517</x:v>
      </x:c>
      <x:c r="F505" s="12" t="n">
        <x:f>SUM(B505,D505:E505)</x:f>
        <x:v>83806.951472</x:v>
      </x:c>
      <x:c r="G505" s="12" t="n">
        <x:f>MAX(G504,F505)</x:f>
        <x:v>100000</x:v>
      </x:c>
      <x:c r="H505" s="14" t="n">
        <x:f>F505/G505-1</x:f>
        <x:v>-0.16193048527999998</x:v>
      </x:c>
      <x:c r="I505" s="14" t="n">
        <x:f>F505/F504-1</x:f>
        <x:v>0.001455096324798566</x:v>
      </x:c>
      <x:c r="J505" s="12" t="n">
        <x:v>0</x:v>
      </x:c>
      <x:c r="K505" s="12" t="n">
        <x:v>0</x:v>
      </x:c>
      <x:c r="L505" s="12" t="n">
        <x:v>0</x:v>
      </x:c>
      <x:c r="M505" s="2" t="str">
        <x:v>持有</x:v>
      </x:c>
    </x:row>
    <x:row r="506" ht="23" customHeight="1">
      <x:c r="A506" s="11" t="d">
        <x:v>2016-12-27T00:00:00.000Z</x:v>
      </x:c>
      <x:c r="B506" s="12" t="n">
        <x:v>29.586302</x:v>
      </x:c>
      <x:c r="C506" s="13" t="n">
        <x:v>369</x:v>
      </x:c>
      <x:c r="D506" s="12" t="n">
        <x:v>83493.63</x:v>
      </x:c>
      <x:c r="E506" s="12" t="n">
        <x:v>490.37517</x:v>
      </x:c>
      <x:c r="F506" s="12" t="n">
        <x:f>SUM(B506,D506:E506)</x:f>
        <x:v>84013.591472</x:v>
      </x:c>
      <x:c r="G506" s="12" t="n">
        <x:f>MAX(G505,F506)</x:f>
        <x:v>100000</x:v>
      </x:c>
      <x:c r="H506" s="14" t="n">
        <x:f>F506/G506-1</x:f>
        <x:v>-0.15986408527999996</x:v>
      </x:c>
      <x:c r="I506" s="14" t="n">
        <x:f>F506/F505-1</x:f>
        <x:v>0.002465666586966009</x:v>
      </x:c>
      <x:c r="J506" s="12" t="n">
        <x:v>0</x:v>
      </x:c>
      <x:c r="K506" s="12" t="n">
        <x:v>0</x:v>
      </x:c>
      <x:c r="L506" s="12" t="n">
        <x:v>0</x:v>
      </x:c>
      <x:c r="M506" s="2" t="str">
        <x:v>持有</x:v>
      </x:c>
    </x:row>
    <x:row r="507" ht="23" customHeight="1">
      <x:c r="A507" s="11" t="d">
        <x:v>2016-12-28T00:00:00.000Z</x:v>
      </x:c>
      <x:c r="B507" s="12" t="n">
        <x:v>29.586302</x:v>
      </x:c>
      <x:c r="C507" s="13" t="n">
        <x:v>369</x:v>
      </x:c>
      <x:c r="D507" s="12" t="n">
        <x:v>82803.6</x:v>
      </x:c>
      <x:c r="E507" s="12" t="n">
        <x:v>490.37517</x:v>
      </x:c>
      <x:c r="F507" s="12" t="n">
        <x:f>SUM(B507,D507:E507)</x:f>
        <x:v>83323.561472</x:v>
      </x:c>
      <x:c r="G507" s="12" t="n">
        <x:f>MAX(G506,F507)</x:f>
        <x:v>100000</x:v>
      </x:c>
      <x:c r="H507" s="14" t="n">
        <x:f>F507/G507-1</x:f>
        <x:v>-0.16676438528000004</x:v>
      </x:c>
      <x:c r="I507" s="14" t="n">
        <x:f>F507/F506-1</x:f>
        <x:v>-0.008213313916355713</x:v>
      </x:c>
      <x:c r="J507" s="12" t="n">
        <x:v>0</x:v>
      </x:c>
      <x:c r="K507" s="12" t="n">
        <x:v>0</x:v>
      </x:c>
      <x:c r="L507" s="12" t="n">
        <x:v>0</x:v>
      </x:c>
      <x:c r="M507" s="2" t="str">
        <x:v>持有</x:v>
      </x:c>
    </x:row>
    <x:row r="508" ht="23" customHeight="1">
      <x:c r="A508" s="11" t="d">
        <x:v>2016-12-29T00:00:00.000Z</x:v>
      </x:c>
      <x:c r="B508" s="12" t="n">
        <x:v>29.586302</x:v>
      </x:c>
      <x:c r="C508" s="13" t="n">
        <x:v>369</x:v>
      </x:c>
      <x:c r="D508" s="12" t="n">
        <x:v>82785.15</x:v>
      </x:c>
      <x:c r="E508" s="12" t="n">
        <x:v>490.37517</x:v>
      </x:c>
      <x:c r="F508" s="12" t="n">
        <x:f>SUM(B508,D508:E508)</x:f>
        <x:v>83305.11147199999</x:v>
      </x:c>
      <x:c r="G508" s="12" t="n">
        <x:f>MAX(G507,F508)</x:f>
        <x:v>100000</x:v>
      </x:c>
      <x:c r="H508" s="14" t="n">
        <x:f>F508/G508-1</x:f>
        <x:v>-0.16694888528000007</x:v>
      </x:c>
      <x:c r="I508" s="14" t="n">
        <x:f>F508/F507-1</x:f>
        <x:v>-0.0002214259649260253</x:v>
      </x:c>
      <x:c r="J508" s="12" t="n">
        <x:v>0</x:v>
      </x:c>
      <x:c r="K508" s="12" t="n">
        <x:v>0</x:v>
      </x:c>
      <x:c r="L508" s="12" t="n">
        <x:v>0</x:v>
      </x:c>
      <x:c r="M508" s="2" t="str">
        <x:v>持有</x:v>
      </x:c>
    </x:row>
    <x:row r="509" ht="23" customHeight="1">
      <x:c r="A509" s="11" t="d">
        <x:v>2016-12-30T00:00:00.000Z</x:v>
      </x:c>
      <x:c r="B509" s="12" t="n">
        <x:v>29.586302</x:v>
      </x:c>
      <x:c r="C509" s="13" t="n">
        <x:v>369</x:v>
      </x:c>
      <x:c r="D509" s="12" t="n">
        <x:v>82482.57</x:v>
      </x:c>
      <x:c r="E509" s="12" t="n">
        <x:v>490.37517</x:v>
      </x:c>
      <x:c r="F509" s="12" t="n">
        <x:f>SUM(B509,D509:E509)</x:f>
        <x:v>83002.531472</x:v>
      </x:c>
      <x:c r="G509" s="12" t="n">
        <x:f>MAX(G508,F509)</x:f>
        <x:v>100000</x:v>
      </x:c>
      <x:c r="H509" s="14" t="n">
        <x:f>F509/G509-1</x:f>
        <x:v>-0.16997468527999993</x:v>
      </x:c>
      <x:c r="I509" s="14" t="n">
        <x:f>F509/F508-1</x:f>
        <x:v>-0.003632190085979148</x:v>
      </x:c>
      <x:c r="J509" s="12" t="n">
        <x:v>0</x:v>
      </x:c>
      <x:c r="K509" s="12" t="n">
        <x:v>0</x:v>
      </x:c>
      <x:c r="L509" s="12" t="n">
        <x:v>0</x:v>
      </x:c>
      <x:c r="M509" s="2" t="str">
        <x:v>持有</x:v>
      </x:c>
    </x:row>
    <x:row r="510" ht="23" customHeight="1">
      <x:c r="A510" s="11" t="d">
        <x:v>2017-01-03T00:00:00.000Z</x:v>
      </x:c>
      <x:c r="B510" s="12" t="n">
        <x:v>29.586302</x:v>
      </x:c>
      <x:c r="C510" s="13" t="n">
        <x:v>369</x:v>
      </x:c>
      <x:c r="D510" s="12" t="n">
        <x:v>83113.56</x:v>
      </x:c>
      <x:c r="E510" s="12" t="n">
        <x:v>490.37517</x:v>
      </x:c>
      <x:c r="F510" s="12" t="n">
        <x:f>SUM(B510,D510:E510)</x:f>
        <x:v>83633.521472</x:v>
      </x:c>
      <x:c r="G510" s="12" t="n">
        <x:f>MAX(G509,F510)</x:f>
        <x:v>100000</x:v>
      </x:c>
      <x:c r="H510" s="14" t="n">
        <x:f>F510/G510-1</x:f>
        <x:v>-0.16366478528000006</x:v>
      </x:c>
      <x:c r="I510" s="14" t="n">
        <x:f>F510/F509-1</x:f>
        <x:v>0.007602057296443476</x:v>
      </x:c>
      <x:c r="J510" s="12" t="n">
        <x:v>0</x:v>
      </x:c>
      <x:c r="K510" s="12" t="n">
        <x:v>0</x:v>
      </x:c>
      <x:c r="L510" s="12" t="n">
        <x:v>0</x:v>
      </x:c>
      <x:c r="M510" s="2" t="str">
        <x:v>持有</x:v>
      </x:c>
    </x:row>
    <x:row r="511" ht="23" customHeight="1">
      <x:c r="A511" s="11" t="d">
        <x:v>2017-01-04T00:00:00.000Z</x:v>
      </x:c>
      <x:c r="B511" s="12" t="n">
        <x:v>29.586302</x:v>
      </x:c>
      <x:c r="C511" s="13" t="n">
        <x:v>369</x:v>
      </x:c>
      <x:c r="D511" s="12" t="n">
        <x:v>83608.02</x:v>
      </x:c>
      <x:c r="E511" s="12" t="n">
        <x:v>490.37517</x:v>
      </x:c>
      <x:c r="F511" s="12" t="n">
        <x:f>SUM(B511,D511:E511)</x:f>
        <x:v>84127.981472</x:v>
      </x:c>
      <x:c r="G511" s="12" t="n">
        <x:f>MAX(G510,F511)</x:f>
        <x:v>100000</x:v>
      </x:c>
      <x:c r="H511" s="14" t="n">
        <x:f>F511/G511-1</x:f>
        <x:v>-0.15872018527999998</x:v>
      </x:c>
      <x:c r="I511" s="14" t="n">
        <x:f>F511/F510-1</x:f>
        <x:v>0.0059122226506456155</x:v>
      </x:c>
      <x:c r="J511" s="12" t="n">
        <x:v>0</x:v>
      </x:c>
      <x:c r="K511" s="12" t="n">
        <x:v>0</x:v>
      </x:c>
      <x:c r="L511" s="12" t="n">
        <x:v>0</x:v>
      </x:c>
      <x:c r="M511" s="2" t="str">
        <x:v>持有</x:v>
      </x:c>
    </x:row>
    <x:row r="512" ht="23" customHeight="1">
      <x:c r="A512" s="11" t="d">
        <x:v>2017-01-05T00:00:00.000Z</x:v>
      </x:c>
      <x:c r="B512" s="12" t="n">
        <x:v>29.586302</x:v>
      </x:c>
      <x:c r="C512" s="13" t="n">
        <x:v>369</x:v>
      </x:c>
      <x:c r="D512" s="12" t="n">
        <x:v>83541.6</x:v>
      </x:c>
      <x:c r="E512" s="12" t="n">
        <x:v>490.37517</x:v>
      </x:c>
      <x:c r="F512" s="12" t="n">
        <x:f>SUM(B512,D512:E512)</x:f>
        <x:v>84061.561472</x:v>
      </x:c>
      <x:c r="G512" s="12" t="n">
        <x:f>MAX(G511,F512)</x:f>
        <x:v>100000</x:v>
      </x:c>
      <x:c r="H512" s="14" t="n">
        <x:f>F512/G512-1</x:f>
        <x:v>-0.15938438527999998</x:v>
      </x:c>
      <x:c r="I512" s="14" t="n">
        <x:f>F512/F511-1</x:f>
        <x:v>-0.0007895113948752641</x:v>
      </x:c>
      <x:c r="J512" s="12" t="n">
        <x:v>0</x:v>
      </x:c>
      <x:c r="K512" s="12" t="n">
        <x:v>0</x:v>
      </x:c>
      <x:c r="L512" s="12" t="n">
        <x:v>0</x:v>
      </x:c>
      <x:c r="M512" s="2" t="str">
        <x:v>持有</x:v>
      </x:c>
    </x:row>
    <x:row r="513" ht="23" customHeight="1">
      <x:c r="A513" s="11" t="d">
        <x:v>2017-01-06T00:00:00.000Z</x:v>
      </x:c>
      <x:c r="B513" s="12" t="n">
        <x:v>29.586302</x:v>
      </x:c>
      <x:c r="C513" s="13" t="n">
        <x:v>369</x:v>
      </x:c>
      <x:c r="D513" s="12" t="n">
        <x:v>83840.49</x:v>
      </x:c>
      <x:c r="E513" s="12" t="n">
        <x:v>490.37517</x:v>
      </x:c>
      <x:c r="F513" s="12" t="n">
        <x:f>SUM(B513,D513:E513)</x:f>
        <x:v>84360.451472</x:v>
      </x:c>
      <x:c r="G513" s="12" t="n">
        <x:f>MAX(G512,F513)</x:f>
        <x:v>100000</x:v>
      </x:c>
      <x:c r="H513" s="14" t="n">
        <x:f>F513/G513-1</x:f>
        <x:v>-0.15639548528000002</x:v>
      </x:c>
      <x:c r="I513" s="14" t="n">
        <x:f>F513/F512-1</x:f>
        <x:v>0.0035556084703418644</x:v>
      </x:c>
      <x:c r="J513" s="12" t="n">
        <x:v>0</x:v>
      </x:c>
      <x:c r="K513" s="12" t="n">
        <x:v>0</x:v>
      </x:c>
      <x:c r="L513" s="12" t="n">
        <x:v>0</x:v>
      </x:c>
      <x:c r="M513" s="2" t="str">
        <x:v>持有</x:v>
      </x:c>
    </x:row>
    <x:row r="514" ht="23" customHeight="1">
      <x:c r="A514" s="11" t="d">
        <x:v>2017-01-09T00:00:00.000Z</x:v>
      </x:c>
      <x:c r="B514" s="12" t="n">
        <x:v>29.586302</x:v>
      </x:c>
      <x:c r="C514" s="13" t="n">
        <x:v>369</x:v>
      </x:c>
      <x:c r="D514" s="12" t="n">
        <x:v>83563.74</x:v>
      </x:c>
      <x:c r="E514" s="12" t="n">
        <x:v>490.37517</x:v>
      </x:c>
      <x:c r="F514" s="12" t="n">
        <x:f>SUM(B514,D514:E514)</x:f>
        <x:v>84083.701472</x:v>
      </x:c>
      <x:c r="G514" s="12" t="n">
        <x:f>MAX(G513,F514)</x:f>
        <x:v>100000</x:v>
      </x:c>
      <x:c r="H514" s="14" t="n">
        <x:f>F514/G514-1</x:f>
        <x:v>-0.15916298527999995</x:v>
      </x:c>
      <x:c r="I514" s="14" t="n">
        <x:f>F514/F513-1</x:f>
        <x:v>-0.0032805656580898734</x:v>
      </x:c>
      <x:c r="J514" s="12" t="n">
        <x:v>0</x:v>
      </x:c>
      <x:c r="K514" s="12" t="n">
        <x:v>0</x:v>
      </x:c>
      <x:c r="L514" s="12" t="n">
        <x:v>0</x:v>
      </x:c>
      <x:c r="M514" s="2" t="str">
        <x:v>持有</x:v>
      </x:c>
    </x:row>
    <x:row r="515" ht="23" customHeight="1">
      <x:c r="A515" s="11" t="d">
        <x:v>2017-01-10T00:00:00.000Z</x:v>
      </x:c>
      <x:c r="B515" s="12" t="n">
        <x:v>29.586302</x:v>
      </x:c>
      <x:c r="C515" s="13" t="n">
        <x:v>369</x:v>
      </x:c>
      <x:c r="D515" s="12" t="n">
        <x:v>83563.74</x:v>
      </x:c>
      <x:c r="E515" s="12" t="n">
        <x:v>490.37517</x:v>
      </x:c>
      <x:c r="F515" s="12" t="n">
        <x:f>SUM(B515,D515:E515)</x:f>
        <x:v>84083.701472</x:v>
      </x:c>
      <x:c r="G515" s="12" t="n">
        <x:f>MAX(G514,F515)</x:f>
        <x:v>100000</x:v>
      </x:c>
      <x:c r="H515" s="14" t="n">
        <x:f>F515/G515-1</x:f>
        <x:v>-0.15916298527999995</x:v>
      </x:c>
      <x:c r="I515" s="14" t="n">
        <x:f>F515/F514-1</x:f>
        <x:v>0</x:v>
      </x:c>
      <x:c r="J515" s="12" t="n">
        <x:v>0</x:v>
      </x:c>
      <x:c r="K515" s="12" t="n">
        <x:v>0</x:v>
      </x:c>
      <x:c r="L515" s="12" t="n">
        <x:v>0</x:v>
      </x:c>
      <x:c r="M515" s="2" t="str">
        <x:v>持有</x:v>
      </x:c>
    </x:row>
    <x:row r="516" ht="23" customHeight="1">
      <x:c r="A516" s="11" t="d">
        <x:v>2017-01-11T00:00:00.000Z</x:v>
      </x:c>
      <x:c r="B516" s="12" t="n">
        <x:v>29.586302</x:v>
      </x:c>
      <x:c r="C516" s="13" t="n">
        <x:v>369</x:v>
      </x:c>
      <x:c r="D516" s="12" t="n">
        <x:v>83799.9</x:v>
      </x:c>
      <x:c r="E516" s="12" t="n">
        <x:v>490.37517</x:v>
      </x:c>
      <x:c r="F516" s="12" t="n">
        <x:f>SUM(B516,D516:E516)</x:f>
        <x:v>84319.86147199999</x:v>
      </x:c>
      <x:c r="G516" s="12" t="n">
        <x:f>MAX(G515,F516)</x:f>
        <x:v>100000</x:v>
      </x:c>
      <x:c r="H516" s="14" t="n">
        <x:f>F516/G516-1</x:f>
        <x:v>-0.1568013852800001</x:v>
      </x:c>
      <x:c r="I516" s="14" t="n">
        <x:f>F516/F515-1</x:f>
        <x:v>0.0028086299231084855</x:v>
      </x:c>
      <x:c r="J516" s="12" t="n">
        <x:v>0</x:v>
      </x:c>
      <x:c r="K516" s="12" t="n">
        <x:v>0</x:v>
      </x:c>
      <x:c r="L516" s="12" t="n">
        <x:v>0</x:v>
      </x:c>
      <x:c r="M516" s="2" t="str">
        <x:v>持有</x:v>
      </x:c>
    </x:row>
    <x:row r="517" ht="23" customHeight="1">
      <x:c r="A517" s="11" t="d">
        <x:v>2017-01-12T00:00:00.000Z</x:v>
      </x:c>
      <x:c r="B517" s="12" t="n">
        <x:v>29.586302</x:v>
      </x:c>
      <x:c r="C517" s="13" t="n">
        <x:v>369</x:v>
      </x:c>
      <x:c r="D517" s="12" t="n">
        <x:v>83589.57</x:v>
      </x:c>
      <x:c r="E517" s="12" t="n">
        <x:v>490.37517</x:v>
      </x:c>
      <x:c r="F517" s="12" t="n">
        <x:f>SUM(B517,D517:E517)</x:f>
        <x:v>84109.531472</x:v>
      </x:c>
      <x:c r="G517" s="12" t="n">
        <x:f>MAX(G516,F517)</x:f>
        <x:v>100000</x:v>
      </x:c>
      <x:c r="H517" s="14" t="n">
        <x:f>F517/G517-1</x:f>
        <x:v>-0.15890468528</x:v>
      </x:c>
      <x:c r="I517" s="14" t="n">
        <x:f>F517/F516-1</x:f>
        <x:v>-0.0024944300942646436</x:v>
      </x:c>
      <x:c r="J517" s="12" t="n">
        <x:v>0</x:v>
      </x:c>
      <x:c r="K517" s="12" t="n">
        <x:v>0</x:v>
      </x:c>
      <x:c r="L517" s="12" t="n">
        <x:v>0</x:v>
      </x:c>
      <x:c r="M517" s="2" t="str">
        <x:v>持有</x:v>
      </x:c>
    </x:row>
    <x:row r="518" ht="23" customHeight="1">
      <x:c r="A518" s="11" t="d">
        <x:v>2017-01-13T00:00:00.000Z</x:v>
      </x:c>
      <x:c r="B518" s="12" t="n">
        <x:v>29.586302</x:v>
      </x:c>
      <x:c r="C518" s="13" t="n">
        <x:v>369</x:v>
      </x:c>
      <x:c r="D518" s="12" t="n">
        <x:v>83781.45</x:v>
      </x:c>
      <x:c r="E518" s="12" t="n">
        <x:v>490.37517</x:v>
      </x:c>
      <x:c r="F518" s="12" t="n">
        <x:f>SUM(B518,D518:E518)</x:f>
        <x:v>84301.41147199999</x:v>
      </x:c>
      <x:c r="G518" s="12" t="n">
        <x:f>MAX(G517,F518)</x:f>
        <x:v>100000</x:v>
      </x:c>
      <x:c r="H518" s="14" t="n">
        <x:f>F518/G518-1</x:f>
        <x:v>-0.15698588528000013</x:v>
      </x:c>
      <x:c r="I518" s="14" t="n">
        <x:f>F518/F517-1</x:f>
        <x:v>0.0022813110077051224</x:v>
      </x:c>
      <x:c r="J518" s="12" t="n">
        <x:v>0</x:v>
      </x:c>
      <x:c r="K518" s="12" t="n">
        <x:v>0</x:v>
      </x:c>
      <x:c r="L518" s="12" t="n">
        <x:v>0</x:v>
      </x:c>
      <x:c r="M518" s="2" t="str">
        <x:v>持有</x:v>
      </x:c>
    </x:row>
    <x:row r="519" ht="23" customHeight="1">
      <x:c r="A519" s="11" t="d">
        <x:v>2017-01-17T00:00:00.000Z</x:v>
      </x:c>
      <x:c r="B519" s="12" t="n">
        <x:v>29.586302</x:v>
      </x:c>
      <x:c r="C519" s="13" t="n">
        <x:v>369</x:v>
      </x:c>
      <x:c r="D519" s="12" t="n">
        <x:v>83486.25</x:v>
      </x:c>
      <x:c r="E519" s="12" t="n">
        <x:v>490.37517</x:v>
      </x:c>
      <x:c r="F519" s="12" t="n">
        <x:f>SUM(B519,D519:E519)</x:f>
        <x:v>84006.211472</x:v>
      </x:c>
      <x:c r="G519" s="12" t="n">
        <x:f>MAX(G518,F519)</x:f>
        <x:v>100000</x:v>
      </x:c>
      <x:c r="H519" s="14" t="n">
        <x:f>F519/G519-1</x:f>
        <x:v>-0.15993788528000008</x:v>
      </x:c>
      <x:c r="I519" s="14" t="n">
        <x:f>F519/F518-1</x:f>
        <x:v>-0.0035017207285793495</x:v>
      </x:c>
      <x:c r="J519" s="12" t="n">
        <x:v>0</x:v>
      </x:c>
      <x:c r="K519" s="12" t="n">
        <x:v>0</x:v>
      </x:c>
      <x:c r="L519" s="12" t="n">
        <x:v>0</x:v>
      </x:c>
      <x:c r="M519" s="2" t="str">
        <x:v>持有</x:v>
      </x:c>
    </x:row>
    <x:row r="520" ht="23" customHeight="1">
      <x:c r="A520" s="11" t="d">
        <x:v>2017-01-18T00:00:00.000Z</x:v>
      </x:c>
      <x:c r="B520" s="12" t="n">
        <x:v>29.586302</x:v>
      </x:c>
      <x:c r="C520" s="13" t="n">
        <x:v>369</x:v>
      </x:c>
      <x:c r="D520" s="12" t="n">
        <x:v>83670.75</x:v>
      </x:c>
      <x:c r="E520" s="12" t="n">
        <x:v>490.37517</x:v>
      </x:c>
      <x:c r="F520" s="12" t="n">
        <x:f>SUM(B520,D520:E520)</x:f>
        <x:v>84190.711472</x:v>
      </x:c>
      <x:c r="G520" s="12" t="n">
        <x:f>MAX(G519,F520)</x:f>
        <x:v>100000</x:v>
      </x:c>
      <x:c r="H520" s="14" t="n">
        <x:f>F520/G520-1</x:f>
        <x:v>-0.1580928852800001</x:v>
      </x:c>
      <x:c r="I520" s="14" t="n">
        <x:f>F520/F519-1</x:f>
        <x:v>0.002196266166121452</x:v>
      </x:c>
      <x:c r="J520" s="12" t="n">
        <x:v>0</x:v>
      </x:c>
      <x:c r="K520" s="12" t="n">
        <x:v>0</x:v>
      </x:c>
      <x:c r="L520" s="12" t="n">
        <x:v>0</x:v>
      </x:c>
      <x:c r="M520" s="2" t="str">
        <x:v>持有</x:v>
      </x:c>
    </x:row>
    <x:row r="521" ht="23" customHeight="1">
      <x:c r="A521" s="11" t="d">
        <x:v>2017-01-19T00:00:00.000Z</x:v>
      </x:c>
      <x:c r="B521" s="12" t="n">
        <x:v>29.586302</x:v>
      </x:c>
      <x:c r="C521" s="13" t="n">
        <x:v>369</x:v>
      </x:c>
      <x:c r="D521" s="12" t="n">
        <x:v>83360.79</x:v>
      </x:c>
      <x:c r="E521" s="12" t="n">
        <x:v>490.37517</x:v>
      </x:c>
      <x:c r="F521" s="12" t="n">
        <x:f>SUM(B521,D521:E521)</x:f>
        <x:v>83880.75147199999</x:v>
      </x:c>
      <x:c r="G521" s="12" t="n">
        <x:f>MAX(G520,F521)</x:f>
        <x:v>100000</x:v>
      </x:c>
      <x:c r="H521" s="14" t="n">
        <x:f>F521/G521-1</x:f>
        <x:v>-0.16119248528000008</x:v>
      </x:c>
      <x:c r="I521" s="14" t="n">
        <x:f>F521/F520-1</x:f>
        <x:v>-0.003681641294872473</x:v>
      </x:c>
      <x:c r="J521" s="12" t="n">
        <x:v>0</x:v>
      </x:c>
      <x:c r="K521" s="12" t="n">
        <x:v>0</x:v>
      </x:c>
      <x:c r="L521" s="12" t="n">
        <x:v>0</x:v>
      </x:c>
      <x:c r="M521" s="2" t="str">
        <x:v>持有</x:v>
      </x:c>
    </x:row>
    <x:row r="522" ht="23" customHeight="1">
      <x:c r="A522" s="11" t="d">
        <x:v>2017-01-20T00:00:00.000Z</x:v>
      </x:c>
      <x:c r="B522" s="12" t="n">
        <x:v>29.586302</x:v>
      </x:c>
      <x:c r="C522" s="13" t="n">
        <x:v>369</x:v>
      </x:c>
      <x:c r="D522" s="12" t="n">
        <x:v>83667.06</x:v>
      </x:c>
      <x:c r="E522" s="12" t="n">
        <x:v>490.37517</x:v>
      </x:c>
      <x:c r="F522" s="12" t="n">
        <x:f>SUM(B522,D522:E522)</x:f>
        <x:v>84187.021472</x:v>
      </x:c>
      <x:c r="G522" s="12" t="n">
        <x:f>MAX(G521,F522)</x:f>
        <x:v>100000</x:v>
      </x:c>
      <x:c r="H522" s="14" t="n">
        <x:f>F522/G522-1</x:f>
        <x:v>-0.1581297852800001</x:v>
      </x:c>
      <x:c r="I522" s="14" t="n">
        <x:f>F522/F521-1</x:f>
        <x:v>0.003651254842444329</x:v>
      </x:c>
      <x:c r="J522" s="12" t="n">
        <x:v>0</x:v>
      </x:c>
      <x:c r="K522" s="12" t="n">
        <x:v>0</x:v>
      </x:c>
      <x:c r="L522" s="12" t="n">
        <x:v>0</x:v>
      </x:c>
      <x:c r="M522" s="2" t="str">
        <x:v>持有</x:v>
      </x:c>
    </x:row>
    <x:row r="523" ht="23" customHeight="1">
      <x:c r="A523" s="11" t="d">
        <x:v>2017-01-23T00:00:00.000Z</x:v>
      </x:c>
      <x:c r="B523" s="12" t="n">
        <x:v>29.586302</x:v>
      </x:c>
      <x:c r="C523" s="13" t="n">
        <x:v>369</x:v>
      </x:c>
      <x:c r="D523" s="12" t="n">
        <x:v>83449.35</x:v>
      </x:c>
      <x:c r="E523" s="12" t="n">
        <x:v>490.37517</x:v>
      </x:c>
      <x:c r="F523" s="12" t="n">
        <x:f>SUM(B523,D523:E523)</x:f>
        <x:v>83969.311472</x:v>
      </x:c>
      <x:c r="G523" s="12" t="n">
        <x:f>MAX(G522,F523)</x:f>
        <x:v>100000</x:v>
      </x:c>
      <x:c r="H523" s="14" t="n">
        <x:f>F523/G523-1</x:f>
        <x:v>-0.16030688528000003</x:v>
      </x:c>
      <x:c r="I523" s="14" t="n">
        <x:f>F523/F522-1</x:f>
        <x:v>-0.0025860280622043152</x:v>
      </x:c>
      <x:c r="J523" s="12" t="n">
        <x:v>0</x:v>
      </x:c>
      <x:c r="K523" s="12" t="n">
        <x:v>0</x:v>
      </x:c>
      <x:c r="L523" s="12" t="n">
        <x:v>0</x:v>
      </x:c>
      <x:c r="M523" s="2" t="str">
        <x:v>持有</x:v>
      </x:c>
    </x:row>
    <x:row r="524" ht="23" customHeight="1">
      <x:c r="A524" s="11" t="d">
        <x:v>2017-01-24T00:00:00.000Z</x:v>
      </x:c>
      <x:c r="B524" s="12" t="n">
        <x:v>29.586302</x:v>
      </x:c>
      <x:c r="C524" s="13" t="n">
        <x:v>369</x:v>
      </x:c>
      <x:c r="D524" s="12" t="n">
        <x:v>83984.4</x:v>
      </x:c>
      <x:c r="E524" s="12" t="n">
        <x:v>490.37517</x:v>
      </x:c>
      <x:c r="F524" s="12" t="n">
        <x:f>SUM(B524,D524:E524)</x:f>
        <x:v>84504.36147199999</x:v>
      </x:c>
      <x:c r="G524" s="12" t="n">
        <x:f>MAX(G523,F524)</x:f>
        <x:v>100000</x:v>
      </x:c>
      <x:c r="H524" s="14" t="n">
        <x:f>F524/G524-1</x:f>
        <x:v>-0.1549563852800001</x:v>
      </x:c>
      <x:c r="I524" s="14" t="n">
        <x:f>F524/F523-1</x:f>
        <x:v>0.006371970790523873</x:v>
      </x:c>
      <x:c r="J524" s="12" t="n">
        <x:v>0</x:v>
      </x:c>
      <x:c r="K524" s="12" t="n">
        <x:v>0</x:v>
      </x:c>
      <x:c r="L524" s="12" t="n">
        <x:v>0</x:v>
      </x:c>
      <x:c r="M524" s="2" t="str">
        <x:v>持有</x:v>
      </x:c>
    </x:row>
    <x:row r="525" ht="23" customHeight="1">
      <x:c r="A525" s="11" t="d">
        <x:v>2017-01-25T00:00:00.000Z</x:v>
      </x:c>
      <x:c r="B525" s="12" t="n">
        <x:v>29.586302</x:v>
      </x:c>
      <x:c r="C525" s="13" t="n">
        <x:v>369</x:v>
      </x:c>
      <x:c r="D525" s="12" t="n">
        <x:v>84711.33</x:v>
      </x:c>
      <x:c r="E525" s="12" t="n">
        <x:v>490.37517</x:v>
      </x:c>
      <x:c r="F525" s="12" t="n">
        <x:f>SUM(B525,D525:E525)</x:f>
        <x:v>85231.291472</x:v>
      </x:c>
      <x:c r="G525" s="12" t="n">
        <x:f>MAX(G524,F525)</x:f>
        <x:v>100000</x:v>
      </x:c>
      <x:c r="H525" s="14" t="n">
        <x:f>F525/G525-1</x:f>
        <x:v>-0.14768708528000007</x:v>
      </x:c>
      <x:c r="I525" s="14" t="n">
        <x:f>F525/F524-1</x:f>
        <x:v>0.008602277886460064</x:v>
      </x:c>
      <x:c r="J525" s="12" t="n">
        <x:v>0</x:v>
      </x:c>
      <x:c r="K525" s="12" t="n">
        <x:v>0</x:v>
      </x:c>
      <x:c r="L525" s="12" t="n">
        <x:v>0</x:v>
      </x:c>
      <x:c r="M525" s="2" t="str">
        <x:v>持有</x:v>
      </x:c>
    </x:row>
    <x:row r="526" ht="23" customHeight="1">
      <x:c r="A526" s="11" t="d">
        <x:v>2017-01-26T00:00:00.000Z</x:v>
      </x:c>
      <x:c r="B526" s="12" t="n">
        <x:v>29.586302</x:v>
      </x:c>
      <x:c r="C526" s="13" t="n">
        <x:v>369</x:v>
      </x:c>
      <x:c r="D526" s="12" t="n">
        <x:v>84622.77</x:v>
      </x:c>
      <x:c r="E526" s="12" t="n">
        <x:v>490.37517</x:v>
      </x:c>
      <x:c r="F526" s="12" t="n">
        <x:f>SUM(B526,D526:E526)</x:f>
        <x:v>85142.731472</x:v>
      </x:c>
      <x:c r="G526" s="12" t="n">
        <x:f>MAX(G525,F526)</x:f>
        <x:v>100000</x:v>
      </x:c>
      <x:c r="H526" s="14" t="n">
        <x:f>F526/G526-1</x:f>
        <x:v>-0.14857268528</x:v>
      </x:c>
      <x:c r="I526" s="14" t="n">
        <x:f>F526/F525-1</x:f>
        <x:v>-0.001039055005157219</x:v>
      </x:c>
      <x:c r="J526" s="12" t="n">
        <x:v>0</x:v>
      </x:c>
      <x:c r="K526" s="12" t="n">
        <x:v>0</x:v>
      </x:c>
      <x:c r="L526" s="12" t="n">
        <x:v>0</x:v>
      </x:c>
      <x:c r="M526" s="2" t="str">
        <x:v>持有</x:v>
      </x:c>
    </x:row>
    <x:row r="527" ht="23" customHeight="1">
      <x:c r="A527" s="11" t="d">
        <x:v>2017-01-27T00:00:00.000Z</x:v>
      </x:c>
      <x:c r="B527" s="12" t="n">
        <x:v>29.586302</x:v>
      </x:c>
      <x:c r="C527" s="13" t="n">
        <x:v>369</x:v>
      </x:c>
      <x:c r="D527" s="12" t="n">
        <x:v>84489.93</x:v>
      </x:c>
      <x:c r="E527" s="12" t="n">
        <x:v>490.37517</x:v>
      </x:c>
      <x:c r="F527" s="12" t="n">
        <x:f>SUM(B527,D527:E527)</x:f>
        <x:v>85009.89147199999</x:v>
      </x:c>
      <x:c r="G527" s="12" t="n">
        <x:f>MAX(G526,F527)</x:f>
        <x:v>100000</x:v>
      </x:c>
      <x:c r="H527" s="14" t="n">
        <x:f>F527/G527-1</x:f>
        <x:v>-0.14990108528000012</x:v>
      </x:c>
      <x:c r="I527" s="14" t="n">
        <x:f>F527/F526-1</x:f>
        <x:v>-0.0015602036451426438</x:v>
      </x:c>
      <x:c r="J527" s="12" t="n">
        <x:v>0</x:v>
      </x:c>
      <x:c r="K527" s="12" t="n">
        <x:v>0</x:v>
      </x:c>
      <x:c r="L527" s="12" t="n">
        <x:v>0</x:v>
      </x:c>
      <x:c r="M527" s="2" t="str">
        <x:v>持有</x:v>
      </x:c>
    </x:row>
    <x:row r="528" ht="23" customHeight="1">
      <x:c r="A528" s="11" t="d">
        <x:v>2017-01-30T00:00:00.000Z</x:v>
      </x:c>
      <x:c r="B528" s="12" t="n">
        <x:v>29.586302</x:v>
      </x:c>
      <x:c r="C528" s="13" t="n">
        <x:v>369</x:v>
      </x:c>
      <x:c r="D528" s="12" t="n">
        <x:v>83965.95</x:v>
      </x:c>
      <x:c r="E528" s="12" t="n">
        <x:v>490.37517</x:v>
      </x:c>
      <x:c r="F528" s="12" t="n">
        <x:f>SUM(B528,D528:E528)</x:f>
        <x:v>84485.91147199999</x:v>
      </x:c>
      <x:c r="G528" s="12" t="n">
        <x:f>MAX(G527,F528)</x:f>
        <x:v>100000</x:v>
      </x:c>
      <x:c r="H528" s="14" t="n">
        <x:f>F528/G528-1</x:f>
        <x:v>-0.15514088528000003</x:v>
      </x:c>
      <x:c r="I528" s="14" t="n">
        <x:f>F528/F527-1</x:f>
        <x:v>-0.006163753310667208</x:v>
      </x:c>
      <x:c r="J528" s="12" t="n">
        <x:v>0</x:v>
      </x:c>
      <x:c r="K528" s="12" t="n">
        <x:v>0</x:v>
      </x:c>
      <x:c r="L528" s="12" t="n">
        <x:v>0</x:v>
      </x:c>
      <x:c r="M528" s="2" t="str">
        <x:v>持有</x:v>
      </x:c>
    </x:row>
    <x:row r="529" ht="23" customHeight="1">
      <x:c r="A529" s="11" t="d">
        <x:v>2017-01-31T00:00:00.000Z</x:v>
      </x:c>
      <x:c r="B529" s="12" t="n">
        <x:v>519.961472</x:v>
      </x:c>
      <x:c r="C529" s="13" t="n">
        <x:v>369</x:v>
      </x:c>
      <x:c r="D529" s="12" t="n">
        <x:v>83958.57</x:v>
      </x:c>
      <x:c r="E529" s="12" t="n">
        <x:v>0</x:v>
      </x:c>
      <x:c r="F529" s="12" t="n">
        <x:f>SUM(B529,D529:E529)</x:f>
        <x:v>84478.531472</x:v>
      </x:c>
      <x:c r="G529" s="12" t="n">
        <x:f>MAX(G528,F529)</x:f>
        <x:v>100000</x:v>
      </x:c>
      <x:c r="H529" s="14" t="n">
        <x:f>F529/G529-1</x:f>
        <x:v>-0.15521468527999993</x:v>
      </x:c>
      <x:c r="I529" s="14" t="n">
        <x:f>F529/F528-1</x:f>
        <x:v>-0.00008735184211672298</x:v>
      </x:c>
      <x:c r="J529" s="12" t="n">
        <x:v>0</x:v>
      </x:c>
      <x:c r="K529" s="12" t="n">
        <x:v>490.37517</x:v>
      </x:c>
      <x:c r="L529" s="12" t="n">
        <x:v>0</x:v>
      </x:c>
      <x:c r="M529" s="2" t="str">
        <x:v>持有</x:v>
      </x:c>
    </x:row>
    <x:row r="530" ht="23" customHeight="1">
      <x:c r="A530" s="11" t="d">
        <x:v>2017-02-01T00:00:00.000Z</x:v>
      </x:c>
      <x:c r="B530" s="12" t="n">
        <x:v>519.961472</x:v>
      </x:c>
      <x:c r="C530" s="13" t="n">
        <x:v>369</x:v>
      </x:c>
      <x:c r="D530" s="12" t="n">
        <x:v>83991.78</x:v>
      </x:c>
      <x:c r="E530" s="12" t="n">
        <x:v>0</x:v>
      </x:c>
      <x:c r="F530" s="12" t="n">
        <x:f>SUM(B530,D530:E530)</x:f>
        <x:v>84511.741472</x:v>
      </x:c>
      <x:c r="G530" s="12" t="n">
        <x:f>MAX(G529,F530)</x:f>
        <x:v>100000</x:v>
      </x:c>
      <x:c r="H530" s="14" t="n">
        <x:f>F530/G530-1</x:f>
        <x:v>-0.1548825852800001</x:v>
      </x:c>
      <x:c r="I530" s="14" t="n">
        <x:f>F530/F529-1</x:f>
        <x:v>0.00039311762907479064</x:v>
      </x:c>
      <x:c r="J530" s="12" t="n">
        <x:v>0</x:v>
      </x:c>
      <x:c r="K530" s="12" t="n">
        <x:v>0</x:v>
      </x:c>
      <x:c r="L530" s="12" t="n">
        <x:v>0</x:v>
      </x:c>
      <x:c r="M530" s="2" t="str">
        <x:v>持有</x:v>
      </x:c>
    </x:row>
    <x:row r="531" ht="23" customHeight="1">
      <x:c r="A531" s="11" t="d">
        <x:v>2017-02-02T00:00:00.000Z</x:v>
      </x:c>
      <x:c r="B531" s="12" t="n">
        <x:v>519.961472</x:v>
      </x:c>
      <x:c r="C531" s="13" t="n">
        <x:v>369</x:v>
      </x:c>
      <x:c r="D531" s="12" t="n">
        <x:v>84047.13</x:v>
      </x:c>
      <x:c r="E531" s="12" t="n">
        <x:v>0</x:v>
      </x:c>
      <x:c r="F531" s="12" t="n">
        <x:f>SUM(B531,D531:E531)</x:f>
        <x:v>84567.091472</x:v>
      </x:c>
      <x:c r="G531" s="12" t="n">
        <x:f>MAX(G530,F531)</x:f>
        <x:v>100000</x:v>
      </x:c>
      <x:c r="H531" s="14" t="n">
        <x:f>F531/G531-1</x:f>
        <x:v>-0.15432908528</x:v>
      </x:c>
      <x:c r="I531" s="14" t="n">
        <x:f>F531/F530-1</x:f>
        <x:v>0.000654938580556319</x:v>
      </x:c>
      <x:c r="J531" s="12" t="n">
        <x:v>0</x:v>
      </x:c>
      <x:c r="K531" s="12" t="n">
        <x:v>0</x:v>
      </x:c>
      <x:c r="L531" s="12" t="n">
        <x:v>0</x:v>
      </x:c>
      <x:c r="M531" s="2" t="str">
        <x:v>持有</x:v>
      </x:c>
    </x:row>
    <x:row r="532" ht="23" customHeight="1">
      <x:c r="A532" s="11" t="d">
        <x:v>2017-02-03T00:00:00.000Z</x:v>
      </x:c>
      <x:c r="B532" s="12" t="n">
        <x:v>519.961472</x:v>
      </x:c>
      <x:c r="C532" s="13" t="n">
        <x:v>369</x:v>
      </x:c>
      <x:c r="D532" s="12" t="n">
        <x:v>84626.46</x:v>
      </x:c>
      <x:c r="E532" s="12" t="n">
        <x:v>0</x:v>
      </x:c>
      <x:c r="F532" s="12" t="n">
        <x:f>SUM(B532,D532:E532)</x:f>
        <x:v>85146.421472</x:v>
      </x:c>
      <x:c r="G532" s="12" t="n">
        <x:f>MAX(G531,F532)</x:f>
        <x:v>100000</x:v>
      </x:c>
      <x:c r="H532" s="14" t="n">
        <x:f>F532/G532-1</x:f>
        <x:v>-0.14853578528</x:v>
      </x:c>
      <x:c r="I532" s="14" t="n">
        <x:f>F532/F531-1</x:f>
        <x:v>0.006850537128757939</x:v>
      </x:c>
      <x:c r="J532" s="12" t="n">
        <x:v>0</x:v>
      </x:c>
      <x:c r="K532" s="12" t="n">
        <x:v>0</x:v>
      </x:c>
      <x:c r="L532" s="12" t="n">
        <x:v>0</x:v>
      </x:c>
      <x:c r="M532" s="2" t="str">
        <x:v>持有</x:v>
      </x:c>
    </x:row>
    <x:row r="533" ht="23" customHeight="1">
      <x:c r="A533" s="11" t="d">
        <x:v>2017-02-06T00:00:00.000Z</x:v>
      </x:c>
      <x:c r="B533" s="12" t="n">
        <x:v>519.961472</x:v>
      </x:c>
      <x:c r="C533" s="13" t="n">
        <x:v>369</x:v>
      </x:c>
      <x:c r="D533" s="12" t="n">
        <x:v>84475.17</x:v>
      </x:c>
      <x:c r="E533" s="12" t="n">
        <x:v>0</x:v>
      </x:c>
      <x:c r="F533" s="12" t="n">
        <x:f>SUM(B533,D533:E533)</x:f>
        <x:v>84995.131472</x:v>
      </x:c>
      <x:c r="G533" s="12" t="n">
        <x:f>MAX(G532,F533)</x:f>
        <x:v>100000</x:v>
      </x:c>
      <x:c r="H533" s="14" t="n">
        <x:f>F533/G533-1</x:f>
        <x:v>-0.15004868528000004</x:v>
      </x:c>
      <x:c r="I533" s="14" t="n">
        <x:f>F533/F532-1</x:f>
        <x:v>-0.0017768215902034257</x:v>
      </x:c>
      <x:c r="J533" s="12" t="n">
        <x:v>0</x:v>
      </x:c>
      <x:c r="K533" s="12" t="n">
        <x:v>0</x:v>
      </x:c>
      <x:c r="L533" s="12" t="n">
        <x:v>0</x:v>
      </x:c>
      <x:c r="M533" s="2" t="str">
        <x:v>持有</x:v>
      </x:c>
    </x:row>
    <x:row r="534" ht="23" customHeight="1">
      <x:c r="A534" s="11" t="d">
        <x:v>2017-02-07T00:00:00.000Z</x:v>
      </x:c>
      <x:c r="B534" s="12" t="n">
        <x:v>519.961472</x:v>
      </x:c>
      <x:c r="C534" s="13" t="n">
        <x:v>369</x:v>
      </x:c>
      <x:c r="D534" s="12" t="n">
        <x:v>84478.86</x:v>
      </x:c>
      <x:c r="E534" s="12" t="n">
        <x:v>0</x:v>
      </x:c>
      <x:c r="F534" s="12" t="n">
        <x:f>SUM(B534,D534:E534)</x:f>
        <x:v>84998.821472</x:v>
      </x:c>
      <x:c r="G534" s="12" t="n">
        <x:f>MAX(G533,F534)</x:f>
        <x:v>100000</x:v>
      </x:c>
      <x:c r="H534" s="14" t="n">
        <x:f>F534/G534-1</x:f>
        <x:v>-0.15001178528000003</x:v>
      </x:c>
      <x:c r="I534" s="14" t="n">
        <x:f>F534/F533-1</x:f>
        <x:v>0.00004341425133524979</x:v>
      </x:c>
      <x:c r="J534" s="12" t="n">
        <x:v>0</x:v>
      </x:c>
      <x:c r="K534" s="12" t="n">
        <x:v>0</x:v>
      </x:c>
      <x:c r="L534" s="12" t="n">
        <x:v>0</x:v>
      </x:c>
      <x:c r="M534" s="2" t="str">
        <x:v>持有</x:v>
      </x:c>
    </x:row>
    <x:row r="535" ht="23" customHeight="1">
      <x:c r="A535" s="11" t="d">
        <x:v>2017-02-08T00:00:00.000Z</x:v>
      </x:c>
      <x:c r="B535" s="12" t="n">
        <x:v>519.961472</x:v>
      </x:c>
      <x:c r="C535" s="13" t="n">
        <x:v>369</x:v>
      </x:c>
      <x:c r="D535" s="12" t="n">
        <x:v>84589.56</x:v>
      </x:c>
      <x:c r="E535" s="12" t="n">
        <x:v>0</x:v>
      </x:c>
      <x:c r="F535" s="12" t="n">
        <x:f>SUM(B535,D535:E535)</x:f>
        <x:v>85109.521472</x:v>
      </x:c>
      <x:c r="G535" s="12" t="n">
        <x:f>MAX(G534,F535)</x:f>
        <x:v>100000</x:v>
      </x:c>
      <x:c r="H535" s="14" t="n">
        <x:f>F535/G535-1</x:f>
        <x:v>-0.14890478528000006</x:v>
      </x:c>
      <x:c r="I535" s="14" t="n">
        <x:f>F535/F534-1</x:f>
        <x:v>0.0013023709985962029</x:v>
      </x:c>
      <x:c r="J535" s="12" t="n">
        <x:v>0</x:v>
      </x:c>
      <x:c r="K535" s="12" t="n">
        <x:v>0</x:v>
      </x:c>
      <x:c r="L535" s="12" t="n">
        <x:v>0</x:v>
      </x:c>
      <x:c r="M535" s="2" t="str">
        <x:v>持有</x:v>
      </x:c>
    </x:row>
    <x:row r="536" ht="23" customHeight="1">
      <x:c r="A536" s="11" t="d">
        <x:v>2017-02-09T00:00:00.000Z</x:v>
      </x:c>
      <x:c r="B536" s="12" t="n">
        <x:v>519.961472</x:v>
      </x:c>
      <x:c r="C536" s="13" t="n">
        <x:v>369</x:v>
      </x:c>
      <x:c r="D536" s="12" t="n">
        <x:v>85091.4</x:v>
      </x:c>
      <x:c r="E536" s="12" t="n">
        <x:v>0</x:v>
      </x:c>
      <x:c r="F536" s="12" t="n">
        <x:f>SUM(B536,D536:E536)</x:f>
        <x:v>85611.36147199999</x:v>
      </x:c>
      <x:c r="G536" s="12" t="n">
        <x:f>MAX(G535,F536)</x:f>
        <x:v>100000</x:v>
      </x:c>
      <x:c r="H536" s="14" t="n">
        <x:f>F536/G536-1</x:f>
        <x:v>-0.14388638528000008</x:v>
      </x:c>
      <x:c r="I536" s="14" t="n">
        <x:f>F536/F535-1</x:f>
        <x:v>0.005896402556617497</x:v>
      </x:c>
      <x:c r="J536" s="12" t="n">
        <x:v>0</x:v>
      </x:c>
      <x:c r="K536" s="12" t="n">
        <x:v>0</x:v>
      </x:c>
      <x:c r="L536" s="12" t="n">
        <x:v>0</x:v>
      </x:c>
      <x:c r="M536" s="2" t="str">
        <x:v>持有</x:v>
      </x:c>
    </x:row>
    <x:row r="537" ht="23" customHeight="1">
      <x:c r="A537" s="11" t="d">
        <x:v>2017-02-10T00:00:00.000Z</x:v>
      </x:c>
      <x:c r="B537" s="12" t="n">
        <x:v>519.961472</x:v>
      </x:c>
      <x:c r="C537" s="13" t="n">
        <x:v>369</x:v>
      </x:c>
      <x:c r="D537" s="12" t="n">
        <x:v>85427.19</x:v>
      </x:c>
      <x:c r="E537" s="12" t="n">
        <x:v>0</x:v>
      </x:c>
      <x:c r="F537" s="12" t="n">
        <x:f>SUM(B537,D537:E537)</x:f>
        <x:v>85947.151472</x:v>
      </x:c>
      <x:c r="G537" s="12" t="n">
        <x:f>MAX(G536,F537)</x:f>
        <x:v>100000</x:v>
      </x:c>
      <x:c r="H537" s="14" t="n">
        <x:f>F537/G537-1</x:f>
        <x:v>-0.14052848528000006</x:v>
      </x:c>
      <x:c r="I537" s="14" t="n">
        <x:f>F537/F536-1</x:f>
        <x:v>0.003922259782188187</x:v>
      </x:c>
      <x:c r="J537" s="12" t="n">
        <x:v>0</x:v>
      </x:c>
      <x:c r="K537" s="12" t="n">
        <x:v>0</x:v>
      </x:c>
      <x:c r="L537" s="12" t="n">
        <x:v>0</x:v>
      </x:c>
      <x:c r="M537" s="2" t="str">
        <x:v>持有</x:v>
      </x:c>
    </x:row>
    <x:row r="538" ht="23" customHeight="1">
      <x:c r="A538" s="11" t="d">
        <x:v>2017-02-13T00:00:00.000Z</x:v>
      </x:c>
      <x:c r="B538" s="12" t="n">
        <x:v>519.961472</x:v>
      </x:c>
      <x:c r="C538" s="13" t="n">
        <x:v>369</x:v>
      </x:c>
      <x:c r="D538" s="12" t="n">
        <x:v>85892.13</x:v>
      </x:c>
      <x:c r="E538" s="12" t="n">
        <x:v>0</x:v>
      </x:c>
      <x:c r="F538" s="12" t="n">
        <x:f>SUM(B538,D538:E538)</x:f>
        <x:v>86412.091472</x:v>
      </x:c>
      <x:c r="G538" s="12" t="n">
        <x:f>MAX(G537,F538)</x:f>
        <x:v>100000</x:v>
      </x:c>
      <x:c r="H538" s="14" t="n">
        <x:f>F538/G538-1</x:f>
        <x:v>-0.13587908528000003</x:v>
      </x:c>
      <x:c r="I538" s="14" t="n">
        <x:f>F538/F537-1</x:f>
        <x:v>0.00540960336715135</x:v>
      </x:c>
      <x:c r="J538" s="12" t="n">
        <x:v>0</x:v>
      </x:c>
      <x:c r="K538" s="12" t="n">
        <x:v>0</x:v>
      </x:c>
      <x:c r="L538" s="12" t="n">
        <x:v>0</x:v>
      </x:c>
      <x:c r="M538" s="2" t="str">
        <x:v>持有</x:v>
      </x:c>
    </x:row>
    <x:row r="539" ht="23" customHeight="1">
      <x:c r="A539" s="11" t="d">
        <x:v>2017-02-14T00:00:00.000Z</x:v>
      </x:c>
      <x:c r="B539" s="12" t="n">
        <x:v>519.961472</x:v>
      </x:c>
      <x:c r="C539" s="13" t="n">
        <x:v>369</x:v>
      </x:c>
      <x:c r="D539" s="12" t="n">
        <x:v>86235.3</x:v>
      </x:c>
      <x:c r="E539" s="12" t="n">
        <x:v>0</x:v>
      </x:c>
      <x:c r="F539" s="12" t="n">
        <x:f>SUM(B539,D539:E539)</x:f>
        <x:v>86755.261472</x:v>
      </x:c>
      <x:c r="G539" s="12" t="n">
        <x:f>MAX(G538,F539)</x:f>
        <x:v>100000</x:v>
      </x:c>
      <x:c r="H539" s="14" t="n">
        <x:f>F539/G539-1</x:f>
        <x:v>-0.13244738528</x:v>
      </x:c>
      <x:c r="I539" s="14" t="n">
        <x:f>F539/F538-1</x:f>
        <x:v>0.003971319223435188</x:v>
      </x:c>
      <x:c r="J539" s="12" t="n">
        <x:v>0</x:v>
      </x:c>
      <x:c r="K539" s="12" t="n">
        <x:v>0</x:v>
      </x:c>
      <x:c r="L539" s="12" t="n">
        <x:v>0</x:v>
      </x:c>
      <x:c r="M539" s="2" t="str">
        <x:v>持有</x:v>
      </x:c>
    </x:row>
    <x:row r="540" ht="23" customHeight="1">
      <x:c r="A540" s="11" t="d">
        <x:v>2017-02-15T00:00:00.000Z</x:v>
      </x:c>
      <x:c r="B540" s="12" t="n">
        <x:v>519.961472</x:v>
      </x:c>
      <x:c r="C540" s="13" t="n">
        <x:v>369</x:v>
      </x:c>
      <x:c r="D540" s="12" t="n">
        <x:v>86685.48</x:v>
      </x:c>
      <x:c r="E540" s="12" t="n">
        <x:v>0</x:v>
      </x:c>
      <x:c r="F540" s="12" t="n">
        <x:f>SUM(B540,D540:E540)</x:f>
        <x:v>87205.44147199999</x:v>
      </x:c>
      <x:c r="G540" s="12" t="n">
        <x:f>MAX(G539,F540)</x:f>
        <x:v>100000</x:v>
      </x:c>
      <x:c r="H540" s="14" t="n">
        <x:f>F540/G540-1</x:f>
        <x:v>-0.1279455852800001</x:v>
      </x:c>
      <x:c r="I540" s="14" t="n">
        <x:f>F540/F539-1</x:f>
        <x:v>0.005189080089918141</x:v>
      </x:c>
      <x:c r="J540" s="12" t="n">
        <x:v>0</x:v>
      </x:c>
      <x:c r="K540" s="12" t="n">
        <x:v>0</x:v>
      </x:c>
      <x:c r="L540" s="12" t="n">
        <x:v>0</x:v>
      </x:c>
      <x:c r="M540" s="2" t="str">
        <x:v>持有</x:v>
      </x:c>
    </x:row>
    <x:row r="541" ht="23" customHeight="1">
      <x:c r="A541" s="11" t="d">
        <x:v>2017-02-16T00:00:00.000Z</x:v>
      </x:c>
      <x:c r="B541" s="12" t="n">
        <x:v>519.961472</x:v>
      </x:c>
      <x:c r="C541" s="13" t="n">
        <x:v>369</x:v>
      </x:c>
      <x:c r="D541" s="12" t="n">
        <x:v>86611.68</x:v>
      </x:c>
      <x:c r="E541" s="12" t="n">
        <x:v>0</x:v>
      </x:c>
      <x:c r="F541" s="12" t="n">
        <x:f>SUM(B541,D541:E541)</x:f>
        <x:v>87131.64147199999</x:v>
      </x:c>
      <x:c r="G541" s="12" t="n">
        <x:f>MAX(G540,F541)</x:f>
        <x:v>100000</x:v>
      </x:c>
      <x:c r="H541" s="14" t="n">
        <x:f>F541/G541-1</x:f>
        <x:v>-0.12868358528000012</x:v>
      </x:c>
      <x:c r="I541" s="14" t="n">
        <x:f>F541/F540-1</x:f>
        <x:v>-0.0008462774656521344</x:v>
      </x:c>
      <x:c r="J541" s="12" t="n">
        <x:v>0</x:v>
      </x:c>
      <x:c r="K541" s="12" t="n">
        <x:v>0</x:v>
      </x:c>
      <x:c r="L541" s="12" t="n">
        <x:v>0</x:v>
      </x:c>
      <x:c r="M541" s="2" t="str">
        <x:v>持有</x:v>
      </x:c>
    </x:row>
    <x:row r="542" ht="23" customHeight="1">
      <x:c r="A542" s="11" t="d">
        <x:v>2017-02-17T00:00:00.000Z</x:v>
      </x:c>
      <x:c r="B542" s="12" t="n">
        <x:v>519.961472</x:v>
      </x:c>
      <x:c r="C542" s="13" t="n">
        <x:v>369</x:v>
      </x:c>
      <x:c r="D542" s="12" t="n">
        <x:v>86748.21</x:v>
      </x:c>
      <x:c r="E542" s="12" t="n">
        <x:v>0</x:v>
      </x:c>
      <x:c r="F542" s="12" t="n">
        <x:f>SUM(B542,D542:E542)</x:f>
        <x:v>87268.171472</x:v>
      </x:c>
      <x:c r="G542" s="12" t="n">
        <x:f>MAX(G541,F542)</x:f>
        <x:v>100000</x:v>
      </x:c>
      <x:c r="H542" s="14" t="n">
        <x:f>F542/G542-1</x:f>
        <x:v>-0.12731828528</x:v>
      </x:c>
      <x:c r="I542" s="14" t="n">
        <x:f>F542/F541-1</x:f>
        <x:v>0.001566939376941301</x:v>
      </x:c>
      <x:c r="J542" s="12" t="n">
        <x:v>0</x:v>
      </x:c>
      <x:c r="K542" s="12" t="n">
        <x:v>0</x:v>
      </x:c>
      <x:c r="L542" s="12" t="n">
        <x:v>0</x:v>
      </x:c>
      <x:c r="M542" s="2" t="str">
        <x:v>持有</x:v>
      </x:c>
    </x:row>
    <x:row r="543" ht="23" customHeight="1">
      <x:c r="A543" s="11" t="d">
        <x:v>2017-02-21T00:00:00.000Z</x:v>
      </x:c>
      <x:c r="B543" s="12" t="n">
        <x:v>519.961472</x:v>
      </x:c>
      <x:c r="C543" s="13" t="n">
        <x:v>369</x:v>
      </x:c>
      <x:c r="D543" s="12" t="n">
        <x:v>87264.81</x:v>
      </x:c>
      <x:c r="E543" s="12" t="n">
        <x:v>0</x:v>
      </x:c>
      <x:c r="F543" s="12" t="n">
        <x:f>SUM(B543,D543:E543)</x:f>
        <x:v>87784.771472</x:v>
      </x:c>
      <x:c r="G543" s="12" t="n">
        <x:f>MAX(G542,F543)</x:f>
        <x:v>100000</x:v>
      </x:c>
      <x:c r="H543" s="14" t="n">
        <x:f>F543/G543-1</x:f>
        <x:v>-0.1221522852800001</x:v>
      </x:c>
      <x:c r="I543" s="14" t="n">
        <x:f>F543/F542-1</x:f>
        <x:v>0.005919684018654392</x:v>
      </x:c>
      <x:c r="J543" s="12" t="n">
        <x:v>0</x:v>
      </x:c>
      <x:c r="K543" s="12" t="n">
        <x:v>0</x:v>
      </x:c>
      <x:c r="L543" s="12" t="n">
        <x:v>0</x:v>
      </x:c>
      <x:c r="M543" s="2" t="str">
        <x:v>持有</x:v>
      </x:c>
    </x:row>
    <x:row r="544" ht="23" customHeight="1">
      <x:c r="A544" s="11" t="d">
        <x:v>2017-02-22T00:00:00.000Z</x:v>
      </x:c>
      <x:c r="B544" s="12" t="n">
        <x:v>519.961472</x:v>
      </x:c>
      <x:c r="C544" s="13" t="n">
        <x:v>369</x:v>
      </x:c>
      <x:c r="D544" s="12" t="n">
        <x:v>87187.32</x:v>
      </x:c>
      <x:c r="E544" s="12" t="n">
        <x:v>0</x:v>
      </x:c>
      <x:c r="F544" s="12" t="n">
        <x:f>SUM(B544,D544:E544)</x:f>
        <x:v>87707.281472</x:v>
      </x:c>
      <x:c r="G544" s="12" t="n">
        <x:f>MAX(G543,F544)</x:f>
        <x:v>100000</x:v>
      </x:c>
      <x:c r="H544" s="14" t="n">
        <x:f>F544/G544-1</x:f>
        <x:v>-0.12292718528000002</x:v>
      </x:c>
      <x:c r="I544" s="14" t="n">
        <x:f>F544/F543-1</x:f>
        <x:v>-0.000882727137071937</x:v>
      </x:c>
      <x:c r="J544" s="12" t="n">
        <x:v>0</x:v>
      </x:c>
      <x:c r="K544" s="12" t="n">
        <x:v>0</x:v>
      </x:c>
      <x:c r="L544" s="12" t="n">
        <x:v>0</x:v>
      </x:c>
      <x:c r="M544" s="2" t="str">
        <x:v>持有</x:v>
      </x:c>
    </x:row>
    <x:row r="545" ht="23" customHeight="1">
      <x:c r="A545" s="11" t="d">
        <x:v>2017-02-23T00:00:00.000Z</x:v>
      </x:c>
      <x:c r="B545" s="12" t="n">
        <x:v>519.961472</x:v>
      </x:c>
      <x:c r="C545" s="13" t="n">
        <x:v>369</x:v>
      </x:c>
      <x:c r="D545" s="12" t="n">
        <x:v>87246.36</x:v>
      </x:c>
      <x:c r="E545" s="12" t="n">
        <x:v>0</x:v>
      </x:c>
      <x:c r="F545" s="12" t="n">
        <x:f>SUM(B545,D545:E545)</x:f>
        <x:v>87766.321472</x:v>
      </x:c>
      <x:c r="G545" s="12" t="n">
        <x:f>MAX(G544,F545)</x:f>
        <x:v>100000</x:v>
      </x:c>
      <x:c r="H545" s="14" t="n">
        <x:f>F545/G545-1</x:f>
        <x:v>-0.12233678528000003</x:v>
      </x:c>
      <x:c r="I545" s="14" t="n">
        <x:f>F545/F544-1</x:f>
        <x:v>0.0006731482153945478</x:v>
      </x:c>
      <x:c r="J545" s="12" t="n">
        <x:v>0</x:v>
      </x:c>
      <x:c r="K545" s="12" t="n">
        <x:v>0</x:v>
      </x:c>
      <x:c r="L545" s="12" t="n">
        <x:v>0</x:v>
      </x:c>
      <x:c r="M545" s="2" t="str">
        <x:v>持有</x:v>
      </x:c>
    </x:row>
    <x:row r="546" ht="23" customHeight="1">
      <x:c r="A546" s="11" t="d">
        <x:v>2017-02-24T00:00:00.000Z</x:v>
      </x:c>
      <x:c r="B546" s="12" t="n">
        <x:v>519.961472</x:v>
      </x:c>
      <x:c r="C546" s="13" t="n">
        <x:v>369</x:v>
      </x:c>
      <x:c r="D546" s="12" t="n">
        <x:v>87357.06</x:v>
      </x:c>
      <x:c r="E546" s="12" t="n">
        <x:v>0</x:v>
      </x:c>
      <x:c r="F546" s="12" t="n">
        <x:f>SUM(B546,D546:E546)</x:f>
        <x:v>87877.021472</x:v>
      </x:c>
      <x:c r="G546" s="12" t="n">
        <x:f>MAX(G545,F546)</x:f>
        <x:v>100000</x:v>
      </x:c>
      <x:c r="H546" s="14" t="n">
        <x:f>F546/G546-1</x:f>
        <x:v>-0.12122978528000006</x:v>
      </x:c>
      <x:c r="I546" s="14" t="n">
        <x:f>F546/F545-1</x:f>
        <x:v>0.0012613038594231352</x:v>
      </x:c>
      <x:c r="J546" s="12" t="n">
        <x:v>0</x:v>
      </x:c>
      <x:c r="K546" s="12" t="n">
        <x:v>0</x:v>
      </x:c>
      <x:c r="L546" s="12" t="n">
        <x:v>0</x:v>
      </x:c>
      <x:c r="M546" s="2" t="str">
        <x:v>持有</x:v>
      </x:c>
    </x:row>
    <x:row r="547" ht="23" customHeight="1">
      <x:c r="A547" s="11" t="d">
        <x:v>2017-02-27T00:00:00.000Z</x:v>
      </x:c>
      <x:c r="B547" s="12" t="n">
        <x:v>519.961472</x:v>
      </x:c>
      <x:c r="C547" s="13" t="n">
        <x:v>369</x:v>
      </x:c>
      <x:c r="D547" s="12" t="n">
        <x:v>87493.59000000001</x:v>
      </x:c>
      <x:c r="E547" s="12" t="n">
        <x:v>0</x:v>
      </x:c>
      <x:c r="F547" s="12" t="n">
        <x:f>SUM(B547,D547:E547)</x:f>
        <x:v>88013.551472</x:v>
      </x:c>
      <x:c r="G547" s="12" t="n">
        <x:f>MAX(G546,F547)</x:f>
        <x:v>100000</x:v>
      </x:c>
      <x:c r="H547" s="14" t="n">
        <x:f>F547/G547-1</x:f>
        <x:v>-0.11986448527999993</x:v>
      </x:c>
      <x:c r="I547" s="14" t="n">
        <x:f>F547/F546-1</x:f>
        <x:v>0.0015536484704765652</x:v>
      </x:c>
      <x:c r="J547" s="12" t="n">
        <x:v>0</x:v>
      </x:c>
      <x:c r="K547" s="12" t="n">
        <x:v>0</x:v>
      </x:c>
      <x:c r="L547" s="12" t="n">
        <x:v>0</x:v>
      </x:c>
      <x:c r="M547" s="2" t="str">
        <x:v>持有</x:v>
      </x:c>
    </x:row>
    <x:row r="548" ht="23" customHeight="1">
      <x:c r="A548" s="11" t="d">
        <x:v>2017-02-28T00:00:00.000Z</x:v>
      </x:c>
      <x:c r="B548" s="12" t="n">
        <x:v>519.961472</x:v>
      </x:c>
      <x:c r="C548" s="13" t="n">
        <x:v>369</x:v>
      </x:c>
      <x:c r="D548" s="12" t="n">
        <x:v>87257.43</x:v>
      </x:c>
      <x:c r="E548" s="12" t="n">
        <x:v>0</x:v>
      </x:c>
      <x:c r="F548" s="12" t="n">
        <x:f>SUM(B548,D548:E548)</x:f>
        <x:v>87777.39147199999</x:v>
      </x:c>
      <x:c r="G548" s="12" t="n">
        <x:f>MAX(G547,F548)</x:f>
        <x:v>100000</x:v>
      </x:c>
      <x:c r="H548" s="14" t="n">
        <x:f>F548/G548-1</x:f>
        <x:v>-0.12222608528000012</x:v>
      </x:c>
      <x:c r="I548" s="14" t="n">
        <x:f>F548/F547-1</x:f>
        <x:v>-0.0026832231633687753</x:v>
      </x:c>
      <x:c r="J548" s="12" t="n">
        <x:v>0</x:v>
      </x:c>
      <x:c r="K548" s="12" t="n">
        <x:v>0</x:v>
      </x:c>
      <x:c r="L548" s="12" t="n">
        <x:v>0</x:v>
      </x:c>
      <x:c r="M548" s="2" t="str">
        <x:v>持有</x:v>
      </x:c>
    </x:row>
    <x:row r="549" ht="23" customHeight="1">
      <x:c r="A549" s="11" t="d">
        <x:v>2017-03-01T00:00:00.000Z</x:v>
      </x:c>
      <x:c r="B549" s="12" t="n">
        <x:v>519.961472</x:v>
      </x:c>
      <x:c r="C549" s="13" t="n">
        <x:v>369</x:v>
      </x:c>
      <x:c r="D549" s="12" t="n">
        <x:v>88478.82</x:v>
      </x:c>
      <x:c r="E549" s="12" t="n">
        <x:v>0</x:v>
      </x:c>
      <x:c r="F549" s="12" t="n">
        <x:f>SUM(B549,D549:E549)</x:f>
        <x:v>88998.781472</x:v>
      </x:c>
      <x:c r="G549" s="12" t="n">
        <x:f>MAX(G548,F549)</x:f>
        <x:v>100000</x:v>
      </x:c>
      <x:c r="H549" s="14" t="n">
        <x:f>F549/G549-1</x:f>
        <x:v>-0.11001218528000001</x:v>
      </x:c>
      <x:c r="I549" s="14" t="n">
        <x:f>F549/F548-1</x:f>
        <x:v>0.013914630857874366</x:v>
      </x:c>
      <x:c r="J549" s="12" t="n">
        <x:v>0</x:v>
      </x:c>
      <x:c r="K549" s="12" t="n">
        <x:v>0</x:v>
      </x:c>
      <x:c r="L549" s="12" t="n">
        <x:v>0</x:v>
      </x:c>
      <x:c r="M549" s="2" t="str">
        <x:v>持有</x:v>
      </x:c>
    </x:row>
    <x:row r="550" ht="23" customHeight="1">
      <x:c r="A550" s="11" t="d">
        <x:v>2017-03-02T00:00:00.000Z</x:v>
      </x:c>
      <x:c r="B550" s="12" t="n">
        <x:v>519.961472</x:v>
      </x:c>
      <x:c r="C550" s="13" t="n">
        <x:v>369</x:v>
      </x:c>
      <x:c r="D550" s="12" t="n">
        <x:v>87921.63</x:v>
      </x:c>
      <x:c r="E550" s="12" t="n">
        <x:v>0</x:v>
      </x:c>
      <x:c r="F550" s="12" t="n">
        <x:f>SUM(B550,D550:E550)</x:f>
        <x:v>88441.591472</x:v>
      </x:c>
      <x:c r="G550" s="12" t="n">
        <x:f>MAX(G549,F550)</x:f>
        <x:v>100000</x:v>
      </x:c>
      <x:c r="H550" s="14" t="n">
        <x:f>F550/G550-1</x:f>
        <x:v>-0.11558408527999997</x:v>
      </x:c>
      <x:c r="I550" s="14" t="n">
        <x:f>F550/F549-1</x:f>
        <x:v>-0.006260647514317985</x:v>
      </x:c>
      <x:c r="J550" s="12" t="n">
        <x:v>0</x:v>
      </x:c>
      <x:c r="K550" s="12" t="n">
        <x:v>0</x:v>
      </x:c>
      <x:c r="L550" s="12" t="n">
        <x:v>0</x:v>
      </x:c>
      <x:c r="M550" s="2" t="str">
        <x:v>持有</x:v>
      </x:c>
    </x:row>
    <x:row r="551" ht="23" customHeight="1">
      <x:c r="A551" s="11" t="d">
        <x:v>2017-03-03T00:00:00.000Z</x:v>
      </x:c>
      <x:c r="B551" s="12" t="n">
        <x:v>519.961472</x:v>
      </x:c>
      <x:c r="C551" s="13" t="n">
        <x:v>369</x:v>
      </x:c>
      <x:c r="D551" s="12" t="n">
        <x:v>87976.98</x:v>
      </x:c>
      <x:c r="E551" s="12" t="n">
        <x:v>0</x:v>
      </x:c>
      <x:c r="F551" s="12" t="n">
        <x:f>SUM(B551,D551:E551)</x:f>
        <x:v>88496.94147199999</x:v>
      </x:c>
      <x:c r="G551" s="12" t="n">
        <x:f>MAX(G550,F551)</x:f>
        <x:v>100000</x:v>
      </x:c>
      <x:c r="H551" s="14" t="n">
        <x:f>F551/G551-1</x:f>
        <x:v>-0.1150305852800001</x:v>
      </x:c>
      <x:c r="I551" s="14" t="n">
        <x:f>F551/F550-1</x:f>
        <x:v>0.0006258367706726276</x:v>
      </x:c>
      <x:c r="J551" s="12" t="n">
        <x:v>0</x:v>
      </x:c>
      <x:c r="K551" s="12" t="n">
        <x:v>0</x:v>
      </x:c>
      <x:c r="L551" s="12" t="n">
        <x:v>0</x:v>
      </x:c>
      <x:c r="M551" s="2" t="str">
        <x:v>持有</x:v>
      </x:c>
    </x:row>
    <x:row r="552" ht="23" customHeight="1">
      <x:c r="A552" s="11" t="d">
        <x:v>2017-03-06T00:00:00.000Z</x:v>
      </x:c>
      <x:c r="B552" s="12" t="n">
        <x:v>519.961472</x:v>
      </x:c>
      <x:c r="C552" s="13" t="n">
        <x:v>369</x:v>
      </x:c>
      <x:c r="D552" s="12" t="n">
        <x:v>87714.99</x:v>
      </x:c>
      <x:c r="E552" s="12" t="n">
        <x:v>0</x:v>
      </x:c>
      <x:c r="F552" s="12" t="n">
        <x:f>SUM(B552,D552:E552)</x:f>
        <x:v>88234.951472</x:v>
      </x:c>
      <x:c r="G552" s="12" t="n">
        <x:f>MAX(G551,F552)</x:f>
        <x:v>100000</x:v>
      </x:c>
      <x:c r="H552" s="14" t="n">
        <x:f>F552/G552-1</x:f>
        <x:v>-0.11765048528</x:v>
      </x:c>
      <x:c r="I552" s="14" t="n">
        <x:f>F552/F551-1</x:f>
        <x:v>-0.0029604412948314174</x:v>
      </x:c>
      <x:c r="J552" s="12" t="n">
        <x:v>0</x:v>
      </x:c>
      <x:c r="K552" s="12" t="n">
        <x:v>0</x:v>
      </x:c>
      <x:c r="L552" s="12" t="n">
        <x:v>0</x:v>
      </x:c>
      <x:c r="M552" s="2" t="str">
        <x:v>持有</x:v>
      </x:c>
    </x:row>
    <x:row r="553" ht="23" customHeight="1">
      <x:c r="A553" s="11" t="d">
        <x:v>2017-03-07T00:00:00.000Z</x:v>
      </x:c>
      <x:c r="B553" s="12" t="n">
        <x:v>519.961472</x:v>
      </x:c>
      <x:c r="C553" s="13" t="n">
        <x:v>369</x:v>
      </x:c>
      <x:c r="D553" s="12" t="n">
        <x:v>87453</x:v>
      </x:c>
      <x:c r="E553" s="12" t="n">
        <x:v>0</x:v>
      </x:c>
      <x:c r="F553" s="12" t="n">
        <x:f>SUM(B553,D553:E553)</x:f>
        <x:v>87972.961472</x:v>
      </x:c>
      <x:c r="G553" s="12" t="n">
        <x:f>MAX(G552,F553)</x:f>
        <x:v>100000</x:v>
      </x:c>
      <x:c r="H553" s="14" t="n">
        <x:f>F553/G553-1</x:f>
        <x:v>-0.12027038528</x:v>
      </x:c>
      <x:c r="I553" s="14" t="n">
        <x:f>F553/F552-1</x:f>
        <x:v>-0.0029692315304683525</x:v>
      </x:c>
      <x:c r="J553" s="12" t="n">
        <x:v>0</x:v>
      </x:c>
      <x:c r="K553" s="12" t="n">
        <x:v>0</x:v>
      </x:c>
      <x:c r="L553" s="12" t="n">
        <x:v>0</x:v>
      </x:c>
      <x:c r="M553" s="2" t="str">
        <x:v>持有</x:v>
      </x:c>
    </x:row>
    <x:row r="554" ht="23" customHeight="1">
      <x:c r="A554" s="11" t="d">
        <x:v>2017-03-08T00:00:00.000Z</x:v>
      </x:c>
      <x:c r="B554" s="12" t="n">
        <x:v>519.961472</x:v>
      </x:c>
      <x:c r="C554" s="13" t="n">
        <x:v>369</x:v>
      </x:c>
      <x:c r="D554" s="12" t="n">
        <x:v>87290.64</x:v>
      </x:c>
      <x:c r="E554" s="12" t="n">
        <x:v>0</x:v>
      </x:c>
      <x:c r="F554" s="12" t="n">
        <x:f>SUM(B554,D554:E554)</x:f>
        <x:v>87810.601472</x:v>
      </x:c>
      <x:c r="G554" s="12" t="n">
        <x:f>MAX(G553,F554)</x:f>
        <x:v>100000</x:v>
      </x:c>
      <x:c r="H554" s="14" t="n">
        <x:f>F554/G554-1</x:f>
        <x:v>-0.12189398528000006</x:v>
      </x:c>
      <x:c r="I554" s="14" t="n">
        <x:f>F554/F553-1</x:f>
        <x:v>-0.0018455670615530329</x:v>
      </x:c>
      <x:c r="J554" s="12" t="n">
        <x:v>0</x:v>
      </x:c>
      <x:c r="K554" s="12" t="n">
        <x:v>0</x:v>
      </x:c>
      <x:c r="L554" s="12" t="n">
        <x:v>0</x:v>
      </x:c>
      <x:c r="M554" s="2" t="str">
        <x:v>持有</x:v>
      </x:c>
    </x:row>
    <x:row r="555" ht="23" customHeight="1">
      <x:c r="A555" s="11" t="d">
        <x:v>2017-03-09T00:00:00.000Z</x:v>
      </x:c>
      <x:c r="B555" s="12" t="n">
        <x:v>519.961472</x:v>
      </x:c>
      <x:c r="C555" s="13" t="n">
        <x:v>369</x:v>
      </x:c>
      <x:c r="D555" s="12" t="n">
        <x:v>87401.34000000001</x:v>
      </x:c>
      <x:c r="E555" s="12" t="n">
        <x:v>0</x:v>
      </x:c>
      <x:c r="F555" s="12" t="n">
        <x:f>SUM(B555,D555:E555)</x:f>
        <x:v>87921.301472</x:v>
      </x:c>
      <x:c r="G555" s="12" t="n">
        <x:f>MAX(G554,F555)</x:f>
        <x:v>100000</x:v>
      </x:c>
      <x:c r="H555" s="14" t="n">
        <x:f>F555/G555-1</x:f>
        <x:v>-0.12078698527999998</x:v>
      </x:c>
      <x:c r="I555" s="14" t="n">
        <x:f>F555/F554-1</x:f>
        <x:v>0.0012606678253457293</x:v>
      </x:c>
      <x:c r="J555" s="12" t="n">
        <x:v>0</x:v>
      </x:c>
      <x:c r="K555" s="12" t="n">
        <x:v>0</x:v>
      </x:c>
      <x:c r="L555" s="12" t="n">
        <x:v>0</x:v>
      </x:c>
      <x:c r="M555" s="2" t="str">
        <x:v>持有</x:v>
      </x:c>
    </x:row>
    <x:row r="556" ht="23" customHeight="1">
      <x:c r="A556" s="11" t="d">
        <x:v>2017-03-10T00:00:00.000Z</x:v>
      </x:c>
      <x:c r="B556" s="12" t="n">
        <x:v>519.961472</x:v>
      </x:c>
      <x:c r="C556" s="13" t="n">
        <x:v>369</x:v>
      </x:c>
      <x:c r="D556" s="12" t="n">
        <x:v>87707.61</x:v>
      </x:c>
      <x:c r="E556" s="12" t="n">
        <x:v>0</x:v>
      </x:c>
      <x:c r="F556" s="12" t="n">
        <x:f>SUM(B556,D556:E556)</x:f>
        <x:v>88227.571472</x:v>
      </x:c>
      <x:c r="G556" s="12" t="n">
        <x:f>MAX(G555,F556)</x:f>
        <x:v>100000</x:v>
      </x:c>
      <x:c r="H556" s="14" t="n">
        <x:f>F556/G556-1</x:f>
        <x:v>-0.11772428528000001</x:v>
      </x:c>
      <x:c r="I556" s="14" t="n">
        <x:f>F556/F555-1</x:f>
        <x:v>0.00348345616900958</x:v>
      </x:c>
      <x:c r="J556" s="12" t="n">
        <x:v>0</x:v>
      </x:c>
      <x:c r="K556" s="12" t="n">
        <x:v>0</x:v>
      </x:c>
      <x:c r="L556" s="12" t="n">
        <x:v>0</x:v>
      </x:c>
      <x:c r="M556" s="2" t="str">
        <x:v>持有</x:v>
      </x:c>
    </x:row>
    <x:row r="557" ht="23" customHeight="1">
      <x:c r="A557" s="11" t="d">
        <x:v>2017-03-13T00:00:00.000Z</x:v>
      </x:c>
      <x:c r="B557" s="12" t="n">
        <x:v>519.961472</x:v>
      </x:c>
      <x:c r="C557" s="13" t="n">
        <x:v>369</x:v>
      </x:c>
      <x:c r="D557" s="12" t="n">
        <x:v>87751.89</x:v>
      </x:c>
      <x:c r="E557" s="12" t="n">
        <x:v>0</x:v>
      </x:c>
      <x:c r="F557" s="12" t="n">
        <x:f>SUM(B557,D557:E557)</x:f>
        <x:v>88271.851472</x:v>
      </x:c>
      <x:c r="G557" s="12" t="n">
        <x:f>MAX(G556,F557)</x:f>
        <x:v>100000</x:v>
      </x:c>
      <x:c r="H557" s="14" t="n">
        <x:f>F557/G557-1</x:f>
        <x:v>-0.11728148528000004</x:v>
      </x:c>
      <x:c r="I557" s="14" t="n">
        <x:f>F557/F556-1</x:f>
        <x:v>0.0005018839265462649</x:v>
      </x:c>
      <x:c r="J557" s="12" t="n">
        <x:v>0</x:v>
      </x:c>
      <x:c r="K557" s="12" t="n">
        <x:v>0</x:v>
      </x:c>
      <x:c r="L557" s="12" t="n">
        <x:v>0</x:v>
      </x:c>
      <x:c r="M557" s="2" t="str">
        <x:v>持有</x:v>
      </x:c>
    </x:row>
    <x:row r="558" ht="23" customHeight="1">
      <x:c r="A558" s="11" t="d">
        <x:v>2017-03-14T00:00:00.000Z</x:v>
      </x:c>
      <x:c r="B558" s="12" t="n">
        <x:v>519.961472</x:v>
      </x:c>
      <x:c r="C558" s="13" t="n">
        <x:v>369</x:v>
      </x:c>
      <x:c r="D558" s="12" t="n">
        <x:v>87416.1</x:v>
      </x:c>
      <x:c r="E558" s="12" t="n">
        <x:v>0</x:v>
      </x:c>
      <x:c r="F558" s="12" t="n">
        <x:f>SUM(B558,D558:E558)</x:f>
        <x:v>87936.061472</x:v>
      </x:c>
      <x:c r="G558" s="12" t="n">
        <x:f>MAX(G557,F558)</x:f>
        <x:v>100000</x:v>
      </x:c>
      <x:c r="H558" s="14" t="n">
        <x:f>F558/G558-1</x:f>
        <x:v>-0.12063938527999996</x:v>
      </x:c>
      <x:c r="I558" s="14" t="n">
        <x:f>F558/F557-1</x:f>
        <x:v>-0.003804043921141753</x:v>
      </x:c>
      <x:c r="J558" s="12" t="n">
        <x:v>0</x:v>
      </x:c>
      <x:c r="K558" s="12" t="n">
        <x:v>0</x:v>
      </x:c>
      <x:c r="L558" s="12" t="n">
        <x:v>0</x:v>
      </x:c>
      <x:c r="M558" s="2" t="str">
        <x:v>持有</x:v>
      </x:c>
    </x:row>
    <x:row r="559" ht="23" customHeight="1">
      <x:c r="A559" s="11" t="d">
        <x:v>2017-03-15T00:00:00.000Z</x:v>
      </x:c>
      <x:c r="B559" s="12" t="n">
        <x:v>519.961472</x:v>
      </x:c>
      <x:c r="C559" s="13" t="n">
        <x:v>369</x:v>
      </x:c>
      <x:c r="D559" s="12" t="n">
        <x:v>88172.55</x:v>
      </x:c>
      <x:c r="E559" s="12" t="n">
        <x:v>0</x:v>
      </x:c>
      <x:c r="F559" s="12" t="n">
        <x:f>SUM(B559,D559:E559)</x:f>
        <x:v>88692.511472</x:v>
      </x:c>
      <x:c r="G559" s="12" t="n">
        <x:f>MAX(G558,F559)</x:f>
        <x:v>100000</x:v>
      </x:c>
      <x:c r="H559" s="14" t="n">
        <x:f>F559/G559-1</x:f>
        <x:v>-0.11307488527999998</x:v>
      </x:c>
      <x:c r="I559" s="14" t="n">
        <x:f>F559/F558-1</x:f>
        <x:v>0.00860227291667881</x:v>
      </x:c>
      <x:c r="J559" s="12" t="n">
        <x:v>0</x:v>
      </x:c>
      <x:c r="K559" s="12" t="n">
        <x:v>0</x:v>
      </x:c>
      <x:c r="L559" s="12" t="n">
        <x:v>0</x:v>
      </x:c>
      <x:c r="M559" s="2" t="str">
        <x:v>持有</x:v>
      </x:c>
    </x:row>
    <x:row r="560" ht="23" customHeight="1">
      <x:c r="A560" s="11" t="d">
        <x:v>2017-03-16T00:00:00.000Z</x:v>
      </x:c>
      <x:c r="B560" s="12" t="n">
        <x:v>519.961472</x:v>
      </x:c>
      <x:c r="C560" s="13" t="n">
        <x:v>369</x:v>
      </x:c>
      <x:c r="D560" s="12" t="n">
        <x:v>87999.12</x:v>
      </x:c>
      <x:c r="E560" s="12" t="n">
        <x:v>0</x:v>
      </x:c>
      <x:c r="F560" s="12" t="n">
        <x:f>SUM(B560,D560:E560)</x:f>
        <x:v>88519.08147199999</x:v>
      </x:c>
      <x:c r="G560" s="12" t="n">
        <x:f>MAX(G559,F560)</x:f>
        <x:v>100000</x:v>
      </x:c>
      <x:c r="H560" s="14" t="n">
        <x:f>F560/G560-1</x:f>
        <x:v>-0.11480918528000006</x:v>
      </x:c>
      <x:c r="I560" s="14" t="n">
        <x:f>F560/F559-1</x:f>
        <x:v>-0.0019554074760275153</x:v>
      </x:c>
      <x:c r="J560" s="12" t="n">
        <x:v>0</x:v>
      </x:c>
      <x:c r="K560" s="12" t="n">
        <x:v>0</x:v>
      </x:c>
      <x:c r="L560" s="12" t="n">
        <x:v>0</x:v>
      </x:c>
      <x:c r="M560" s="2" t="str">
        <x:v>持有</x:v>
      </x:c>
    </x:row>
    <x:row r="561" ht="23" customHeight="1">
      <x:c r="A561" s="11" t="d">
        <x:v>2017-03-17T00:00:00.000Z</x:v>
      </x:c>
      <x:c r="B561" s="12" t="n">
        <x:v>519.961472</x:v>
      </x:c>
      <x:c r="C561" s="13" t="n">
        <x:v>369</x:v>
      </x:c>
      <x:c r="D561" s="12" t="n">
        <x:v>87464.07</x:v>
      </x:c>
      <x:c r="E561" s="12" t="n">
        <x:v>381.220542</x:v>
      </x:c>
      <x:c r="F561" s="12" t="n">
        <x:f>SUM(B561,D561:E561)</x:f>
        <x:v>88365.252014</x:v>
      </x:c>
      <x:c r="G561" s="12" t="n">
        <x:f>MAX(G560,F561)</x:f>
        <x:v>100000</x:v>
      </x:c>
      <x:c r="H561" s="14" t="n">
        <x:f>F561/G561-1</x:f>
        <x:v>-0.11634747986000005</x:v>
      </x:c>
      <x:c r="I561" s="14" t="n">
        <x:f>F561/F560-1</x:f>
        <x:v>-0.0017378112768674514</x:v>
      </x:c>
      <x:c r="J561" s="12" t="n">
        <x:v>381.220542</x:v>
      </x:c>
      <x:c r="K561" s="12" t="n">
        <x:v>0</x:v>
      </x:c>
      <x:c r="L561" s="12" t="n">
        <x:v>0</x:v>
      </x:c>
      <x:c r="M561" s="2" t="str">
        <x:v>持有</x:v>
      </x:c>
    </x:row>
    <x:row r="562" ht="23" customHeight="1">
      <x:c r="A562" s="11" t="d">
        <x:v>2017-03-20T00:00:00.000Z</x:v>
      </x:c>
      <x:c r="B562" s="12" t="n">
        <x:v>519.961472</x:v>
      </x:c>
      <x:c r="C562" s="13" t="n">
        <x:v>369</x:v>
      </x:c>
      <x:c r="D562" s="12" t="n">
        <x:v>87368.13</x:v>
      </x:c>
      <x:c r="E562" s="12" t="n">
        <x:v>381.220542</x:v>
      </x:c>
      <x:c r="F562" s="12" t="n">
        <x:f>SUM(B562,D562:E562)</x:f>
        <x:v>88269.312014</x:v>
      </x:c>
      <x:c r="G562" s="12" t="n">
        <x:f>MAX(G561,F562)</x:f>
        <x:v>100000</x:v>
      </x:c>
      <x:c r="H562" s="14" t="n">
        <x:f>F562/G562-1</x:f>
        <x:v>-0.11730687985999999</x:v>
      </x:c>
      <x:c r="I562" s="14" t="n">
        <x:f>F562/F561-1</x:f>
        <x:v>-0.001085720889301589</x:v>
      </x:c>
      <x:c r="J562" s="12" t="n">
        <x:v>0</x:v>
      </x:c>
      <x:c r="K562" s="12" t="n">
        <x:v>0</x:v>
      </x:c>
      <x:c r="L562" s="12" t="n">
        <x:v>0</x:v>
      </x:c>
      <x:c r="M562" s="2" t="str">
        <x:v>持有</x:v>
      </x:c>
    </x:row>
    <x:row r="563" ht="23" customHeight="1">
      <x:c r="A563" s="11" t="d">
        <x:v>2017-03-21T00:00:00.000Z</x:v>
      </x:c>
      <x:c r="B563" s="12" t="n">
        <x:v>519.961472</x:v>
      </x:c>
      <x:c r="C563" s="13" t="n">
        <x:v>369</x:v>
      </x:c>
      <x:c r="D563" s="12" t="n">
        <x:v>86246.37</x:v>
      </x:c>
      <x:c r="E563" s="12" t="n">
        <x:v>381.220542</x:v>
      </x:c>
      <x:c r="F563" s="12" t="n">
        <x:f>SUM(B563,D563:E563)</x:f>
        <x:v>87147.55201399999</x:v>
      </x:c>
      <x:c r="G563" s="12" t="n">
        <x:f>MAX(G562,F563)</x:f>
        <x:v>100000</x:v>
      </x:c>
      <x:c r="H563" s="14" t="n">
        <x:f>F563/G563-1</x:f>
        <x:v>-0.12852447986000015</x:v>
      </x:c>
      <x:c r="I563" s="14" t="n">
        <x:f>F563/F562-1</x:f>
        <x:v>-0.012708380459814705</x:v>
      </x:c>
      <x:c r="J563" s="12" t="n">
        <x:v>0</x:v>
      </x:c>
      <x:c r="K563" s="12" t="n">
        <x:v>0</x:v>
      </x:c>
      <x:c r="L563" s="12" t="n">
        <x:v>0</x:v>
      </x:c>
      <x:c r="M563" s="2" t="str">
        <x:v>持有</x:v>
      </x:c>
    </x:row>
    <x:row r="564" ht="23" customHeight="1">
      <x:c r="A564" s="11" t="d">
        <x:v>2017-03-22T00:00:00.000Z</x:v>
      </x:c>
      <x:c r="B564" s="12" t="n">
        <x:v>519.961472</x:v>
      </x:c>
      <x:c r="C564" s="13" t="n">
        <x:v>369</x:v>
      </x:c>
      <x:c r="D564" s="12" t="n">
        <x:v>86449.32</x:v>
      </x:c>
      <x:c r="E564" s="12" t="n">
        <x:v>381.220542</x:v>
      </x:c>
      <x:c r="F564" s="12" t="n">
        <x:f>SUM(B564,D564:E564)</x:f>
        <x:v>87350.502014</x:v>
      </x:c>
      <x:c r="G564" s="12" t="n">
        <x:f>MAX(G563,F564)</x:f>
        <x:v>100000</x:v>
      </x:c>
      <x:c r="H564" s="14" t="n">
        <x:f>F564/G564-1</x:f>
        <x:v>-0.12649497986000002</x:v>
      </x:c>
      <x:c r="I564" s="14" t="n">
        <x:f>F564/F563-1</x:f>
        <x:v>0.002328808960318396</x:v>
      </x:c>
      <x:c r="J564" s="12" t="n">
        <x:v>0</x:v>
      </x:c>
      <x:c r="K564" s="12" t="n">
        <x:v>0</x:v>
      </x:c>
      <x:c r="L564" s="12" t="n">
        <x:v>0</x:v>
      </x:c>
      <x:c r="M564" s="2" t="str">
        <x:v>持有</x:v>
      </x:c>
    </x:row>
    <x:row r="565" ht="23" customHeight="1">
      <x:c r="A565" s="11" t="d">
        <x:v>2017-03-23T00:00:00.000Z</x:v>
      </x:c>
      <x:c r="B565" s="12" t="n">
        <x:v>519.961472</x:v>
      </x:c>
      <x:c r="C565" s="13" t="n">
        <x:v>369</x:v>
      </x:c>
      <x:c r="D565" s="12" t="n">
        <x:v>86357.07</x:v>
      </x:c>
      <x:c r="E565" s="12" t="n">
        <x:v>381.220542</x:v>
      </x:c>
      <x:c r="F565" s="12" t="n">
        <x:f>SUM(B565,D565:E565)</x:f>
        <x:v>87258.252014</x:v>
      </x:c>
      <x:c r="G565" s="12" t="n">
        <x:f>MAX(G564,F565)</x:f>
        <x:v>100000</x:v>
      </x:c>
      <x:c r="H565" s="14" t="n">
        <x:f>F565/G565-1</x:f>
        <x:v>-0.12741747986000007</x:v>
      </x:c>
      <x:c r="I565" s="14" t="n">
        <x:f>F565/F564-1</x:f>
        <x:v>-0.0010560900953404673</x:v>
      </x:c>
      <x:c r="J565" s="12" t="n">
        <x:v>0</x:v>
      </x:c>
      <x:c r="K565" s="12" t="n">
        <x:v>0</x:v>
      </x:c>
      <x:c r="L565" s="12" t="n">
        <x:v>0</x:v>
      </x:c>
      <x:c r="M565" s="2" t="str">
        <x:v>持有</x:v>
      </x:c>
    </x:row>
    <x:row r="566" ht="23" customHeight="1">
      <x:c r="A566" s="11" t="d">
        <x:v>2017-03-24T00:00:00.000Z</x:v>
      </x:c>
      <x:c r="B566" s="12" t="n">
        <x:v>519.961472</x:v>
      </x:c>
      <x:c r="C566" s="13" t="n">
        <x:v>369</x:v>
      </x:c>
      <x:c r="D566" s="12" t="n">
        <x:v>86294.34000000001</x:v>
      </x:c>
      <x:c r="E566" s="12" t="n">
        <x:v>381.220542</x:v>
      </x:c>
      <x:c r="F566" s="12" t="n">
        <x:f>SUM(B566,D566:E566)</x:f>
        <x:v>87195.522014</x:v>
      </x:c>
      <x:c r="G566" s="12" t="n">
        <x:f>MAX(G565,F566)</x:f>
        <x:v>100000</x:v>
      </x:c>
      <x:c r="H566" s="14" t="n">
        <x:f>F566/G566-1</x:f>
        <x:v>-0.12804477985999996</x:v>
      </x:c>
      <x:c r="I566" s="14" t="n">
        <x:f>F566/F565-1</x:f>
        <x:v>-0.0007189004885168604</x:v>
      </x:c>
      <x:c r="J566" s="12" t="n">
        <x:v>0</x:v>
      </x:c>
      <x:c r="K566" s="12" t="n">
        <x:v>0</x:v>
      </x:c>
      <x:c r="L566" s="12" t="n">
        <x:v>0</x:v>
      </x:c>
      <x:c r="M566" s="2" t="str">
        <x:v>持有</x:v>
      </x:c>
    </x:row>
    <x:row r="567" ht="23" customHeight="1">
      <x:c r="A567" s="11" t="d">
        <x:v>2017-03-27T00:00:00.000Z</x:v>
      </x:c>
      <x:c r="B567" s="12" t="n">
        <x:v>519.961472</x:v>
      </x:c>
      <x:c r="C567" s="13" t="n">
        <x:v>369</x:v>
      </x:c>
      <x:c r="D567" s="12" t="n">
        <x:v>86205.78</x:v>
      </x:c>
      <x:c r="E567" s="12" t="n">
        <x:v>381.220542</x:v>
      </x:c>
      <x:c r="F567" s="12" t="n">
        <x:f>SUM(B567,D567:E567)</x:f>
        <x:v>87106.96201399999</x:v>
      </x:c>
      <x:c r="G567" s="12" t="n">
        <x:f>MAX(G566,F567)</x:f>
        <x:v>100000</x:v>
      </x:c>
      <x:c r="H567" s="14" t="n">
        <x:f>F567/G567-1</x:f>
        <x:v>-0.1289303798600001</x:v>
      </x:c>
      <x:c r="I567" s="14" t="n">
        <x:f>F567/F566-1</x:f>
        <x:v>-0.0010156484869233706</x:v>
      </x:c>
      <x:c r="J567" s="12" t="n">
        <x:v>0</x:v>
      </x:c>
      <x:c r="K567" s="12" t="n">
        <x:v>0</x:v>
      </x:c>
      <x:c r="L567" s="12" t="n">
        <x:v>0</x:v>
      </x:c>
      <x:c r="M567" s="2" t="str">
        <x:v>持有</x:v>
      </x:c>
    </x:row>
    <x:row r="568" ht="23" customHeight="1">
      <x:c r="A568" s="11" t="d">
        <x:v>2017-03-28T00:00:00.000Z</x:v>
      </x:c>
      <x:c r="B568" s="12" t="n">
        <x:v>519.961472</x:v>
      </x:c>
      <x:c r="C568" s="13" t="n">
        <x:v>369</x:v>
      </x:c>
      <x:c r="D568" s="12" t="n">
        <x:v>86833.08</x:v>
      </x:c>
      <x:c r="E568" s="12" t="n">
        <x:v>381.220542</x:v>
      </x:c>
      <x:c r="F568" s="12" t="n">
        <x:f>SUM(B568,D568:E568)</x:f>
        <x:v>87734.26201399999</x:v>
      </x:c>
      <x:c r="G568" s="12" t="n">
        <x:f>MAX(G567,F568)</x:f>
        <x:v>100000</x:v>
      </x:c>
      <x:c r="H568" s="14" t="n">
        <x:f>F568/G568-1</x:f>
        <x:v>-0.12265737986000003</x:v>
      </x:c>
      <x:c r="I568" s="14" t="n">
        <x:f>F568/F567-1</x:f>
        <x:v>0.007201490965775825</x:v>
      </x:c>
      <x:c r="J568" s="12" t="n">
        <x:v>0</x:v>
      </x:c>
      <x:c r="K568" s="12" t="n">
        <x:v>0</x:v>
      </x:c>
      <x:c r="L568" s="12" t="n">
        <x:v>0</x:v>
      </x:c>
      <x:c r="M568" s="2" t="str">
        <x:v>持有</x:v>
      </x:c>
    </x:row>
    <x:row r="569" ht="23" customHeight="1">
      <x:c r="A569" s="11" t="d">
        <x:v>2017-03-29T00:00:00.000Z</x:v>
      </x:c>
      <x:c r="B569" s="12" t="n">
        <x:v>519.961472</x:v>
      </x:c>
      <x:c r="C569" s="13" t="n">
        <x:v>369</x:v>
      </x:c>
      <x:c r="D569" s="12" t="n">
        <x:v>86914.26</x:v>
      </x:c>
      <x:c r="E569" s="12" t="n">
        <x:v>381.220542</x:v>
      </x:c>
      <x:c r="F569" s="12" t="n">
        <x:f>SUM(B569,D569:E569)</x:f>
        <x:v>87815.44201399999</x:v>
      </x:c>
      <x:c r="G569" s="12" t="n">
        <x:f>MAX(G568,F569)</x:f>
        <x:v>100000</x:v>
      </x:c>
      <x:c r="H569" s="14" t="n">
        <x:f>F569/G569-1</x:f>
        <x:v>-0.12184557986000011</x:v>
      </x:c>
      <x:c r="I569" s="14" t="n">
        <x:f>F569/F568-1</x:f>
        <x:v>0.0009252941568829165</x:v>
      </x:c>
      <x:c r="J569" s="12" t="n">
        <x:v>0</x:v>
      </x:c>
      <x:c r="K569" s="12" t="n">
        <x:v>0</x:v>
      </x:c>
      <x:c r="L569" s="12" t="n">
        <x:v>0</x:v>
      </x:c>
      <x:c r="M569" s="2" t="str">
        <x:v>持有</x:v>
      </x:c>
    </x:row>
    <x:row r="570" ht="23" customHeight="1">
      <x:c r="A570" s="11" t="d">
        <x:v>2017-03-30T00:00:00.000Z</x:v>
      </x:c>
      <x:c r="B570" s="12" t="n">
        <x:v>519.961472</x:v>
      </x:c>
      <x:c r="C570" s="13" t="n">
        <x:v>369</x:v>
      </x:c>
      <x:c r="D570" s="12" t="n">
        <x:v>87191.01</x:v>
      </x:c>
      <x:c r="E570" s="12" t="n">
        <x:v>381.220542</x:v>
      </x:c>
      <x:c r="F570" s="12" t="n">
        <x:f>SUM(B570,D570:E570)</x:f>
        <x:v>88092.19201399999</x:v>
      </x:c>
      <x:c r="G570" s="12" t="n">
        <x:f>MAX(G569,F570)</x:f>
        <x:v>100000</x:v>
      </x:c>
      <x:c r="H570" s="14" t="n">
        <x:f>F570/G570-1</x:f>
        <x:v>-0.11907807986000019</x:v>
      </x:c>
      <x:c r="I570" s="14" t="n">
        <x:f>F570/F569-1</x:f>
        <x:v>0.003151495837780738</x:v>
      </x:c>
      <x:c r="J570" s="12" t="n">
        <x:v>0</x:v>
      </x:c>
      <x:c r="K570" s="12" t="n">
        <x:v>0</x:v>
      </x:c>
      <x:c r="L570" s="12" t="n">
        <x:v>0</x:v>
      </x:c>
      <x:c r="M570" s="2" t="str">
        <x:v>持有</x:v>
      </x:c>
    </x:row>
    <x:row r="571" ht="23" customHeight="1">
      <x:c r="A571" s="11" t="d">
        <x:v>2017-03-31T00:00:00.000Z</x:v>
      </x:c>
      <x:c r="B571" s="12" t="n">
        <x:v>519.961472</x:v>
      </x:c>
      <x:c r="C571" s="13" t="n">
        <x:v>369</x:v>
      </x:c>
      <x:c r="D571" s="12" t="n">
        <x:v>86988.06</x:v>
      </x:c>
      <x:c r="E571" s="12" t="n">
        <x:v>381.220542</x:v>
      </x:c>
      <x:c r="F571" s="12" t="n">
        <x:f>SUM(B571,D571:E571)</x:f>
        <x:v>87889.24201399999</x:v>
      </x:c>
      <x:c r="G571" s="12" t="n">
        <x:f>MAX(G570,F571)</x:f>
        <x:v>100000</x:v>
      </x:c>
      <x:c r="H571" s="14" t="n">
        <x:f>F571/G571-1</x:f>
        <x:v>-0.12110757986000009</x:v>
      </x:c>
      <x:c r="I571" s="14" t="n">
        <x:f>F571/F570-1</x:f>
        <x:v>-0.0023038364168272985</x:v>
      </x:c>
      <x:c r="J571" s="12" t="n">
        <x:v>0</x:v>
      </x:c>
      <x:c r="K571" s="12" t="n">
        <x:v>0</x:v>
      </x:c>
      <x:c r="L571" s="12" t="n">
        <x:v>0</x:v>
      </x:c>
      <x:c r="M571" s="2" t="str">
        <x:v>持有</x:v>
      </x:c>
    </x:row>
    <x:row r="572" ht="23" customHeight="1">
      <x:c r="A572" s="11" t="d">
        <x:v>2017-04-03T00:00:00.000Z</x:v>
      </x:c>
      <x:c r="B572" s="12" t="n">
        <x:v>519.961472</x:v>
      </x:c>
      <x:c r="C572" s="13" t="n">
        <x:v>369</x:v>
      </x:c>
      <x:c r="D572" s="12" t="n">
        <x:v>86836.77</x:v>
      </x:c>
      <x:c r="E572" s="12" t="n">
        <x:v>381.220542</x:v>
      </x:c>
      <x:c r="F572" s="12" t="n">
        <x:f>SUM(B572,D572:E572)</x:f>
        <x:v>87737.952014</x:v>
      </x:c>
      <x:c r="G572" s="12" t="n">
        <x:f>MAX(G571,F572)</x:f>
        <x:v>100000</x:v>
      </x:c>
      <x:c r="H572" s="14" t="n">
        <x:f>F572/G572-1</x:f>
        <x:v>-0.12262047986000002</x:v>
      </x:c>
      <x:c r="I572" s="14" t="n">
        <x:f>F572/F571-1</x:f>
        <x:v>-0.0017213710863031029</x:v>
      </x:c>
      <x:c r="J572" s="12" t="n">
        <x:v>0</x:v>
      </x:c>
      <x:c r="K572" s="12" t="n">
        <x:v>0</x:v>
      </x:c>
      <x:c r="L572" s="12" t="n">
        <x:v>0</x:v>
      </x:c>
      <x:c r="M572" s="2" t="str">
        <x:v>持有</x:v>
      </x:c>
    </x:row>
    <x:row r="573" ht="23" customHeight="1">
      <x:c r="A573" s="11" t="d">
        <x:v>2017-04-04T00:00:00.000Z</x:v>
      </x:c>
      <x:c r="B573" s="12" t="n">
        <x:v>519.961472</x:v>
      </x:c>
      <x:c r="C573" s="13" t="n">
        <x:v>369</x:v>
      </x:c>
      <x:c r="D573" s="12" t="n">
        <x:v>86892.12</x:v>
      </x:c>
      <x:c r="E573" s="12" t="n">
        <x:v>381.220542</x:v>
      </x:c>
      <x:c r="F573" s="12" t="n">
        <x:f>SUM(B573,D573:E573)</x:f>
        <x:v>87793.30201399999</x:v>
      </x:c>
      <x:c r="G573" s="12" t="n">
        <x:f>MAX(G572,F573)</x:f>
        <x:v>100000</x:v>
      </x:c>
      <x:c r="H573" s="14" t="n">
        <x:f>F573/G573-1</x:f>
        <x:v>-0.12206697986000015</x:v>
      </x:c>
      <x:c r="I573" s="14" t="n">
        <x:f>F573/F572-1</x:f>
        <x:v>0.000630855846637024</x:v>
      </x:c>
      <x:c r="J573" s="12" t="n">
        <x:v>0</x:v>
      </x:c>
      <x:c r="K573" s="12" t="n">
        <x:v>0</x:v>
      </x:c>
      <x:c r="L573" s="12" t="n">
        <x:v>0</x:v>
      </x:c>
      <x:c r="M573" s="2" t="str">
        <x:v>持有</x:v>
      </x:c>
    </x:row>
    <x:row r="574" ht="23" customHeight="1">
      <x:c r="A574" s="11" t="d">
        <x:v>2017-04-05T00:00:00.000Z</x:v>
      </x:c>
      <x:c r="B574" s="12" t="n">
        <x:v>519.961472</x:v>
      </x:c>
      <x:c r="C574" s="13" t="n">
        <x:v>369</x:v>
      </x:c>
      <x:c r="D574" s="12" t="n">
        <x:v>86633.82</x:v>
      </x:c>
      <x:c r="E574" s="12" t="n">
        <x:v>381.220542</x:v>
      </x:c>
      <x:c r="F574" s="12" t="n">
        <x:f>SUM(B574,D574:E574)</x:f>
        <x:v>87535.002014</x:v>
      </x:c>
      <x:c r="G574" s="12" t="n">
        <x:f>MAX(G573,F574)</x:f>
        <x:v>100000</x:v>
      </x:c>
      <x:c r="H574" s="14" t="n">
        <x:f>F574/G574-1</x:f>
        <x:v>-0.12464997986000004</x:v>
      </x:c>
      <x:c r="I574" s="14" t="n">
        <x:f>F574/F573-1</x:f>
        <x:v>-0.0029421378860861047</x:v>
      </x:c>
      <x:c r="J574" s="12" t="n">
        <x:v>0</x:v>
      </x:c>
      <x:c r="K574" s="12" t="n">
        <x:v>0</x:v>
      </x:c>
      <x:c r="L574" s="12" t="n">
        <x:v>0</x:v>
      </x:c>
      <x:c r="M574" s="2" t="str">
        <x:v>持有</x:v>
      </x:c>
    </x:row>
    <x:row r="575" ht="23" customHeight="1">
      <x:c r="A575" s="11" t="d">
        <x:v>2017-04-06T00:00:00.000Z</x:v>
      </x:c>
      <x:c r="B575" s="12" t="n">
        <x:v>519.961472</x:v>
      </x:c>
      <x:c r="C575" s="13" t="n">
        <x:v>369</x:v>
      </x:c>
      <x:c r="D575" s="12" t="n">
        <x:v>86877.36</x:v>
      </x:c>
      <x:c r="E575" s="12" t="n">
        <x:v>381.220542</x:v>
      </x:c>
      <x:c r="F575" s="12" t="n">
        <x:f>SUM(B575,D575:E575)</x:f>
        <x:v>87778.54201399999</x:v>
      </x:c>
      <x:c r="G575" s="12" t="n">
        <x:f>MAX(G574,F575)</x:f>
        <x:v>100000</x:v>
      </x:c>
      <x:c r="H575" s="14" t="n">
        <x:f>F575/G575-1</x:f>
        <x:v>-0.12221457986000006</x:v>
      </x:c>
      <x:c r="I575" s="14" t="n">
        <x:f>F575/F574-1</x:f>
        <x:v>0.0027822013411393787</x:v>
      </x:c>
      <x:c r="J575" s="12" t="n">
        <x:v>0</x:v>
      </x:c>
      <x:c r="K575" s="12" t="n">
        <x:v>0</x:v>
      </x:c>
      <x:c r="L575" s="12" t="n">
        <x:v>0</x:v>
      </x:c>
      <x:c r="M575" s="2" t="str">
        <x:v>持有</x:v>
      </x:c>
    </x:row>
    <x:row r="576" ht="23" customHeight="1">
      <x:c r="A576" s="11" t="d">
        <x:v>2017-04-07T00:00:00.000Z</x:v>
      </x:c>
      <x:c r="B576" s="12" t="n">
        <x:v>519.961472</x:v>
      </x:c>
      <x:c r="C576" s="13" t="n">
        <x:v>369</x:v>
      </x:c>
      <x:c r="D576" s="12" t="n">
        <x:v>86788.8</x:v>
      </x:c>
      <x:c r="E576" s="12" t="n">
        <x:v>381.220542</x:v>
      </x:c>
      <x:c r="F576" s="12" t="n">
        <x:f>SUM(B576,D576:E576)</x:f>
        <x:v>87689.982014</x:v>
      </x:c>
      <x:c r="G576" s="12" t="n">
        <x:f>MAX(G575,F576)</x:f>
        <x:v>100000</x:v>
      </x:c>
      <x:c r="H576" s="14" t="n">
        <x:f>F576/G576-1</x:f>
        <x:v>-0.1231001798600001</x:v>
      </x:c>
      <x:c r="I576" s="14" t="n">
        <x:f>F576/F575-1</x:f>
        <x:v>-0.001008902608406026</x:v>
      </x:c>
      <x:c r="J576" s="12" t="n">
        <x:v>0</x:v>
      </x:c>
      <x:c r="K576" s="12" t="n">
        <x:v>0</x:v>
      </x:c>
      <x:c r="L576" s="12" t="n">
        <x:v>0</x:v>
      </x:c>
      <x:c r="M576" s="2" t="str">
        <x:v>持有</x:v>
      </x:c>
    </x:row>
    <x:row r="577" ht="23" customHeight="1">
      <x:c r="A577" s="11" t="d">
        <x:v>2017-04-10T00:00:00.000Z</x:v>
      </x:c>
      <x:c r="B577" s="12" t="n">
        <x:v>519.961472</x:v>
      </x:c>
      <x:c r="C577" s="13" t="n">
        <x:v>369</x:v>
      </x:c>
      <x:c r="D577" s="12" t="n">
        <x:v>86840.46</x:v>
      </x:c>
      <x:c r="E577" s="12" t="n">
        <x:v>381.220542</x:v>
      </x:c>
      <x:c r="F577" s="12" t="n">
        <x:f>SUM(B577,D577:E577)</x:f>
        <x:v>87741.642014</x:v>
      </x:c>
      <x:c r="G577" s="12" t="n">
        <x:f>MAX(G576,F577)</x:f>
        <x:v>100000</x:v>
      </x:c>
      <x:c r="H577" s="14" t="n">
        <x:f>F577/G577-1</x:f>
        <x:v>-0.12258357986000001</x:v>
      </x:c>
      <x:c r="I577" s="14" t="n">
        <x:f>F577/F576-1</x:f>
        <x:v>0.0005891208871700027</x:v>
      </x:c>
      <x:c r="J577" s="12" t="n">
        <x:v>0</x:v>
      </x:c>
      <x:c r="K577" s="12" t="n">
        <x:v>0</x:v>
      </x:c>
      <x:c r="L577" s="12" t="n">
        <x:v>0</x:v>
      </x:c>
      <x:c r="M577" s="2" t="str">
        <x:v>持有</x:v>
      </x:c>
    </x:row>
    <x:row r="578" ht="23" customHeight="1">
      <x:c r="A578" s="11" t="d">
        <x:v>2017-04-11T00:00:00.000Z</x:v>
      </x:c>
      <x:c r="B578" s="12" t="n">
        <x:v>519.961472</x:v>
      </x:c>
      <x:c r="C578" s="13" t="n">
        <x:v>369</x:v>
      </x:c>
      <x:c r="D578" s="12" t="n">
        <x:v>86737.14</x:v>
      </x:c>
      <x:c r="E578" s="12" t="n">
        <x:v>381.220542</x:v>
      </x:c>
      <x:c r="F578" s="12" t="n">
        <x:f>SUM(B578,D578:E578)</x:f>
        <x:v>87638.32201399999</x:v>
      </x:c>
      <x:c r="G578" s="12" t="n">
        <x:f>MAX(G577,F578)</x:f>
        <x:v>100000</x:v>
      </x:c>
      <x:c r="H578" s="14" t="n">
        <x:f>F578/G578-1</x:f>
        <x:v>-0.12361677986000008</x:v>
      </x:c>
      <x:c r="I578" s="14" t="n">
        <x:f>F578/F577-1</x:f>
        <x:v>-0.0011775480561843077</x:v>
      </x:c>
      <x:c r="J578" s="12" t="n">
        <x:v>0</x:v>
      </x:c>
      <x:c r="K578" s="12" t="n">
        <x:v>0</x:v>
      </x:c>
      <x:c r="L578" s="12" t="n">
        <x:v>0</x:v>
      </x:c>
      <x:c r="M578" s="2" t="str">
        <x:v>持有</x:v>
      </x:c>
    </x:row>
    <x:row r="579" ht="23" customHeight="1">
      <x:c r="A579" s="11" t="d">
        <x:v>2017-04-12T00:00:00.000Z</x:v>
      </x:c>
      <x:c r="B579" s="12" t="n">
        <x:v>519.961472</x:v>
      </x:c>
      <x:c r="C579" s="13" t="n">
        <x:v>369</x:v>
      </x:c>
      <x:c r="D579" s="12" t="n">
        <x:v>86357.07</x:v>
      </x:c>
      <x:c r="E579" s="12" t="n">
        <x:v>381.220542</x:v>
      </x:c>
      <x:c r="F579" s="12" t="n">
        <x:f>SUM(B579,D579:E579)</x:f>
        <x:v>87258.252014</x:v>
      </x:c>
      <x:c r="G579" s="12" t="n">
        <x:f>MAX(G578,F579)</x:f>
        <x:v>100000</x:v>
      </x:c>
      <x:c r="H579" s="14" t="n">
        <x:f>F579/G579-1</x:f>
        <x:v>-0.12741747986000007</x:v>
      </x:c>
      <x:c r="I579" s="14" t="n">
        <x:f>F579/F578-1</x:f>
        <x:v>-0.0043368014273399424</x:v>
      </x:c>
      <x:c r="J579" s="12" t="n">
        <x:v>0</x:v>
      </x:c>
      <x:c r="K579" s="12" t="n">
        <x:v>0</x:v>
      </x:c>
      <x:c r="L579" s="12" t="n">
        <x:v>0</x:v>
      </x:c>
      <x:c r="M579" s="2" t="str">
        <x:v>持有</x:v>
      </x:c>
    </x:row>
    <x:row r="580" ht="23" customHeight="1">
      <x:c r="A580" s="11" t="d">
        <x:v>2017-04-13T00:00:00.000Z</x:v>
      </x:c>
      <x:c r="B580" s="12" t="n">
        <x:v>86646.908312</x:v>
      </x:c>
      <x:c r="C580" s="13" t="n">
        <x:v>0</x:v>
      </x:c>
      <x:c r="D580" s="12" t="n">
        <x:v>0</x:v>
      </x:c>
      <x:c r="E580" s="12" t="n">
        <x:v>381.220542</x:v>
      </x:c>
      <x:c r="F580" s="12" t="n">
        <x:f>SUM(B580,D580:E580)</x:f>
        <x:v>87028.128854</x:v>
      </x:c>
      <x:c r="G580" s="12" t="n">
        <x:f>MAX(G579,F580)</x:f>
        <x:v>100000</x:v>
      </x:c>
      <x:c r="H580" s="14" t="n">
        <x:f>F580/G580-1</x:f>
        <x:v>-0.12971871146000002</x:v>
      </x:c>
      <x:c r="I580" s="14" t="n">
        <x:f>F580/F579-1</x:f>
        <x:v>-0.002637265297992464</x:v>
      </x:c>
      <x:c r="J580" s="12" t="n">
        <x:v>0</x:v>
      </x:c>
      <x:c r="K580" s="12" t="n">
        <x:v>0</x:v>
      </x:c>
      <x:c r="L580" s="12" t="n">
        <x:v>-369</x:v>
      </x:c>
      <x:c r="M580" s="2" t="str">
        <x:v>卖出</x:v>
      </x:c>
    </x:row>
    <x:row r="581" ht="23" customHeight="1">
      <x:c r="A581" s="11" t="d">
        <x:v>2017-04-17T00:00:00.000Z</x:v>
      </x:c>
      <x:c r="B581" s="12" t="n">
        <x:v>86646.908312</x:v>
      </x:c>
      <x:c r="C581" s="13" t="n">
        <x:v>0</x:v>
      </x:c>
      <x:c r="D581" s="12" t="n">
        <x:v>0</x:v>
      </x:c>
      <x:c r="E581" s="12" t="n">
        <x:v>381.220542</x:v>
      </x:c>
      <x:c r="F581" s="12" t="n">
        <x:f>SUM(B581,D581:E581)</x:f>
        <x:v>87028.128854</x:v>
      </x:c>
      <x:c r="G581" s="12" t="n">
        <x:f>MAX(G580,F581)</x:f>
        <x:v>100000</x:v>
      </x:c>
      <x:c r="H581" s="14" t="n">
        <x:f>F581/G581-1</x:f>
        <x:v>-0.12971871146000002</x:v>
      </x:c>
      <x:c r="I581" s="14" t="n">
        <x:f>F581/F580-1</x:f>
        <x:v>0</x:v>
      </x:c>
      <x:c r="J581" s="12" t="n">
        <x:v>0</x:v>
      </x:c>
      <x:c r="K581" s="12" t="n">
        <x:v>0</x:v>
      </x:c>
      <x:c r="L581" s="12" t="n">
        <x:v>0</x:v>
      </x:c>
      <x:c r="M581" s="2" t="str">
        <x:v>空仓</x:v>
      </x:c>
    </x:row>
    <x:row r="582" ht="23" customHeight="1">
      <x:c r="A582" s="11" t="d">
        <x:v>2017-04-18T00:00:00.000Z</x:v>
      </x:c>
      <x:c r="B582" s="12" t="n">
        <x:v>86646.908312</x:v>
      </x:c>
      <x:c r="C582" s="13" t="n">
        <x:v>0</x:v>
      </x:c>
      <x:c r="D582" s="12" t="n">
        <x:v>0</x:v>
      </x:c>
      <x:c r="E582" s="12" t="n">
        <x:v>381.220542</x:v>
      </x:c>
      <x:c r="F582" s="12" t="n">
        <x:f>SUM(B582,D582:E582)</x:f>
        <x:v>87028.128854</x:v>
      </x:c>
      <x:c r="G582" s="12" t="n">
        <x:f>MAX(G581,F582)</x:f>
        <x:v>100000</x:v>
      </x:c>
      <x:c r="H582" s="14" t="n">
        <x:f>F582/G582-1</x:f>
        <x:v>-0.12971871146000002</x:v>
      </x:c>
      <x:c r="I582" s="14" t="n">
        <x:f>F582/F581-1</x:f>
        <x:v>0</x:v>
      </x:c>
      <x:c r="J582" s="12" t="n">
        <x:v>0</x:v>
      </x:c>
      <x:c r="K582" s="12" t="n">
        <x:v>0</x:v>
      </x:c>
      <x:c r="L582" s="12" t="n">
        <x:v>0</x:v>
      </x:c>
      <x:c r="M582" s="2" t="str">
        <x:v>空仓</x:v>
      </x:c>
    </x:row>
    <x:row r="583" ht="23" customHeight="1">
      <x:c r="A583" s="11" t="d">
        <x:v>2017-04-19T00:00:00.000Z</x:v>
      </x:c>
      <x:c r="B583" s="12" t="n">
        <x:v>86646.908312</x:v>
      </x:c>
      <x:c r="C583" s="13" t="n">
        <x:v>0</x:v>
      </x:c>
      <x:c r="D583" s="12" t="n">
        <x:v>0</x:v>
      </x:c>
      <x:c r="E583" s="12" t="n">
        <x:v>381.220542</x:v>
      </x:c>
      <x:c r="F583" s="12" t="n">
        <x:f>SUM(B583,D583:E583)</x:f>
        <x:v>87028.128854</x:v>
      </x:c>
      <x:c r="G583" s="12" t="n">
        <x:f>MAX(G582,F583)</x:f>
        <x:v>100000</x:v>
      </x:c>
      <x:c r="H583" s="14" t="n">
        <x:f>F583/G583-1</x:f>
        <x:v>-0.12971871146000002</x:v>
      </x:c>
      <x:c r="I583" s="14" t="n">
        <x:f>F583/F582-1</x:f>
        <x:v>0</x:v>
      </x:c>
      <x:c r="J583" s="12" t="n">
        <x:v>0</x:v>
      </x:c>
      <x:c r="K583" s="12" t="n">
        <x:v>0</x:v>
      </x:c>
      <x:c r="L583" s="12" t="n">
        <x:v>0</x:v>
      </x:c>
      <x:c r="M583" s="2" t="str">
        <x:v>空仓</x:v>
      </x:c>
    </x:row>
    <x:row r="584" ht="23" customHeight="1">
      <x:c r="A584" s="11" t="d">
        <x:v>2017-04-20T00:00:00.000Z</x:v>
      </x:c>
      <x:c r="B584" s="12" t="n">
        <x:v>86646.908312</x:v>
      </x:c>
      <x:c r="C584" s="13" t="n">
        <x:v>0</x:v>
      </x:c>
      <x:c r="D584" s="12" t="n">
        <x:v>0</x:v>
      </x:c>
      <x:c r="E584" s="12" t="n">
        <x:v>381.220542</x:v>
      </x:c>
      <x:c r="F584" s="12" t="n">
        <x:f>SUM(B584,D584:E584)</x:f>
        <x:v>87028.128854</x:v>
      </x:c>
      <x:c r="G584" s="12" t="n">
        <x:f>MAX(G583,F584)</x:f>
        <x:v>100000</x:v>
      </x:c>
      <x:c r="H584" s="14" t="n">
        <x:f>F584/G584-1</x:f>
        <x:v>-0.12971871146000002</x:v>
      </x:c>
      <x:c r="I584" s="14" t="n">
        <x:f>F584/F583-1</x:f>
        <x:v>0</x:v>
      </x:c>
      <x:c r="J584" s="12" t="n">
        <x:v>0</x:v>
      </x:c>
      <x:c r="K584" s="12" t="n">
        <x:v>0</x:v>
      </x:c>
      <x:c r="L584" s="12" t="n">
        <x:v>0</x:v>
      </x:c>
      <x:c r="M584" s="2" t="str">
        <x:v>空仓</x:v>
      </x:c>
    </x:row>
    <x:row r="585" ht="23" customHeight="1">
      <x:c r="A585" s="11" t="d">
        <x:v>2017-04-21T00:00:00.000Z</x:v>
      </x:c>
      <x:c r="B585" s="12" t="n">
        <x:v>86646.908312</x:v>
      </x:c>
      <x:c r="C585" s="13" t="n">
        <x:v>0</x:v>
      </x:c>
      <x:c r="D585" s="12" t="n">
        <x:v>0</x:v>
      </x:c>
      <x:c r="E585" s="12" t="n">
        <x:v>381.220542</x:v>
      </x:c>
      <x:c r="F585" s="12" t="n">
        <x:f>SUM(B585,D585:E585)</x:f>
        <x:v>87028.128854</x:v>
      </x:c>
      <x:c r="G585" s="12" t="n">
        <x:f>MAX(G584,F585)</x:f>
        <x:v>100000</x:v>
      </x:c>
      <x:c r="H585" s="14" t="n">
        <x:f>F585/G585-1</x:f>
        <x:v>-0.12971871146000002</x:v>
      </x:c>
      <x:c r="I585" s="14" t="n">
        <x:f>F585/F584-1</x:f>
        <x:v>0</x:v>
      </x:c>
      <x:c r="J585" s="12" t="n">
        <x:v>0</x:v>
      </x:c>
      <x:c r="K585" s="12" t="n">
        <x:v>0</x:v>
      </x:c>
      <x:c r="L585" s="12" t="n">
        <x:v>0</x:v>
      </x:c>
      <x:c r="M585" s="2" t="str">
        <x:v>空仓</x:v>
      </x:c>
    </x:row>
    <x:row r="586" ht="23" customHeight="1">
      <x:c r="A586" s="11" t="d">
        <x:v>2017-04-24T00:00:00.000Z</x:v>
      </x:c>
      <x:c r="B586" s="12" t="n">
        <x:v>86646.908312</x:v>
      </x:c>
      <x:c r="C586" s="13" t="n">
        <x:v>0</x:v>
      </x:c>
      <x:c r="D586" s="12" t="n">
        <x:v>0</x:v>
      </x:c>
      <x:c r="E586" s="12" t="n">
        <x:v>381.220542</x:v>
      </x:c>
      <x:c r="F586" s="12" t="n">
        <x:f>SUM(B586,D586:E586)</x:f>
        <x:v>87028.128854</x:v>
      </x:c>
      <x:c r="G586" s="12" t="n">
        <x:f>MAX(G585,F586)</x:f>
        <x:v>100000</x:v>
      </x:c>
      <x:c r="H586" s="14" t="n">
        <x:f>F586/G586-1</x:f>
        <x:v>-0.12971871146000002</x:v>
      </x:c>
      <x:c r="I586" s="14" t="n">
        <x:f>F586/F585-1</x:f>
        <x:v>0</x:v>
      </x:c>
      <x:c r="J586" s="12" t="n">
        <x:v>0</x:v>
      </x:c>
      <x:c r="K586" s="12" t="n">
        <x:v>0</x:v>
      </x:c>
      <x:c r="L586" s="12" t="n">
        <x:v>0</x:v>
      </x:c>
      <x:c r="M586" s="2" t="str">
        <x:v>空仓</x:v>
      </x:c>
    </x:row>
    <x:row r="587" ht="23" customHeight="1">
      <x:c r="A587" s="11" t="d">
        <x:v>2017-04-25T00:00:00.000Z</x:v>
      </x:c>
      <x:c r="B587" s="12" t="n">
        <x:v>199.216982</x:v>
      </x:c>
      <x:c r="C587" s="13" t="n">
        <x:v>363</x:v>
      </x:c>
      <x:c r="D587" s="12" t="n">
        <x:v>86593.65000000001</x:v>
      </x:c>
      <x:c r="E587" s="12" t="n">
        <x:v>381.220542</x:v>
      </x:c>
      <x:c r="F587" s="12" t="n">
        <x:f>SUM(B587,D587:E587)</x:f>
        <x:v>87174.087524</x:v>
      </x:c>
      <x:c r="G587" s="12" t="n">
        <x:f>MAX(G586,F587)</x:f>
        <x:v>100000</x:v>
      </x:c>
      <x:c r="H587" s="14" t="n">
        <x:f>F587/G587-1</x:f>
        <x:v>-0.12825912476</x:v>
      </x:c>
      <x:c r="I587" s="14" t="n">
        <x:f>F587/F586-1</x:f>
        <x:v>0.00167714360772786</x:v>
      </x:c>
      <x:c r="J587" s="12" t="n">
        <x:v>0</x:v>
      </x:c>
      <x:c r="K587" s="12" t="n">
        <x:v>0</x:v>
      </x:c>
      <x:c r="L587" s="12" t="n">
        <x:v>363</x:v>
      </x:c>
      <x:c r="M587" s="2" t="str">
        <x:v>买入</x:v>
      </x:c>
    </x:row>
    <x:row r="588" ht="23" customHeight="1">
      <x:c r="A588" s="11" t="d">
        <x:v>2017-04-26T00:00:00.000Z</x:v>
      </x:c>
      <x:c r="B588" s="12" t="n">
        <x:v>199.216982</x:v>
      </x:c>
      <x:c r="C588" s="13" t="n">
        <x:v>363</x:v>
      </x:c>
      <x:c r="D588" s="12" t="n">
        <x:v>86539.2</x:v>
      </x:c>
      <x:c r="E588" s="12" t="n">
        <x:v>381.220542</x:v>
      </x:c>
      <x:c r="F588" s="12" t="n">
        <x:f>SUM(B588,D588:E588)</x:f>
        <x:v>87119.63752399999</x:v>
      </x:c>
      <x:c r="G588" s="12" t="n">
        <x:f>MAX(G587,F588)</x:f>
        <x:v>100000</x:v>
      </x:c>
      <x:c r="H588" s="14" t="n">
        <x:f>F588/G588-1</x:f>
        <x:v>-0.12880362476000007</x:v>
      </x:c>
      <x:c r="I588" s="14" t="n">
        <x:f>F588/F587-1</x:f>
        <x:v>-0.0006246122161590595</x:v>
      </x:c>
      <x:c r="J588" s="12" t="n">
        <x:v>0</x:v>
      </x:c>
      <x:c r="K588" s="12" t="n">
        <x:v>0</x:v>
      </x:c>
      <x:c r="L588" s="12" t="n">
        <x:v>0</x:v>
      </x:c>
      <x:c r="M588" s="2" t="str">
        <x:v>持有</x:v>
      </x:c>
    </x:row>
    <x:row r="589" ht="23" customHeight="1">
      <x:c r="A589" s="11" t="d">
        <x:v>2017-04-27T00:00:00.000Z</x:v>
      </x:c>
      <x:c r="B589" s="12" t="n">
        <x:v>199.216982</x:v>
      </x:c>
      <x:c r="C589" s="13" t="n">
        <x:v>363</x:v>
      </x:c>
      <x:c r="D589" s="12" t="n">
        <x:v>86611.8</x:v>
      </x:c>
      <x:c r="E589" s="12" t="n">
        <x:v>381.220542</x:v>
      </x:c>
      <x:c r="F589" s="12" t="n">
        <x:f>SUM(B589,D589:E589)</x:f>
        <x:v>87192.237524</x:v>
      </x:c>
      <x:c r="G589" s="12" t="n">
        <x:f>MAX(G588,F589)</x:f>
        <x:v>100000</x:v>
      </x:c>
      <x:c r="H589" s="14" t="n">
        <x:f>F589/G589-1</x:f>
        <x:v>-0.12807762476000006</x:v>
      </x:c>
      <x:c r="I589" s="14" t="n">
        <x:f>F589/F588-1</x:f>
        <x:v>0.0008333368005577491</x:v>
      </x:c>
      <x:c r="J589" s="12" t="n">
        <x:v>0</x:v>
      </x:c>
      <x:c r="K589" s="12" t="n">
        <x:v>0</x:v>
      </x:c>
      <x:c r="L589" s="12" t="n">
        <x:v>0</x:v>
      </x:c>
      <x:c r="M589" s="2" t="str">
        <x:v>持有</x:v>
      </x:c>
    </x:row>
    <x:row r="590" ht="23" customHeight="1">
      <x:c r="A590" s="11" t="d">
        <x:v>2017-04-28T00:00:00.000Z</x:v>
      </x:c>
      <x:c r="B590" s="12" t="n">
        <x:v>580.437524</x:v>
      </x:c>
      <x:c r="C590" s="13" t="n">
        <x:v>363</x:v>
      </x:c>
      <x:c r="D590" s="12" t="n">
        <x:v>86423.04000000001</x:v>
      </x:c>
      <x:c r="E590" s="12" t="n">
        <x:v>0</x:v>
      </x:c>
      <x:c r="F590" s="12" t="n">
        <x:f>SUM(B590,D590:E590)</x:f>
        <x:v>87003.477524</x:v>
      </x:c>
      <x:c r="G590" s="12" t="n">
        <x:f>MAX(G589,F590)</x:f>
        <x:v>100000</x:v>
      </x:c>
      <x:c r="H590" s="14" t="n">
        <x:f>F590/G590-1</x:f>
        <x:v>-0.12996522475999994</x:v>
      </x:c>
      <x:c r="I590" s="14" t="n">
        <x:f>F590/F589-1</x:f>
        <x:v>-0.0021648716142653734</x:v>
      </x:c>
      <x:c r="J590" s="12" t="n">
        <x:v>0</x:v>
      </x:c>
      <x:c r="K590" s="12" t="n">
        <x:v>381.220542</x:v>
      </x:c>
      <x:c r="L590" s="12" t="n">
        <x:v>0</x:v>
      </x:c>
      <x:c r="M590" s="2" t="str">
        <x:v>持有</x:v>
      </x:c>
    </x:row>
    <x:row r="591" ht="23" customHeight="1">
      <x:c r="A591" s="11" t="d">
        <x:v>2017-05-01T00:00:00.000Z</x:v>
      </x:c>
      <x:c r="B591" s="12" t="n">
        <x:v>580.437524</x:v>
      </x:c>
      <x:c r="C591" s="13" t="n">
        <x:v>363</x:v>
      </x:c>
      <x:c r="D591" s="12" t="n">
        <x:v>86640.84</x:v>
      </x:c>
      <x:c r="E591" s="12" t="n">
        <x:v>0</x:v>
      </x:c>
      <x:c r="F591" s="12" t="n">
        <x:f>SUM(B591,D591:E591)</x:f>
        <x:v>87221.27752399999</x:v>
      </x:c>
      <x:c r="G591" s="12" t="n">
        <x:f>MAX(G590,F591)</x:f>
        <x:v>100000</x:v>
      </x:c>
      <x:c r="H591" s="14" t="n">
        <x:f>F591/G591-1</x:f>
        <x:v>-0.12778722476000015</x:v>
      </x:c>
      <x:c r="I591" s="14" t="n">
        <x:f>F591/F590-1</x:f>
        <x:v>0.0025033482131782137</x:v>
      </x:c>
      <x:c r="J591" s="12" t="n">
        <x:v>0</x:v>
      </x:c>
      <x:c r="K591" s="12" t="n">
        <x:v>0</x:v>
      </x:c>
      <x:c r="L591" s="12" t="n">
        <x:v>0</x:v>
      </x:c>
      <x:c r="M591" s="2" t="str">
        <x:v>持有</x:v>
      </x:c>
    </x:row>
    <x:row r="592" ht="23" customHeight="1">
      <x:c r="A592" s="11" t="d">
        <x:v>2017-05-02T00:00:00.000Z</x:v>
      </x:c>
      <x:c r="B592" s="12" t="n">
        <x:v>580.437524</x:v>
      </x:c>
      <x:c r="C592" s="13" t="n">
        <x:v>363</x:v>
      </x:c>
      <x:c r="D592" s="12" t="n">
        <x:v>86673.51000000001</x:v>
      </x:c>
      <x:c r="E592" s="12" t="n">
        <x:v>0</x:v>
      </x:c>
      <x:c r="F592" s="12" t="n">
        <x:f>SUM(B592,D592:E592)</x:f>
        <x:v>87253.947524</x:v>
      </x:c>
      <x:c r="G592" s="12" t="n">
        <x:f>MAX(G591,F592)</x:f>
        <x:v>100000</x:v>
      </x:c>
      <x:c r="H592" s="14" t="n">
        <x:f>F592/G592-1</x:f>
        <x:v>-0.12746052475999992</x:v>
      </x:c>
      <x:c r="I592" s="14" t="n">
        <x:f>F592/F591-1</x:f>
        <x:v>0.0003745645664388064</x:v>
      </x:c>
      <x:c r="J592" s="12" t="n">
        <x:v>0</x:v>
      </x:c>
      <x:c r="K592" s="12" t="n">
        <x:v>0</x:v>
      </x:c>
      <x:c r="L592" s="12" t="n">
        <x:v>0</x:v>
      </x:c>
      <x:c r="M592" s="2" t="str">
        <x:v>持有</x:v>
      </x:c>
    </x:row>
    <x:row r="593" ht="23" customHeight="1">
      <x:c r="A593" s="11" t="d">
        <x:v>2017-05-03T00:00:00.000Z</x:v>
      </x:c>
      <x:c r="B593" s="12" t="n">
        <x:v>580.437524</x:v>
      </x:c>
      <x:c r="C593" s="13" t="n">
        <x:v>363</x:v>
      </x:c>
      <x:c r="D593" s="12" t="n">
        <x:v>86568.23999999999</x:v>
      </x:c>
      <x:c r="E593" s="12" t="n">
        <x:v>0</x:v>
      </x:c>
      <x:c r="F593" s="12" t="n">
        <x:f>SUM(B593,D593:E593)</x:f>
        <x:v>87148.67752399998</x:v>
      </x:c>
      <x:c r="G593" s="12" t="n">
        <x:f>MAX(G592,F593)</x:f>
        <x:v>100000</x:v>
      </x:c>
      <x:c r="H593" s="14" t="n">
        <x:f>F593/G593-1</x:f>
        <x:v>-0.12851322476000016</x:v>
      </x:c>
      <x:c r="I593" s="14" t="n">
        <x:f>F593/F592-1</x:f>
        <x:v>-0.001206478365589847</x:v>
      </x:c>
      <x:c r="J593" s="12" t="n">
        <x:v>0</x:v>
      </x:c>
      <x:c r="K593" s="12" t="n">
        <x:v>0</x:v>
      </x:c>
      <x:c r="L593" s="12" t="n">
        <x:v>0</x:v>
      </x:c>
      <x:c r="M593" s="2" t="str">
        <x:v>持有</x:v>
      </x:c>
    </x:row>
    <x:row r="594" ht="23" customHeight="1">
      <x:c r="A594" s="11" t="d">
        <x:v>2017-05-04T00:00:00.000Z</x:v>
      </x:c>
      <x:c r="B594" s="12" t="n">
        <x:v>580.437524</x:v>
      </x:c>
      <x:c r="C594" s="13" t="n">
        <x:v>363</x:v>
      </x:c>
      <x:c r="D594" s="12" t="n">
        <x:v>86669.87999999999</x:v>
      </x:c>
      <x:c r="E594" s="12" t="n">
        <x:v>0</x:v>
      </x:c>
      <x:c r="F594" s="12" t="n">
        <x:f>SUM(B594,D594:E594)</x:f>
        <x:v>87250.31752399998</x:v>
      </x:c>
      <x:c r="G594" s="12" t="n">
        <x:f>MAX(G593,F594)</x:f>
        <x:v>100000</x:v>
      </x:c>
      <x:c r="H594" s="14" t="n">
        <x:f>F594/G594-1</x:f>
        <x:v>-0.12749682476000013</x:v>
      </x:c>
      <x:c r="I594" s="14" t="n">
        <x:f>F594/F593-1</x:f>
        <x:v>0.0011662827582439306</x:v>
      </x:c>
      <x:c r="J594" s="12" t="n">
        <x:v>0</x:v>
      </x:c>
      <x:c r="K594" s="12" t="n">
        <x:v>0</x:v>
      </x:c>
      <x:c r="L594" s="12" t="n">
        <x:v>0</x:v>
      </x:c>
      <x:c r="M594" s="2" t="str">
        <x:v>持有</x:v>
      </x:c>
    </x:row>
    <x:row r="595" ht="23" customHeight="1">
      <x:c r="A595" s="11" t="d">
        <x:v>2017-05-05T00:00:00.000Z</x:v>
      </x:c>
      <x:c r="B595" s="12" t="n">
        <x:v>580.437524</x:v>
      </x:c>
      <x:c r="C595" s="13" t="n">
        <x:v>363</x:v>
      </x:c>
      <x:c r="D595" s="12" t="n">
        <x:v>87011.09999999999</x:v>
      </x:c>
      <x:c r="E595" s="12" t="n">
        <x:v>0</x:v>
      </x:c>
      <x:c r="F595" s="12" t="n">
        <x:f>SUM(B595,D595:E595)</x:f>
        <x:v>87591.53752399998</x:v>
      </x:c>
      <x:c r="G595" s="12" t="n">
        <x:f>MAX(G594,F595)</x:f>
        <x:v>100000</x:v>
      </x:c>
      <x:c r="H595" s="14" t="n">
        <x:f>F595/G595-1</x:f>
        <x:v>-0.12408462476000015</x:v>
      </x:c>
      <x:c r="I595" s="14" t="n">
        <x:f>F595/F594-1</x:f>
        <x:v>0.003910816713144305</x:v>
      </x:c>
      <x:c r="J595" s="12" t="n">
        <x:v>0</x:v>
      </x:c>
      <x:c r="K595" s="12" t="n">
        <x:v>0</x:v>
      </x:c>
      <x:c r="L595" s="12" t="n">
        <x:v>0</x:v>
      </x:c>
      <x:c r="M595" s="2" t="str">
        <x:v>持有</x:v>
      </x:c>
    </x:row>
    <x:row r="596" ht="23" customHeight="1">
      <x:c r="A596" s="11" t="d">
        <x:v>2017-05-08T00:00:00.000Z</x:v>
      </x:c>
      <x:c r="B596" s="12" t="n">
        <x:v>580.437524</x:v>
      </x:c>
      <x:c r="C596" s="13" t="n">
        <x:v>363</x:v>
      </x:c>
      <x:c r="D596" s="12" t="n">
        <x:v>86996.58</x:v>
      </x:c>
      <x:c r="E596" s="12" t="n">
        <x:v>0</x:v>
      </x:c>
      <x:c r="F596" s="12" t="n">
        <x:f>SUM(B596,D596:E596)</x:f>
        <x:v>87577.017524</x:v>
      </x:c>
      <x:c r="G596" s="12" t="n">
        <x:f>MAX(G595,F596)</x:f>
        <x:v>100000</x:v>
      </x:c>
      <x:c r="H596" s="14" t="n">
        <x:f>F596/G596-1</x:f>
        <x:v>-0.12422982476</x:v>
      </x:c>
      <x:c r="I596" s="14" t="n">
        <x:f>F596/F595-1</x:f>
        <x:v>-0.00016576943858315207</x:v>
      </x:c>
      <x:c r="J596" s="12" t="n">
        <x:v>0</x:v>
      </x:c>
      <x:c r="K596" s="12" t="n">
        <x:v>0</x:v>
      </x:c>
      <x:c r="L596" s="12" t="n">
        <x:v>0</x:v>
      </x:c>
      <x:c r="M596" s="2" t="str">
        <x:v>持有</x:v>
      </x:c>
    </x:row>
    <x:row r="597" ht="23" customHeight="1">
      <x:c r="A597" s="11" t="d">
        <x:v>2017-05-09T00:00:00.000Z</x:v>
      </x:c>
      <x:c r="B597" s="12" t="n">
        <x:v>580.437524</x:v>
      </x:c>
      <x:c r="C597" s="13" t="n">
        <x:v>363</x:v>
      </x:c>
      <x:c r="D597" s="12" t="n">
        <x:v>86916.72</x:v>
      </x:c>
      <x:c r="E597" s="12" t="n">
        <x:v>0</x:v>
      </x:c>
      <x:c r="F597" s="12" t="n">
        <x:f>SUM(B597,D597:E597)</x:f>
        <x:v>87497.157524</x:v>
      </x:c>
      <x:c r="G597" s="12" t="n">
        <x:f>MAX(G596,F597)</x:f>
        <x:v>100000</x:v>
      </x:c>
      <x:c r="H597" s="14" t="n">
        <x:f>F597/G597-1</x:f>
        <x:v>-0.1250284247600001</x:v>
      </x:c>
      <x:c r="I597" s="14" t="n">
        <x:f>F597/F596-1</x:f>
        <x:v>-0.0009118830745533657</x:v>
      </x:c>
      <x:c r="J597" s="12" t="n">
        <x:v>0</x:v>
      </x:c>
      <x:c r="K597" s="12" t="n">
        <x:v>0</x:v>
      </x:c>
      <x:c r="L597" s="12" t="n">
        <x:v>0</x:v>
      </x:c>
      <x:c r="M597" s="2" t="str">
        <x:v>持有</x:v>
      </x:c>
    </x:row>
    <x:row r="598" ht="23" customHeight="1">
      <x:c r="A598" s="11" t="d">
        <x:v>2017-05-10T00:00:00.000Z</x:v>
      </x:c>
      <x:c r="B598" s="12" t="n">
        <x:v>580.437524</x:v>
      </x:c>
      <x:c r="C598" s="13" t="n">
        <x:v>363</x:v>
      </x:c>
      <x:c r="D598" s="12" t="n">
        <x:v>87072.81</x:v>
      </x:c>
      <x:c r="E598" s="12" t="n">
        <x:v>0</x:v>
      </x:c>
      <x:c r="F598" s="12" t="n">
        <x:f>SUM(B598,D598:E598)</x:f>
        <x:v>87653.24752399999</x:v>
      </x:c>
      <x:c r="G598" s="12" t="n">
        <x:f>MAX(G597,F598)</x:f>
        <x:v>100000</x:v>
      </x:c>
      <x:c r="H598" s="14" t="n">
        <x:f>F598/G598-1</x:f>
        <x:v>-0.12346752476000011</x:v>
      </x:c>
      <x:c r="I598" s="14" t="n">
        <x:f>F598/F597-1</x:f>
        <x:v>0.001783943666480603</x:v>
      </x:c>
      <x:c r="J598" s="12" t="n">
        <x:v>0</x:v>
      </x:c>
      <x:c r="K598" s="12" t="n">
        <x:v>0</x:v>
      </x:c>
      <x:c r="L598" s="12" t="n">
        <x:v>0</x:v>
      </x:c>
      <x:c r="M598" s="2" t="str">
        <x:v>持有</x:v>
      </x:c>
    </x:row>
    <x:row r="599" ht="23" customHeight="1">
      <x:c r="A599" s="11" t="d">
        <x:v>2017-05-11T00:00:00.000Z</x:v>
      </x:c>
      <x:c r="B599" s="12" t="n">
        <x:v>580.437524</x:v>
      </x:c>
      <x:c r="C599" s="13" t="n">
        <x:v>363</x:v>
      </x:c>
      <x:c r="D599" s="12" t="n">
        <x:v>86894.94</x:v>
      </x:c>
      <x:c r="E599" s="12" t="n">
        <x:v>0</x:v>
      </x:c>
      <x:c r="F599" s="12" t="n">
        <x:f>SUM(B599,D599:E599)</x:f>
        <x:v>87475.377524</x:v>
      </x:c>
      <x:c r="G599" s="12" t="n">
        <x:f>MAX(G598,F599)</x:f>
        <x:v>100000</x:v>
      </x:c>
      <x:c r="H599" s="14" t="n">
        <x:f>F599/G599-1</x:f>
        <x:v>-0.12524622476000002</x:v>
      </x:c>
      <x:c r="I599" s="14" t="n">
        <x:f>F599/F598-1</x:f>
        <x:v>-0.0020292459780374417</x:v>
      </x:c>
      <x:c r="J599" s="12" t="n">
        <x:v>0</x:v>
      </x:c>
      <x:c r="K599" s="12" t="n">
        <x:v>0</x:v>
      </x:c>
      <x:c r="L599" s="12" t="n">
        <x:v>0</x:v>
      </x:c>
      <x:c r="M599" s="2" t="str">
        <x:v>持有</x:v>
      </x:c>
    </x:row>
    <x:row r="600" ht="23" customHeight="1">
      <x:c r="A600" s="11" t="d">
        <x:v>2017-05-12T00:00:00.000Z</x:v>
      </x:c>
      <x:c r="B600" s="12" t="n">
        <x:v>580.437524</x:v>
      </x:c>
      <x:c r="C600" s="13" t="n">
        <x:v>363</x:v>
      </x:c>
      <x:c r="D600" s="12" t="n">
        <x:v>86749.73999999999</x:v>
      </x:c>
      <x:c r="E600" s="12" t="n">
        <x:v>0</x:v>
      </x:c>
      <x:c r="F600" s="12" t="n">
        <x:f>SUM(B600,D600:E600)</x:f>
        <x:v>87330.17752399998</x:v>
      </x:c>
      <x:c r="G600" s="12" t="n">
        <x:f>MAX(G599,F600)</x:f>
        <x:v>100000</x:v>
      </x:c>
      <x:c r="H600" s="14" t="n">
        <x:f>F600/G600-1</x:f>
        <x:v>-0.12669822476000014</x:v>
      </x:c>
      <x:c r="I600" s="14" t="n">
        <x:f>F600/F599-1</x:f>
        <x:v>-0.0016598956656137531</x:v>
      </x:c>
      <x:c r="J600" s="12" t="n">
        <x:v>0</x:v>
      </x:c>
      <x:c r="K600" s="12" t="n">
        <x:v>0</x:v>
      </x:c>
      <x:c r="L600" s="12" t="n">
        <x:v>0</x:v>
      </x:c>
      <x:c r="M600" s="2" t="str">
        <x:v>持有</x:v>
      </x:c>
    </x:row>
    <x:row r="601" ht="23" customHeight="1">
      <x:c r="A601" s="11" t="d">
        <x:v>2017-05-15T00:00:00.000Z</x:v>
      </x:c>
      <x:c r="B601" s="12" t="n">
        <x:v>580.437524</x:v>
      </x:c>
      <x:c r="C601" s="13" t="n">
        <x:v>363</x:v>
      </x:c>
      <x:c r="D601" s="12" t="n">
        <x:v>87228.90000000001</x:v>
      </x:c>
      <x:c r="E601" s="12" t="n">
        <x:v>0</x:v>
      </x:c>
      <x:c r="F601" s="12" t="n">
        <x:f>SUM(B601,D601:E601)</x:f>
        <x:v>87809.337524</x:v>
      </x:c>
      <x:c r="G601" s="12" t="n">
        <x:f>MAX(G600,F601)</x:f>
        <x:v>100000</x:v>
      </x:c>
      <x:c r="H601" s="14" t="n">
        <x:f>F601/G601-1</x:f>
        <x:v>-0.12190662476000003</x:v>
      </x:c>
      <x:c r="I601" s="14" t="n">
        <x:f>F601/F600-1</x:f>
        <x:v>0.005486763150897467</x:v>
      </x:c>
      <x:c r="J601" s="12" t="n">
        <x:v>0</x:v>
      </x:c>
      <x:c r="K601" s="12" t="n">
        <x:v>0</x:v>
      </x:c>
      <x:c r="L601" s="12" t="n">
        <x:v>0</x:v>
      </x:c>
      <x:c r="M601" s="2" t="str">
        <x:v>持有</x:v>
      </x:c>
    </x:row>
    <x:row r="602" ht="23" customHeight="1">
      <x:c r="A602" s="11" t="d">
        <x:v>2017-05-16T00:00:00.000Z</x:v>
      </x:c>
      <x:c r="B602" s="12" t="n">
        <x:v>580.437524</x:v>
      </x:c>
      <x:c r="C602" s="13" t="n">
        <x:v>363</x:v>
      </x:c>
      <x:c r="D602" s="12" t="n">
        <x:v>87149.04000000001</x:v>
      </x:c>
      <x:c r="E602" s="12" t="n">
        <x:v>0</x:v>
      </x:c>
      <x:c r="F602" s="12" t="n">
        <x:f>SUM(B602,D602:E602)</x:f>
        <x:v>87729.477524</x:v>
      </x:c>
      <x:c r="G602" s="12" t="n">
        <x:f>MAX(G601,F602)</x:f>
        <x:v>100000</x:v>
      </x:c>
      <x:c r="H602" s="14" t="n">
        <x:f>F602/G602-1</x:f>
        <x:v>-0.12270522476000001</x:v>
      </x:c>
      <x:c r="I602" s="14" t="n">
        <x:f>F602/F601-1</x:f>
        <x:v>-0.000909470476054719</x:v>
      </x:c>
      <x:c r="J602" s="12" t="n">
        <x:v>0</x:v>
      </x:c>
      <x:c r="K602" s="12" t="n">
        <x:v>0</x:v>
      </x:c>
      <x:c r="L602" s="12" t="n">
        <x:v>0</x:v>
      </x:c>
      <x:c r="M602" s="2" t="str">
        <x:v>持有</x:v>
      </x:c>
    </x:row>
    <x:row r="603" ht="23" customHeight="1">
      <x:c r="A603" s="11" t="d">
        <x:v>2017-05-17T00:00:00.000Z</x:v>
      </x:c>
      <x:c r="B603" s="12" t="n">
        <x:v>580.437524</x:v>
      </x:c>
      <x:c r="C603" s="13" t="n">
        <x:v>363</x:v>
      </x:c>
      <x:c r="D603" s="12" t="n">
        <x:v>85602.66</x:v>
      </x:c>
      <x:c r="E603" s="12" t="n">
        <x:v>0</x:v>
      </x:c>
      <x:c r="F603" s="12" t="n">
        <x:f>SUM(B603,D603:E603)</x:f>
        <x:v>86183.097524</x:v>
      </x:c>
      <x:c r="G603" s="12" t="n">
        <x:f>MAX(G602,F603)</x:f>
        <x:v>100000</x:v>
      </x:c>
      <x:c r="H603" s="14" t="n">
        <x:f>F603/G603-1</x:f>
        <x:v>-0.13816902476000004</x:v>
      </x:c>
      <x:c r="I603" s="14" t="n">
        <x:f>F603/F602-1</x:f>
        <x:v>-0.017626686532778768</x:v>
      </x:c>
      <x:c r="J603" s="12" t="n">
        <x:v>0</x:v>
      </x:c>
      <x:c r="K603" s="12" t="n">
        <x:v>0</x:v>
      </x:c>
      <x:c r="L603" s="12" t="n">
        <x:v>0</x:v>
      </x:c>
      <x:c r="M603" s="2" t="str">
        <x:v>持有</x:v>
      </x:c>
    </x:row>
    <x:row r="604" ht="23" customHeight="1">
      <x:c r="A604" s="11" t="d">
        <x:v>2017-05-18T00:00:00.000Z</x:v>
      </x:c>
      <x:c r="B604" s="12" t="n">
        <x:v>86064.857534</x:v>
      </x:c>
      <x:c r="C604" s="13" t="n">
        <x:v>0</x:v>
      </x:c>
      <x:c r="D604" s="12" t="n">
        <x:v>0</x:v>
      </x:c>
      <x:c r="E604" s="12" t="n">
        <x:v>0</x:v>
      </x:c>
      <x:c r="F604" s="12" t="n">
        <x:f>SUM(B604,D604:E604)</x:f>
        <x:v>86064.857534</x:v>
      </x:c>
      <x:c r="G604" s="12" t="n">
        <x:f>MAX(G603,F604)</x:f>
        <x:v>100000</x:v>
      </x:c>
      <x:c r="H604" s="14" t="n">
        <x:f>F604/G604-1</x:f>
        <x:v>-0.13935142466000006</x:v>
      </x:c>
      <x:c r="I604" s="14" t="n">
        <x:f>F604/F603-1</x:f>
        <x:v>-0.0013719626399720797</x:v>
      </x:c>
      <x:c r="J604" s="12" t="n">
        <x:v>0</x:v>
      </x:c>
      <x:c r="K604" s="12" t="n">
        <x:v>0</x:v>
      </x:c>
      <x:c r="L604" s="12" t="n">
        <x:v>-363</x:v>
      </x:c>
      <x:c r="M604" s="2" t="str">
        <x:v>卖出</x:v>
      </x:c>
    </x:row>
    <x:row r="605" ht="23" customHeight="1">
      <x:c r="A605" s="11" t="d">
        <x:v>2017-05-19T00:00:00.000Z</x:v>
      </x:c>
      <x:c r="B605" s="12" t="n">
        <x:v>65.484074</x:v>
      </x:c>
      <x:c r="C605" s="13" t="n">
        <x:v>362</x:v>
      </x:c>
      <x:c r="D605" s="12" t="n">
        <x:v>86268.22</x:v>
      </x:c>
      <x:c r="E605" s="12" t="n">
        <x:v>0</x:v>
      </x:c>
      <x:c r="F605" s="12" t="n">
        <x:f>SUM(B605,D605:E605)</x:f>
        <x:v>86333.70407400001</x:v>
      </x:c>
      <x:c r="G605" s="12" t="n">
        <x:f>MAX(G604,F605)</x:f>
        <x:v>100000</x:v>
      </x:c>
      <x:c r="H605" s="14" t="n">
        <x:f>F605/G605-1</x:f>
        <x:v>-0.13666295925999994</x:v>
      </x:c>
      <x:c r="I605" s="14" t="n">
        <x:f>F605/F604-1</x:f>
        <x:v>0.003123766746419232</x:v>
      </x:c>
      <x:c r="J605" s="12" t="n">
        <x:v>0</x:v>
      </x:c>
      <x:c r="K605" s="12" t="n">
        <x:v>0</x:v>
      </x:c>
      <x:c r="L605" s="12" t="n">
        <x:v>362</x:v>
      </x:c>
      <x:c r="M605" s="2" t="str">
        <x:v>买入</x:v>
      </x:c>
    </x:row>
    <x:row r="606" ht="23" customHeight="1">
      <x:c r="A606" s="11" t="d">
        <x:v>2017-05-22T00:00:00.000Z</x:v>
      </x:c>
      <x:c r="B606" s="12" t="n">
        <x:v>65.484074</x:v>
      </x:c>
      <x:c r="C606" s="13" t="n">
        <x:v>362</x:v>
      </x:c>
      <x:c r="D606" s="12" t="n">
        <x:v>86706.24</x:v>
      </x:c>
      <x:c r="E606" s="12" t="n">
        <x:v>0</x:v>
      </x:c>
      <x:c r="F606" s="12" t="n">
        <x:f>SUM(B606,D606:E606)</x:f>
        <x:v>86771.72407400001</x:v>
      </x:c>
      <x:c r="G606" s="12" t="n">
        <x:f>MAX(G605,F606)</x:f>
        <x:v>100000</x:v>
      </x:c>
      <x:c r="H606" s="14" t="n">
        <x:f>F606/G606-1</x:f>
        <x:v>-0.13228275925999988</x:v>
      </x:c>
      <x:c r="I606" s="14" t="n">
        <x:f>F606/F605-1</x:f>
        <x:v>0.005073568946196927</x:v>
      </x:c>
      <x:c r="J606" s="12" t="n">
        <x:v>0</x:v>
      </x:c>
      <x:c r="K606" s="12" t="n">
        <x:v>0</x:v>
      </x:c>
      <x:c r="L606" s="12" t="n">
        <x:v>0</x:v>
      </x:c>
      <x:c r="M606" s="2" t="str">
        <x:v>持有</x:v>
      </x:c>
    </x:row>
    <x:row r="607" ht="23" customHeight="1">
      <x:c r="A607" s="11" t="d">
        <x:v>2017-05-23T00:00:00.000Z</x:v>
      </x:c>
      <x:c r="B607" s="12" t="n">
        <x:v>65.484074</x:v>
      </x:c>
      <x:c r="C607" s="13" t="n">
        <x:v>362</x:v>
      </x:c>
      <x:c r="D607" s="12" t="n">
        <x:v>86898.1</x:v>
      </x:c>
      <x:c r="E607" s="12" t="n">
        <x:v>0</x:v>
      </x:c>
      <x:c r="F607" s="12" t="n">
        <x:f>SUM(B607,D607:E607)</x:f>
        <x:v>86963.58407400001</x:v>
      </x:c>
      <x:c r="G607" s="12" t="n">
        <x:f>MAX(G606,F607)</x:f>
        <x:v>100000</x:v>
      </x:c>
      <x:c r="H607" s="14" t="n">
        <x:f>F607/G607-1</x:f>
        <x:v>-0.1303641592599999</x:v>
      </x:c>
      <x:c r="I607" s="14" t="n">
        <x:f>F607/F606-1</x:f>
        <x:v>0.0022110889468598405</x:v>
      </x:c>
      <x:c r="J607" s="12" t="n">
        <x:v>0</x:v>
      </x:c>
      <x:c r="K607" s="12" t="n">
        <x:v>0</x:v>
      </x:c>
      <x:c r="L607" s="12" t="n">
        <x:v>0</x:v>
      </x:c>
      <x:c r="M607" s="2" t="str">
        <x:v>持有</x:v>
      </x:c>
    </x:row>
    <x:row r="608" ht="23" customHeight="1">
      <x:c r="A608" s="11" t="d">
        <x:v>2017-05-24T00:00:00.000Z</x:v>
      </x:c>
      <x:c r="B608" s="12" t="n">
        <x:v>65.484074</x:v>
      </x:c>
      <x:c r="C608" s="13" t="n">
        <x:v>362</x:v>
      </x:c>
      <x:c r="D608" s="12" t="n">
        <x:v>87100.82</x:v>
      </x:c>
      <x:c r="E608" s="12" t="n">
        <x:v>0</x:v>
      </x:c>
      <x:c r="F608" s="12" t="n">
        <x:f>SUM(B608,D608:E608)</x:f>
        <x:v>87166.30407400001</x:v>
      </x:c>
      <x:c r="G608" s="12" t="n">
        <x:f>MAX(G607,F608)</x:f>
        <x:v>100000</x:v>
      </x:c>
      <x:c r="H608" s="14" t="n">
        <x:f>F608/G608-1</x:f>
        <x:v>-0.12833695925999988</x:v>
      </x:c>
      <x:c r="I608" s="14" t="n">
        <x:f>F608/F607-1</x:f>
        <x:v>0.002331090676156</x:v>
      </x:c>
      <x:c r="J608" s="12" t="n">
        <x:v>0</x:v>
      </x:c>
      <x:c r="K608" s="12" t="n">
        <x:v>0</x:v>
      </x:c>
      <x:c r="L608" s="12" t="n">
        <x:v>0</x:v>
      </x:c>
      <x:c r="M608" s="2" t="str">
        <x:v>持有</x:v>
      </x:c>
    </x:row>
    <x:row r="609" ht="23" customHeight="1">
      <x:c r="A609" s="11" t="d">
        <x:v>2017-05-25T00:00:00.000Z</x:v>
      </x:c>
      <x:c r="B609" s="12" t="n">
        <x:v>65.484074</x:v>
      </x:c>
      <x:c r="C609" s="13" t="n">
        <x:v>362</x:v>
      </x:c>
      <x:c r="D609" s="12" t="n">
        <x:v>87517.12</x:v>
      </x:c>
      <x:c r="E609" s="12" t="n">
        <x:v>0</x:v>
      </x:c>
      <x:c r="F609" s="12" t="n">
        <x:f>SUM(B609,D609:E609)</x:f>
        <x:v>87582.604074</x:v>
      </x:c>
      <x:c r="G609" s="12" t="n">
        <x:f>MAX(G608,F609)</x:f>
        <x:v>100000</x:v>
      </x:c>
      <x:c r="H609" s="14" t="n">
        <x:f>F609/G609-1</x:f>
        <x:v>-0.12417395925999997</x:v>
      </x:c>
      <x:c r="I609" s="14" t="n">
        <x:f>F609/F608-1</x:f>
        <x:v>0.004775928088525783</x:v>
      </x:c>
      <x:c r="J609" s="12" t="n">
        <x:v>0</x:v>
      </x:c>
      <x:c r="K609" s="12" t="n">
        <x:v>0</x:v>
      </x:c>
      <x:c r="L609" s="12" t="n">
        <x:v>0</x:v>
      </x:c>
      <x:c r="M609" s="2" t="str">
        <x:v>持有</x:v>
      </x:c>
    </x:row>
    <x:row r="610" ht="23" customHeight="1">
      <x:c r="A610" s="11" t="d">
        <x:v>2017-05-26T00:00:00.000Z</x:v>
      </x:c>
      <x:c r="B610" s="12" t="n">
        <x:v>65.484074</x:v>
      </x:c>
      <x:c r="C610" s="13" t="n">
        <x:v>362</x:v>
      </x:c>
      <x:c r="D610" s="12" t="n">
        <x:v>87499.02</x:v>
      </x:c>
      <x:c r="E610" s="12" t="n">
        <x:v>0</x:v>
      </x:c>
      <x:c r="F610" s="12" t="n">
        <x:f>SUM(B610,D610:E610)</x:f>
        <x:v>87564.50407400001</x:v>
      </x:c>
      <x:c r="G610" s="12" t="n">
        <x:f>MAX(G609,F610)</x:f>
        <x:v>100000</x:v>
      </x:c>
      <x:c r="H610" s="14" t="n">
        <x:f>F610/G610-1</x:f>
        <x:v>-0.12435495925999984</x:v>
      </x:c>
      <x:c r="I610" s="14" t="n">
        <x:f>F610/F609-1</x:f>
        <x:v>-0.0002066620442651157</x:v>
      </x:c>
      <x:c r="J610" s="12" t="n">
        <x:v>0</x:v>
      </x:c>
      <x:c r="K610" s="12" t="n">
        <x:v>0</x:v>
      </x:c>
      <x:c r="L610" s="12" t="n">
        <x:v>0</x:v>
      </x:c>
      <x:c r="M610" s="2" t="str">
        <x:v>持有</x:v>
      </x:c>
    </x:row>
    <x:row r="611" ht="23" customHeight="1">
      <x:c r="A611" s="11" t="d">
        <x:v>2017-05-30T00:00:00.000Z</x:v>
      </x:c>
      <x:c r="B611" s="12" t="n">
        <x:v>65.484074</x:v>
      </x:c>
      <x:c r="C611" s="13" t="n">
        <x:v>362</x:v>
      </x:c>
      <x:c r="D611" s="12" t="n">
        <x:v>87423</x:v>
      </x:c>
      <x:c r="E611" s="12" t="n">
        <x:v>0</x:v>
      </x:c>
      <x:c r="F611" s="12" t="n">
        <x:f>SUM(B611,D611:E611)</x:f>
        <x:v>87488.484074</x:v>
      </x:c>
      <x:c r="G611" s="12" t="n">
        <x:f>MAX(G610,F611)</x:f>
        <x:v>100000</x:v>
      </x:c>
      <x:c r="H611" s="14" t="n">
        <x:f>F611/G611-1</x:f>
        <x:v>-0.12511515925999994</x:v>
      </x:c>
      <x:c r="I611" s="14" t="n">
        <x:f>F611/F610-1</x:f>
        <x:v>-0.000868160001634477</x:v>
      </x:c>
      <x:c r="J611" s="12" t="n">
        <x:v>0</x:v>
      </x:c>
      <x:c r="K611" s="12" t="n">
        <x:v>0</x:v>
      </x:c>
      <x:c r="L611" s="12" t="n">
        <x:v>0</x:v>
      </x:c>
      <x:c r="M611" s="2" t="str">
        <x:v>持有</x:v>
      </x:c>
    </x:row>
    <x:row r="612" ht="23" customHeight="1">
      <x:c r="A612" s="11" t="d">
        <x:v>2017-05-31T00:00:00.000Z</x:v>
      </x:c>
      <x:c r="B612" s="12" t="n">
        <x:v>65.484074</x:v>
      </x:c>
      <x:c r="C612" s="13" t="n">
        <x:v>362</x:v>
      </x:c>
      <x:c r="D612" s="12" t="n">
        <x:v>87401.28</x:v>
      </x:c>
      <x:c r="E612" s="12" t="n">
        <x:v>0</x:v>
      </x:c>
      <x:c r="F612" s="12" t="n">
        <x:f>SUM(B612,D612:E612)</x:f>
        <x:v>87466.764074</x:v>
      </x:c>
      <x:c r="G612" s="12" t="n">
        <x:f>MAX(G611,F612)</x:f>
        <x:v>100000</x:v>
      </x:c>
      <x:c r="H612" s="14" t="n">
        <x:f>F612/G612-1</x:f>
        <x:v>-0.12533235925999997</x:v>
      </x:c>
      <x:c r="I612" s="14" t="n">
        <x:f>F612/F611-1</x:f>
        <x:v>-0.0002482612452358035</x:v>
      </x:c>
      <x:c r="J612" s="12" t="n">
        <x:v>0</x:v>
      </x:c>
      <x:c r="K612" s="12" t="n">
        <x:v>0</x:v>
      </x:c>
      <x:c r="L612" s="12" t="n">
        <x:v>0</x:v>
      </x:c>
      <x:c r="M612" s="2" t="str">
        <x:v>持有</x:v>
      </x:c>
    </x:row>
    <x:row r="613" ht="23" customHeight="1">
      <x:c r="A613" s="11" t="d">
        <x:v>2017-06-01T00:00:00.000Z</x:v>
      </x:c>
      <x:c r="B613" s="12" t="n">
        <x:v>65.484074</x:v>
      </x:c>
      <x:c r="C613" s="13" t="n">
        <x:v>362</x:v>
      </x:c>
      <x:c r="D613" s="12" t="n">
        <x:v>88096.32</x:v>
      </x:c>
      <x:c r="E613" s="12" t="n">
        <x:v>0</x:v>
      </x:c>
      <x:c r="F613" s="12" t="n">
        <x:f>SUM(B613,D613:E613)</x:f>
        <x:v>88161.80407400001</x:v>
      </x:c>
      <x:c r="G613" s="12" t="n">
        <x:f>MAX(G612,F613)</x:f>
        <x:v>100000</x:v>
      </x:c>
      <x:c r="H613" s="14" t="n">
        <x:f>F613/G613-1</x:f>
        <x:v>-0.11838195925999984</x:v>
      </x:c>
      <x:c r="I613" s="14" t="n">
        <x:f>F613/F612-1</x:f>
        <x:v>0.00794633261397415</x:v>
      </x:c>
      <x:c r="J613" s="12" t="n">
        <x:v>0</x:v>
      </x:c>
      <x:c r="K613" s="12" t="n">
        <x:v>0</x:v>
      </x:c>
      <x:c r="L613" s="12" t="n">
        <x:v>0</x:v>
      </x:c>
      <x:c r="M613" s="2" t="str">
        <x:v>持有</x:v>
      </x:c>
    </x:row>
    <x:row r="614" ht="23" customHeight="1">
      <x:c r="A614" s="11" t="d">
        <x:v>2017-06-02T00:00:00.000Z</x:v>
      </x:c>
      <x:c r="B614" s="12" t="n">
        <x:v>65.484074</x:v>
      </x:c>
      <x:c r="C614" s="13" t="n">
        <x:v>362</x:v>
      </x:c>
      <x:c r="D614" s="12" t="n">
        <x:v>88389.54</x:v>
      </x:c>
      <x:c r="E614" s="12" t="n">
        <x:v>0</x:v>
      </x:c>
      <x:c r="F614" s="12" t="n">
        <x:f>SUM(B614,D614:E614)</x:f>
        <x:v>88455.024074</x:v>
      </x:c>
      <x:c r="G614" s="12" t="n">
        <x:f>MAX(G613,F614)</x:f>
        <x:v>100000</x:v>
      </x:c>
      <x:c r="H614" s="14" t="n">
        <x:f>F614/G614-1</x:f>
        <x:v>-0.11544975926</x:v>
      </x:c>
      <x:c r="I614" s="14" t="n">
        <x:f>F614/F613-1</x:f>
        <x:v>0.0033259301245001094</x:v>
      </x:c>
      <x:c r="J614" s="12" t="n">
        <x:v>0</x:v>
      </x:c>
      <x:c r="K614" s="12" t="n">
        <x:v>0</x:v>
      </x:c>
      <x:c r="L614" s="12" t="n">
        <x:v>0</x:v>
      </x:c>
      <x:c r="M614" s="2" t="str">
        <x:v>持有</x:v>
      </x:c>
    </x:row>
    <x:row r="615" ht="23" customHeight="1">
      <x:c r="A615" s="11" t="d">
        <x:v>2017-06-05T00:00:00.000Z</x:v>
      </x:c>
      <x:c r="B615" s="12" t="n">
        <x:v>65.484074</x:v>
      </x:c>
      <x:c r="C615" s="13" t="n">
        <x:v>362</x:v>
      </x:c>
      <x:c r="D615" s="12" t="n">
        <x:v>88324.38</x:v>
      </x:c>
      <x:c r="E615" s="12" t="n">
        <x:v>0</x:v>
      </x:c>
      <x:c r="F615" s="12" t="n">
        <x:f>SUM(B615,D615:E615)</x:f>
        <x:v>88389.86407400001</x:v>
      </x:c>
      <x:c r="G615" s="12" t="n">
        <x:f>MAX(G614,F615)</x:f>
        <x:v>100000</x:v>
      </x:c>
      <x:c r="H615" s="14" t="n">
        <x:f>F615/G615-1</x:f>
        <x:v>-0.11610135925999987</x:v>
      </x:c>
      <x:c r="I615" s="14" t="n">
        <x:f>F615/F614-1</x:f>
        <x:v>-0.0007366455515910308</x:v>
      </x:c>
      <x:c r="J615" s="12" t="n">
        <x:v>0</x:v>
      </x:c>
      <x:c r="K615" s="12" t="n">
        <x:v>0</x:v>
      </x:c>
      <x:c r="L615" s="12" t="n">
        <x:v>0</x:v>
      </x:c>
      <x:c r="M615" s="2" t="str">
        <x:v>持有</x:v>
      </x:c>
    </x:row>
    <x:row r="616" ht="23" customHeight="1">
      <x:c r="A616" s="11" t="d">
        <x:v>2017-06-06T00:00:00.000Z</x:v>
      </x:c>
      <x:c r="B616" s="12" t="n">
        <x:v>65.484074</x:v>
      </x:c>
      <x:c r="C616" s="13" t="n">
        <x:v>362</x:v>
      </x:c>
      <x:c r="D616" s="12" t="n">
        <x:v>88042.02</x:v>
      </x:c>
      <x:c r="E616" s="12" t="n">
        <x:v>0</x:v>
      </x:c>
      <x:c r="F616" s="12" t="n">
        <x:f>SUM(B616,D616:E616)</x:f>
        <x:v>88107.50407400001</x:v>
      </x:c>
      <x:c r="G616" s="12" t="n">
        <x:f>MAX(G615,F616)</x:f>
        <x:v>100000</x:v>
      </x:c>
      <x:c r="H616" s="14" t="n">
        <x:f>F616/G616-1</x:f>
        <x:v>-0.11892495925999991</x:v>
      </x:c>
      <x:c r="I616" s="14" t="n">
        <x:f>F616/F615-1</x:f>
        <x:v>-0.003194483925935354</x:v>
      </x:c>
      <x:c r="J616" s="12" t="n">
        <x:v>0</x:v>
      </x:c>
      <x:c r="K616" s="12" t="n">
        <x:v>0</x:v>
      </x:c>
      <x:c r="L616" s="12" t="n">
        <x:v>0</x:v>
      </x:c>
      <x:c r="M616" s="2" t="str">
        <x:v>持有</x:v>
      </x:c>
    </x:row>
    <x:row r="617" ht="23" customHeight="1">
      <x:c r="A617" s="11" t="d">
        <x:v>2017-06-07T00:00:00.000Z</x:v>
      </x:c>
      <x:c r="B617" s="12" t="n">
        <x:v>65.484074</x:v>
      </x:c>
      <x:c r="C617" s="13" t="n">
        <x:v>362</x:v>
      </x:c>
      <x:c r="D617" s="12" t="n">
        <x:v>88204.92</x:v>
      </x:c>
      <x:c r="E617" s="12" t="n">
        <x:v>0</x:v>
      </x:c>
      <x:c r="F617" s="12" t="n">
        <x:f>SUM(B617,D617:E617)</x:f>
        <x:v>88270.404074</x:v>
      </x:c>
      <x:c r="G617" s="12" t="n">
        <x:f>MAX(G616,F617)</x:f>
        <x:v>100000</x:v>
      </x:c>
      <x:c r="H617" s="14" t="n">
        <x:f>F617/G617-1</x:f>
        <x:v>-0.11729595925999992</x:v>
      </x:c>
      <x:c r="I617" s="14" t="n">
        <x:f>F617/F616-1</x:f>
        <x:v>0.0018488777058440764</x:v>
      </x:c>
      <x:c r="J617" s="12" t="n">
        <x:v>0</x:v>
      </x:c>
      <x:c r="K617" s="12" t="n">
        <x:v>0</x:v>
      </x:c>
      <x:c r="L617" s="12" t="n">
        <x:v>0</x:v>
      </x:c>
      <x:c r="M617" s="2" t="str">
        <x:v>持有</x:v>
      </x:c>
    </x:row>
    <x:row r="618" ht="23" customHeight="1">
      <x:c r="A618" s="11" t="d">
        <x:v>2017-06-08T00:00:00.000Z</x:v>
      </x:c>
      <x:c r="B618" s="12" t="n">
        <x:v>65.484074</x:v>
      </x:c>
      <x:c r="C618" s="13" t="n">
        <x:v>362</x:v>
      </x:c>
      <x:c r="D618" s="12" t="n">
        <x:v>88248.36</x:v>
      </x:c>
      <x:c r="E618" s="12" t="n">
        <x:v>0</x:v>
      </x:c>
      <x:c r="F618" s="12" t="n">
        <x:f>SUM(B618,D618:E618)</x:f>
        <x:v>88313.84407400001</x:v>
      </x:c>
      <x:c r="G618" s="12" t="n">
        <x:f>MAX(G617,F618)</x:f>
        <x:v>100000</x:v>
      </x:c>
      <x:c r="H618" s="14" t="n">
        <x:f>F618/G618-1</x:f>
        <x:v>-0.11686155925999997</x:v>
      </x:c>
      <x:c r="I618" s="14" t="n">
        <x:f>F618/F617-1</x:f>
        <x:v>0.0004921241774715757</x:v>
      </x:c>
      <x:c r="J618" s="12" t="n">
        <x:v>0</x:v>
      </x:c>
      <x:c r="K618" s="12" t="n">
        <x:v>0</x:v>
      </x:c>
      <x:c r="L618" s="12" t="n">
        <x:v>0</x:v>
      </x:c>
      <x:c r="M618" s="2" t="str">
        <x:v>持有</x:v>
      </x:c>
    </x:row>
    <x:row r="619" ht="23" customHeight="1">
      <x:c r="A619" s="11" t="d">
        <x:v>2017-06-09T00:00:00.000Z</x:v>
      </x:c>
      <x:c r="B619" s="12" t="n">
        <x:v>65.484074</x:v>
      </x:c>
      <x:c r="C619" s="13" t="n">
        <x:v>362</x:v>
      </x:c>
      <x:c r="D619" s="12" t="n">
        <x:v>88114.42</x:v>
      </x:c>
      <x:c r="E619" s="12" t="n">
        <x:v>0</x:v>
      </x:c>
      <x:c r="F619" s="12" t="n">
        <x:f>SUM(B619,D619:E619)</x:f>
        <x:v>88179.904074</x:v>
      </x:c>
      <x:c r="G619" s="12" t="n">
        <x:f>MAX(G618,F619)</x:f>
        <x:v>100000</x:v>
      </x:c>
      <x:c r="H619" s="14" t="n">
        <x:f>F619/G619-1</x:f>
        <x:v>-0.11820095925999996</x:v>
      </x:c>
      <x:c r="I619" s="14" t="n">
        <x:f>F619/F618-1</x:f>
        <x:v>-0.0015166365070438115</x:v>
      </x:c>
      <x:c r="J619" s="12" t="n">
        <x:v>0</x:v>
      </x:c>
      <x:c r="K619" s="12" t="n">
        <x:v>0</x:v>
      </x:c>
      <x:c r="L619" s="12" t="n">
        <x:v>0</x:v>
      </x:c>
      <x:c r="M619" s="2" t="str">
        <x:v>持有</x:v>
      </x:c>
    </x:row>
    <x:row r="620" ht="23" customHeight="1">
      <x:c r="A620" s="11" t="d">
        <x:v>2017-06-12T00:00:00.000Z</x:v>
      </x:c>
      <x:c r="B620" s="12" t="n">
        <x:v>65.484074</x:v>
      </x:c>
      <x:c r="C620" s="13" t="n">
        <x:v>362</x:v>
      </x:c>
      <x:c r="D620" s="12" t="n">
        <x:v>88096.32</x:v>
      </x:c>
      <x:c r="E620" s="12" t="n">
        <x:v>0</x:v>
      </x:c>
      <x:c r="F620" s="12" t="n">
        <x:f>SUM(B620,D620:E620)</x:f>
        <x:v>88161.80407400001</x:v>
      </x:c>
      <x:c r="G620" s="12" t="n">
        <x:f>MAX(G619,F620)</x:f>
        <x:v>100000</x:v>
      </x:c>
      <x:c r="H620" s="14" t="n">
        <x:f>F620/G620-1</x:f>
        <x:v>-0.11838195925999984</x:v>
      </x:c>
      <x:c r="I620" s="14" t="n">
        <x:f>F620/F619-1</x:f>
        <x:v>-0.00020526218745720026</x:v>
      </x:c>
      <x:c r="J620" s="12" t="n">
        <x:v>0</x:v>
      </x:c>
      <x:c r="K620" s="12" t="n">
        <x:v>0</x:v>
      </x:c>
      <x:c r="L620" s="12" t="n">
        <x:v>0</x:v>
      </x:c>
      <x:c r="M620" s="2" t="str">
        <x:v>持有</x:v>
      </x:c>
    </x:row>
    <x:row r="621" ht="23" customHeight="1">
      <x:c r="A621" s="11" t="d">
        <x:v>2017-06-13T00:00:00.000Z</x:v>
      </x:c>
      <x:c r="B621" s="12" t="n">
        <x:v>65.484074</x:v>
      </x:c>
      <x:c r="C621" s="13" t="n">
        <x:v>362</x:v>
      </x:c>
      <x:c r="D621" s="12" t="n">
        <x:v>88527.1</x:v>
      </x:c>
      <x:c r="E621" s="12" t="n">
        <x:v>0</x:v>
      </x:c>
      <x:c r="F621" s="12" t="n">
        <x:f>SUM(B621,D621:E621)</x:f>
        <x:v>88592.58407400001</x:v>
      </x:c>
      <x:c r="G621" s="12" t="n">
        <x:f>MAX(G620,F621)</x:f>
        <x:v>100000</x:v>
      </x:c>
      <x:c r="H621" s="14" t="n">
        <x:f>F621/G621-1</x:f>
        <x:v>-0.11407415925999986</x:v>
      </x:c>
      <x:c r="I621" s="14" t="n">
        <x:f>F621/F620-1</x:f>
        <x:v>0.004886243022413916</x:v>
      </x:c>
      <x:c r="J621" s="12" t="n">
        <x:v>0</x:v>
      </x:c>
      <x:c r="K621" s="12" t="n">
        <x:v>0</x:v>
      </x:c>
      <x:c r="L621" s="12" t="n">
        <x:v>0</x:v>
      </x:c>
      <x:c r="M621" s="2" t="str">
        <x:v>持有</x:v>
      </x:c>
    </x:row>
    <x:row r="622" ht="23" customHeight="1">
      <x:c r="A622" s="11" t="d">
        <x:v>2017-06-14T00:00:00.000Z</x:v>
      </x:c>
      <x:c r="B622" s="12" t="n">
        <x:v>65.484074</x:v>
      </x:c>
      <x:c r="C622" s="13" t="n">
        <x:v>362</x:v>
      </x:c>
      <x:c r="D622" s="12" t="n">
        <x:v>88414.88</x:v>
      </x:c>
      <x:c r="E622" s="12" t="n">
        <x:v>0</x:v>
      </x:c>
      <x:c r="F622" s="12" t="n">
        <x:f>SUM(B622,D622:E622)</x:f>
        <x:v>88480.36407400001</x:v>
      </x:c>
      <x:c r="G622" s="12" t="n">
        <x:f>MAX(G621,F622)</x:f>
        <x:v>100000</x:v>
      </x:c>
      <x:c r="H622" s="14" t="n">
        <x:f>F622/G622-1</x:f>
        <x:v>-0.11519635925999994</x:v>
      </x:c>
      <x:c r="I622" s="14" t="n">
        <x:f>F622/F621-1</x:f>
        <x:v>-0.0012666974462136604</x:v>
      </x:c>
      <x:c r="J622" s="12" t="n">
        <x:v>0</x:v>
      </x:c>
      <x:c r="K622" s="12" t="n">
        <x:v>0</x:v>
      </x:c>
      <x:c r="L622" s="12" t="n">
        <x:v>0</x:v>
      </x:c>
      <x:c r="M622" s="2" t="str">
        <x:v>持有</x:v>
      </x:c>
    </x:row>
    <x:row r="623" ht="23" customHeight="1">
      <x:c r="A623" s="11" t="d">
        <x:v>2017-06-15T00:00:00.000Z</x:v>
      </x:c>
      <x:c r="B623" s="12" t="n">
        <x:v>65.484074</x:v>
      </x:c>
      <x:c r="C623" s="13" t="n">
        <x:v>362</x:v>
      </x:c>
      <x:c r="D623" s="12" t="n">
        <x:v>88244.74</x:v>
      </x:c>
      <x:c r="E623" s="12" t="n">
        <x:v>0</x:v>
      </x:c>
      <x:c r="F623" s="12" t="n">
        <x:f>SUM(B623,D623:E623)</x:f>
        <x:v>88310.22407400001</x:v>
      </x:c>
      <x:c r="G623" s="12" t="n">
        <x:f>MAX(G622,F623)</x:f>
        <x:v>100000</x:v>
      </x:c>
      <x:c r="H623" s="14" t="n">
        <x:f>F623/G623-1</x:f>
        <x:v>-0.1168977592599999</x:v>
      </x:c>
      <x:c r="I623" s="14" t="n">
        <x:f>F623/F622-1</x:f>
        <x:v>-0.0019229125216720933</x:v>
      </x:c>
      <x:c r="J623" s="12" t="n">
        <x:v>0</x:v>
      </x:c>
      <x:c r="K623" s="12" t="n">
        <x:v>0</x:v>
      </x:c>
      <x:c r="L623" s="12" t="n">
        <x:v>0</x:v>
      </x:c>
      <x:c r="M623" s="2" t="str">
        <x:v>持有</x:v>
      </x:c>
    </x:row>
    <x:row r="624" ht="23" customHeight="1">
      <x:c r="A624" s="11" t="d">
        <x:v>2017-06-16T00:00:00.000Z</x:v>
      </x:c>
      <x:c r="B624" s="12" t="n">
        <x:v>65.484074</x:v>
      </x:c>
      <x:c r="C624" s="13" t="n">
        <x:v>362</x:v>
      </x:c>
      <x:c r="D624" s="12" t="n">
        <x:v>87835.68</x:v>
      </x:c>
      <x:c r="E624" s="12" t="n">
        <x:v>428.285096</x:v>
      </x:c>
      <x:c r="F624" s="12" t="n">
        <x:f>SUM(B624,D624:E624)</x:f>
        <x:v>88329.44917</x:v>
      </x:c>
      <x:c r="G624" s="12" t="n">
        <x:f>MAX(G623,F624)</x:f>
        <x:v>100000</x:v>
      </x:c>
      <x:c r="H624" s="14" t="n">
        <x:f>F624/G624-1</x:f>
        <x:v>-0.11670550829999993</x:v>
      </x:c>
      <x:c r="I624" s="14" t="n">
        <x:f>F624/F623-1</x:f>
        <x:v>0.00021769954953221315</x:v>
      </x:c>
      <x:c r="J624" s="12" t="n">
        <x:v>428.285096</x:v>
      </x:c>
      <x:c r="K624" s="12" t="n">
        <x:v>0</x:v>
      </x:c>
      <x:c r="L624" s="12" t="n">
        <x:v>0</x:v>
      </x:c>
      <x:c r="M624" s="2" t="str">
        <x:v>持有</x:v>
      </x:c>
    </x:row>
    <x:row r="625" ht="23" customHeight="1">
      <x:c r="A625" s="11" t="d">
        <x:v>2017-06-19T00:00:00.000Z</x:v>
      </x:c>
      <x:c r="B625" s="12" t="n">
        <x:v>65.484074</x:v>
      </x:c>
      <x:c r="C625" s="13" t="n">
        <x:v>362</x:v>
      </x:c>
      <x:c r="D625" s="12" t="n">
        <x:v>88566.92</x:v>
      </x:c>
      <x:c r="E625" s="12" t="n">
        <x:v>428.285096</x:v>
      </x:c>
      <x:c r="F625" s="12" t="n">
        <x:f>SUM(B625,D625:E625)</x:f>
        <x:v>89060.68917000001</x:v>
      </x:c>
      <x:c r="G625" s="12" t="n">
        <x:f>MAX(G624,F625)</x:f>
        <x:v>100000</x:v>
      </x:c>
      <x:c r="H625" s="14" t="n">
        <x:f>F625/G625-1</x:f>
        <x:v>-0.10939310829999993</x:v>
      </x:c>
      <x:c r="I625" s="14" t="n">
        <x:f>F625/F624-1</x:f>
        <x:v>0.008278552700953234</x:v>
      </x:c>
      <x:c r="J625" s="12" t="n">
        <x:v>0</x:v>
      </x:c>
      <x:c r="K625" s="12" t="n">
        <x:v>0</x:v>
      </x:c>
      <x:c r="L625" s="12" t="n">
        <x:v>0</x:v>
      </x:c>
      <x:c r="M625" s="2" t="str">
        <x:v>持有</x:v>
      </x:c>
    </x:row>
    <x:row r="626" ht="23" customHeight="1">
      <x:c r="A626" s="11" t="d">
        <x:v>2017-06-20T00:00:00.000Z</x:v>
      </x:c>
      <x:c r="B626" s="12" t="n">
        <x:v>65.484074</x:v>
      </x:c>
      <x:c r="C626" s="13" t="n">
        <x:v>362</x:v>
      </x:c>
      <x:c r="D626" s="12" t="n">
        <x:v>87969.62</x:v>
      </x:c>
      <x:c r="E626" s="12" t="n">
        <x:v>428.285096</x:v>
      </x:c>
      <x:c r="F626" s="12" t="n">
        <x:f>SUM(B626,D626:E626)</x:f>
        <x:v>88463.38917000001</x:v>
      </x:c>
      <x:c r="G626" s="12" t="n">
        <x:f>MAX(G625,F626)</x:f>
        <x:v>100000</x:v>
      </x:c>
      <x:c r="H626" s="14" t="n">
        <x:f>F626/G626-1</x:f>
        <x:v>-0.11536610829999994</x:v>
      </x:c>
      <x:c r="I626" s="14" t="n">
        <x:f>F626/F625-1</x:f>
        <x:v>-0.0067066626765022175</x:v>
      </x:c>
      <x:c r="J626" s="12" t="n">
        <x:v>0</x:v>
      </x:c>
      <x:c r="K626" s="12" t="n">
        <x:v>0</x:v>
      </x:c>
      <x:c r="L626" s="12" t="n">
        <x:v>0</x:v>
      </x:c>
      <x:c r="M626" s="2" t="str">
        <x:v>持有</x:v>
      </x:c>
    </x:row>
    <x:row r="627" ht="23" customHeight="1">
      <x:c r="A627" s="11" t="d">
        <x:v>2017-06-21T00:00:00.000Z</x:v>
      </x:c>
      <x:c r="B627" s="12" t="n">
        <x:v>65.484074</x:v>
      </x:c>
      <x:c r="C627" s="13" t="n">
        <x:v>362</x:v>
      </x:c>
      <x:c r="D627" s="12" t="n">
        <x:v>87947.9</x:v>
      </x:c>
      <x:c r="E627" s="12" t="n">
        <x:v>428.285096</x:v>
      </x:c>
      <x:c r="F627" s="12" t="n">
        <x:f>SUM(B627,D627:E627)</x:f>
        <x:v>88441.66917000001</x:v>
      </x:c>
      <x:c r="G627" s="12" t="n">
        <x:f>MAX(G626,F627)</x:f>
        <x:v>100000</x:v>
      </x:c>
      <x:c r="H627" s="14" t="n">
        <x:f>F627/G627-1</x:f>
        <x:v>-0.11558330829999997</x:v>
      </x:c>
      <x:c r="I627" s="14" t="n">
        <x:f>F627/F626-1</x:f>
        <x:v>-0.00024552529813504087</x:v>
      </x:c>
      <x:c r="J627" s="12" t="n">
        <x:v>0</x:v>
      </x:c>
      <x:c r="K627" s="12" t="n">
        <x:v>0</x:v>
      </x:c>
      <x:c r="L627" s="12" t="n">
        <x:v>0</x:v>
      </x:c>
      <x:c r="M627" s="2" t="str">
        <x:v>持有</x:v>
      </x:c>
    </x:row>
    <x:row r="628" ht="23" customHeight="1">
      <x:c r="A628" s="11" t="d">
        <x:v>2017-06-22T00:00:00.000Z</x:v>
      </x:c>
      <x:c r="B628" s="12" t="n">
        <x:v>65.484074</x:v>
      </x:c>
      <x:c r="C628" s="13" t="n">
        <x:v>362</x:v>
      </x:c>
      <x:c r="D628" s="12" t="n">
        <x:v>87908.08</x:v>
      </x:c>
      <x:c r="E628" s="12" t="n">
        <x:v>428.285096</x:v>
      </x:c>
      <x:c r="F628" s="12" t="n">
        <x:f>SUM(B628,D628:E628)</x:f>
        <x:v>88401.84917000002</x:v>
      </x:c>
      <x:c r="G628" s="12" t="n">
        <x:f>MAX(G627,F628)</x:f>
        <x:v>100000</x:v>
      </x:c>
      <x:c r="H628" s="14" t="n">
        <x:f>F628/G628-1</x:f>
        <x:v>-0.11598150829999987</x:v>
      </x:c>
      <x:c r="I628" s="14" t="n">
        <x:f>F628/F627-1</x:f>
        <x:v>-0.0004502402586211707</x:v>
      </x:c>
      <x:c r="J628" s="12" t="n">
        <x:v>0</x:v>
      </x:c>
      <x:c r="K628" s="12" t="n">
        <x:v>0</x:v>
      </x:c>
      <x:c r="L628" s="12" t="n">
        <x:v>0</x:v>
      </x:c>
      <x:c r="M628" s="2" t="str">
        <x:v>持有</x:v>
      </x:c>
    </x:row>
    <x:row r="629" ht="23" customHeight="1">
      <x:c r="A629" s="11" t="d">
        <x:v>2017-06-23T00:00:00.000Z</x:v>
      </x:c>
      <x:c r="B629" s="12" t="n">
        <x:v>65.484074</x:v>
      </x:c>
      <x:c r="C629" s="13" t="n">
        <x:v>362</x:v>
      </x:c>
      <x:c r="D629" s="12" t="n">
        <x:v>88013.06</x:v>
      </x:c>
      <x:c r="E629" s="12" t="n">
        <x:v>428.285096</x:v>
      </x:c>
      <x:c r="F629" s="12" t="n">
        <x:f>SUM(B629,D629:E629)</x:f>
        <x:v>88506.82917000001</x:v>
      </x:c>
      <x:c r="G629" s="12" t="n">
        <x:f>MAX(G628,F629)</x:f>
        <x:v>100000</x:v>
      </x:c>
      <x:c r="H629" s="14" t="n">
        <x:f>F629/G629-1</x:f>
        <x:v>-0.11493170829999988</x:v>
      </x:c>
      <x:c r="I629" s="14" t="n">
        <x:f>F629/F628-1</x:f>
        <x:v>0.001187531720044932</x:v>
      </x:c>
      <x:c r="J629" s="12" t="n">
        <x:v>0</x:v>
      </x:c>
      <x:c r="K629" s="12" t="n">
        <x:v>0</x:v>
      </x:c>
      <x:c r="L629" s="12" t="n">
        <x:v>0</x:v>
      </x:c>
      <x:c r="M629" s="2" t="str">
        <x:v>持有</x:v>
      </x:c>
    </x:row>
    <x:row r="630" ht="23" customHeight="1">
      <x:c r="A630" s="11" t="d">
        <x:v>2017-06-26T00:00:00.000Z</x:v>
      </x:c>
      <x:c r="B630" s="12" t="n">
        <x:v>65.484074</x:v>
      </x:c>
      <x:c r="C630" s="13" t="n">
        <x:v>362</x:v>
      </x:c>
      <x:c r="D630" s="12" t="n">
        <x:v>88070.98</x:v>
      </x:c>
      <x:c r="E630" s="12" t="n">
        <x:v>428.285096</x:v>
      </x:c>
      <x:c r="F630" s="12" t="n">
        <x:f>SUM(B630,D630:E630)</x:f>
        <x:v>88564.74917000001</x:v>
      </x:c>
      <x:c r="G630" s="12" t="n">
        <x:f>MAX(G629,F630)</x:f>
        <x:v>100000</x:v>
      </x:c>
      <x:c r="H630" s="14" t="n">
        <x:f>F630/G630-1</x:f>
        <x:v>-0.11435250829999988</x:v>
      </x:c>
      <x:c r="I630" s="14" t="n">
        <x:f>F630/F629-1</x:f>
        <x:v>0.0006544127785750309</x:v>
      </x:c>
      <x:c r="J630" s="12" t="n">
        <x:v>0</x:v>
      </x:c>
      <x:c r="K630" s="12" t="n">
        <x:v>0</x:v>
      </x:c>
      <x:c r="L630" s="12" t="n">
        <x:v>0</x:v>
      </x:c>
      <x:c r="M630" s="2" t="str">
        <x:v>持有</x:v>
      </x:c>
    </x:row>
    <x:row r="631" ht="23" customHeight="1">
      <x:c r="A631" s="11" t="d">
        <x:v>2017-06-27T00:00:00.000Z</x:v>
      </x:c>
      <x:c r="B631" s="12" t="n">
        <x:v>65.484074</x:v>
      </x:c>
      <x:c r="C631" s="13" t="n">
        <x:v>362</x:v>
      </x:c>
      <x:c r="D631" s="12" t="n">
        <x:v>87361.46</x:v>
      </x:c>
      <x:c r="E631" s="12" t="n">
        <x:v>428.285096</x:v>
      </x:c>
      <x:c r="F631" s="12" t="n">
        <x:f>SUM(B631,D631:E631)</x:f>
        <x:v>87855.22917000002</x:v>
      </x:c>
      <x:c r="G631" s="12" t="n">
        <x:f>MAX(G630,F631)</x:f>
        <x:v>100000</x:v>
      </x:c>
      <x:c r="H631" s="14" t="n">
        <x:f>F631/G631-1</x:f>
        <x:v>-0.12144770829999985</x:v>
      </x:c>
      <x:c r="I631" s="14" t="n">
        <x:f>F631/F630-1</x:f>
        <x:v>-0.008011313831398859</x:v>
      </x:c>
      <x:c r="J631" s="12" t="n">
        <x:v>0</x:v>
      </x:c>
      <x:c r="K631" s="12" t="n">
        <x:v>0</x:v>
      </x:c>
      <x:c r="L631" s="12" t="n">
        <x:v>0</x:v>
      </x:c>
      <x:c r="M631" s="2" t="str">
        <x:v>持有</x:v>
      </x:c>
    </x:row>
    <x:row r="632" ht="23" customHeight="1">
      <x:c r="A632" s="11" t="d">
        <x:v>2017-06-28T00:00:00.000Z</x:v>
      </x:c>
      <x:c r="B632" s="12" t="n">
        <x:v>65.484074</x:v>
      </x:c>
      <x:c r="C632" s="13" t="n">
        <x:v>362</x:v>
      </x:c>
      <x:c r="D632" s="12" t="n">
        <x:v>88143.38</x:v>
      </x:c>
      <x:c r="E632" s="12" t="n">
        <x:v>428.285096</x:v>
      </x:c>
      <x:c r="F632" s="12" t="n">
        <x:f>SUM(B632,D632:E632)</x:f>
        <x:v>88637.14917000002</x:v>
      </x:c>
      <x:c r="G632" s="12" t="n">
        <x:f>MAX(G631,F632)</x:f>
        <x:v>100000</x:v>
      </x:c>
      <x:c r="H632" s="14" t="n">
        <x:f>F632/G632-1</x:f>
        <x:v>-0.11362850829999982</x:v>
      </x:c>
      <x:c r="I632" s="14" t="n">
        <x:f>F632/F631-1</x:f>
        <x:v>0.008900096299185423</x:v>
      </x:c>
      <x:c r="J632" s="12" t="n">
        <x:v>0</x:v>
      </x:c>
      <x:c r="K632" s="12" t="n">
        <x:v>0</x:v>
      </x:c>
      <x:c r="L632" s="12" t="n">
        <x:v>0</x:v>
      </x:c>
      <x:c r="M632" s="2" t="str">
        <x:v>持有</x:v>
      </x:c>
    </x:row>
    <x:row r="633" ht="23" customHeight="1">
      <x:c r="A633" s="11" t="d">
        <x:v>2017-06-29T00:00:00.000Z</x:v>
      </x:c>
      <x:c r="B633" s="12" t="n">
        <x:v>65.484074</x:v>
      </x:c>
      <x:c r="C633" s="13" t="n">
        <x:v>362</x:v>
      </x:c>
      <x:c r="D633" s="12" t="n">
        <x:v>87368.7</x:v>
      </x:c>
      <x:c r="E633" s="12" t="n">
        <x:v>428.285096</x:v>
      </x:c>
      <x:c r="F633" s="12" t="n">
        <x:f>SUM(B633,D633:E633)</x:f>
        <x:v>87862.46917000001</x:v>
      </x:c>
      <x:c r="G633" s="12" t="n">
        <x:f>MAX(G632,F633)</x:f>
        <x:v>100000</x:v>
      </x:c>
      <x:c r="H633" s="14" t="n">
        <x:f>F633/G633-1</x:f>
        <x:v>-0.12137530829999987</x:v>
      </x:c>
      <x:c r="I633" s="14" t="n">
        <x:f>F633/F632-1</x:f>
        <x:v>-0.008739902030402869</x:v>
      </x:c>
      <x:c r="J633" s="12" t="n">
        <x:v>0</x:v>
      </x:c>
      <x:c r="K633" s="12" t="n">
        <x:v>0</x:v>
      </x:c>
      <x:c r="L633" s="12" t="n">
        <x:v>0</x:v>
      </x:c>
      <x:c r="M633" s="2" t="str">
        <x:v>持有</x:v>
      </x:c>
    </x:row>
    <x:row r="634" ht="23" customHeight="1">
      <x:c r="A634" s="11" t="d">
        <x:v>2017-06-30T00:00:00.000Z</x:v>
      </x:c>
      <x:c r="B634" s="12" t="n">
        <x:v>65.484074</x:v>
      </x:c>
      <x:c r="C634" s="13" t="n">
        <x:v>362</x:v>
      </x:c>
      <x:c r="D634" s="12" t="n">
        <x:v>87531.6</x:v>
      </x:c>
      <x:c r="E634" s="12" t="n">
        <x:v>428.285096</x:v>
      </x:c>
      <x:c r="F634" s="12" t="n">
        <x:f>SUM(B634,D634:E634)</x:f>
        <x:v>88025.36917000002</x:v>
      </x:c>
      <x:c r="G634" s="12" t="n">
        <x:f>MAX(G633,F634)</x:f>
        <x:v>100000</x:v>
      </x:c>
      <x:c r="H634" s="14" t="n">
        <x:f>F634/G634-1</x:f>
        <x:v>-0.11974630829999977</x:v>
      </x:c>
      <x:c r="I634" s="14" t="n">
        <x:f>F634/F633-1</x:f>
        <x:v>0.0018540339412136397</x:v>
      </x:c>
      <x:c r="J634" s="12" t="n">
        <x:v>0</x:v>
      </x:c>
      <x:c r="K634" s="12" t="n">
        <x:v>0</x:v>
      </x:c>
      <x:c r="L634" s="12" t="n">
        <x:v>0</x:v>
      </x:c>
      <x:c r="M634" s="2" t="str">
        <x:v>持有</x:v>
      </x:c>
    </x:row>
    <x:row r="635" ht="23" customHeight="1">
      <x:c r="A635" s="11" t="d">
        <x:v>2017-07-03T00:00:00.000Z</x:v>
      </x:c>
      <x:c r="B635" s="12" t="n">
        <x:v>65.484074</x:v>
      </x:c>
      <x:c r="C635" s="13" t="n">
        <x:v>362</x:v>
      </x:c>
      <x:c r="D635" s="12" t="n">
        <x:v>87680.02</x:v>
      </x:c>
      <x:c r="E635" s="12" t="n">
        <x:v>428.285096</x:v>
      </x:c>
      <x:c r="F635" s="12" t="n">
        <x:f>SUM(B635,D635:E635)</x:f>
        <x:v>88173.78917000002</x:v>
      </x:c>
      <x:c r="G635" s="12" t="n">
        <x:f>MAX(G634,F635)</x:f>
        <x:v>100000</x:v>
      </x:c>
      <x:c r="H635" s="14" t="n">
        <x:f>F635/G635-1</x:f>
        <x:v>-0.11826210829999984</x:v>
      </x:c>
      <x:c r="I635" s="14" t="n">
        <x:f>F635/F634-1</x:f>
        <x:v>0.0016861048286358482</x:v>
      </x:c>
      <x:c r="J635" s="12" t="n">
        <x:v>0</x:v>
      </x:c>
      <x:c r="K635" s="12" t="n">
        <x:v>0</x:v>
      </x:c>
      <x:c r="L635" s="12" t="n">
        <x:v>0</x:v>
      </x:c>
      <x:c r="M635" s="2" t="str">
        <x:v>持有</x:v>
      </x:c>
    </x:row>
    <x:row r="636" ht="23" customHeight="1">
      <x:c r="A636" s="11" t="d">
        <x:v>2017-07-05T00:00:00.000Z</x:v>
      </x:c>
      <x:c r="B636" s="12" t="n">
        <x:v>65.484074</x:v>
      </x:c>
      <x:c r="C636" s="13" t="n">
        <x:v>362</x:v>
      </x:c>
      <x:c r="D636" s="12" t="n">
        <x:v>87882.74</x:v>
      </x:c>
      <x:c r="E636" s="12" t="n">
        <x:v>428.285096</x:v>
      </x:c>
      <x:c r="F636" s="12" t="n">
        <x:f>SUM(B636,D636:E636)</x:f>
        <x:v>88376.50917000002</x:v>
      </x:c>
      <x:c r="G636" s="12" t="n">
        <x:f>MAX(G635,F636)</x:f>
        <x:v>100000</x:v>
      </x:c>
      <x:c r="H636" s="14" t="n">
        <x:f>F636/G636-1</x:f>
        <x:v>-0.11623490829999983</x:v>
      </x:c>
      <x:c r="I636" s="14" t="n">
        <x:f>F636/F635-1</x:f>
        <x:v>0.0022990959321160798</x:v>
      </x:c>
      <x:c r="J636" s="12" t="n">
        <x:v>0</x:v>
      </x:c>
      <x:c r="K636" s="12" t="n">
        <x:v>0</x:v>
      </x:c>
      <x:c r="L636" s="12" t="n">
        <x:v>0</x:v>
      </x:c>
      <x:c r="M636" s="2" t="str">
        <x:v>持有</x:v>
      </x:c>
    </x:row>
    <x:row r="637" ht="23" customHeight="1">
      <x:c r="A637" s="11" t="d">
        <x:v>2017-07-06T00:00:00.000Z</x:v>
      </x:c>
      <x:c r="B637" s="12" t="n">
        <x:v>65.484074</x:v>
      </x:c>
      <x:c r="C637" s="13" t="n">
        <x:v>362</x:v>
      </x:c>
      <x:c r="D637" s="12" t="n">
        <x:v>87079.1</x:v>
      </x:c>
      <x:c r="E637" s="12" t="n">
        <x:v>428.285096</x:v>
      </x:c>
      <x:c r="F637" s="12" t="n">
        <x:f>SUM(B637,D637:E637)</x:f>
        <x:v>87572.86917000002</x:v>
      </x:c>
      <x:c r="G637" s="12" t="n">
        <x:f>MAX(G636,F637)</x:f>
        <x:v>100000</x:v>
      </x:c>
      <x:c r="H637" s="14" t="n">
        <x:f>F637/G637-1</x:f>
        <x:v>-0.12427130829999977</x:v>
      </x:c>
      <x:c r="I637" s="14" t="n">
        <x:f>F637/F636-1</x:f>
        <x:v>-0.009093366637214939</x:v>
      </x:c>
      <x:c r="J637" s="12" t="n">
        <x:v>0</x:v>
      </x:c>
      <x:c r="K637" s="12" t="n">
        <x:v>0</x:v>
      </x:c>
      <x:c r="L637" s="12" t="n">
        <x:v>0</x:v>
      </x:c>
      <x:c r="M637" s="2" t="str">
        <x:v>持有</x:v>
      </x:c>
    </x:row>
    <x:row r="638" ht="23" customHeight="1">
      <x:c r="A638" s="11" t="d">
        <x:v>2017-07-07T00:00:00.000Z</x:v>
      </x:c>
      <x:c r="B638" s="12" t="n">
        <x:v>87296.186054</x:v>
      </x:c>
      <x:c r="C638" s="13" t="n">
        <x:v>0</x:v>
      </x:c>
      <x:c r="D638" s="12" t="n">
        <x:v>0</x:v>
      </x:c>
      <x:c r="E638" s="12" t="n">
        <x:v>428.285096</x:v>
      </x:c>
      <x:c r="F638" s="12" t="n">
        <x:f>SUM(B638,D638:E638)</x:f>
        <x:v>87724.47115000001</x:v>
      </x:c>
      <x:c r="G638" s="12" t="n">
        <x:f>MAX(G637,F638)</x:f>
        <x:v>100000</x:v>
      </x:c>
      <x:c r="H638" s="14" t="n">
        <x:f>F638/G638-1</x:f>
        <x:v>-0.12275528849999984</x:v>
      </x:c>
      <x:c r="I638" s="14" t="n">
        <x:f>F638/F637-1</x:f>
        <x:v>0.0017311523698704256</x:v>
      </x:c>
      <x:c r="J638" s="12" t="n">
        <x:v>0</x:v>
      </x:c>
      <x:c r="K638" s="12" t="n">
        <x:v>0</x:v>
      </x:c>
      <x:c r="L638" s="12" t="n">
        <x:v>-362</x:v>
      </x:c>
      <x:c r="M638" s="2" t="str">
        <x:v>卖出</x:v>
      </x:c>
    </x:row>
    <x:row r="639" ht="23" customHeight="1">
      <x:c r="A639" s="11" t="d">
        <x:v>2017-07-10T00:00:00.000Z</x:v>
      </x:c>
      <x:c r="B639" s="12" t="n">
        <x:v>49.426454</x:v>
      </x:c>
      <x:c r="C639" s="13" t="n">
        <x:v>360</x:v>
      </x:c>
      <x:c r="D639" s="12" t="n">
        <x:v>87253.2</x:v>
      </x:c>
      <x:c r="E639" s="12" t="n">
        <x:v>428.285096</x:v>
      </x:c>
      <x:c r="F639" s="12" t="n">
        <x:f>SUM(B639,D639:E639)</x:f>
        <x:v>87730.91155</x:v>
      </x:c>
      <x:c r="G639" s="12" t="n">
        <x:f>MAX(G638,F639)</x:f>
        <x:v>100000</x:v>
      </x:c>
      <x:c r="H639" s="14" t="n">
        <x:f>F639/G639-1</x:f>
        <x:v>-0.12269088449999999</x:v>
      </x:c>
      <x:c r="I639" s="14" t="n">
        <x:f>F639/F638-1</x:f>
        <x:v>0.00007341623056333901</x:v>
      </x:c>
      <x:c r="J639" s="12" t="n">
        <x:v>0</x:v>
      </x:c>
      <x:c r="K639" s="12" t="n">
        <x:v>0</x:v>
      </x:c>
      <x:c r="L639" s="12" t="n">
        <x:v>360</x:v>
      </x:c>
      <x:c r="M639" s="2" t="str">
        <x:v>买入</x:v>
      </x:c>
    </x:row>
    <x:row r="640" ht="23" customHeight="1">
      <x:c r="A640" s="11" t="d">
        <x:v>2017-07-11T00:00:00.000Z</x:v>
      </x:c>
      <x:c r="B640" s="12" t="n">
        <x:v>49.426454</x:v>
      </x:c>
      <x:c r="C640" s="13" t="n">
        <x:v>360</x:v>
      </x:c>
      <x:c r="D640" s="12" t="n">
        <x:v>87188.4</x:v>
      </x:c>
      <x:c r="E640" s="12" t="n">
        <x:v>428.285096</x:v>
      </x:c>
      <x:c r="F640" s="12" t="n">
        <x:f>SUM(B640,D640:E640)</x:f>
        <x:v>87666.11155</x:v>
      </x:c>
      <x:c r="G640" s="12" t="n">
        <x:f>MAX(G639,F640)</x:f>
        <x:v>100000</x:v>
      </x:c>
      <x:c r="H640" s="14" t="n">
        <x:f>F640/G640-1</x:f>
        <x:v>-0.12333888449999997</x:v>
      </x:c>
      <x:c r="I640" s="14" t="n">
        <x:f>F640/F639-1</x:f>
        <x:v>-0.0007386222125718156</x:v>
      </x:c>
      <x:c r="J640" s="12" t="n">
        <x:v>0</x:v>
      </x:c>
      <x:c r="K640" s="12" t="n">
        <x:v>0</x:v>
      </x:c>
      <x:c r="L640" s="12" t="n">
        <x:v>0</x:v>
      </x:c>
      <x:c r="M640" s="2" t="str">
        <x:v>持有</x:v>
      </x:c>
    </x:row>
    <x:row r="641" ht="23" customHeight="1">
      <x:c r="A641" s="11" t="d">
        <x:v>2017-07-12T00:00:00.000Z</x:v>
      </x:c>
      <x:c r="B641" s="12" t="n">
        <x:v>49.426454</x:v>
      </x:c>
      <x:c r="C641" s="13" t="n">
        <x:v>360</x:v>
      </x:c>
      <x:c r="D641" s="12" t="n">
        <x:v>87843.59999999999</x:v>
      </x:c>
      <x:c r="E641" s="12" t="n">
        <x:v>428.285096</x:v>
      </x:c>
      <x:c r="F641" s="12" t="n">
        <x:f>SUM(B641,D641:E641)</x:f>
        <x:v>88321.31155</x:v>
      </x:c>
      <x:c r="G641" s="12" t="n">
        <x:f>MAX(G640,F641)</x:f>
        <x:v>100000</x:v>
      </x:c>
      <x:c r="H641" s="14" t="n">
        <x:f>F641/G641-1</x:f>
        <x:v>-0.11678688449999997</x:v>
      </x:c>
      <x:c r="I641" s="14" t="n">
        <x:f>F641/F640-1</x:f>
        <x:v>0.00747381158369631</x:v>
      </x:c>
      <x:c r="J641" s="12" t="n">
        <x:v>0</x:v>
      </x:c>
      <x:c r="K641" s="12" t="n">
        <x:v>0</x:v>
      </x:c>
      <x:c r="L641" s="12" t="n">
        <x:v>0</x:v>
      </x:c>
      <x:c r="M641" s="2" t="str">
        <x:v>持有</x:v>
      </x:c>
    </x:row>
    <x:row r="642" ht="23" customHeight="1">
      <x:c r="A642" s="11" t="d">
        <x:v>2017-07-13T00:00:00.000Z</x:v>
      </x:c>
      <x:c r="B642" s="12" t="n">
        <x:v>49.426454</x:v>
      </x:c>
      <x:c r="C642" s="13" t="n">
        <x:v>360</x:v>
      </x:c>
      <x:c r="D642" s="12" t="n">
        <x:v>87991.2</x:v>
      </x:c>
      <x:c r="E642" s="12" t="n">
        <x:v>428.285096</x:v>
      </x:c>
      <x:c r="F642" s="12" t="n">
        <x:f>SUM(B642,D642:E642)</x:f>
        <x:v>88468.91155</x:v>
      </x:c>
      <x:c r="G642" s="12" t="n">
        <x:f>MAX(G641,F642)</x:f>
        <x:v>100000</x:v>
      </x:c>
      <x:c r="H642" s="14" t="n">
        <x:f>F642/G642-1</x:f>
        <x:v>-0.11531088449999993</x:v>
      </x:c>
      <x:c r="I642" s="14" t="n">
        <x:f>F642/F641-1</x:f>
        <x:v>0.0016711708353249755</x:v>
      </x:c>
      <x:c r="J642" s="12" t="n">
        <x:v>0</x:v>
      </x:c>
      <x:c r="K642" s="12" t="n">
        <x:v>0</x:v>
      </x:c>
      <x:c r="L642" s="12" t="n">
        <x:v>0</x:v>
      </x:c>
      <x:c r="M642" s="2" t="str">
        <x:v>持有</x:v>
      </x:c>
    </x:row>
    <x:row r="643" ht="23" customHeight="1">
      <x:c r="A643" s="11" t="d">
        <x:v>2017-07-14T00:00:00.000Z</x:v>
      </x:c>
      <x:c r="B643" s="12" t="n">
        <x:v>49.426454</x:v>
      </x:c>
      <x:c r="C643" s="13" t="n">
        <x:v>360</x:v>
      </x:c>
      <x:c r="D643" s="12" t="n">
        <x:v>88401.6</x:v>
      </x:c>
      <x:c r="E643" s="12" t="n">
        <x:v>428.285096</x:v>
      </x:c>
      <x:c r="F643" s="12" t="n">
        <x:f>SUM(B643,D643:E643)</x:f>
        <x:v>88879.31155000001</x:v>
      </x:c>
      <x:c r="G643" s="12" t="n">
        <x:f>MAX(G642,F643)</x:f>
        <x:v>100000</x:v>
      </x:c>
      <x:c r="H643" s="14" t="n">
        <x:f>F643/G643-1</x:f>
        <x:v>-0.11120688449999983</x:v>
      </x:c>
      <x:c r="I643" s="14" t="n">
        <x:f>F643/F642-1</x:f>
        <x:v>0.0046389177035151</x:v>
      </x:c>
      <x:c r="J643" s="12" t="n">
        <x:v>0</x:v>
      </x:c>
      <x:c r="K643" s="12" t="n">
        <x:v>0</x:v>
      </x:c>
      <x:c r="L643" s="12" t="n">
        <x:v>0</x:v>
      </x:c>
      <x:c r="M643" s="2" t="str">
        <x:v>持有</x:v>
      </x:c>
    </x:row>
    <x:row r="644" ht="23" customHeight="1">
      <x:c r="A644" s="11" t="d">
        <x:v>2017-07-17T00:00:00.000Z</x:v>
      </x:c>
      <x:c r="B644" s="12" t="n">
        <x:v>49.426454</x:v>
      </x:c>
      <x:c r="C644" s="13" t="n">
        <x:v>360</x:v>
      </x:c>
      <x:c r="D644" s="12" t="n">
        <x:v>88390.8</x:v>
      </x:c>
      <x:c r="E644" s="12" t="n">
        <x:v>428.285096</x:v>
      </x:c>
      <x:c r="F644" s="12" t="n">
        <x:f>SUM(B644,D644:E644)</x:f>
        <x:v>88868.51155000001</x:v>
      </x:c>
      <x:c r="G644" s="12" t="n">
        <x:f>MAX(G643,F644)</x:f>
        <x:v>100000</x:v>
      </x:c>
      <x:c r="H644" s="14" t="n">
        <x:f>F644/G644-1</x:f>
        <x:v>-0.11131488449999993</x:v>
      </x:c>
      <x:c r="I644" s="14" t="n">
        <x:f>F644/F643-1</x:f>
        <x:v>-0.00012151309243579878</x:v>
      </x:c>
      <x:c r="J644" s="12" t="n">
        <x:v>0</x:v>
      </x:c>
      <x:c r="K644" s="12" t="n">
        <x:v>0</x:v>
      </x:c>
      <x:c r="L644" s="12" t="n">
        <x:v>0</x:v>
      </x:c>
      <x:c r="M644" s="2" t="str">
        <x:v>持有</x:v>
      </x:c>
    </x:row>
    <x:row r="645" ht="23" customHeight="1">
      <x:c r="A645" s="11" t="d">
        <x:v>2017-07-18T00:00:00.000Z</x:v>
      </x:c>
      <x:c r="B645" s="12" t="n">
        <x:v>49.426454</x:v>
      </x:c>
      <x:c r="C645" s="13" t="n">
        <x:v>360</x:v>
      </x:c>
      <x:c r="D645" s="12" t="n">
        <x:v>88437.6</x:v>
      </x:c>
      <x:c r="E645" s="12" t="n">
        <x:v>428.285096</x:v>
      </x:c>
      <x:c r="F645" s="12" t="n">
        <x:f>SUM(B645,D645:E645)</x:f>
        <x:v>88915.31155000001</x:v>
      </x:c>
      <x:c r="G645" s="12" t="n">
        <x:f>MAX(G644,F645)</x:f>
        <x:v>100000</x:v>
      </x:c>
      <x:c r="H645" s="14" t="n">
        <x:f>F645/G645-1</x:f>
        <x:v>-0.11084688449999991</x:v>
      </x:c>
      <x:c r="I645" s="14" t="n">
        <x:f>F645/F644-1</x:f>
        <x:v>0.0005266207252010435</x:v>
      </x:c>
      <x:c r="J645" s="12" t="n">
        <x:v>0</x:v>
      </x:c>
      <x:c r="K645" s="12" t="n">
        <x:v>0</x:v>
      </x:c>
      <x:c r="L645" s="12" t="n">
        <x:v>0</x:v>
      </x:c>
      <x:c r="M645" s="2" t="str">
        <x:v>持有</x:v>
      </x:c>
    </x:row>
    <x:row r="646" ht="23" customHeight="1">
      <x:c r="A646" s="11" t="d">
        <x:v>2017-07-19T00:00:00.000Z</x:v>
      </x:c>
      <x:c r="B646" s="12" t="n">
        <x:v>49.426454</x:v>
      </x:c>
      <x:c r="C646" s="13" t="n">
        <x:v>360</x:v>
      </x:c>
      <x:c r="D646" s="12" t="n">
        <x:v>88916.40000000001</x:v>
      </x:c>
      <x:c r="E646" s="12" t="n">
        <x:v>428.285096</x:v>
      </x:c>
      <x:c r="F646" s="12" t="n">
        <x:f>SUM(B646,D646:E646)</x:f>
        <x:v>89394.11155000002</x:v>
      </x:c>
      <x:c r="G646" s="12" t="n">
        <x:f>MAX(G645,F646)</x:f>
        <x:v>100000</x:v>
      </x:c>
      <x:c r="H646" s="14" t="n">
        <x:f>F646/G646-1</x:f>
        <x:v>-0.1060588844999999</x:v>
      </x:c>
      <x:c r="I646" s="14" t="n">
        <x:f>F646/F645-1</x:f>
        <x:v>0.005384899312091518</x:v>
      </x:c>
      <x:c r="J646" s="12" t="n">
        <x:v>0</x:v>
      </x:c>
      <x:c r="K646" s="12" t="n">
        <x:v>0</x:v>
      </x:c>
      <x:c r="L646" s="12" t="n">
        <x:v>0</x:v>
      </x:c>
      <x:c r="M646" s="2" t="str">
        <x:v>持有</x:v>
      </x:c>
    </x:row>
    <x:row r="647" ht="23" customHeight="1">
      <x:c r="A647" s="11" t="d">
        <x:v>2017-07-20T00:00:00.000Z</x:v>
      </x:c>
      <x:c r="B647" s="12" t="n">
        <x:v>49.426454</x:v>
      </x:c>
      <x:c r="C647" s="13" t="n">
        <x:v>360</x:v>
      </x:c>
      <x:c r="D647" s="12" t="n">
        <x:v>88956</x:v>
      </x:c>
      <x:c r="E647" s="12" t="n">
        <x:v>428.285096</x:v>
      </x:c>
      <x:c r="F647" s="12" t="n">
        <x:f>SUM(B647,D647:E647)</x:f>
        <x:v>89433.71155</x:v>
      </x:c>
      <x:c r="G647" s="12" t="n">
        <x:f>MAX(G646,F647)</x:f>
        <x:v>100000</x:v>
      </x:c>
      <x:c r="H647" s="14" t="n">
        <x:f>F647/G647-1</x:f>
        <x:v>-0.10566288449999994</x:v>
      </x:c>
      <x:c r="I647" s="14" t="n">
        <x:f>F647/F646-1</x:f>
        <x:v>0.0004429821977463</x:v>
      </x:c>
      <x:c r="J647" s="12" t="n">
        <x:v>0</x:v>
      </x:c>
      <x:c r="K647" s="12" t="n">
        <x:v>0</x:v>
      </x:c>
      <x:c r="L647" s="12" t="n">
        <x:v>0</x:v>
      </x:c>
      <x:c r="M647" s="2" t="str">
        <x:v>持有</x:v>
      </x:c>
    </x:row>
    <x:row r="648" ht="23" customHeight="1">
      <x:c r="A648" s="11" t="d">
        <x:v>2017-07-21T00:00:00.000Z</x:v>
      </x:c>
      <x:c r="B648" s="12" t="n">
        <x:v>49.426454</x:v>
      </x:c>
      <x:c r="C648" s="13" t="n">
        <x:v>360</x:v>
      </x:c>
      <x:c r="D648" s="12" t="n">
        <x:v>88876.8</x:v>
      </x:c>
      <x:c r="E648" s="12" t="n">
        <x:v>428.285096</x:v>
      </x:c>
      <x:c r="F648" s="12" t="n">
        <x:f>SUM(B648,D648:E648)</x:f>
        <x:v>89354.51155000001</x:v>
      </x:c>
      <x:c r="G648" s="12" t="n">
        <x:f>MAX(G647,F648)</x:f>
        <x:v>100000</x:v>
      </x:c>
      <x:c r="H648" s="14" t="n">
        <x:f>F648/G648-1</x:f>
        <x:v>-0.10645488449999985</x:v>
      </x:c>
      <x:c r="I648" s="14" t="n">
        <x:f>F648/F647-1</x:f>
        <x:v>-0.0008855721028162566</x:v>
      </x:c>
      <x:c r="J648" s="12" t="n">
        <x:v>0</x:v>
      </x:c>
      <x:c r="K648" s="12" t="n">
        <x:v>0</x:v>
      </x:c>
      <x:c r="L648" s="12" t="n">
        <x:v>0</x:v>
      </x:c>
      <x:c r="M648" s="2" t="str">
        <x:v>持有</x:v>
      </x:c>
    </x:row>
    <x:row r="649" ht="23" customHeight="1">
      <x:c r="A649" s="11" t="d">
        <x:v>2017-07-24T00:00:00.000Z</x:v>
      </x:c>
      <x:c r="B649" s="12" t="n">
        <x:v>49.426454</x:v>
      </x:c>
      <x:c r="C649" s="13" t="n">
        <x:v>360</x:v>
      </x:c>
      <x:c r="D649" s="12" t="n">
        <x:v>88855.2</x:v>
      </x:c>
      <x:c r="E649" s="12" t="n">
        <x:v>428.285096</x:v>
      </x:c>
      <x:c r="F649" s="12" t="n">
        <x:f>SUM(B649,D649:E649)</x:f>
        <x:v>89332.91155</x:v>
      </x:c>
      <x:c r="G649" s="12" t="n">
        <x:f>MAX(G648,F649)</x:f>
        <x:v>100000</x:v>
      </x:c>
      <x:c r="H649" s="14" t="n">
        <x:f>F649/G649-1</x:f>
        <x:v>-0.10667088449999995</x:v>
      </x:c>
      <x:c r="I649" s="14" t="n">
        <x:f>F649/F648-1</x:f>
        <x:v>-0.00024173373705838053</x:v>
      </x:c>
      <x:c r="J649" s="12" t="n">
        <x:v>0</x:v>
      </x:c>
      <x:c r="K649" s="12" t="n">
        <x:v>0</x:v>
      </x:c>
      <x:c r="L649" s="12" t="n">
        <x:v>0</x:v>
      </x:c>
      <x:c r="M649" s="2" t="str">
        <x:v>持有</x:v>
      </x:c>
    </x:row>
    <x:row r="650" ht="23" customHeight="1">
      <x:c r="A650" s="11" t="d">
        <x:v>2017-07-25T00:00:00.000Z</x:v>
      </x:c>
      <x:c r="B650" s="12" t="n">
        <x:v>49.426454</x:v>
      </x:c>
      <x:c r="C650" s="13" t="n">
        <x:v>360</x:v>
      </x:c>
      <x:c r="D650" s="12" t="n">
        <x:v>89071.2</x:v>
      </x:c>
      <x:c r="E650" s="12" t="n">
        <x:v>428.285096</x:v>
      </x:c>
      <x:c r="F650" s="12" t="n">
        <x:f>SUM(B650,D650:E650)</x:f>
        <x:v>89548.91155</x:v>
      </x:c>
      <x:c r="G650" s="12" t="n">
        <x:f>MAX(G649,F650)</x:f>
        <x:v>100000</x:v>
      </x:c>
      <x:c r="H650" s="14" t="n">
        <x:f>F650/G650-1</x:f>
        <x:v>-0.10451088450000001</x:v>
      </x:c>
      <x:c r="I650" s="14" t="n">
        <x:f>F650/F649-1</x:f>
        <x:v>0.002417921863870909</x:v>
      </x:c>
      <x:c r="J650" s="12" t="n">
        <x:v>0</x:v>
      </x:c>
      <x:c r="K650" s="12" t="n">
        <x:v>0</x:v>
      </x:c>
      <x:c r="L650" s="12" t="n">
        <x:v>0</x:v>
      </x:c>
      <x:c r="M650" s="2" t="str">
        <x:v>持有</x:v>
      </x:c>
    </x:row>
    <x:row r="651" ht="23" customHeight="1">
      <x:c r="A651" s="11" t="d">
        <x:v>2017-07-26T00:00:00.000Z</x:v>
      </x:c>
      <x:c r="B651" s="12" t="n">
        <x:v>49.426454</x:v>
      </x:c>
      <x:c r="C651" s="13" t="n">
        <x:v>360</x:v>
      </x:c>
      <x:c r="D651" s="12" t="n">
        <x:v>89074.8</x:v>
      </x:c>
      <x:c r="E651" s="12" t="n">
        <x:v>428.285096</x:v>
      </x:c>
      <x:c r="F651" s="12" t="n">
        <x:f>SUM(B651,D651:E651)</x:f>
        <x:v>89552.51155000001</x:v>
      </x:c>
      <x:c r="G651" s="12" t="n">
        <x:f>MAX(G650,F651)</x:f>
        <x:v>100000</x:v>
      </x:c>
      <x:c r="H651" s="14" t="n">
        <x:f>F651/G651-1</x:f>
        <x:v>-0.10447488449999986</x:v>
      </x:c>
      <x:c r="I651" s="14" t="n">
        <x:f>F651/F650-1</x:f>
        <x:v>0.00004020149366068537</x:v>
      </x:c>
      <x:c r="J651" s="12" t="n">
        <x:v>0</x:v>
      </x:c>
      <x:c r="K651" s="12" t="n">
        <x:v>0</x:v>
      </x:c>
      <x:c r="L651" s="12" t="n">
        <x:v>0</x:v>
      </x:c>
      <x:c r="M651" s="2" t="str">
        <x:v>持有</x:v>
      </x:c>
    </x:row>
    <x:row r="652" ht="23" customHeight="1">
      <x:c r="A652" s="11" t="d">
        <x:v>2017-07-27T00:00:00.000Z</x:v>
      </x:c>
      <x:c r="B652" s="12" t="n">
        <x:v>49.426454</x:v>
      </x:c>
      <x:c r="C652" s="13" t="n">
        <x:v>360</x:v>
      </x:c>
      <x:c r="D652" s="12" t="n">
        <x:v>88992</x:v>
      </x:c>
      <x:c r="E652" s="12" t="n">
        <x:v>428.285096</x:v>
      </x:c>
      <x:c r="F652" s="12" t="n">
        <x:f>SUM(B652,D652:E652)</x:f>
        <x:v>89469.71155</x:v>
      </x:c>
      <x:c r="G652" s="12" t="n">
        <x:f>MAX(G651,F652)</x:f>
        <x:v>100000</x:v>
      </x:c>
      <x:c r="H652" s="14" t="n">
        <x:f>F652/G652-1</x:f>
        <x:v>-0.10530288449999992</x:v>
      </x:c>
      <x:c r="I652" s="14" t="n">
        <x:f>F652/F651-1</x:f>
        <x:v>-0.0009245971840082801</x:v>
      </x:c>
      <x:c r="J652" s="12" t="n">
        <x:v>0</x:v>
      </x:c>
      <x:c r="K652" s="12" t="n">
        <x:v>0</x:v>
      </x:c>
      <x:c r="L652" s="12" t="n">
        <x:v>0</x:v>
      </x:c>
      <x:c r="M652" s="2" t="str">
        <x:v>持有</x:v>
      </x:c>
    </x:row>
    <x:row r="653" ht="23" customHeight="1">
      <x:c r="A653" s="11" t="d">
        <x:v>2017-07-28T00:00:00.000Z</x:v>
      </x:c>
      <x:c r="B653" s="12" t="n">
        <x:v>49.426454</x:v>
      </x:c>
      <x:c r="C653" s="13" t="n">
        <x:v>360</x:v>
      </x:c>
      <x:c r="D653" s="12" t="n">
        <x:v>88887.6</x:v>
      </x:c>
      <x:c r="E653" s="12" t="n">
        <x:v>428.285096</x:v>
      </x:c>
      <x:c r="F653" s="12" t="n">
        <x:f>SUM(B653,D653:E653)</x:f>
        <x:v>89365.31155000001</x:v>
      </x:c>
      <x:c r="G653" s="12" t="n">
        <x:f>MAX(G652,F653)</x:f>
        <x:v>100000</x:v>
      </x:c>
      <x:c r="H653" s="14" t="n">
        <x:f>F653/G653-1</x:f>
        <x:v>-0.10634688449999985</x:v>
      </x:c>
      <x:c r="I653" s="14" t="n">
        <x:f>F653/F652-1</x:f>
        <x:v>-0.0011668753390542408</x:v>
      </x:c>
      <x:c r="J653" s="12" t="n">
        <x:v>0</x:v>
      </x:c>
      <x:c r="K653" s="12" t="n">
        <x:v>0</x:v>
      </x:c>
      <x:c r="L653" s="12" t="n">
        <x:v>0</x:v>
      </x:c>
      <x:c r="M653" s="2" t="str">
        <x:v>持有</x:v>
      </x:c>
    </x:row>
    <x:row r="654" ht="23" customHeight="1">
      <x:c r="A654" s="11" t="d">
        <x:v>2017-07-31T00:00:00.000Z</x:v>
      </x:c>
      <x:c r="B654" s="12" t="n">
        <x:v>477.71155</x:v>
      </x:c>
      <x:c r="C654" s="13" t="n">
        <x:v>360</x:v>
      </x:c>
      <x:c r="D654" s="12" t="n">
        <x:v>88837.2</x:v>
      </x:c>
      <x:c r="E654" s="12" t="n">
        <x:v>0</x:v>
      </x:c>
      <x:c r="F654" s="12" t="n">
        <x:f>SUM(B654,D654:E654)</x:f>
        <x:v>89314.91154999999</x:v>
      </x:c>
      <x:c r="G654" s="12" t="n">
        <x:f>MAX(G653,F654)</x:f>
        <x:v>100000</x:v>
      </x:c>
      <x:c r="H654" s="14" t="n">
        <x:f>F654/G654-1</x:f>
        <x:v>-0.10685088450000013</x:v>
      </x:c>
      <x:c r="I654" s="14" t="n">
        <x:f>F654/F653-1</x:f>
        <x:v>-0.0005639772203090976</x:v>
      </x:c>
      <x:c r="J654" s="12" t="n">
        <x:v>0</x:v>
      </x:c>
      <x:c r="K654" s="12" t="n">
        <x:v>428.285096</x:v>
      </x:c>
      <x:c r="L654" s="12" t="n">
        <x:v>0</x:v>
      </x:c>
      <x:c r="M654" s="2" t="str">
        <x:v>持有</x:v>
      </x:c>
    </x:row>
    <x:row r="655" ht="23" customHeight="1">
      <x:c r="A655" s="11" t="d">
        <x:v>2017-08-01T00:00:00.000Z</x:v>
      </x:c>
      <x:c r="B655" s="12" t="n">
        <x:v>477.71155</x:v>
      </x:c>
      <x:c r="C655" s="13" t="n">
        <x:v>360</x:v>
      </x:c>
      <x:c r="D655" s="12" t="n">
        <x:v>89035.2</x:v>
      </x:c>
      <x:c r="E655" s="12" t="n">
        <x:v>0</x:v>
      </x:c>
      <x:c r="F655" s="12" t="n">
        <x:f>SUM(B655,D655:E655)</x:f>
        <x:v>89512.91154999999</x:v>
      </x:c>
      <x:c r="G655" s="12" t="n">
        <x:f>MAX(G654,F655)</x:f>
        <x:v>100000</x:v>
      </x:c>
      <x:c r="H655" s="14" t="n">
        <x:f>F655/G655-1</x:f>
        <x:v>-0.10487088450000015</x:v>
      </x:c>
      <x:c r="I655" s="14" t="n">
        <x:f>F655/F654-1</x:f>
        <x:v>0.002216875061105128</x:v>
      </x:c>
      <x:c r="J655" s="12" t="n">
        <x:v>0</x:v>
      </x:c>
      <x:c r="K655" s="12" t="n">
        <x:v>0</x:v>
      </x:c>
      <x:c r="L655" s="12" t="n">
        <x:v>0</x:v>
      </x:c>
      <x:c r="M655" s="2" t="str">
        <x:v>持有</x:v>
      </x:c>
    </x:row>
    <x:row r="656" ht="23" customHeight="1">
      <x:c r="A656" s="11" t="d">
        <x:v>2017-08-02T00:00:00.000Z</x:v>
      </x:c>
      <x:c r="B656" s="12" t="n">
        <x:v>477.71155</x:v>
      </x:c>
      <x:c r="C656" s="13" t="n">
        <x:v>360</x:v>
      </x:c>
      <x:c r="D656" s="12" t="n">
        <x:v>89078.4</x:v>
      </x:c>
      <x:c r="E656" s="12" t="n">
        <x:v>0</x:v>
      </x:c>
      <x:c r="F656" s="12" t="n">
        <x:f>SUM(B656,D656:E656)</x:f>
        <x:v>89556.11155</x:v>
      </x:c>
      <x:c r="G656" s="12" t="n">
        <x:f>MAX(G655,F656)</x:f>
        <x:v>100000</x:v>
      </x:c>
      <x:c r="H656" s="14" t="n">
        <x:f>F656/G656-1</x:f>
        <x:v>-0.10443888449999994</x:v>
      </x:c>
      <x:c r="I656" s="14" t="n">
        <x:f>F656/F655-1</x:f>
        <x:v>0.0004826119411374119</x:v>
      </x:c>
      <x:c r="J656" s="12" t="n">
        <x:v>0</x:v>
      </x:c>
      <x:c r="K656" s="12" t="n">
        <x:v>0</x:v>
      </x:c>
      <x:c r="L656" s="12" t="n">
        <x:v>0</x:v>
      </x:c>
      <x:c r="M656" s="2" t="str">
        <x:v>持有</x:v>
      </x:c>
    </x:row>
    <x:row r="657" ht="23" customHeight="1">
      <x:c r="A657" s="11" t="d">
        <x:v>2017-08-03T00:00:00.000Z</x:v>
      </x:c>
      <x:c r="B657" s="12" t="n">
        <x:v>477.71155</x:v>
      </x:c>
      <x:c r="C657" s="13" t="n">
        <x:v>360</x:v>
      </x:c>
      <x:c r="D657" s="12" t="n">
        <x:v>88905.6</x:v>
      </x:c>
      <x:c r="E657" s="12" t="n">
        <x:v>0</x:v>
      </x:c>
      <x:c r="F657" s="12" t="n">
        <x:f>SUM(B657,D657:E657)</x:f>
        <x:v>89383.31155000001</x:v>
      </x:c>
      <x:c r="G657" s="12" t="n">
        <x:f>MAX(G656,F657)</x:f>
        <x:v>100000</x:v>
      </x:c>
      <x:c r="H657" s="14" t="n">
        <x:f>F657/G657-1</x:f>
        <x:v>-0.10616688449999989</x:v>
      </x:c>
      <x:c r="I657" s="14" t="n">
        <x:f>F657/F656-1</x:f>
        <x:v>-0.0019295165568182782</x:v>
      </x:c>
      <x:c r="J657" s="12" t="n">
        <x:v>0</x:v>
      </x:c>
      <x:c r="K657" s="12" t="n">
        <x:v>0</x:v>
      </x:c>
      <x:c r="L657" s="12" t="n">
        <x:v>0</x:v>
      </x:c>
      <x:c r="M657" s="2" t="str">
        <x:v>持有</x:v>
      </x:c>
    </x:row>
    <x:row r="658" ht="23" customHeight="1">
      <x:c r="A658" s="11" t="d">
        <x:v>2017-08-04T00:00:00.000Z</x:v>
      </x:c>
      <x:c r="B658" s="12" t="n">
        <x:v>477.71155</x:v>
      </x:c>
      <x:c r="C658" s="13" t="n">
        <x:v>360</x:v>
      </x:c>
      <x:c r="D658" s="12" t="n">
        <x:v>89067.6</x:v>
      </x:c>
      <x:c r="E658" s="12" t="n">
        <x:v>0</x:v>
      </x:c>
      <x:c r="F658" s="12" t="n">
        <x:f>SUM(B658,D658:E658)</x:f>
        <x:v>89545.31155000001</x:v>
      </x:c>
      <x:c r="G658" s="12" t="n">
        <x:f>MAX(G657,F658)</x:f>
        <x:v>100000</x:v>
      </x:c>
      <x:c r="H658" s="14" t="n">
        <x:f>F658/G658-1</x:f>
        <x:v>-0.10454688449999983</x:v>
      </x:c>
      <x:c r="I658" s="14" t="n">
        <x:f>F658/F657-1</x:f>
        <x:v>0.001812418864223675</x:v>
      </x:c>
      <x:c r="J658" s="12" t="n">
        <x:v>0</x:v>
      </x:c>
      <x:c r="K658" s="12" t="n">
        <x:v>0</x:v>
      </x:c>
      <x:c r="L658" s="12" t="n">
        <x:v>0</x:v>
      </x:c>
      <x:c r="M658" s="2" t="str">
        <x:v>持有</x:v>
      </x:c>
    </x:row>
    <x:row r="659" ht="23" customHeight="1">
      <x:c r="A659" s="11" t="d">
        <x:v>2017-08-07T00:00:00.000Z</x:v>
      </x:c>
      <x:c r="B659" s="12" t="n">
        <x:v>477.71155</x:v>
      </x:c>
      <x:c r="C659" s="13" t="n">
        <x:v>360</x:v>
      </x:c>
      <x:c r="D659" s="12" t="n">
        <x:v>89233.2</x:v>
      </x:c>
      <x:c r="E659" s="12" t="n">
        <x:v>0</x:v>
      </x:c>
      <x:c r="F659" s="12" t="n">
        <x:f>SUM(B659,D659:E659)</x:f>
        <x:v>89710.91154999999</x:v>
      </x:c>
      <x:c r="G659" s="12" t="n">
        <x:f>MAX(G658,F659)</x:f>
        <x:v>100000</x:v>
      </x:c>
      <x:c r="H659" s="14" t="n">
        <x:f>F659/G659-1</x:f>
        <x:v>-0.10289088450000006</x:v>
      </x:c>
      <x:c r="I659" s="14" t="n">
        <x:f>F659/F658-1</x:f>
        <x:v>0.0018493430547450451</x:v>
      </x:c>
      <x:c r="J659" s="12" t="n">
        <x:v>0</x:v>
      </x:c>
      <x:c r="K659" s="12" t="n">
        <x:v>0</x:v>
      </x:c>
      <x:c r="L659" s="12" t="n">
        <x:v>0</x:v>
      </x:c>
      <x:c r="M659" s="2" t="str">
        <x:v>持有</x:v>
      </x:c>
    </x:row>
    <x:row r="660" ht="23" customHeight="1">
      <x:c r="A660" s="11" t="d">
        <x:v>2017-08-08T00:00:00.000Z</x:v>
      </x:c>
      <x:c r="B660" s="12" t="n">
        <x:v>477.71155</x:v>
      </x:c>
      <x:c r="C660" s="13" t="n">
        <x:v>360</x:v>
      </x:c>
      <x:c r="D660" s="12" t="n">
        <x:v>89013.59999999999</x:v>
      </x:c>
      <x:c r="E660" s="12" t="n">
        <x:v>0</x:v>
      </x:c>
      <x:c r="F660" s="12" t="n">
        <x:f>SUM(B660,D660:E660)</x:f>
        <x:v>89491.31154999998</x:v>
      </x:c>
      <x:c r="G660" s="12" t="n">
        <x:f>MAX(G659,F660)</x:f>
        <x:v>100000</x:v>
      </x:c>
      <x:c r="H660" s="14" t="n">
        <x:f>F660/G660-1</x:f>
        <x:v>-0.10508688450000014</x:v>
      </x:c>
      <x:c r="I660" s="14" t="n">
        <x:f>F660/F659-1</x:f>
        <x:v>-0.002447862765028397</x:v>
      </x:c>
      <x:c r="J660" s="12" t="n">
        <x:v>0</x:v>
      </x:c>
      <x:c r="K660" s="12" t="n">
        <x:v>0</x:v>
      </x:c>
      <x:c r="L660" s="12" t="n">
        <x:v>0</x:v>
      </x:c>
      <x:c r="M660" s="2" t="str">
        <x:v>持有</x:v>
      </x:c>
    </x:row>
    <x:row r="661" ht="23" customHeight="1">
      <x:c r="A661" s="11" t="d">
        <x:v>2017-08-09T00:00:00.000Z</x:v>
      </x:c>
      <x:c r="B661" s="12" t="n">
        <x:v>477.71155</x:v>
      </x:c>
      <x:c r="C661" s="13" t="n">
        <x:v>360</x:v>
      </x:c>
      <x:c r="D661" s="12" t="n">
        <x:v>89010</x:v>
      </x:c>
      <x:c r="E661" s="12" t="n">
        <x:v>0</x:v>
      </x:c>
      <x:c r="F661" s="12" t="n">
        <x:f>SUM(B661,D661:E661)</x:f>
        <x:v>89487.71155</x:v>
      </x:c>
      <x:c r="G661" s="12" t="n">
        <x:f>MAX(G660,F661)</x:f>
        <x:v>100000</x:v>
      </x:c>
      <x:c r="H661" s="14" t="n">
        <x:f>F661/G661-1</x:f>
        <x:v>-0.10512288449999996</x:v>
      </x:c>
      <x:c r="I661" s="14" t="n">
        <x:f>F661/F660-1</x:f>
        <x:v>-0.00004022736886544198</x:v>
      </x:c>
      <x:c r="J661" s="12" t="n">
        <x:v>0</x:v>
      </x:c>
      <x:c r="K661" s="12" t="n">
        <x:v>0</x:v>
      </x:c>
      <x:c r="L661" s="12" t="n">
        <x:v>0</x:v>
      </x:c>
      <x:c r="M661" s="2" t="str">
        <x:v>持有</x:v>
      </x:c>
    </x:row>
    <x:row r="662" ht="23" customHeight="1">
      <x:c r="A662" s="11" t="d">
        <x:v>2017-08-10T00:00:00.000Z</x:v>
      </x:c>
      <x:c r="B662" s="12" t="n">
        <x:v>477.71155</x:v>
      </x:c>
      <x:c r="C662" s="13" t="n">
        <x:v>360</x:v>
      </x:c>
      <x:c r="D662" s="12" t="n">
        <x:v>87753.59999999999</x:v>
      </x:c>
      <x:c r="E662" s="12" t="n">
        <x:v>0</x:v>
      </x:c>
      <x:c r="F662" s="12" t="n">
        <x:f>SUM(B662,D662:E662)</x:f>
        <x:v>88231.31154999998</x:v>
      </x:c>
      <x:c r="G662" s="12" t="n">
        <x:f>MAX(G661,F662)</x:f>
        <x:v>100000</x:v>
      </x:c>
      <x:c r="H662" s="14" t="n">
        <x:f>F662/G662-1</x:f>
        <x:v>-0.1176868845000002</x:v>
      </x:c>
      <x:c r="I662" s="14" t="n">
        <x:f>F662/F661-1</x:f>
        <x:v>-0.014039916523041596</x:v>
      </x:c>
      <x:c r="J662" s="12" t="n">
        <x:v>0</x:v>
      </x:c>
      <x:c r="K662" s="12" t="n">
        <x:v>0</x:v>
      </x:c>
      <x:c r="L662" s="12" t="n">
        <x:v>0</x:v>
      </x:c>
      <x:c r="M662" s="2" t="str">
        <x:v>持有</x:v>
      </x:c>
    </x:row>
    <x:row r="663" ht="23" customHeight="1">
      <x:c r="A663" s="11" t="d">
        <x:v>2017-08-11T00:00:00.000Z</x:v>
      </x:c>
      <x:c r="B663" s="12" t="n">
        <x:v>88237.06435</x:v>
      </x:c>
      <x:c r="C663" s="13" t="n">
        <x:v>0</x:v>
      </x:c>
      <x:c r="D663" s="12" t="n">
        <x:v>0</x:v>
      </x:c>
      <x:c r="E663" s="12" t="n">
        <x:v>0</x:v>
      </x:c>
      <x:c r="F663" s="12" t="n">
        <x:f>SUM(B663,D663:E663)</x:f>
        <x:v>88237.06435</x:v>
      </x:c>
      <x:c r="G663" s="12" t="n">
        <x:f>MAX(G662,F663)</x:f>
        <x:v>100000</x:v>
      </x:c>
      <x:c r="H663" s="14" t="n">
        <x:f>F663/G663-1</x:f>
        <x:v>-0.11762935649999995</x:v>
      </x:c>
      <x:c r="I663" s="14" t="n">
        <x:f>F663/F662-1</x:f>
        <x:v>0.00006520134291276847</x:v>
      </x:c>
      <x:c r="J663" s="12" t="n">
        <x:v>0</x:v>
      </x:c>
      <x:c r="K663" s="12" t="n">
        <x:v>0</x:v>
      </x:c>
      <x:c r="L663" s="12" t="n">
        <x:v>-360</x:v>
      </x:c>
      <x:c r="M663" s="2" t="str">
        <x:v>卖出</x:v>
      </x:c>
    </x:row>
    <x:row r="664" ht="23" customHeight="1">
      <x:c r="A664" s="11" t="d">
        <x:v>2017-08-14T00:00:00.000Z</x:v>
      </x:c>
      <x:c r="B664" s="12" t="n">
        <x:v>88237.06435</x:v>
      </x:c>
      <x:c r="C664" s="13" t="n">
        <x:v>0</x:v>
      </x:c>
      <x:c r="D664" s="12" t="n">
        <x:v>0</x:v>
      </x:c>
      <x:c r="E664" s="12" t="n">
        <x:v>0</x:v>
      </x:c>
      <x:c r="F664" s="12" t="n">
        <x:f>SUM(B664,D664:E664)</x:f>
        <x:v>88237.06435</x:v>
      </x:c>
      <x:c r="G664" s="12" t="n">
        <x:f>MAX(G663,F664)</x:f>
        <x:v>100000</x:v>
      </x:c>
      <x:c r="H664" s="14" t="n">
        <x:f>F664/G664-1</x:f>
        <x:v>-0.11762935649999995</x:v>
      </x:c>
      <x:c r="I664" s="14" t="n">
        <x:f>F664/F663-1</x:f>
        <x:v>0</x:v>
      </x:c>
      <x:c r="J664" s="12" t="n">
        <x:v>0</x:v>
      </x:c>
      <x:c r="K664" s="12" t="n">
        <x:v>0</x:v>
      </x:c>
      <x:c r="L664" s="12" t="n">
        <x:v>0</x:v>
      </x:c>
      <x:c r="M664" s="2" t="str">
        <x:v>空仓</x:v>
      </x:c>
    </x:row>
    <x:row r="665" ht="23" customHeight="1">
      <x:c r="A665" s="11" t="d">
        <x:v>2017-08-15T00:00:00.000Z</x:v>
      </x:c>
      <x:c r="B665" s="12" t="n">
        <x:v>224.25947</x:v>
      </x:c>
      <x:c r="C665" s="13" t="n">
        <x:v>356</x:v>
      </x:c>
      <x:c r="D665" s="12" t="n">
        <x:v>87757.56</x:v>
      </x:c>
      <x:c r="E665" s="12" t="n">
        <x:v>0</x:v>
      </x:c>
      <x:c r="F665" s="12" t="n">
        <x:f>SUM(B665,D665:E665)</x:f>
        <x:v>87981.81947</x:v>
      </x:c>
      <x:c r="G665" s="12" t="n">
        <x:f>MAX(G664,F665)</x:f>
        <x:v>100000</x:v>
      </x:c>
      <x:c r="H665" s="14" t="n">
        <x:f>F665/G665-1</x:f>
        <x:v>-0.1201818053</x:v>
      </x:c>
      <x:c r="I665" s="14" t="n">
        <x:f>F665/F664-1</x:f>
        <x:v>-0.00289271727114071</x:v>
      </x:c>
      <x:c r="J665" s="12" t="n">
        <x:v>0</x:v>
      </x:c>
      <x:c r="K665" s="12" t="n">
        <x:v>0</x:v>
      </x:c>
      <x:c r="L665" s="12" t="n">
        <x:v>356</x:v>
      </x:c>
      <x:c r="M665" s="2" t="str">
        <x:v>买入</x:v>
      </x:c>
    </x:row>
    <x:row r="666" ht="23" customHeight="1">
      <x:c r="A666" s="11" t="d">
        <x:v>2017-08-16T00:00:00.000Z</x:v>
      </x:c>
      <x:c r="B666" s="12" t="n">
        <x:v>224.25947</x:v>
      </x:c>
      <x:c r="C666" s="13" t="n">
        <x:v>356</x:v>
      </x:c>
      <x:c r="D666" s="12" t="n">
        <x:v>87910.64</x:v>
      </x:c>
      <x:c r="E666" s="12" t="n">
        <x:v>0</x:v>
      </x:c>
      <x:c r="F666" s="12" t="n">
        <x:f>SUM(B666,D666:E666)</x:f>
        <x:v>88134.89947</x:v>
      </x:c>
      <x:c r="G666" s="12" t="n">
        <x:f>MAX(G665,F666)</x:f>
        <x:v>100000</x:v>
      </x:c>
      <x:c r="H666" s="14" t="n">
        <x:f>F666/G666-1</x:f>
        <x:v>-0.11865100529999995</x:v>
      </x:c>
      <x:c r="I666" s="14" t="n">
        <x:f>F666/F665-1</x:f>
        <x:v>0.0017399049135622402</x:v>
      </x:c>
      <x:c r="J666" s="12" t="n">
        <x:v>0</x:v>
      </x:c>
      <x:c r="K666" s="12" t="n">
        <x:v>0</x:v>
      </x:c>
      <x:c r="L666" s="12" t="n">
        <x:v>0</x:v>
      </x:c>
      <x:c r="M666" s="2" t="str">
        <x:v>持有</x:v>
      </x:c>
    </x:row>
    <x:row r="667" ht="23" customHeight="1">
      <x:c r="A667" s="11" t="d">
        <x:v>2017-08-17T00:00:00.000Z</x:v>
      </x:c>
      <x:c r="B667" s="12" t="n">
        <x:v>224.25947</x:v>
      </x:c>
      <x:c r="C667" s="13" t="n">
        <x:v>356</x:v>
      </x:c>
      <x:c r="D667" s="12" t="n">
        <x:v>86540.04000000001</x:v>
      </x:c>
      <x:c r="E667" s="12" t="n">
        <x:v>0</x:v>
      </x:c>
      <x:c r="F667" s="12" t="n">
        <x:f>SUM(B667,D667:E667)</x:f>
        <x:v>86764.29947000001</x:v>
      </x:c>
      <x:c r="G667" s="12" t="n">
        <x:f>MAX(G666,F667)</x:f>
        <x:v>100000</x:v>
      </x:c>
      <x:c r="H667" s="14" t="n">
        <x:f>F667/G667-1</x:f>
        <x:v>-0.13235700529999983</x:v>
      </x:c>
      <x:c r="I667" s="14" t="n">
        <x:f>F667/F666-1</x:f>
        <x:v>-0.015551160870916125</x:v>
      </x:c>
      <x:c r="J667" s="12" t="n">
        <x:v>0</x:v>
      </x:c>
      <x:c r="K667" s="12" t="n">
        <x:v>0</x:v>
      </x:c>
      <x:c r="L667" s="12" t="n">
        <x:v>0</x:v>
      </x:c>
      <x:c r="M667" s="2" t="str">
        <x:v>持有</x:v>
      </x:c>
    </x:row>
    <x:row r="668" ht="23" customHeight="1">
      <x:c r="A668" s="11" t="d">
        <x:v>2017-08-18T00:00:00.000Z</x:v>
      </x:c>
      <x:c r="B668" s="12" t="n">
        <x:v>86610.18707</x:v>
      </x:c>
      <x:c r="C668" s="13" t="n">
        <x:v>0</x:v>
      </x:c>
      <x:c r="D668" s="12" t="n">
        <x:v>0</x:v>
      </x:c>
      <x:c r="E668" s="12" t="n">
        <x:v>0</x:v>
      </x:c>
      <x:c r="F668" s="12" t="n">
        <x:f>SUM(B668,D668:E668)</x:f>
        <x:v>86610.18707</x:v>
      </x:c>
      <x:c r="G668" s="12" t="n">
        <x:f>MAX(G667,F668)</x:f>
        <x:v>100000</x:v>
      </x:c>
      <x:c r="H668" s="14" t="n">
        <x:f>F668/G668-1</x:f>
        <x:v>-0.1338981293</x:v>
      </x:c>
      <x:c r="I668" s="14" t="n">
        <x:f>F668/F667-1</x:f>
        <x:v>-0.0017762190318069138</x:v>
      </x:c>
      <x:c r="J668" s="12" t="n">
        <x:v>0</x:v>
      </x:c>
      <x:c r="K668" s="12" t="n">
        <x:v>0</x:v>
      </x:c>
      <x:c r="L668" s="12" t="n">
        <x:v>-356</x:v>
      </x:c>
      <x:c r="M668" s="2" t="str">
        <x:v>卖出</x:v>
      </x:c>
    </x:row>
    <x:row r="669" ht="23" customHeight="1">
      <x:c r="A669" s="11" t="d">
        <x:v>2017-08-21T00:00:00.000Z</x:v>
      </x:c>
      <x:c r="B669" s="12" t="n">
        <x:v>86610.18707</x:v>
      </x:c>
      <x:c r="C669" s="13" t="n">
        <x:v>0</x:v>
      </x:c>
      <x:c r="D669" s="12" t="n">
        <x:v>0</x:v>
      </x:c>
      <x:c r="E669" s="12" t="n">
        <x:v>0</x:v>
      </x:c>
      <x:c r="F669" s="12" t="n">
        <x:f>SUM(B669,D669:E669)</x:f>
        <x:v>86610.18707</x:v>
      </x:c>
      <x:c r="G669" s="12" t="n">
        <x:f>MAX(G668,F669)</x:f>
        <x:v>100000</x:v>
      </x:c>
      <x:c r="H669" s="14" t="n">
        <x:f>F669/G669-1</x:f>
        <x:v>-0.1338981293</x:v>
      </x:c>
      <x:c r="I669" s="14" t="n">
        <x:f>F669/F668-1</x:f>
        <x:v>0</x:v>
      </x:c>
      <x:c r="J669" s="12" t="n">
        <x:v>0</x:v>
      </x:c>
      <x:c r="K669" s="12" t="n">
        <x:v>0</x:v>
      </x:c>
      <x:c r="L669" s="12" t="n">
        <x:v>0</x:v>
      </x:c>
      <x:c r="M669" s="2" t="str">
        <x:v>空仓</x:v>
      </x:c>
    </x:row>
    <x:row r="670" ht="23" customHeight="1">
      <x:c r="A670" s="11" t="d">
        <x:v>2017-08-22T00:00:00.000Z</x:v>
      </x:c>
      <x:c r="B670" s="12" t="n">
        <x:v>86610.18707</x:v>
      </x:c>
      <x:c r="C670" s="13" t="n">
        <x:v>0</x:v>
      </x:c>
      <x:c r="D670" s="12" t="n">
        <x:v>0</x:v>
      </x:c>
      <x:c r="E670" s="12" t="n">
        <x:v>0</x:v>
      </x:c>
      <x:c r="F670" s="12" t="n">
        <x:f>SUM(B670,D670:E670)</x:f>
        <x:v>86610.18707</x:v>
      </x:c>
      <x:c r="G670" s="12" t="n">
        <x:f>MAX(G669,F670)</x:f>
        <x:v>100000</x:v>
      </x:c>
      <x:c r="H670" s="14" t="n">
        <x:f>F670/G670-1</x:f>
        <x:v>-0.1338981293</x:v>
      </x:c>
      <x:c r="I670" s="14" t="n">
        <x:f>F670/F669-1</x:f>
        <x:v>0</x:v>
      </x:c>
      <x:c r="J670" s="12" t="n">
        <x:v>0</x:v>
      </x:c>
      <x:c r="K670" s="12" t="n">
        <x:v>0</x:v>
      </x:c>
      <x:c r="L670" s="12" t="n">
        <x:v>0</x:v>
      </x:c>
      <x:c r="M670" s="2" t="str">
        <x:v>空仓</x:v>
      </x:c>
    </x:row>
    <x:row r="671" ht="23" customHeight="1">
      <x:c r="A671" s="11" t="d">
        <x:v>2017-08-23T00:00:00.000Z</x:v>
      </x:c>
      <x:c r="B671" s="12" t="n">
        <x:v>30.87425</x:v>
      </x:c>
      <x:c r="C671" s="13" t="n">
        <x:v>354</x:v>
      </x:c>
      <x:c r="D671" s="12" t="n">
        <x:v>86574.24</x:v>
      </x:c>
      <x:c r="E671" s="12" t="n">
        <x:v>0</x:v>
      </x:c>
      <x:c r="F671" s="12" t="n">
        <x:f>SUM(B671,D671:E671)</x:f>
        <x:v>86605.11425</x:v>
      </x:c>
      <x:c r="G671" s="12" t="n">
        <x:f>MAX(G670,F671)</x:f>
        <x:v>100000</x:v>
      </x:c>
      <x:c r="H671" s="14" t="n">
        <x:f>F671/G671-1</x:f>
        <x:v>-0.13394885749999996</x:v>
      </x:c>
      <x:c r="I671" s="14" t="n">
        <x:f>F671/F670-1</x:f>
        <x:v>-0.00005857070826897903</x:v>
      </x:c>
      <x:c r="J671" s="12" t="n">
        <x:v>0</x:v>
      </x:c>
      <x:c r="K671" s="12" t="n">
        <x:v>0</x:v>
      </x:c>
      <x:c r="L671" s="12" t="n">
        <x:v>354</x:v>
      </x:c>
      <x:c r="M671" s="2" t="str">
        <x:v>买入</x:v>
      </x:c>
    </x:row>
    <x:row r="672" ht="23" customHeight="1">
      <x:c r="A672" s="11" t="d">
        <x:v>2017-08-24T00:00:00.000Z</x:v>
      </x:c>
      <x:c r="B672" s="12" t="n">
        <x:v>86674.14425</x:v>
      </x:c>
      <x:c r="C672" s="13" t="n">
        <x:v>0</x:v>
      </x:c>
      <x:c r="D672" s="12" t="n">
        <x:v>0</x:v>
      </x:c>
      <x:c r="E672" s="12" t="n">
        <x:v>0</x:v>
      </x:c>
      <x:c r="F672" s="12" t="n">
        <x:f>SUM(B672,D672:E672)</x:f>
        <x:v>86674.14425</x:v>
      </x:c>
      <x:c r="G672" s="12" t="n">
        <x:f>MAX(G671,F672)</x:f>
        <x:v>100000</x:v>
      </x:c>
      <x:c r="H672" s="14" t="n">
        <x:f>F672/G672-1</x:f>
        <x:v>-0.13325855750000004</x:v>
      </x:c>
      <x:c r="I672" s="14" t="n">
        <x:f>F672/F671-1</x:f>
        <x:v>0.0007970660924334627</x:v>
      </x:c>
      <x:c r="J672" s="12" t="n">
        <x:v>0</x:v>
      </x:c>
      <x:c r="K672" s="12" t="n">
        <x:v>0</x:v>
      </x:c>
      <x:c r="L672" s="12" t="n">
        <x:v>-354</x:v>
      </x:c>
      <x:c r="M672" s="2" t="str">
        <x:v>卖出</x:v>
      </x:c>
    </x:row>
    <x:row r="673" ht="23" customHeight="1">
      <x:c r="A673" s="11" t="d">
        <x:v>2017-08-25T00:00:00.000Z</x:v>
      </x:c>
      <x:c r="B673" s="12" t="n">
        <x:v>86674.14425</x:v>
      </x:c>
      <x:c r="C673" s="13" t="n">
        <x:v>0</x:v>
      </x:c>
      <x:c r="D673" s="12" t="n">
        <x:v>0</x:v>
      </x:c>
      <x:c r="E673" s="12" t="n">
        <x:v>0</x:v>
      </x:c>
      <x:c r="F673" s="12" t="n">
        <x:f>SUM(B673,D673:E673)</x:f>
        <x:v>86674.14425</x:v>
      </x:c>
      <x:c r="G673" s="12" t="n">
        <x:f>MAX(G672,F673)</x:f>
        <x:v>100000</x:v>
      </x:c>
      <x:c r="H673" s="14" t="n">
        <x:f>F673/G673-1</x:f>
        <x:v>-0.13325855750000004</x:v>
      </x:c>
      <x:c r="I673" s="14" t="n">
        <x:f>F673/F672-1</x:f>
        <x:v>0</x:v>
      </x:c>
      <x:c r="J673" s="12" t="n">
        <x:v>0</x:v>
      </x:c>
      <x:c r="K673" s="12" t="n">
        <x:v>0</x:v>
      </x:c>
      <x:c r="L673" s="12" t="n">
        <x:v>0</x:v>
      </x:c>
      <x:c r="M673" s="2" t="str">
        <x:v>空仓</x:v>
      </x:c>
    </x:row>
    <x:row r="674" ht="23" customHeight="1">
      <x:c r="A674" s="11" t="d">
        <x:v>2017-08-28T00:00:00.000Z</x:v>
      </x:c>
      <x:c r="B674" s="12" t="n">
        <x:v>86674.14425</x:v>
      </x:c>
      <x:c r="C674" s="13" t="n">
        <x:v>0</x:v>
      </x:c>
      <x:c r="D674" s="12" t="n">
        <x:v>0</x:v>
      </x:c>
      <x:c r="E674" s="12" t="n">
        <x:v>0</x:v>
      </x:c>
      <x:c r="F674" s="12" t="n">
        <x:f>SUM(B674,D674:E674)</x:f>
        <x:v>86674.14425</x:v>
      </x:c>
      <x:c r="G674" s="12" t="n">
        <x:f>MAX(G673,F674)</x:f>
        <x:v>100000</x:v>
      </x:c>
      <x:c r="H674" s="14" t="n">
        <x:f>F674/G674-1</x:f>
        <x:v>-0.13325855750000004</x:v>
      </x:c>
      <x:c r="I674" s="14" t="n">
        <x:f>F674/F673-1</x:f>
        <x:v>0</x:v>
      </x:c>
      <x:c r="J674" s="12" t="n">
        <x:v>0</x:v>
      </x:c>
      <x:c r="K674" s="12" t="n">
        <x:v>0</x:v>
      </x:c>
      <x:c r="L674" s="12" t="n">
        <x:v>0</x:v>
      </x:c>
      <x:c r="M674" s="2" t="str">
        <x:v>空仓</x:v>
      </x:c>
    </x:row>
    <x:row r="675" ht="23" customHeight="1">
      <x:c r="A675" s="11" t="d">
        <x:v>2017-08-29T00:00:00.000Z</x:v>
      </x:c>
      <x:c r="B675" s="12" t="n">
        <x:v>86674.14425</x:v>
      </x:c>
      <x:c r="C675" s="13" t="n">
        <x:v>0</x:v>
      </x:c>
      <x:c r="D675" s="12" t="n">
        <x:v>0</x:v>
      </x:c>
      <x:c r="E675" s="12" t="n">
        <x:v>0</x:v>
      </x:c>
      <x:c r="F675" s="12" t="n">
        <x:f>SUM(B675,D675:E675)</x:f>
        <x:v>86674.14425</x:v>
      </x:c>
      <x:c r="G675" s="12" t="n">
        <x:f>MAX(G674,F675)</x:f>
        <x:v>100000</x:v>
      </x:c>
      <x:c r="H675" s="14" t="n">
        <x:f>F675/G675-1</x:f>
        <x:v>-0.13325855750000004</x:v>
      </x:c>
      <x:c r="I675" s="14" t="n">
        <x:f>F675/F674-1</x:f>
        <x:v>0</x:v>
      </x:c>
      <x:c r="J675" s="12" t="n">
        <x:v>0</x:v>
      </x:c>
      <x:c r="K675" s="12" t="n">
        <x:v>0</x:v>
      </x:c>
      <x:c r="L675" s="12" t="n">
        <x:v>0</x:v>
      </x:c>
      <x:c r="M675" s="2" t="str">
        <x:v>空仓</x:v>
      </x:c>
    </x:row>
    <x:row r="676" ht="23" customHeight="1">
      <x:c r="A676" s="11" t="d">
        <x:v>2017-08-30T00:00:00.000Z</x:v>
      </x:c>
      <x:c r="B676" s="12" t="n">
        <x:v>162.72926</x:v>
      </x:c>
      <x:c r="C676" s="13" t="n">
        <x:v>353</x:v>
      </x:c>
      <x:c r="D676" s="12" t="n">
        <x:v>86841.53</x:v>
      </x:c>
      <x:c r="E676" s="12" t="n">
        <x:v>0</x:v>
      </x:c>
      <x:c r="F676" s="12" t="n">
        <x:f>SUM(B676,D676:E676)</x:f>
        <x:v>87004.25925999999</x:v>
      </x:c>
      <x:c r="G676" s="12" t="n">
        <x:f>MAX(G675,F676)</x:f>
        <x:v>100000</x:v>
      </x:c>
      <x:c r="H676" s="14" t="n">
        <x:f>F676/G676-1</x:f>
        <x:v>-0.12995740740000006</x:v>
      </x:c>
      <x:c r="I676" s="14" t="n">
        <x:f>F676/F675-1</x:f>
        <x:v>0.00380869073304968</x:v>
      </x:c>
      <x:c r="J676" s="12" t="n">
        <x:v>0</x:v>
      </x:c>
      <x:c r="K676" s="12" t="n">
        <x:v>0</x:v>
      </x:c>
      <x:c r="L676" s="12" t="n">
        <x:v>353</x:v>
      </x:c>
      <x:c r="M676" s="2" t="str">
        <x:v>买入</x:v>
      </x:c>
    </x:row>
    <x:row r="677" ht="23" customHeight="1">
      <x:c r="A677" s="11" t="d">
        <x:v>2017-08-31T00:00:00.000Z</x:v>
      </x:c>
      <x:c r="B677" s="12" t="n">
        <x:v>162.72926</x:v>
      </x:c>
      <x:c r="C677" s="13" t="n">
        <x:v>353</x:v>
      </x:c>
      <x:c r="D677" s="12" t="n">
        <x:v>87363.97</x:v>
      </x:c>
      <x:c r="E677" s="12" t="n">
        <x:v>0</x:v>
      </x:c>
      <x:c r="F677" s="12" t="n">
        <x:f>SUM(B677,D677:E677)</x:f>
        <x:v>87526.69926</x:v>
      </x:c>
      <x:c r="G677" s="12" t="n">
        <x:f>MAX(G676,F677)</x:f>
        <x:v>100000</x:v>
      </x:c>
      <x:c r="H677" s="14" t="n">
        <x:f>F677/G677-1</x:f>
        <x:v>-0.12473300740000004</x:v>
      </x:c>
      <x:c r="I677" s="14" t="n">
        <x:f>F677/F676-1</x:f>
        <x:v>0.006004763495988996</x:v>
      </x:c>
      <x:c r="J677" s="12" t="n">
        <x:v>0</x:v>
      </x:c>
      <x:c r="K677" s="12" t="n">
        <x:v>0</x:v>
      </x:c>
      <x:c r="L677" s="12" t="n">
        <x:v>0</x:v>
      </x:c>
      <x:c r="M677" s="2" t="str">
        <x:v>持有</x:v>
      </x:c>
    </x:row>
    <x:row r="678" ht="23" customHeight="1">
      <x:c r="A678" s="11" t="d">
        <x:v>2017-09-01T00:00:00.000Z</x:v>
      </x:c>
      <x:c r="B678" s="12" t="n">
        <x:v>162.72926</x:v>
      </x:c>
      <x:c r="C678" s="13" t="n">
        <x:v>353</x:v>
      </x:c>
      <x:c r="D678" s="12" t="n">
        <x:v>87487.52</x:v>
      </x:c>
      <x:c r="E678" s="12" t="n">
        <x:v>0</x:v>
      </x:c>
      <x:c r="F678" s="12" t="n">
        <x:f>SUM(B678,D678:E678)</x:f>
        <x:v>87650.24926</x:v>
      </x:c>
      <x:c r="G678" s="12" t="n">
        <x:f>MAX(G677,F678)</x:f>
        <x:v>100000</x:v>
      </x:c>
      <x:c r="H678" s="14" t="n">
        <x:f>F678/G678-1</x:f>
        <x:v>-0.12349750739999998</x:v>
      </x:c>
      <x:c r="I678" s="14" t="n">
        <x:f>F678/F677-1</x:f>
        <x:v>0.0014115692816543124</x:v>
      </x:c>
      <x:c r="J678" s="12" t="n">
        <x:v>0</x:v>
      </x:c>
      <x:c r="K678" s="12" t="n">
        <x:v>0</x:v>
      </x:c>
      <x:c r="L678" s="12" t="n">
        <x:v>0</x:v>
      </x:c>
      <x:c r="M678" s="2" t="str">
        <x:v>持有</x:v>
      </x:c>
    </x:row>
    <x:row r="679" ht="23" customHeight="1">
      <x:c r="A679" s="11" t="d">
        <x:v>2017-09-05T00:00:00.000Z</x:v>
      </x:c>
      <x:c r="B679" s="12" t="n">
        <x:v>162.72926</x:v>
      </x:c>
      <x:c r="C679" s="13" t="n">
        <x:v>353</x:v>
      </x:c>
      <x:c r="D679" s="12" t="n">
        <x:v>86859.18000000001</x:v>
      </x:c>
      <x:c r="E679" s="12" t="n">
        <x:v>0</x:v>
      </x:c>
      <x:c r="F679" s="12" t="n">
        <x:f>SUM(B679,D679:E679)</x:f>
        <x:v>87021.90926</x:v>
      </x:c>
      <x:c r="G679" s="12" t="n">
        <x:f>MAX(G678,F679)</x:f>
        <x:v>100000</x:v>
      </x:c>
      <x:c r="H679" s="14" t="n">
        <x:f>F679/G679-1</x:f>
        <x:v>-0.12978090740000003</x:v>
      </x:c>
      <x:c r="I679" s="14" t="n">
        <x:f>F679/F678-1</x:f>
        <x:v>-0.007168718917571204</x:v>
      </x:c>
      <x:c r="J679" s="12" t="n">
        <x:v>0</x:v>
      </x:c>
      <x:c r="K679" s="12" t="n">
        <x:v>0</x:v>
      </x:c>
      <x:c r="L679" s="12" t="n">
        <x:v>0</x:v>
      </x:c>
      <x:c r="M679" s="2" t="str">
        <x:v>持有</x:v>
      </x:c>
    </x:row>
    <x:row r="680" ht="23" customHeight="1">
      <x:c r="A680" s="11" t="d">
        <x:v>2017-09-06T00:00:00.000Z</x:v>
      </x:c>
      <x:c r="B680" s="12" t="n">
        <x:v>162.72926</x:v>
      </x:c>
      <x:c r="C680" s="13" t="n">
        <x:v>353</x:v>
      </x:c>
      <x:c r="D680" s="12" t="n">
        <x:v>87155.7</x:v>
      </x:c>
      <x:c r="E680" s="12" t="n">
        <x:v>0</x:v>
      </x:c>
      <x:c r="F680" s="12" t="n">
        <x:f>SUM(B680,D680:E680)</x:f>
        <x:v>87318.42925999999</x:v>
      </x:c>
      <x:c r="G680" s="12" t="n">
        <x:f>MAX(G679,F680)</x:f>
        <x:v>100000</x:v>
      </x:c>
      <x:c r="H680" s="14" t="n">
        <x:f>F680/G680-1</x:f>
        <x:v>-0.12681570740000014</x:v>
      </x:c>
      <x:c r="I680" s="14" t="n">
        <x:f>F680/F679-1</x:f>
        <x:v>0.003407417770093568</x:v>
      </x:c>
      <x:c r="J680" s="12" t="n">
        <x:v>0</x:v>
      </x:c>
      <x:c r="K680" s="12" t="n">
        <x:v>0</x:v>
      </x:c>
      <x:c r="L680" s="12" t="n">
        <x:v>0</x:v>
      </x:c>
      <x:c r="M680" s="2" t="str">
        <x:v>持有</x:v>
      </x:c>
    </x:row>
    <x:row r="681" ht="23" customHeight="1">
      <x:c r="A681" s="11" t="d">
        <x:v>2017-09-07T00:00:00.000Z</x:v>
      </x:c>
      <x:c r="B681" s="12" t="n">
        <x:v>162.72926</x:v>
      </x:c>
      <x:c r="C681" s="13" t="n">
        <x:v>353</x:v>
      </x:c>
      <x:c r="D681" s="12" t="n">
        <x:v>87145.11</x:v>
      </x:c>
      <x:c r="E681" s="12" t="n">
        <x:v>0</x:v>
      </x:c>
      <x:c r="F681" s="12" t="n">
        <x:f>SUM(B681,D681:E681)</x:f>
        <x:v>87307.83926</x:v>
      </x:c>
      <x:c r="G681" s="12" t="n">
        <x:f>MAX(G680,F681)</x:f>
        <x:v>100000</x:v>
      </x:c>
      <x:c r="H681" s="14" t="n">
        <x:f>F681/G681-1</x:f>
        <x:v>-0.12692160740000002</x:v>
      </x:c>
      <x:c r="I681" s="14" t="n">
        <x:f>F681/F680-1</x:f>
        <x:v>-0.00012128023934632193</x:v>
      </x:c>
      <x:c r="J681" s="12" t="n">
        <x:v>0</x:v>
      </x:c>
      <x:c r="K681" s="12" t="n">
        <x:v>0</x:v>
      </x:c>
      <x:c r="L681" s="12" t="n">
        <x:v>0</x:v>
      </x:c>
      <x:c r="M681" s="2" t="str">
        <x:v>持有</x:v>
      </x:c>
    </x:row>
    <x:row r="682" ht="23" customHeight="1">
      <x:c r="A682" s="11" t="d">
        <x:v>2017-09-08T00:00:00.000Z</x:v>
      </x:c>
      <x:c r="B682" s="12" t="n">
        <x:v>162.72926</x:v>
      </x:c>
      <x:c r="C682" s="13" t="n">
        <x:v>353</x:v>
      </x:c>
      <x:c r="D682" s="12" t="n">
        <x:v>87042.74</x:v>
      </x:c>
      <x:c r="E682" s="12" t="n">
        <x:v>0</x:v>
      </x:c>
      <x:c r="F682" s="12" t="n">
        <x:f>SUM(B682,D682:E682)</x:f>
        <x:v>87205.46926</x:v>
      </x:c>
      <x:c r="G682" s="12" t="n">
        <x:f>MAX(G681,F682)</x:f>
        <x:v>100000</x:v>
      </x:c>
      <x:c r="H682" s="14" t="n">
        <x:f>F682/G682-1</x:f>
        <x:v>-0.12794530739999999</x:v>
      </x:c>
      <x:c r="I682" s="14" t="n">
        <x:f>F682/F681-1</x:f>
        <x:v>-0.0011725178502601796</x:v>
      </x:c>
      <x:c r="J682" s="12" t="n">
        <x:v>0</x:v>
      </x:c>
      <x:c r="K682" s="12" t="n">
        <x:v>0</x:v>
      </x:c>
      <x:c r="L682" s="12" t="n">
        <x:v>0</x:v>
      </x:c>
      <x:c r="M682" s="2" t="str">
        <x:v>持有</x:v>
      </x:c>
    </x:row>
    <x:row r="683" ht="23" customHeight="1">
      <x:c r="A683" s="11" t="d">
        <x:v>2017-09-11T00:00:00.000Z</x:v>
      </x:c>
      <x:c r="B683" s="12" t="n">
        <x:v>162.72926</x:v>
      </x:c>
      <x:c r="C683" s="13" t="n">
        <x:v>353</x:v>
      </x:c>
      <x:c r="D683" s="12" t="n">
        <x:v>87971.13</x:v>
      </x:c>
      <x:c r="E683" s="12" t="n">
        <x:v>0</x:v>
      </x:c>
      <x:c r="F683" s="12" t="n">
        <x:f>SUM(B683,D683:E683)</x:f>
        <x:v>88133.85926</x:v>
      </x:c>
      <x:c r="G683" s="12" t="n">
        <x:f>MAX(G682,F683)</x:f>
        <x:v>100000</x:v>
      </x:c>
      <x:c r="H683" s="14" t="n">
        <x:f>F683/G683-1</x:f>
        <x:v>-0.11866140739999997</x:v>
      </x:c>
      <x:c r="I683" s="14" t="n">
        <x:f>F683/F682-1</x:f>
        <x:v>0.010646006585115053</x:v>
      </x:c>
      <x:c r="J683" s="12" t="n">
        <x:v>0</x:v>
      </x:c>
      <x:c r="K683" s="12" t="n">
        <x:v>0</x:v>
      </x:c>
      <x:c r="L683" s="12" t="n">
        <x:v>0</x:v>
      </x:c>
      <x:c r="M683" s="2" t="str">
        <x:v>持有</x:v>
      </x:c>
    </x:row>
    <x:row r="684" ht="23" customHeight="1">
      <x:c r="A684" s="11" t="d">
        <x:v>2017-09-12T00:00:00.000Z</x:v>
      </x:c>
      <x:c r="B684" s="12" t="n">
        <x:v>162.72926</x:v>
      </x:c>
      <x:c r="C684" s="13" t="n">
        <x:v>353</x:v>
      </x:c>
      <x:c r="D684" s="12" t="n">
        <x:v>88267.65000000001</x:v>
      </x:c>
      <x:c r="E684" s="12" t="n">
        <x:v>0</x:v>
      </x:c>
      <x:c r="F684" s="12" t="n">
        <x:f>SUM(B684,D684:E684)</x:f>
        <x:v>88430.37926</x:v>
      </x:c>
      <x:c r="G684" s="12" t="n">
        <x:f>MAX(G683,F684)</x:f>
        <x:v>100000</x:v>
      </x:c>
      <x:c r="H684" s="14" t="n">
        <x:f>F684/G684-1</x:f>
        <x:v>-0.11569620739999997</x:v>
      </x:c>
      <x:c r="I684" s="14" t="n">
        <x:f>F684/F683-1</x:f>
        <x:v>0.0033644277294750946</x:v>
      </x:c>
      <x:c r="J684" s="12" t="n">
        <x:v>0</x:v>
      </x:c>
      <x:c r="K684" s="12" t="n">
        <x:v>0</x:v>
      </x:c>
      <x:c r="L684" s="12" t="n">
        <x:v>0</x:v>
      </x:c>
      <x:c r="M684" s="2" t="str">
        <x:v>持有</x:v>
      </x:c>
    </x:row>
    <x:row r="685" ht="23" customHeight="1">
      <x:c r="A685" s="11" t="d">
        <x:v>2017-09-13T00:00:00.000Z</x:v>
      </x:c>
      <x:c r="B685" s="12" t="n">
        <x:v>162.72926</x:v>
      </x:c>
      <x:c r="C685" s="13" t="n">
        <x:v>353</x:v>
      </x:c>
      <x:c r="D685" s="12" t="n">
        <x:v>88310.01</x:v>
      </x:c>
      <x:c r="E685" s="12" t="n">
        <x:v>0</x:v>
      </x:c>
      <x:c r="F685" s="12" t="n">
        <x:f>SUM(B685,D685:E685)</x:f>
        <x:v>88472.73925999999</x:v>
      </x:c>
      <x:c r="G685" s="12" t="n">
        <x:f>MAX(G684,F685)</x:f>
        <x:v>100000</x:v>
      </x:c>
      <x:c r="H685" s="14" t="n">
        <x:f>F685/G685-1</x:f>
        <x:v>-0.11527260740000012</x:v>
      </x:c>
      <x:c r="I685" s="14" t="n">
        <x:f>F685/F684-1</x:f>
        <x:v>0.00047902090157769806</x:v>
      </x:c>
      <x:c r="J685" s="12" t="n">
        <x:v>0</x:v>
      </x:c>
      <x:c r="K685" s="12" t="n">
        <x:v>0</x:v>
      </x:c>
      <x:c r="L685" s="12" t="n">
        <x:v>0</x:v>
      </x:c>
      <x:c r="M685" s="2" t="str">
        <x:v>持有</x:v>
      </x:c>
    </x:row>
    <x:row r="686" ht="23" customHeight="1">
      <x:c r="A686" s="11" t="d">
        <x:v>2017-09-14T00:00:00.000Z</x:v>
      </x:c>
      <x:c r="B686" s="12" t="n">
        <x:v>162.72926</x:v>
      </x:c>
      <x:c r="C686" s="13" t="n">
        <x:v>353</x:v>
      </x:c>
      <x:c r="D686" s="12" t="n">
        <x:v>88281.77</x:v>
      </x:c>
      <x:c r="E686" s="12" t="n">
        <x:v>0</x:v>
      </x:c>
      <x:c r="F686" s="12" t="n">
        <x:f>SUM(B686,D686:E686)</x:f>
        <x:v>88444.49926</x:v>
      </x:c>
      <x:c r="G686" s="12" t="n">
        <x:f>MAX(G685,F686)</x:f>
        <x:v>100000</x:v>
      </x:c>
      <x:c r="H686" s="14" t="n">
        <x:f>F686/G686-1</x:f>
        <x:v>-0.11555500740000002</x:v>
      </x:c>
      <x:c r="I686" s="14" t="n">
        <x:f>F686/F685-1</x:f>
        <x:v>-0.00031919436694505254</x:v>
      </x:c>
      <x:c r="J686" s="12" t="n">
        <x:v>0</x:v>
      </x:c>
      <x:c r="K686" s="12" t="n">
        <x:v>0</x:v>
      </x:c>
      <x:c r="L686" s="12" t="n">
        <x:v>0</x:v>
      </x:c>
      <x:c r="M686" s="2" t="str">
        <x:v>持有</x:v>
      </x:c>
    </x:row>
    <x:row r="687" ht="23" customHeight="1">
      <x:c r="A687" s="11" t="d">
        <x:v>2017-09-15T00:00:00.000Z</x:v>
      </x:c>
      <x:c r="B687" s="12" t="n">
        <x:v>162.72926</x:v>
      </x:c>
      <x:c r="C687" s="13" t="n">
        <x:v>353</x:v>
      </x:c>
      <x:c r="D687" s="12" t="n">
        <x:v>87964.06999999999</x:v>
      </x:c>
      <x:c r="E687" s="12" t="n">
        <x:v>435.804622</x:v>
      </x:c>
      <x:c r="F687" s="12" t="n">
        <x:f>SUM(B687,D687:E687)</x:f>
        <x:v>88562.60388199998</x:v>
      </x:c>
      <x:c r="G687" s="12" t="n">
        <x:f>MAX(G686,F687)</x:f>
        <x:v>100000</x:v>
      </x:c>
      <x:c r="H687" s="14" t="n">
        <x:f>F687/G687-1</x:f>
        <x:v>-0.1143739611800002</x:v>
      </x:c>
      <x:c r="I687" s="14" t="n">
        <x:f>F687/F686-1</x:f>
        <x:v>0.0013353529387145624</x:v>
      </x:c>
      <x:c r="J687" s="12" t="n">
        <x:v>435.804622</x:v>
      </x:c>
      <x:c r="K687" s="12" t="n">
        <x:v>0</x:v>
      </x:c>
      <x:c r="L687" s="12" t="n">
        <x:v>0</x:v>
      </x:c>
      <x:c r="M687" s="2" t="str">
        <x:v>持有</x:v>
      </x:c>
    </x:row>
    <x:row r="688" ht="23" customHeight="1">
      <x:c r="A688" s="11" t="d">
        <x:v>2017-09-18T00:00:00.000Z</x:v>
      </x:c>
      <x:c r="B688" s="12" t="n">
        <x:v>162.72926</x:v>
      </x:c>
      <x:c r="C688" s="13" t="n">
        <x:v>353</x:v>
      </x:c>
      <x:c r="D688" s="12" t="n">
        <x:v>88151.16</x:v>
      </x:c>
      <x:c r="E688" s="12" t="n">
        <x:v>435.804622</x:v>
      </x:c>
      <x:c r="F688" s="12" t="n">
        <x:f>SUM(B688,D688:E688)</x:f>
        <x:v>88749.69388199999</x:v>
      </x:c>
      <x:c r="G688" s="12" t="n">
        <x:f>MAX(G687,F688)</x:f>
        <x:v>100000</x:v>
      </x:c>
      <x:c r="H688" s="14" t="n">
        <x:f>F688/G688-1</x:f>
        <x:v>-0.11250306118000009</x:v>
      </x:c>
      <x:c r="I688" s="14" t="n">
        <x:f>F688/F687-1</x:f>
        <x:v>0.0021125169292592894</x:v>
      </x:c>
      <x:c r="J688" s="12" t="n">
        <x:v>0</x:v>
      </x:c>
      <x:c r="K688" s="12" t="n">
        <x:v>0</x:v>
      </x:c>
      <x:c r="L688" s="12" t="n">
        <x:v>0</x:v>
      </x:c>
      <x:c r="M688" s="2" t="str">
        <x:v>持有</x:v>
      </x:c>
    </x:row>
    <x:row r="689" ht="23" customHeight="1">
      <x:c r="A689" s="11" t="d">
        <x:v>2017-09-19T00:00:00.000Z</x:v>
      </x:c>
      <x:c r="B689" s="12" t="n">
        <x:v>162.72926</x:v>
      </x:c>
      <x:c r="C689" s="13" t="n">
        <x:v>353</x:v>
      </x:c>
      <x:c r="D689" s="12" t="n">
        <x:v>88239.41</x:v>
      </x:c>
      <x:c r="E689" s="12" t="n">
        <x:v>435.804622</x:v>
      </x:c>
      <x:c r="F689" s="12" t="n">
        <x:f>SUM(B689,D689:E689)</x:f>
        <x:v>88837.94388199999</x:v>
      </x:c>
      <x:c r="G689" s="12" t="n">
        <x:f>MAX(G688,F689)</x:f>
        <x:v>100000</x:v>
      </x:c>
      <x:c r="H689" s="14" t="n">
        <x:f>F689/G689-1</x:f>
        <x:v>-0.11162056118000008</x:v>
      </x:c>
      <x:c r="I689" s="14" t="n">
        <x:f>F689/F688-1</x:f>
        <x:v>0.0009943696269796298</x:v>
      </x:c>
      <x:c r="J689" s="12" t="n">
        <x:v>0</x:v>
      </x:c>
      <x:c r="K689" s="12" t="n">
        <x:v>0</x:v>
      </x:c>
      <x:c r="L689" s="12" t="n">
        <x:v>0</x:v>
      </x:c>
      <x:c r="M689" s="2" t="str">
        <x:v>持有</x:v>
      </x:c>
    </x:row>
    <x:row r="690" ht="23" customHeight="1">
      <x:c r="A690" s="11" t="d">
        <x:v>2017-09-20T00:00:00.000Z</x:v>
      </x:c>
      <x:c r="B690" s="12" t="n">
        <x:v>162.72926</x:v>
      </x:c>
      <x:c r="C690" s="13" t="n">
        <x:v>353</x:v>
      </x:c>
      <x:c r="D690" s="12" t="n">
        <x:v>88271.18000000001</x:v>
      </x:c>
      <x:c r="E690" s="12" t="n">
        <x:v>435.804622</x:v>
      </x:c>
      <x:c r="F690" s="12" t="n">
        <x:f>SUM(B690,D690:E690)</x:f>
        <x:v>88869.713882</x:v>
      </x:c>
      <x:c r="G690" s="12" t="n">
        <x:f>MAX(G689,F690)</x:f>
        <x:v>100000</x:v>
      </x:c>
      <x:c r="H690" s="14" t="n">
        <x:f>F690/G690-1</x:f>
        <x:v>-0.11130286117999999</x:v>
      </x:c>
      <x:c r="I690" s="14" t="n">
        <x:f>F690/F689-1</x:f>
        <x:v>0.000357617461770543</x:v>
      </x:c>
      <x:c r="J690" s="12" t="n">
        <x:v>0</x:v>
      </x:c>
      <x:c r="K690" s="12" t="n">
        <x:v>0</x:v>
      </x:c>
      <x:c r="L690" s="12" t="n">
        <x:v>0</x:v>
      </x:c>
      <x:c r="M690" s="2" t="str">
        <x:v>持有</x:v>
      </x:c>
    </x:row>
    <x:row r="691" ht="23" customHeight="1">
      <x:c r="A691" s="11" t="d">
        <x:v>2017-09-21T00:00:00.000Z</x:v>
      </x:c>
      <x:c r="B691" s="12" t="n">
        <x:v>162.72926</x:v>
      </x:c>
      <x:c r="C691" s="13" t="n">
        <x:v>353</x:v>
      </x:c>
      <x:c r="D691" s="12" t="n">
        <x:v>88034.67</x:v>
      </x:c>
      <x:c r="E691" s="12" t="n">
        <x:v>435.804622</x:v>
      </x:c>
      <x:c r="F691" s="12" t="n">
        <x:f>SUM(B691,D691:E691)</x:f>
        <x:v>88633.20388199999</x:v>
      </x:c>
      <x:c r="G691" s="12" t="n">
        <x:f>MAX(G690,F691)</x:f>
        <x:v>100000</x:v>
      </x:c>
      <x:c r="H691" s="14" t="n">
        <x:f>F691/G691-1</x:f>
        <x:v>-0.11366796118000011</x:v>
      </x:c>
      <x:c r="I691" s="14" t="n">
        <x:f>F691/F690-1</x:f>
        <x:v>-0.002661311595017035</x:v>
      </x:c>
      <x:c r="J691" s="12" t="n">
        <x:v>0</x:v>
      </x:c>
      <x:c r="K691" s="12" t="n">
        <x:v>0</x:v>
      </x:c>
      <x:c r="L691" s="12" t="n">
        <x:v>0</x:v>
      </x:c>
      <x:c r="M691" s="2" t="str">
        <x:v>持有</x:v>
      </x:c>
    </x:row>
    <x:row r="692" ht="23" customHeight="1">
      <x:c r="A692" s="11" t="d">
        <x:v>2017-09-22T00:00:00.000Z</x:v>
      </x:c>
      <x:c r="B692" s="12" t="n">
        <x:v>162.72926</x:v>
      </x:c>
      <x:c r="C692" s="13" t="n">
        <x:v>353</x:v>
      </x:c>
      <x:c r="D692" s="12" t="n">
        <x:v>88052.31999999999</x:v>
      </x:c>
      <x:c r="E692" s="12" t="n">
        <x:v>435.804622</x:v>
      </x:c>
      <x:c r="F692" s="12" t="n">
        <x:f>SUM(B692,D692:E692)</x:f>
        <x:v>88650.85388199998</x:v>
      </x:c>
      <x:c r="G692" s="12" t="n">
        <x:f>MAX(G691,F692)</x:f>
        <x:v>100000</x:v>
      </x:c>
      <x:c r="H692" s="14" t="n">
        <x:f>F692/G692-1</x:f>
        <x:v>-0.1134914611800002</x:v>
      </x:c>
      <x:c r="I692" s="14" t="n">
        <x:f>F692/F691-1</x:f>
        <x:v>0.00019913530400517132</x:v>
      </x:c>
      <x:c r="J692" s="12" t="n">
        <x:v>0</x:v>
      </x:c>
      <x:c r="K692" s="12" t="n">
        <x:v>0</x:v>
      </x:c>
      <x:c r="L692" s="12" t="n">
        <x:v>0</x:v>
      </x:c>
      <x:c r="M692" s="2" t="str">
        <x:v>持有</x:v>
      </x:c>
    </x:row>
    <x:row r="693" ht="23" customHeight="1">
      <x:c r="A693" s="11" t="d">
        <x:v>2017-09-25T00:00:00.000Z</x:v>
      </x:c>
      <x:c r="B693" s="12" t="n">
        <x:v>162.72926</x:v>
      </x:c>
      <x:c r="C693" s="13" t="n">
        <x:v>353</x:v>
      </x:c>
      <x:c r="D693" s="12" t="n">
        <x:v>87872.29000000001</x:v>
      </x:c>
      <x:c r="E693" s="12" t="n">
        <x:v>435.804622</x:v>
      </x:c>
      <x:c r="F693" s="12" t="n">
        <x:f>SUM(B693,D693:E693)</x:f>
        <x:v>88470.823882</x:v>
      </x:c>
      <x:c r="G693" s="12" t="n">
        <x:f>MAX(G692,F693)</x:f>
        <x:v>100000</x:v>
      </x:c>
      <x:c r="H693" s="14" t="n">
        <x:f>F693/G693-1</x:f>
        <x:v>-0.11529176118000006</x:v>
      </x:c>
      <x:c r="I693" s="14" t="n">
        <x:f>F693/F692-1</x:f>
        <x:v>-0.002030775701716503</x:v>
      </x:c>
      <x:c r="J693" s="12" t="n">
        <x:v>0</x:v>
      </x:c>
      <x:c r="K693" s="12" t="n">
        <x:v>0</x:v>
      </x:c>
      <x:c r="L693" s="12" t="n">
        <x:v>0</x:v>
      </x:c>
      <x:c r="M693" s="2" t="str">
        <x:v>持有</x:v>
      </x:c>
    </x:row>
    <x:row r="694" ht="23" customHeight="1">
      <x:c r="A694" s="11" t="d">
        <x:v>2017-09-26T00:00:00.000Z</x:v>
      </x:c>
      <x:c r="B694" s="12" t="n">
        <x:v>162.72926</x:v>
      </x:c>
      <x:c r="C694" s="13" t="n">
        <x:v>353</x:v>
      </x:c>
      <x:c r="D694" s="12" t="n">
        <x:v>87925.24</x:v>
      </x:c>
      <x:c r="E694" s="12" t="n">
        <x:v>435.804622</x:v>
      </x:c>
      <x:c r="F694" s="12" t="n">
        <x:f>SUM(B694,D694:E694)</x:f>
        <x:v>88523.773882</x:v>
      </x:c>
      <x:c r="G694" s="12" t="n">
        <x:f>MAX(G693,F694)</x:f>
        <x:v>100000</x:v>
      </x:c>
      <x:c r="H694" s="14" t="n">
        <x:f>F694/G694-1</x:f>
        <x:v>-0.1147622611800001</x:v>
      </x:c>
      <x:c r="I694" s="14" t="n">
        <x:f>F694/F693-1</x:f>
        <x:v>0.0005985023952146395</x:v>
      </x:c>
      <x:c r="J694" s="12" t="n">
        <x:v>0</x:v>
      </x:c>
      <x:c r="K694" s="12" t="n">
        <x:v>0</x:v>
      </x:c>
      <x:c r="L694" s="12" t="n">
        <x:v>0</x:v>
      </x:c>
      <x:c r="M694" s="2" t="str">
        <x:v>持有</x:v>
      </x:c>
    </x:row>
    <x:row r="695" ht="23" customHeight="1">
      <x:c r="A695" s="11" t="d">
        <x:v>2017-09-27T00:00:00.000Z</x:v>
      </x:c>
      <x:c r="B695" s="12" t="n">
        <x:v>162.72926</x:v>
      </x:c>
      <x:c r="C695" s="13" t="n">
        <x:v>353</x:v>
      </x:c>
      <x:c r="D695" s="12" t="n">
        <x:v>88267.65000000001</x:v>
      </x:c>
      <x:c r="E695" s="12" t="n">
        <x:v>435.804622</x:v>
      </x:c>
      <x:c r="F695" s="12" t="n">
        <x:f>SUM(B695,D695:E695)</x:f>
        <x:v>88866.183882</x:v>
      </x:c>
      <x:c r="G695" s="12" t="n">
        <x:f>MAX(G694,F695)</x:f>
        <x:v>100000</x:v>
      </x:c>
      <x:c r="H695" s="14" t="n">
        <x:f>F695/G695-1</x:f>
        <x:v>-0.11133816118000006</x:v>
      </x:c>
      <x:c r="I695" s="14" t="n">
        <x:f>F695/F694-1</x:f>
        <x:v>0.003868000481502598</x:v>
      </x:c>
      <x:c r="J695" s="12" t="n">
        <x:v>0</x:v>
      </x:c>
      <x:c r="K695" s="12" t="n">
        <x:v>0</x:v>
      </x:c>
      <x:c r="L695" s="12" t="n">
        <x:v>0</x:v>
      </x:c>
      <x:c r="M695" s="2" t="str">
        <x:v>持有</x:v>
      </x:c>
    </x:row>
    <x:row r="696" ht="23" customHeight="1">
      <x:c r="A696" s="11" t="d">
        <x:v>2017-09-28T00:00:00.000Z</x:v>
      </x:c>
      <x:c r="B696" s="12" t="n">
        <x:v>162.72926</x:v>
      </x:c>
      <x:c r="C696" s="13" t="n">
        <x:v>353</x:v>
      </x:c>
      <x:c r="D696" s="12" t="n">
        <x:v>88373.55</x:v>
      </x:c>
      <x:c r="E696" s="12" t="n">
        <x:v>435.804622</x:v>
      </x:c>
      <x:c r="F696" s="12" t="n">
        <x:f>SUM(B696,D696:E696)</x:f>
        <x:v>88972.08388199999</x:v>
      </x:c>
      <x:c r="G696" s="12" t="n">
        <x:f>MAX(G695,F696)</x:f>
        <x:v>100000</x:v>
      </x:c>
      <x:c r="H696" s="14" t="n">
        <x:f>F696/G696-1</x:f>
        <x:v>-0.11027916118000003</x:v>
      </x:c>
      <x:c r="I696" s="14" t="n">
        <x:f>F696/F695-1</x:f>
        <x:v>0.0011916793922490676</x:v>
      </x:c>
      <x:c r="J696" s="12" t="n">
        <x:v>0</x:v>
      </x:c>
      <x:c r="K696" s="12" t="n">
        <x:v>0</x:v>
      </x:c>
      <x:c r="L696" s="12" t="n">
        <x:v>0</x:v>
      </x:c>
      <x:c r="M696" s="2" t="str">
        <x:v>持有</x:v>
      </x:c>
    </x:row>
    <x:row r="697" ht="23" customHeight="1">
      <x:c r="A697" s="11" t="d">
        <x:v>2017-09-29T00:00:00.000Z</x:v>
      </x:c>
      <x:c r="B697" s="12" t="n">
        <x:v>162.72926</x:v>
      </x:c>
      <x:c r="C697" s="13" t="n">
        <x:v>353</x:v>
      </x:c>
      <x:c r="D697" s="12" t="n">
        <x:v>88684.19</x:v>
      </x:c>
      <x:c r="E697" s="12" t="n">
        <x:v>435.804622</x:v>
      </x:c>
      <x:c r="F697" s="12" t="n">
        <x:f>SUM(B697,D697:E697)</x:f>
        <x:v>89282.72388199999</x:v>
      </x:c>
      <x:c r="G697" s="12" t="n">
        <x:f>MAX(G696,F697)</x:f>
        <x:v>100000</x:v>
      </x:c>
      <x:c r="H697" s="14" t="n">
        <x:f>F697/G697-1</x:f>
        <x:v>-0.10717276118000008</x:v>
      </x:c>
      <x:c r="I697" s="14" t="n">
        <x:f>F697/F696-1</x:f>
        <x:v>0.003491432216109258</x:v>
      </x:c>
      <x:c r="J697" s="12" t="n">
        <x:v>0</x:v>
      </x:c>
      <x:c r="K697" s="12" t="n">
        <x:v>0</x:v>
      </x:c>
      <x:c r="L697" s="12" t="n">
        <x:v>0</x:v>
      </x:c>
      <x:c r="M697" s="2" t="str">
        <x:v>持有</x:v>
      </x:c>
    </x:row>
    <x:row r="698" ht="23" customHeight="1">
      <x:c r="A698" s="11" t="d">
        <x:v>2017-10-02T00:00:00.000Z</x:v>
      </x:c>
      <x:c r="B698" s="12" t="n">
        <x:v>162.72926</x:v>
      </x:c>
      <x:c r="C698" s="13" t="n">
        <x:v>353</x:v>
      </x:c>
      <x:c r="D698" s="12" t="n">
        <x:v>89068.95999999999</x:v>
      </x:c>
      <x:c r="E698" s="12" t="n">
        <x:v>435.804622</x:v>
      </x:c>
      <x:c r="F698" s="12" t="n">
        <x:f>SUM(B698,D698:E698)</x:f>
        <x:v>89667.49388199998</x:v>
      </x:c>
      <x:c r="G698" s="12" t="n">
        <x:f>MAX(G697,F698)</x:f>
        <x:v>100000</x:v>
      </x:c>
      <x:c r="H698" s="14" t="n">
        <x:f>F698/G698-1</x:f>
        <x:v>-0.10332506118000018</x:v>
      </x:c>
      <x:c r="I698" s="14" t="n">
        <x:f>F698/F697-1</x:f>
        <x:v>0.004309568338310532</x:v>
      </x:c>
      <x:c r="J698" s="12" t="n">
        <x:v>0</x:v>
      </x:c>
      <x:c r="K698" s="12" t="n">
        <x:v>0</x:v>
      </x:c>
      <x:c r="L698" s="12" t="n">
        <x:v>0</x:v>
      </x:c>
      <x:c r="M698" s="2" t="str">
        <x:v>持有</x:v>
      </x:c>
    </x:row>
    <x:row r="699" ht="23" customHeight="1">
      <x:c r="A699" s="11" t="d">
        <x:v>2017-10-03T00:00:00.000Z</x:v>
      </x:c>
      <x:c r="B699" s="12" t="n">
        <x:v>162.72926</x:v>
      </x:c>
      <x:c r="C699" s="13" t="n">
        <x:v>353</x:v>
      </x:c>
      <x:c r="D699" s="12" t="n">
        <x:v>89259.58</x:v>
      </x:c>
      <x:c r="E699" s="12" t="n">
        <x:v>435.804622</x:v>
      </x:c>
      <x:c r="F699" s="12" t="n">
        <x:f>SUM(B699,D699:E699)</x:f>
        <x:v>89858.11388199999</x:v>
      </x:c>
      <x:c r="G699" s="12" t="n">
        <x:f>MAX(G698,F699)</x:f>
        <x:v>100000</x:v>
      </x:c>
      <x:c r="H699" s="14" t="n">
        <x:f>F699/G699-1</x:f>
        <x:v>-0.1014188611800001</x:v>
      </x:c>
      <x:c r="I699" s="14" t="n">
        <x:f>F699/F698-1</x:f>
        <x:v>0.002125853993988791</x:v>
      </x:c>
      <x:c r="J699" s="12" t="n">
        <x:v>0</x:v>
      </x:c>
      <x:c r="K699" s="12" t="n">
        <x:v>0</x:v>
      </x:c>
      <x:c r="L699" s="12" t="n">
        <x:v>0</x:v>
      </x:c>
      <x:c r="M699" s="2" t="str">
        <x:v>持有</x:v>
      </x:c>
    </x:row>
    <x:row r="700" ht="23" customHeight="1">
      <x:c r="A700" s="11" t="d">
        <x:v>2017-10-04T00:00:00.000Z</x:v>
      </x:c>
      <x:c r="B700" s="12" t="n">
        <x:v>162.72926</x:v>
      </x:c>
      <x:c r="C700" s="13" t="n">
        <x:v>353</x:v>
      </x:c>
      <x:c r="D700" s="12" t="n">
        <x:v>89365.48</x:v>
      </x:c>
      <x:c r="E700" s="12" t="n">
        <x:v>435.804622</x:v>
      </x:c>
      <x:c r="F700" s="12" t="n">
        <x:f>SUM(B700,D700:E700)</x:f>
        <x:v>89964.01388199998</x:v>
      </x:c>
      <x:c r="G700" s="12" t="n">
        <x:f>MAX(G699,F700)</x:f>
        <x:v>100000</x:v>
      </x:c>
      <x:c r="H700" s="14" t="n">
        <x:f>F700/G700-1</x:f>
        <x:v>-0.10035986118000018</x:v>
      </x:c>
      <x:c r="I700" s="14" t="n">
        <x:f>F700/F699-1</x:f>
        <x:v>0.0011785246253783743</x:v>
      </x:c>
      <x:c r="J700" s="12" t="n">
        <x:v>0</x:v>
      </x:c>
      <x:c r="K700" s="12" t="n">
        <x:v>0</x:v>
      </x:c>
      <x:c r="L700" s="12" t="n">
        <x:v>0</x:v>
      </x:c>
      <x:c r="M700" s="2" t="str">
        <x:v>持有</x:v>
      </x:c>
    </x:row>
    <x:row r="701" ht="23" customHeight="1">
      <x:c r="A701" s="11" t="d">
        <x:v>2017-10-05T00:00:00.000Z</x:v>
      </x:c>
      <x:c r="B701" s="12" t="n">
        <x:v>162.72926</x:v>
      </x:c>
      <x:c r="C701" s="13" t="n">
        <x:v>353</x:v>
      </x:c>
      <x:c r="D701" s="12" t="n">
        <x:v>89894.98</x:v>
      </x:c>
      <x:c r="E701" s="12" t="n">
        <x:v>435.804622</x:v>
      </x:c>
      <x:c r="F701" s="12" t="n">
        <x:f>SUM(B701,D701:E701)</x:f>
        <x:v>90493.51388199998</x:v>
      </x:c>
      <x:c r="G701" s="12" t="n">
        <x:f>MAX(G700,F701)</x:f>
        <x:v>100000</x:v>
      </x:c>
      <x:c r="H701" s="14" t="n">
        <x:f>F701/G701-1</x:f>
        <x:v>-0.09506486118000013</x:v>
      </x:c>
      <x:c r="I701" s="14" t="n">
        <x:f>F701/F700-1</x:f>
        <x:v>0.00588568670017886</x:v>
      </x:c>
      <x:c r="J701" s="12" t="n">
        <x:v>0</x:v>
      </x:c>
      <x:c r="K701" s="12" t="n">
        <x:v>0</x:v>
      </x:c>
      <x:c r="L701" s="12" t="n">
        <x:v>0</x:v>
      </x:c>
      <x:c r="M701" s="2" t="str">
        <x:v>持有</x:v>
      </x:c>
    </x:row>
    <x:row r="702" ht="23" customHeight="1">
      <x:c r="A702" s="11" t="d">
        <x:v>2017-10-06T00:00:00.000Z</x:v>
      </x:c>
      <x:c r="B702" s="12" t="n">
        <x:v>162.72926</x:v>
      </x:c>
      <x:c r="C702" s="13" t="n">
        <x:v>353</x:v>
      </x:c>
      <x:c r="D702" s="12" t="n">
        <x:v>89792.61</x:v>
      </x:c>
      <x:c r="E702" s="12" t="n">
        <x:v>435.804622</x:v>
      </x:c>
      <x:c r="F702" s="12" t="n">
        <x:f>SUM(B702,D702:E702)</x:f>
        <x:v>90391.14388199999</x:v>
      </x:c>
      <x:c r="G702" s="12" t="n">
        <x:f>MAX(G701,F702)</x:f>
        <x:v>100000</x:v>
      </x:c>
      <x:c r="H702" s="14" t="n">
        <x:f>F702/G702-1</x:f>
        <x:v>-0.09608856118000009</x:v>
      </x:c>
      <x:c r="I702" s="14" t="n">
        <x:f>F702/F701-1</x:f>
        <x:v>-0.0011312412968457197</x:v>
      </x:c>
      <x:c r="J702" s="12" t="n">
        <x:v>0</x:v>
      </x:c>
      <x:c r="K702" s="12" t="n">
        <x:v>0</x:v>
      </x:c>
      <x:c r="L702" s="12" t="n">
        <x:v>0</x:v>
      </x:c>
      <x:c r="M702" s="2" t="str">
        <x:v>持有</x:v>
      </x:c>
    </x:row>
    <x:row r="703" ht="23" customHeight="1">
      <x:c r="A703" s="11" t="d">
        <x:v>2017-10-09T00:00:00.000Z</x:v>
      </x:c>
      <x:c r="B703" s="12" t="n">
        <x:v>162.72926</x:v>
      </x:c>
      <x:c r="C703" s="13" t="n">
        <x:v>353</x:v>
      </x:c>
      <x:c r="D703" s="12" t="n">
        <x:v>89644.34999999999</x:v>
      </x:c>
      <x:c r="E703" s="12" t="n">
        <x:v>435.804622</x:v>
      </x:c>
      <x:c r="F703" s="12" t="n">
        <x:f>SUM(B703,D703:E703)</x:f>
        <x:v>90242.88388199998</x:v>
      </x:c>
      <x:c r="G703" s="12" t="n">
        <x:f>MAX(G702,F703)</x:f>
        <x:v>100000</x:v>
      </x:c>
      <x:c r="H703" s="14" t="n">
        <x:f>F703/G703-1</x:f>
        <x:v>-0.0975711611800002</x:v>
      </x:c>
      <x:c r="I703" s="14" t="n">
        <x:f>F703/F702-1</x:f>
        <x:v>-0.0016402049319517165</x:v>
      </x:c>
      <x:c r="J703" s="12" t="n">
        <x:v>0</x:v>
      </x:c>
      <x:c r="K703" s="12" t="n">
        <x:v>0</x:v>
      </x:c>
      <x:c r="L703" s="12" t="n">
        <x:v>0</x:v>
      </x:c>
      <x:c r="M703" s="2" t="str">
        <x:v>持有</x:v>
      </x:c>
    </x:row>
    <x:row r="704" ht="23" customHeight="1">
      <x:c r="A704" s="11" t="d">
        <x:v>2017-10-10T00:00:00.000Z</x:v>
      </x:c>
      <x:c r="B704" s="12" t="n">
        <x:v>162.72926</x:v>
      </x:c>
      <x:c r="C704" s="13" t="n">
        <x:v>353</x:v>
      </x:c>
      <x:c r="D704" s="12" t="n">
        <x:v>89880.86</x:v>
      </x:c>
      <x:c r="E704" s="12" t="n">
        <x:v>435.804622</x:v>
      </x:c>
      <x:c r="F704" s="12" t="n">
        <x:f>SUM(B704,D704:E704)</x:f>
        <x:v>90479.39388199999</x:v>
      </x:c>
      <x:c r="G704" s="12" t="n">
        <x:f>MAX(G703,F704)</x:f>
        <x:v>100000</x:v>
      </x:c>
      <x:c r="H704" s="14" t="n">
        <x:f>F704/G704-1</x:f>
        <x:v>-0.09520606118000008</x:v>
      </x:c>
      <x:c r="I704" s="14" t="n">
        <x:f>F704/F703-1</x:f>
        <x:v>0.0026208160668852454</x:v>
      </x:c>
      <x:c r="J704" s="12" t="n">
        <x:v>0</x:v>
      </x:c>
      <x:c r="K704" s="12" t="n">
        <x:v>0</x:v>
      </x:c>
      <x:c r="L704" s="12" t="n">
        <x:v>0</x:v>
      </x:c>
      <x:c r="M704" s="2" t="str">
        <x:v>持有</x:v>
      </x:c>
    </x:row>
    <x:row r="705" ht="23" customHeight="1">
      <x:c r="A705" s="11" t="d">
        <x:v>2017-10-11T00:00:00.000Z</x:v>
      </x:c>
      <x:c r="B705" s="12" t="n">
        <x:v>162.72926</x:v>
      </x:c>
      <x:c r="C705" s="13" t="n">
        <x:v>353</x:v>
      </x:c>
      <x:c r="D705" s="12" t="n">
        <x:v>90022.06</x:v>
      </x:c>
      <x:c r="E705" s="12" t="n">
        <x:v>435.804622</x:v>
      </x:c>
      <x:c r="F705" s="12" t="n">
        <x:f>SUM(B705,D705:E705)</x:f>
        <x:v>90620.59388199999</x:v>
      </x:c>
      <x:c r="G705" s="12" t="n">
        <x:f>MAX(G704,F705)</x:f>
        <x:v>100000</x:v>
      </x:c>
      <x:c r="H705" s="14" t="n">
        <x:f>F705/G705-1</x:f>
        <x:v>-0.09379406118000011</x:v>
      </x:c>
      <x:c r="I705" s="14" t="n">
        <x:f>F705/F704-1</x:f>
        <x:v>0.001560576325081664</x:v>
      </x:c>
      <x:c r="J705" s="12" t="n">
        <x:v>0</x:v>
      </x:c>
      <x:c r="K705" s="12" t="n">
        <x:v>0</x:v>
      </x:c>
      <x:c r="L705" s="12" t="n">
        <x:v>0</x:v>
      </x:c>
      <x:c r="M705" s="2" t="str">
        <x:v>持有</x:v>
      </x:c>
    </x:row>
    <x:row r="706" ht="23" customHeight="1">
      <x:c r="A706" s="11" t="d">
        <x:v>2017-10-12T00:00:00.000Z</x:v>
      </x:c>
      <x:c r="B706" s="12" t="n">
        <x:v>162.72926</x:v>
      </x:c>
      <x:c r="C706" s="13" t="n">
        <x:v>353</x:v>
      </x:c>
      <x:c r="D706" s="12" t="n">
        <x:v>89887.92</x:v>
      </x:c>
      <x:c r="E706" s="12" t="n">
        <x:v>435.804622</x:v>
      </x:c>
      <x:c r="F706" s="12" t="n">
        <x:f>SUM(B706,D706:E706)</x:f>
        <x:v>90486.45388199999</x:v>
      </x:c>
      <x:c r="G706" s="12" t="n">
        <x:f>MAX(G705,F706)</x:f>
        <x:v>100000</x:v>
      </x:c>
      <x:c r="H706" s="14" t="n">
        <x:f>F706/G706-1</x:f>
        <x:v>-0.09513546118000016</x:v>
      </x:c>
      <x:c r="I706" s="14" t="n">
        <x:f>F706/F705-1</x:f>
        <x:v>-0.0014802374852527223</x:v>
      </x:c>
      <x:c r="J706" s="12" t="n">
        <x:v>0</x:v>
      </x:c>
      <x:c r="K706" s="12" t="n">
        <x:v>0</x:v>
      </x:c>
      <x:c r="L706" s="12" t="n">
        <x:v>0</x:v>
      </x:c>
      <x:c r="M706" s="2" t="str">
        <x:v>持有</x:v>
      </x:c>
    </x:row>
    <x:row r="707" ht="23" customHeight="1">
      <x:c r="A707" s="11" t="d">
        <x:v>2017-10-13T00:00:00.000Z</x:v>
      </x:c>
      <x:c r="B707" s="12" t="n">
        <x:v>162.72926</x:v>
      </x:c>
      <x:c r="C707" s="13" t="n">
        <x:v>353</x:v>
      </x:c>
      <x:c r="D707" s="12" t="n">
        <x:v>89997.34999999999</x:v>
      </x:c>
      <x:c r="E707" s="12" t="n">
        <x:v>435.804622</x:v>
      </x:c>
      <x:c r="F707" s="12" t="n">
        <x:f>SUM(B707,D707:E707)</x:f>
        <x:v>90595.88388199998</x:v>
      </x:c>
      <x:c r="G707" s="12" t="n">
        <x:f>MAX(G706,F707)</x:f>
        <x:v>100000</x:v>
      </x:c>
      <x:c r="H707" s="14" t="n">
        <x:f>F707/G707-1</x:f>
        <x:v>-0.09404116118000017</x:v>
      </x:c>
      <x:c r="I707" s="14" t="n">
        <x:f>F707/F706-1</x:f>
        <x:v>0.0012093522876108764</x:v>
      </x:c>
      <x:c r="J707" s="12" t="n">
        <x:v>0</x:v>
      </x:c>
      <x:c r="K707" s="12" t="n">
        <x:v>0</x:v>
      </x:c>
      <x:c r="L707" s="12" t="n">
        <x:v>0</x:v>
      </x:c>
      <x:c r="M707" s="2" t="str">
        <x:v>持有</x:v>
      </x:c>
    </x:row>
    <x:row r="708" ht="23" customHeight="1">
      <x:c r="A708" s="11" t="d">
        <x:v>2017-10-16T00:00:00.000Z</x:v>
      </x:c>
      <x:c r="B708" s="12" t="n">
        <x:v>162.72926</x:v>
      </x:c>
      <x:c r="C708" s="13" t="n">
        <x:v>353</x:v>
      </x:c>
      <x:c r="D708" s="12" t="n">
        <x:v>90117.37</x:v>
      </x:c>
      <x:c r="E708" s="12" t="n">
        <x:v>435.804622</x:v>
      </x:c>
      <x:c r="F708" s="12" t="n">
        <x:f>SUM(B708,D708:E708)</x:f>
        <x:v>90715.90388199998</x:v>
      </x:c>
      <x:c r="G708" s="12" t="n">
        <x:f>MAX(G707,F708)</x:f>
        <x:v>100000</x:v>
      </x:c>
      <x:c r="H708" s="14" t="n">
        <x:f>F708/G708-1</x:f>
        <x:v>-0.09284096118000018</x:v>
      </x:c>
      <x:c r="I708" s="14" t="n">
        <x:f>F708/F707-1</x:f>
        <x:v>0.0013247842490982098</x:v>
      </x:c>
      <x:c r="J708" s="12" t="n">
        <x:v>0</x:v>
      </x:c>
      <x:c r="K708" s="12" t="n">
        <x:v>0</x:v>
      </x:c>
      <x:c r="L708" s="12" t="n">
        <x:v>0</x:v>
      </x:c>
      <x:c r="M708" s="2" t="str">
        <x:v>持有</x:v>
      </x:c>
    </x:row>
    <x:row r="709" ht="23" customHeight="1">
      <x:c r="A709" s="11" t="d">
        <x:v>2017-10-17T00:00:00.000Z</x:v>
      </x:c>
      <x:c r="B709" s="12" t="n">
        <x:v>162.72926</x:v>
      </x:c>
      <x:c r="C709" s="13" t="n">
        <x:v>353</x:v>
      </x:c>
      <x:c r="D709" s="12" t="n">
        <x:v>90180.91</x:v>
      </x:c>
      <x:c r="E709" s="12" t="n">
        <x:v>435.804622</x:v>
      </x:c>
      <x:c r="F709" s="12" t="n">
        <x:f>SUM(B709,D709:E709)</x:f>
        <x:v>90779.44388199999</x:v>
      </x:c>
      <x:c r="G709" s="12" t="n">
        <x:f>MAX(G708,F709)</x:f>
        <x:v>100000</x:v>
      </x:c>
      <x:c r="H709" s="14" t="n">
        <x:f>F709/G709-1</x:f>
        <x:v>-0.09220556118000012</x:v>
      </x:c>
      <x:c r="I709" s="14" t="n">
        <x:f>F709/F708-1</x:f>
        <x:v>0.0007004284505907066</x:v>
      </x:c>
      <x:c r="J709" s="12" t="n">
        <x:v>0</x:v>
      </x:c>
      <x:c r="K709" s="12" t="n">
        <x:v>0</x:v>
      </x:c>
      <x:c r="L709" s="12" t="n">
        <x:v>0</x:v>
      </x:c>
      <x:c r="M709" s="2" t="str">
        <x:v>持有</x:v>
      </x:c>
    </x:row>
    <x:row r="710" ht="23" customHeight="1">
      <x:c r="A710" s="11" t="d">
        <x:v>2017-10-18T00:00:00.000Z</x:v>
      </x:c>
      <x:c r="B710" s="12" t="n">
        <x:v>162.72926</x:v>
      </x:c>
      <x:c r="C710" s="13" t="n">
        <x:v>353</x:v>
      </x:c>
      <x:c r="D710" s="12" t="n">
        <x:v>90269.16</x:v>
      </x:c>
      <x:c r="E710" s="12" t="n">
        <x:v>435.804622</x:v>
      </x:c>
      <x:c r="F710" s="12" t="n">
        <x:f>SUM(B710,D710:E710)</x:f>
        <x:v>90867.69388199999</x:v>
      </x:c>
      <x:c r="G710" s="12" t="n">
        <x:f>MAX(G709,F710)</x:f>
        <x:v>100000</x:v>
      </x:c>
      <x:c r="H710" s="14" t="n">
        <x:f>F710/G710-1</x:f>
        <x:v>-0.09132306118000011</x:v>
      </x:c>
      <x:c r="I710" s="14" t="n">
        <x:f>F710/F709-1</x:f>
        <x:v>0.0009721363805081928</x:v>
      </x:c>
      <x:c r="J710" s="12" t="n">
        <x:v>0</x:v>
      </x:c>
      <x:c r="K710" s="12" t="n">
        <x:v>0</x:v>
      </x:c>
      <x:c r="L710" s="12" t="n">
        <x:v>0</x:v>
      </x:c>
      <x:c r="M710" s="2" t="str">
        <x:v>持有</x:v>
      </x:c>
    </x:row>
    <x:row r="711" ht="23" customHeight="1">
      <x:c r="A711" s="11" t="d">
        <x:v>2017-10-19T00:00:00.000Z</x:v>
      </x:c>
      <x:c r="B711" s="12" t="n">
        <x:v>162.72926</x:v>
      </x:c>
      <x:c r="C711" s="13" t="n">
        <x:v>353</x:v>
      </x:c>
      <x:c r="D711" s="12" t="n">
        <x:v>90293.87</x:v>
      </x:c>
      <x:c r="E711" s="12" t="n">
        <x:v>435.804622</x:v>
      </x:c>
      <x:c r="F711" s="12" t="n">
        <x:f>SUM(B711,D711:E711)</x:f>
        <x:v>90892.40388199998</x:v>
      </x:c>
      <x:c r="G711" s="12" t="n">
        <x:f>MAX(G710,F711)</x:f>
        <x:v>100000</x:v>
      </x:c>
      <x:c r="H711" s="14" t="n">
        <x:f>F711/G711-1</x:f>
        <x:v>-0.09107596118000016</x:v>
      </x:c>
      <x:c r="I711" s="14" t="n">
        <x:f>F711/F710-1</x:f>
        <x:v>0.0002719338297731966</x:v>
      </x:c>
      <x:c r="J711" s="12" t="n">
        <x:v>0</x:v>
      </x:c>
      <x:c r="K711" s="12" t="n">
        <x:v>0</x:v>
      </x:c>
      <x:c r="L711" s="12" t="n">
        <x:v>0</x:v>
      </x:c>
      <x:c r="M711" s="2" t="str">
        <x:v>持有</x:v>
      </x:c>
    </x:row>
    <x:row r="712" ht="23" customHeight="1">
      <x:c r="A712" s="11" t="d">
        <x:v>2017-10-20T00:00:00.000Z</x:v>
      </x:c>
      <x:c r="B712" s="12" t="n">
        <x:v>162.72926</x:v>
      </x:c>
      <x:c r="C712" s="13" t="n">
        <x:v>353</x:v>
      </x:c>
      <x:c r="D712" s="12" t="n">
        <x:v>90759.83</x:v>
      </x:c>
      <x:c r="E712" s="12" t="n">
        <x:v>435.804622</x:v>
      </x:c>
      <x:c r="F712" s="12" t="n">
        <x:f>SUM(B712,D712:E712)</x:f>
        <x:v>91358.36388199999</x:v>
      </x:c>
      <x:c r="G712" s="12" t="n">
        <x:f>MAX(G711,F712)</x:f>
        <x:v>100000</x:v>
      </x:c>
      <x:c r="H712" s="14" t="n">
        <x:f>F712/G712-1</x:f>
        <x:v>-0.08641636118000007</x:v>
      </x:c>
      <x:c r="I712" s="14" t="n">
        <x:f>F712/F711-1</x:f>
        <x:v>0.005126501006673001</x:v>
      </x:c>
      <x:c r="J712" s="12" t="n">
        <x:v>0</x:v>
      </x:c>
      <x:c r="K712" s="12" t="n">
        <x:v>0</x:v>
      </x:c>
      <x:c r="L712" s="12" t="n">
        <x:v>0</x:v>
      </x:c>
      <x:c r="M712" s="2" t="str">
        <x:v>持有</x:v>
      </x:c>
    </x:row>
    <x:row r="713" ht="23" customHeight="1">
      <x:c r="A713" s="11" t="d">
        <x:v>2017-10-23T00:00:00.000Z</x:v>
      </x:c>
      <x:c r="B713" s="12" t="n">
        <x:v>162.72926</x:v>
      </x:c>
      <x:c r="C713" s="13" t="n">
        <x:v>353</x:v>
      </x:c>
      <x:c r="D713" s="12" t="n">
        <x:v>90406.83</x:v>
      </x:c>
      <x:c r="E713" s="12" t="n">
        <x:v>435.804622</x:v>
      </x:c>
      <x:c r="F713" s="12" t="n">
        <x:f>SUM(B713,D713:E713)</x:f>
        <x:v>91005.36388199999</x:v>
      </x:c>
      <x:c r="G713" s="12" t="n">
        <x:f>MAX(G712,F713)</x:f>
        <x:v>100000</x:v>
      </x:c>
      <x:c r="H713" s="14" t="n">
        <x:f>F713/G713-1</x:f>
        <x:v>-0.0899463611800001</x:v>
      </x:c>
      <x:c r="I713" s="14" t="n">
        <x:f>F713/F712-1</x:f>
        <x:v>-0.003863904573159216</x:v>
      </x:c>
      <x:c r="J713" s="12" t="n">
        <x:v>0</x:v>
      </x:c>
      <x:c r="K713" s="12" t="n">
        <x:v>0</x:v>
      </x:c>
      <x:c r="L713" s="12" t="n">
        <x:v>0</x:v>
      </x:c>
      <x:c r="M713" s="2" t="str">
        <x:v>持有</x:v>
      </x:c>
    </x:row>
    <x:row r="714" ht="23" customHeight="1">
      <x:c r="A714" s="11" t="d">
        <x:v>2017-10-24T00:00:00.000Z</x:v>
      </x:c>
      <x:c r="B714" s="12" t="n">
        <x:v>162.72926</x:v>
      </x:c>
      <x:c r="C714" s="13" t="n">
        <x:v>353</x:v>
      </x:c>
      <x:c r="D714" s="12" t="n">
        <x:v>90565.68000000001</x:v>
      </x:c>
      <x:c r="E714" s="12" t="n">
        <x:v>435.804622</x:v>
      </x:c>
      <x:c r="F714" s="12" t="n">
        <x:f>SUM(B714,D714:E714)</x:f>
        <x:v>91164.213882</x:v>
      </x:c>
      <x:c r="G714" s="12" t="n">
        <x:f>MAX(G713,F714)</x:f>
        <x:v>100000</x:v>
      </x:c>
      <x:c r="H714" s="14" t="n">
        <x:f>F714/G714-1</x:f>
        <x:v>-0.08835786118</x:v>
      </x:c>
      <x:c r="I714" s="14" t="n">
        <x:f>F714/F713-1</x:f>
        <x:v>0.0017455015091853987</x:v>
      </x:c>
      <x:c r="J714" s="12" t="n">
        <x:v>0</x:v>
      </x:c>
      <x:c r="K714" s="12" t="n">
        <x:v>0</x:v>
      </x:c>
      <x:c r="L714" s="12" t="n">
        <x:v>0</x:v>
      </x:c>
      <x:c r="M714" s="2" t="str">
        <x:v>持有</x:v>
      </x:c>
    </x:row>
    <x:row r="715" ht="23" customHeight="1">
      <x:c r="A715" s="11" t="d">
        <x:v>2017-10-25T00:00:00.000Z</x:v>
      </x:c>
      <x:c r="B715" s="12" t="n">
        <x:v>162.72926</x:v>
      </x:c>
      <x:c r="C715" s="13" t="n">
        <x:v>353</x:v>
      </x:c>
      <x:c r="D715" s="12" t="n">
        <x:v>90117.37</x:v>
      </x:c>
      <x:c r="E715" s="12" t="n">
        <x:v>435.804622</x:v>
      </x:c>
      <x:c r="F715" s="12" t="n">
        <x:f>SUM(B715,D715:E715)</x:f>
        <x:v>90715.90388199998</x:v>
      </x:c>
      <x:c r="G715" s="12" t="n">
        <x:f>MAX(G714,F715)</x:f>
        <x:v>100000</x:v>
      </x:c>
      <x:c r="H715" s="14" t="n">
        <x:f>F715/G715-1</x:f>
        <x:v>-0.09284096118000018</x:v>
      </x:c>
      <x:c r="I715" s="14" t="n">
        <x:f>F715/F714-1</x:f>
        <x:v>-0.004917609453423122</x:v>
      </x:c>
      <x:c r="J715" s="12" t="n">
        <x:v>0</x:v>
      </x:c>
      <x:c r="K715" s="12" t="n">
        <x:v>0</x:v>
      </x:c>
      <x:c r="L715" s="12" t="n">
        <x:v>0</x:v>
      </x:c>
      <x:c r="M715" s="2" t="str">
        <x:v>持有</x:v>
      </x:c>
    </x:row>
    <x:row r="716" ht="23" customHeight="1">
      <x:c r="A716" s="11" t="d">
        <x:v>2017-10-26T00:00:00.000Z</x:v>
      </x:c>
      <x:c r="B716" s="12" t="n">
        <x:v>162.72926</x:v>
      </x:c>
      <x:c r="C716" s="13" t="n">
        <x:v>353</x:v>
      </x:c>
      <x:c r="D716" s="12" t="n">
        <x:v>90233.86</x:v>
      </x:c>
      <x:c r="E716" s="12" t="n">
        <x:v>435.804622</x:v>
      </x:c>
      <x:c r="F716" s="12" t="n">
        <x:f>SUM(B716,D716:E716)</x:f>
        <x:v>90832.39388199999</x:v>
      </x:c>
      <x:c r="G716" s="12" t="n">
        <x:f>MAX(G715,F716)</x:f>
        <x:v>100000</x:v>
      </x:c>
      <x:c r="H716" s="14" t="n">
        <x:f>F716/G716-1</x:f>
        <x:v>-0.09167606118000016</x:v>
      </x:c>
      <x:c r="I716" s="14" t="n">
        <x:f>F716/F715-1</x:f>
        <x:v>0.001284118826082814</x:v>
      </x:c>
      <x:c r="J716" s="12" t="n">
        <x:v>0</x:v>
      </x:c>
      <x:c r="K716" s="12" t="n">
        <x:v>0</x:v>
      </x:c>
      <x:c r="L716" s="12" t="n">
        <x:v>0</x:v>
      </x:c>
      <x:c r="M716" s="2" t="str">
        <x:v>持有</x:v>
      </x:c>
    </x:row>
    <x:row r="717" ht="23" customHeight="1">
      <x:c r="A717" s="11" t="d">
        <x:v>2017-10-27T00:00:00.000Z</x:v>
      </x:c>
      <x:c r="B717" s="12" t="n">
        <x:v>162.72926</x:v>
      </x:c>
      <x:c r="C717" s="13" t="n">
        <x:v>353</x:v>
      </x:c>
      <x:c r="D717" s="12" t="n">
        <x:v>90971.62999999999</x:v>
      </x:c>
      <x:c r="E717" s="12" t="n">
        <x:v>435.804622</x:v>
      </x:c>
      <x:c r="F717" s="12" t="n">
        <x:f>SUM(B717,D717:E717)</x:f>
        <x:v>91570.16388199998</x:v>
      </x:c>
      <x:c r="G717" s="12" t="n">
        <x:f>MAX(G716,F717)</x:f>
        <x:v>100000</x:v>
      </x:c>
      <x:c r="H717" s="14" t="n">
        <x:f>F717/G717-1</x:f>
        <x:v>-0.08429836118000023</x:v>
      </x:c>
      <x:c r="I717" s="14" t="n">
        <x:f>F717/F716-1</x:f>
        <x:v>0.00812232253790901</x:v>
      </x:c>
      <x:c r="J717" s="12" t="n">
        <x:v>0</x:v>
      </x:c>
      <x:c r="K717" s="12" t="n">
        <x:v>0</x:v>
      </x:c>
      <x:c r="L717" s="12" t="n">
        <x:v>0</x:v>
      </x:c>
      <x:c r="M717" s="2" t="str">
        <x:v>持有</x:v>
      </x:c>
    </x:row>
    <x:row r="718" ht="23" customHeight="1">
      <x:c r="A718" s="11" t="d">
        <x:v>2017-10-30T00:00:00.000Z</x:v>
      </x:c>
      <x:c r="B718" s="12" t="n">
        <x:v>162.72926</x:v>
      </x:c>
      <x:c r="C718" s="13" t="n">
        <x:v>353</x:v>
      </x:c>
      <x:c r="D718" s="12" t="n">
        <x:v>90632.75</x:v>
      </x:c>
      <x:c r="E718" s="12" t="n">
        <x:v>435.804622</x:v>
      </x:c>
      <x:c r="F718" s="12" t="n">
        <x:f>SUM(B718,D718:E718)</x:f>
        <x:v>91231.28388199999</x:v>
      </x:c>
      <x:c r="G718" s="12" t="n">
        <x:f>MAX(G717,F718)</x:f>
        <x:v>100000</x:v>
      </x:c>
      <x:c r="H718" s="14" t="n">
        <x:f>F718/G718-1</x:f>
        <x:v>-0.08768716118000008</x:v>
      </x:c>
      <x:c r="I718" s="14" t="n">
        <x:f>F718/F717-1</x:f>
        <x:v>-0.003700768739877791</x:v>
      </x:c>
      <x:c r="J718" s="12" t="n">
        <x:v>0</x:v>
      </x:c>
      <x:c r="K718" s="12" t="n">
        <x:v>0</x:v>
      </x:c>
      <x:c r="L718" s="12" t="n">
        <x:v>0</x:v>
      </x:c>
      <x:c r="M718" s="2" t="str">
        <x:v>持有</x:v>
      </x:c>
    </x:row>
    <x:row r="719" ht="23" customHeight="1">
      <x:c r="A719" s="11" t="d">
        <x:v>2017-10-31T00:00:00.000Z</x:v>
      </x:c>
      <x:c r="B719" s="12" t="n">
        <x:v>598.533882</x:v>
      </x:c>
      <x:c r="C719" s="13" t="n">
        <x:v>353</x:v>
      </x:c>
      <x:c r="D719" s="12" t="n">
        <x:v>90773.95</x:v>
      </x:c>
      <x:c r="E719" s="12" t="n">
        <x:v>0</x:v>
      </x:c>
      <x:c r="F719" s="12" t="n">
        <x:f>SUM(B719,D719:E719)</x:f>
        <x:v>91372.483882</x:v>
      </x:c>
      <x:c r="G719" s="12" t="n">
        <x:f>MAX(G718,F719)</x:f>
        <x:v>100000</x:v>
      </x:c>
      <x:c r="H719" s="14" t="n">
        <x:f>F719/G719-1</x:f>
        <x:v>-0.08627516118</x:v>
      </x:c>
      <x:c r="I719" s="14" t="n">
        <x:f>F719/F718-1</x:f>
        <x:v>0.0015477147091631505</x:v>
      </x:c>
      <x:c r="J719" s="12" t="n">
        <x:v>0</x:v>
      </x:c>
      <x:c r="K719" s="12" t="n">
        <x:v>435.804622</x:v>
      </x:c>
      <x:c r="L719" s="12" t="n">
        <x:v>0</x:v>
      </x:c>
      <x:c r="M719" s="2" t="str">
        <x:v>持有</x:v>
      </x:c>
    </x:row>
    <x:row r="720" ht="23" customHeight="1">
      <x:c r="A720" s="11" t="d">
        <x:v>2017-11-01T00:00:00.000Z</x:v>
      </x:c>
      <x:c r="B720" s="12" t="n">
        <x:v>598.533882</x:v>
      </x:c>
      <x:c r="C720" s="13" t="n">
        <x:v>353</x:v>
      </x:c>
      <x:c r="D720" s="12" t="n">
        <x:v>90893.97</x:v>
      </x:c>
      <x:c r="E720" s="12" t="n">
        <x:v>0</x:v>
      </x:c>
      <x:c r="F720" s="12" t="n">
        <x:f>SUM(B720,D720:E720)</x:f>
        <x:v>91492.503882</x:v>
      </x:c>
      <x:c r="G720" s="12" t="n">
        <x:f>MAX(G719,F720)</x:f>
        <x:v>100000</x:v>
      </x:c>
      <x:c r="H720" s="14" t="n">
        <x:f>F720/G720-1</x:f>
        <x:v>-0.08507496117999991</x:v>
      </x:c>
      <x:c r="I720" s="14" t="n">
        <x:f>F720/F719-1</x:f>
        <x:v>0.0013135245415347718</x:v>
      </x:c>
      <x:c r="J720" s="12" t="n">
        <x:v>0</x:v>
      </x:c>
      <x:c r="K720" s="12" t="n">
        <x:v>0</x:v>
      </x:c>
      <x:c r="L720" s="12" t="n">
        <x:v>0</x:v>
      </x:c>
      <x:c r="M720" s="2" t="str">
        <x:v>持有</x:v>
      </x:c>
    </x:row>
    <x:row r="721" ht="23" customHeight="1">
      <x:c r="A721" s="11" t="d">
        <x:v>2017-11-02T00:00:00.000Z</x:v>
      </x:c>
      <x:c r="B721" s="12" t="n">
        <x:v>598.533882</x:v>
      </x:c>
      <x:c r="C721" s="13" t="n">
        <x:v>353</x:v>
      </x:c>
      <x:c r="D721" s="12" t="n">
        <x:v>90929.26999999999</x:v>
      </x:c>
      <x:c r="E721" s="12" t="n">
        <x:v>0</x:v>
      </x:c>
      <x:c r="F721" s="12" t="n">
        <x:f>SUM(B721,D721:E721)</x:f>
        <x:v>91527.803882</x:v>
      </x:c>
      <x:c r="G721" s="12" t="n">
        <x:f>MAX(G720,F721)</x:f>
        <x:v>100000</x:v>
      </x:c>
      <x:c r="H721" s="14" t="n">
        <x:f>F721/G721-1</x:f>
        <x:v>-0.08472196118000008</x:v>
      </x:c>
      <x:c r="I721" s="14" t="n">
        <x:f>F721/F720-1</x:f>
        <x:v>0.00038582395827213567</x:v>
      </x:c>
      <x:c r="J721" s="12" t="n">
        <x:v>0</x:v>
      </x:c>
      <x:c r="K721" s="12" t="n">
        <x:v>0</x:v>
      </x:c>
      <x:c r="L721" s="12" t="n">
        <x:v>0</x:v>
      </x:c>
      <x:c r="M721" s="2" t="str">
        <x:v>持有</x:v>
      </x:c>
    </x:row>
    <x:row r="722" ht="23" customHeight="1">
      <x:c r="A722" s="11" t="d">
        <x:v>2017-11-03T00:00:00.000Z</x:v>
      </x:c>
      <x:c r="B722" s="12" t="n">
        <x:v>598.533882</x:v>
      </x:c>
      <x:c r="C722" s="13" t="n">
        <x:v>353</x:v>
      </x:c>
      <x:c r="D722" s="12" t="n">
        <x:v>91232.84999999999</x:v>
      </x:c>
      <x:c r="E722" s="12" t="n">
        <x:v>0</x:v>
      </x:c>
      <x:c r="F722" s="12" t="n">
        <x:f>SUM(B722,D722:E722)</x:f>
        <x:v>91831.383882</x:v>
      </x:c>
      <x:c r="G722" s="12" t="n">
        <x:f>MAX(G721,F722)</x:f>
        <x:v>100000</x:v>
      </x:c>
      <x:c r="H722" s="14" t="n">
        <x:f>F722/G722-1</x:f>
        <x:v>-0.08168616118000005</x:v>
      </x:c>
      <x:c r="I722" s="14" t="n">
        <x:f>F722/F721-1</x:f>
        <x:v>0.0033168063377919665</x:v>
      </x:c>
      <x:c r="J722" s="12" t="n">
        <x:v>0</x:v>
      </x:c>
      <x:c r="K722" s="12" t="n">
        <x:v>0</x:v>
      </x:c>
      <x:c r="L722" s="12" t="n">
        <x:v>0</x:v>
      </x:c>
      <x:c r="M722" s="2" t="str">
        <x:v>持有</x:v>
      </x:c>
    </x:row>
    <x:row r="723" ht="23" customHeight="1">
      <x:c r="A723" s="11" t="d">
        <x:v>2017-11-06T00:00:00.000Z</x:v>
      </x:c>
      <x:c r="B723" s="12" t="n">
        <x:v>598.533882</x:v>
      </x:c>
      <x:c r="C723" s="13" t="n">
        <x:v>353</x:v>
      </x:c>
      <x:c r="D723" s="12" t="n">
        <x:v>91374.05</x:v>
      </x:c>
      <x:c r="E723" s="12" t="n">
        <x:v>0</x:v>
      </x:c>
      <x:c r="F723" s="12" t="n">
        <x:f>SUM(B723,D723:E723)</x:f>
        <x:v>91972.583882</x:v>
      </x:c>
      <x:c r="G723" s="12" t="n">
        <x:f>MAX(G722,F723)</x:f>
        <x:v>100000</x:v>
      </x:c>
      <x:c r="H723" s="14" t="n">
        <x:f>F723/G723-1</x:f>
        <x:v>-0.08027416117999997</x:v>
      </x:c>
      <x:c r="I723" s="14" t="n">
        <x:f>F723/F722-1</x:f>
        <x:v>0.0015376006984872959</x:v>
      </x:c>
      <x:c r="J723" s="12" t="n">
        <x:v>0</x:v>
      </x:c>
      <x:c r="K723" s="12" t="n">
        <x:v>0</x:v>
      </x:c>
      <x:c r="L723" s="12" t="n">
        <x:v>0</x:v>
      </x:c>
      <x:c r="M723" s="2" t="str">
        <x:v>持有</x:v>
      </x:c>
    </x:row>
    <x:row r="724" ht="23" customHeight="1">
      <x:c r="A724" s="11" t="d">
        <x:v>2017-11-07T00:00:00.000Z</x:v>
      </x:c>
      <x:c r="B724" s="12" t="n">
        <x:v>598.533882</x:v>
      </x:c>
      <x:c r="C724" s="13" t="n">
        <x:v>353</x:v>
      </x:c>
      <x:c r="D724" s="12" t="n">
        <x:v>91310.51000000001</x:v>
      </x:c>
      <x:c r="E724" s="12" t="n">
        <x:v>0</x:v>
      </x:c>
      <x:c r="F724" s="12" t="n">
        <x:f>SUM(B724,D724:E724)</x:f>
        <x:v>91909.04388200001</x:v>
      </x:c>
      <x:c r="G724" s="12" t="n">
        <x:f>MAX(G723,F724)</x:f>
        <x:v>100000</x:v>
      </x:c>
      <x:c r="H724" s="14" t="n">
        <x:f>F724/G724-1</x:f>
        <x:v>-0.08090956117999992</x:v>
      </x:c>
      <x:c r="I724" s="14" t="n">
        <x:f>F724/F723-1</x:f>
        <x:v>-0.0006908580504981776</x:v>
      </x:c>
      <x:c r="J724" s="12" t="n">
        <x:v>0</x:v>
      </x:c>
      <x:c r="K724" s="12" t="n">
        <x:v>0</x:v>
      </x:c>
      <x:c r="L724" s="12" t="n">
        <x:v>0</x:v>
      </x:c>
      <x:c r="M724" s="2" t="str">
        <x:v>持有</x:v>
      </x:c>
    </x:row>
    <x:row r="725" ht="23" customHeight="1">
      <x:c r="A725" s="11" t="d">
        <x:v>2017-11-08T00:00:00.000Z</x:v>
      </x:c>
      <x:c r="B725" s="12" t="n">
        <x:v>598.533882</x:v>
      </x:c>
      <x:c r="C725" s="13" t="n">
        <x:v>353</x:v>
      </x:c>
      <x:c r="D725" s="12" t="n">
        <x:v>91465.83</x:v>
      </x:c>
      <x:c r="E725" s="12" t="n">
        <x:v>0</x:v>
      </x:c>
      <x:c r="F725" s="12" t="n">
        <x:f>SUM(B725,D725:E725)</x:f>
        <x:v>92064.363882</x:v>
      </x:c>
      <x:c r="G725" s="12" t="n">
        <x:f>MAX(G724,F725)</x:f>
        <x:v>100000</x:v>
      </x:c>
      <x:c r="H725" s="14" t="n">
        <x:f>F725/G725-1</x:f>
        <x:v>-0.07935636118</x:v>
      </x:c>
      <x:c r="I725" s="14" t="n">
        <x:f>F725/F724-1</x:f>
        <x:v>0.001689931626308816</x:v>
      </x:c>
      <x:c r="J725" s="12" t="n">
        <x:v>0</x:v>
      </x:c>
      <x:c r="K725" s="12" t="n">
        <x:v>0</x:v>
      </x:c>
      <x:c r="L725" s="12" t="n">
        <x:v>0</x:v>
      </x:c>
      <x:c r="M725" s="2" t="str">
        <x:v>持有</x:v>
      </x:c>
    </x:row>
    <x:row r="726" ht="23" customHeight="1">
      <x:c r="A726" s="11" t="d">
        <x:v>2017-11-09T00:00:00.000Z</x:v>
      </x:c>
      <x:c r="B726" s="12" t="n">
        <x:v>598.533882</x:v>
      </x:c>
      <x:c r="C726" s="13" t="n">
        <x:v>353</x:v>
      </x:c>
      <x:c r="D726" s="12" t="n">
        <x:v>91134.01000000001</x:v>
      </x:c>
      <x:c r="E726" s="12" t="n">
        <x:v>0</x:v>
      </x:c>
      <x:c r="F726" s="12" t="n">
        <x:f>SUM(B726,D726:E726)</x:f>
        <x:v>91732.54388200001</x:v>
      </x:c>
      <x:c r="G726" s="12" t="n">
        <x:f>MAX(G725,F726)</x:f>
        <x:v>100000</x:v>
      </x:c>
      <x:c r="H726" s="14" t="n">
        <x:f>F726/G726-1</x:f>
        <x:v>-0.08267456117999983</x:v>
      </x:c>
      <x:c r="I726" s="14" t="n">
        <x:f>F726/F725-1</x:f>
        <x:v>-0.003604217593088377</x:v>
      </x:c>
      <x:c r="J726" s="12" t="n">
        <x:v>0</x:v>
      </x:c>
      <x:c r="K726" s="12" t="n">
        <x:v>0</x:v>
      </x:c>
      <x:c r="L726" s="12" t="n">
        <x:v>0</x:v>
      </x:c>
      <x:c r="M726" s="2" t="str">
        <x:v>持有</x:v>
      </x:c>
    </x:row>
    <x:row r="727" ht="23" customHeight="1">
      <x:c r="A727" s="11" t="d">
        <x:v>2017-11-10T00:00:00.000Z</x:v>
      </x:c>
      <x:c r="B727" s="12" t="n">
        <x:v>598.533882</x:v>
      </x:c>
      <x:c r="C727" s="13" t="n">
        <x:v>353</x:v>
      </x:c>
      <x:c r="D727" s="12" t="n">
        <x:v>91105.76999999999</x:v>
      </x:c>
      <x:c r="E727" s="12" t="n">
        <x:v>0</x:v>
      </x:c>
      <x:c r="F727" s="12" t="n">
        <x:f>SUM(B727,D727:E727)</x:f>
        <x:v>91704.303882</x:v>
      </x:c>
      <x:c r="G727" s="12" t="n">
        <x:f>MAX(G726,F727)</x:f>
        <x:v>100000</x:v>
      </x:c>
      <x:c r="H727" s="14" t="n">
        <x:f>F727/G727-1</x:f>
        <x:v>-0.08295696118000007</x:v>
      </x:c>
      <x:c r="I727" s="14" t="n">
        <x:f>F727/F726-1</x:f>
        <x:v>-0.00030785148656020667</x:v>
      </x:c>
      <x:c r="J727" s="12" t="n">
        <x:v>0</x:v>
      </x:c>
      <x:c r="K727" s="12" t="n">
        <x:v>0</x:v>
      </x:c>
      <x:c r="L727" s="12" t="n">
        <x:v>0</x:v>
      </x:c>
      <x:c r="M727" s="2" t="str">
        <x:v>持有</x:v>
      </x:c>
    </x:row>
    <x:row r="728" ht="23" customHeight="1">
      <x:c r="A728" s="11" t="d">
        <x:v>2017-11-13T00:00:00.000Z</x:v>
      </x:c>
      <x:c r="B728" s="12" t="n">
        <x:v>598.533882</x:v>
      </x:c>
      <x:c r="C728" s="13" t="n">
        <x:v>353</x:v>
      </x:c>
      <x:c r="D728" s="12" t="n">
        <x:v>91190.48999999999</x:v>
      </x:c>
      <x:c r="E728" s="12" t="n">
        <x:v>0</x:v>
      </x:c>
      <x:c r="F728" s="12" t="n">
        <x:f>SUM(B728,D728:E728)</x:f>
        <x:v>91789.023882</x:v>
      </x:c>
      <x:c r="G728" s="12" t="n">
        <x:f>MAX(G727,F728)</x:f>
        <x:v>100000</x:v>
      </x:c>
      <x:c r="H728" s="14" t="n">
        <x:f>F728/G728-1</x:f>
        <x:v>-0.08210976118000002</x:v>
      </x:c>
      <x:c r="I728" s="14" t="n">
        <x:f>F728/F727-1</x:f>
        <x:v>0.0009238388648478146</x:v>
      </x:c>
      <x:c r="J728" s="12" t="n">
        <x:v>0</x:v>
      </x:c>
      <x:c r="K728" s="12" t="n">
        <x:v>0</x:v>
      </x:c>
      <x:c r="L728" s="12" t="n">
        <x:v>0</x:v>
      </x:c>
      <x:c r="M728" s="2" t="str">
        <x:v>持有</x:v>
      </x:c>
    </x:row>
    <x:row r="729" ht="23" customHeight="1">
      <x:c r="A729" s="11" t="d">
        <x:v>2017-11-14T00:00:00.000Z</x:v>
      </x:c>
      <x:c r="B729" s="12" t="n">
        <x:v>598.533882</x:v>
      </x:c>
      <x:c r="C729" s="13" t="n">
        <x:v>353</x:v>
      </x:c>
      <x:c r="D729" s="12" t="n">
        <x:v>90978.69</x:v>
      </x:c>
      <x:c r="E729" s="12" t="n">
        <x:v>0</x:v>
      </x:c>
      <x:c r="F729" s="12" t="n">
        <x:f>SUM(B729,D729:E729)</x:f>
        <x:v>91577.223882</x:v>
      </x:c>
      <x:c r="G729" s="12" t="n">
        <x:f>MAX(G728,F729)</x:f>
        <x:v>100000</x:v>
      </x:c>
      <x:c r="H729" s="14" t="n">
        <x:f>F729/G729-1</x:f>
        <x:v>-0.08422776117999997</x:v>
      </x:c>
      <x:c r="I729" s="14" t="n">
        <x:f>F729/F728-1</x:f>
        <x:v>-0.0023074654358703484</x:v>
      </x:c>
      <x:c r="J729" s="12" t="n">
        <x:v>0</x:v>
      </x:c>
      <x:c r="K729" s="12" t="n">
        <x:v>0</x:v>
      </x:c>
      <x:c r="L729" s="12" t="n">
        <x:v>0</x:v>
      </x:c>
      <x:c r="M729" s="2" t="str">
        <x:v>持有</x:v>
      </x:c>
    </x:row>
    <x:row r="730" ht="23" customHeight="1">
      <x:c r="A730" s="11" t="d">
        <x:v>2017-11-15T00:00:00.000Z</x:v>
      </x:c>
      <x:c r="B730" s="12" t="n">
        <x:v>598.533882</x:v>
      </x:c>
      <x:c r="C730" s="13" t="n">
        <x:v>353</x:v>
      </x:c>
      <x:c r="D730" s="12" t="n">
        <x:v>90523.31999999999</x:v>
      </x:c>
      <x:c r="E730" s="12" t="n">
        <x:v>0</x:v>
      </x:c>
      <x:c r="F730" s="12" t="n">
        <x:f>SUM(B730,D730:E730)</x:f>
        <x:v>91121.853882</x:v>
      </x:c>
      <x:c r="G730" s="12" t="n">
        <x:f>MAX(G729,F730)</x:f>
        <x:v>100000</x:v>
      </x:c>
      <x:c r="H730" s="14" t="n">
        <x:f>F730/G730-1</x:f>
        <x:v>-0.08878146118000008</x:v>
      </x:c>
      <x:c r="I730" s="14" t="n">
        <x:f>F730/F729-1</x:f>
        <x:v>-0.0049725246158014436</x:v>
      </x:c>
      <x:c r="J730" s="12" t="n">
        <x:v>0</x:v>
      </x:c>
      <x:c r="K730" s="12" t="n">
        <x:v>0</x:v>
      </x:c>
      <x:c r="L730" s="12" t="n">
        <x:v>0</x:v>
      </x:c>
      <x:c r="M730" s="2" t="str">
        <x:v>持有</x:v>
      </x:c>
    </x:row>
    <x:row r="731" ht="23" customHeight="1">
      <x:c r="A731" s="11" t="d">
        <x:v>2017-11-16T00:00:00.000Z</x:v>
      </x:c>
      <x:c r="B731" s="12" t="n">
        <x:v>598.533882</x:v>
      </x:c>
      <x:c r="C731" s="13" t="n">
        <x:v>353</x:v>
      </x:c>
      <x:c r="D731" s="12" t="n">
        <x:v>91292.86</x:v>
      </x:c>
      <x:c r="E731" s="12" t="n">
        <x:v>0</x:v>
      </x:c>
      <x:c r="F731" s="12" t="n">
        <x:f>SUM(B731,D731:E731)</x:f>
        <x:v>91891.393882</x:v>
      </x:c>
      <x:c r="G731" s="12" t="n">
        <x:f>MAX(G730,F731)</x:f>
        <x:v>100000</x:v>
      </x:c>
      <x:c r="H731" s="14" t="n">
        <x:f>F731/G731-1</x:f>
        <x:v>-0.08108606117999995</x:v>
      </x:c>
      <x:c r="I731" s="14" t="n">
        <x:f>F731/F730-1</x:f>
        <x:v>0.008445174974123448</x:v>
      </x:c>
      <x:c r="J731" s="12" t="n">
        <x:v>0</x:v>
      </x:c>
      <x:c r="K731" s="12" t="n">
        <x:v>0</x:v>
      </x:c>
      <x:c r="L731" s="12" t="n">
        <x:v>0</x:v>
      </x:c>
      <x:c r="M731" s="2" t="str">
        <x:v>持有</x:v>
      </x:c>
    </x:row>
    <x:row r="732" ht="23" customHeight="1">
      <x:c r="A732" s="11" t="d">
        <x:v>2017-11-17T00:00:00.000Z</x:v>
      </x:c>
      <x:c r="B732" s="12" t="n">
        <x:v>598.533882</x:v>
      </x:c>
      <x:c r="C732" s="13" t="n">
        <x:v>353</x:v>
      </x:c>
      <x:c r="D732" s="12" t="n">
        <x:v>91024.58</x:v>
      </x:c>
      <x:c r="E732" s="12" t="n">
        <x:v>0</x:v>
      </x:c>
      <x:c r="F732" s="12" t="n">
        <x:f>SUM(B732,D732:E732)</x:f>
        <x:v>91623.113882</x:v>
      </x:c>
      <x:c r="G732" s="12" t="n">
        <x:f>MAX(G731,F732)</x:f>
        <x:v>100000</x:v>
      </x:c>
      <x:c r="H732" s="14" t="n">
        <x:f>F732/G732-1</x:f>
        <x:v>-0.08376886117999993</x:v>
      </x:c>
      <x:c r="I732" s="14" t="n">
        <x:f>F732/F731-1</x:f>
        <x:v>-0.0029195334695271136</x:v>
      </x:c>
      <x:c r="J732" s="12" t="n">
        <x:v>0</x:v>
      </x:c>
      <x:c r="K732" s="12" t="n">
        <x:v>0</x:v>
      </x:c>
      <x:c r="L732" s="12" t="n">
        <x:v>0</x:v>
      </x:c>
      <x:c r="M732" s="2" t="str">
        <x:v>持有</x:v>
      </x:c>
    </x:row>
    <x:row r="733" ht="23" customHeight="1">
      <x:c r="A733" s="11" t="d">
        <x:v>2017-11-20T00:00:00.000Z</x:v>
      </x:c>
      <x:c r="B733" s="12" t="n">
        <x:v>598.533882</x:v>
      </x:c>
      <x:c r="C733" s="13" t="n">
        <x:v>353</x:v>
      </x:c>
      <x:c r="D733" s="12" t="n">
        <x:v>91179.90000000001</x:v>
      </x:c>
      <x:c r="E733" s="12" t="n">
        <x:v>0</x:v>
      </x:c>
      <x:c r="F733" s="12" t="n">
        <x:f>SUM(B733,D733:E733)</x:f>
        <x:v>91778.43388200001</x:v>
      </x:c>
      <x:c r="G733" s="12" t="n">
        <x:f>MAX(G732,F733)</x:f>
        <x:v>100000</x:v>
      </x:c>
      <x:c r="H733" s="14" t="n">
        <x:f>F733/G733-1</x:f>
        <x:v>-0.0822156611799999</x:v>
      </x:c>
      <x:c r="I733" s="14" t="n">
        <x:f>F733/F732-1</x:f>
        <x:v>0.0016952054281853535</x:v>
      </x:c>
      <x:c r="J733" s="12" t="n">
        <x:v>0</x:v>
      </x:c>
      <x:c r="K733" s="12" t="n">
        <x:v>0</x:v>
      </x:c>
      <x:c r="L733" s="12" t="n">
        <x:v>0</x:v>
      </x:c>
      <x:c r="M733" s="2" t="str">
        <x:v>持有</x:v>
      </x:c>
    </x:row>
    <x:row r="734" ht="23" customHeight="1">
      <x:c r="A734" s="11" t="d">
        <x:v>2017-11-21T00:00:00.000Z</x:v>
      </x:c>
      <x:c r="B734" s="12" t="n">
        <x:v>598.533882</x:v>
      </x:c>
      <x:c r="C734" s="13" t="n">
        <x:v>353</x:v>
      </x:c>
      <x:c r="D734" s="12" t="n">
        <x:v>91776.47</x:v>
      </x:c>
      <x:c r="E734" s="12" t="n">
        <x:v>0</x:v>
      </x:c>
      <x:c r="F734" s="12" t="n">
        <x:f>SUM(B734,D734:E734)</x:f>
        <x:v>92375.003882</x:v>
      </x:c>
      <x:c r="G734" s="12" t="n">
        <x:f>MAX(G733,F734)</x:f>
        <x:v>100000</x:v>
      </x:c>
      <x:c r="H734" s="14" t="n">
        <x:f>F734/G734-1</x:f>
        <x:v>-0.07624996117999994</x:v>
      </x:c>
      <x:c r="I734" s="14" t="n">
        <x:f>F734/F733-1</x:f>
        <x:v>0.006500110916765056</x:v>
      </x:c>
      <x:c r="J734" s="12" t="n">
        <x:v>0</x:v>
      </x:c>
      <x:c r="K734" s="12" t="n">
        <x:v>0</x:v>
      </x:c>
      <x:c r="L734" s="12" t="n">
        <x:v>0</x:v>
      </x:c>
      <x:c r="M734" s="2" t="str">
        <x:v>持有</x:v>
      </x:c>
    </x:row>
    <x:row r="735" ht="23" customHeight="1">
      <x:c r="A735" s="11" t="d">
        <x:v>2017-11-22T00:00:00.000Z</x:v>
      </x:c>
      <x:c r="B735" s="12" t="n">
        <x:v>598.533882</x:v>
      </x:c>
      <x:c r="C735" s="13" t="n">
        <x:v>353</x:v>
      </x:c>
      <x:c r="D735" s="12" t="n">
        <x:v>91695.28</x:v>
      </x:c>
      <x:c r="E735" s="12" t="n">
        <x:v>0</x:v>
      </x:c>
      <x:c r="F735" s="12" t="n">
        <x:f>SUM(B735,D735:E735)</x:f>
        <x:v>92293.813882</x:v>
      </x:c>
      <x:c r="G735" s="12" t="n">
        <x:f>MAX(G734,F735)</x:f>
        <x:v>100000</x:v>
      </x:c>
      <x:c r="H735" s="14" t="n">
        <x:f>F735/G735-1</x:f>
        <x:v>-0.07706186118000002</x:v>
      </x:c>
      <x:c r="I735" s="14" t="n">
        <x:f>F735/F734-1</x:f>
        <x:v>-0.0008789174190857452</x:v>
      </x:c>
      <x:c r="J735" s="12" t="n">
        <x:v>0</x:v>
      </x:c>
      <x:c r="K735" s="12" t="n">
        <x:v>0</x:v>
      </x:c>
      <x:c r="L735" s="12" t="n">
        <x:v>0</x:v>
      </x:c>
      <x:c r="M735" s="2" t="str">
        <x:v>持有</x:v>
      </x:c>
    </x:row>
    <x:row r="736" ht="23" customHeight="1">
      <x:c r="A736" s="11" t="d">
        <x:v>2017-11-24T00:00:00.000Z</x:v>
      </x:c>
      <x:c r="B736" s="12" t="n">
        <x:v>598.533882</x:v>
      </x:c>
      <x:c r="C736" s="13" t="n">
        <x:v>353</x:v>
      </x:c>
      <x:c r="D736" s="12" t="n">
        <x:v>91907.08</x:v>
      </x:c>
      <x:c r="E736" s="12" t="n">
        <x:v>0</x:v>
      </x:c>
      <x:c r="F736" s="12" t="n">
        <x:f>SUM(B736,D736:E736)</x:f>
        <x:v>92505.613882</x:v>
      </x:c>
      <x:c r="G736" s="12" t="n">
        <x:f>MAX(G735,F736)</x:f>
        <x:v>100000</x:v>
      </x:c>
      <x:c r="H736" s="14" t="n">
        <x:f>F736/G736-1</x:f>
        <x:v>-0.07494386117999996</x:v>
      </x:c>
      <x:c r="I736" s="14" t="n">
        <x:f>F736/F735-1</x:f>
        <x:v>0.0022948450290589673</x:v>
      </x:c>
      <x:c r="J736" s="12" t="n">
        <x:v>0</x:v>
      </x:c>
      <x:c r="K736" s="12" t="n">
        <x:v>0</x:v>
      </x:c>
      <x:c r="L736" s="12" t="n">
        <x:v>0</x:v>
      </x:c>
      <x:c r="M736" s="2" t="str">
        <x:v>持有</x:v>
      </x:c>
    </x:row>
    <x:row r="737" ht="23" customHeight="1">
      <x:c r="A737" s="11" t="d">
        <x:v>2017-11-27T00:00:00.000Z</x:v>
      </x:c>
      <x:c r="B737" s="12" t="n">
        <x:v>598.533882</x:v>
      </x:c>
      <x:c r="C737" s="13" t="n">
        <x:v>353</x:v>
      </x:c>
      <x:c r="D737" s="12" t="n">
        <x:v>91861.19</x:v>
      </x:c>
      <x:c r="E737" s="12" t="n">
        <x:v>0</x:v>
      </x:c>
      <x:c r="F737" s="12" t="n">
        <x:f>SUM(B737,D737:E737)</x:f>
        <x:v>92459.723882</x:v>
      </x:c>
      <x:c r="G737" s="12" t="n">
        <x:f>MAX(G736,F737)</x:f>
        <x:v>100000</x:v>
      </x:c>
      <x:c r="H737" s="14" t="n">
        <x:f>F737/G737-1</x:f>
        <x:v>-0.07540276117999989</x:v>
      </x:c>
      <x:c r="I737" s="14" t="n">
        <x:f>F737/F736-1</x:f>
        <x:v>-0.0004960780008285148</x:v>
      </x:c>
      <x:c r="J737" s="12" t="n">
        <x:v>0</x:v>
      </x:c>
      <x:c r="K737" s="12" t="n">
        <x:v>0</x:v>
      </x:c>
      <x:c r="L737" s="12" t="n">
        <x:v>0</x:v>
      </x:c>
      <x:c r="M737" s="2" t="str">
        <x:v>持有</x:v>
      </x:c>
    </x:row>
    <x:row r="738" ht="23" customHeight="1">
      <x:c r="A738" s="11" t="d">
        <x:v>2017-11-28T00:00:00.000Z</x:v>
      </x:c>
      <x:c r="B738" s="12" t="n">
        <x:v>598.533882</x:v>
      </x:c>
      <x:c r="C738" s="13" t="n">
        <x:v>353</x:v>
      </x:c>
      <x:c r="D738" s="12" t="n">
        <x:v>92793.11</x:v>
      </x:c>
      <x:c r="E738" s="12" t="n">
        <x:v>0</x:v>
      </x:c>
      <x:c r="F738" s="12" t="n">
        <x:f>SUM(B738,D738:E738)</x:f>
        <x:v>93391.643882</x:v>
      </x:c>
      <x:c r="G738" s="12" t="n">
        <x:f>MAX(G737,F738)</x:f>
        <x:v>100000</x:v>
      </x:c>
      <x:c r="H738" s="14" t="n">
        <x:f>F738/G738-1</x:f>
        <x:v>-0.06608356117999992</x:v>
      </x:c>
      <x:c r="I738" s="14" t="n">
        <x:f>F738/F737-1</x:f>
        <x:v>0.01007919947056446</x:v>
      </x:c>
      <x:c r="J738" s="12" t="n">
        <x:v>0</x:v>
      </x:c>
      <x:c r="K738" s="12" t="n">
        <x:v>0</x:v>
      </x:c>
      <x:c r="L738" s="12" t="n">
        <x:v>0</x:v>
      </x:c>
      <x:c r="M738" s="2" t="str">
        <x:v>持有</x:v>
      </x:c>
    </x:row>
    <x:row r="739" ht="23" customHeight="1">
      <x:c r="A739" s="11" t="d">
        <x:v>2017-11-29T00:00:00.000Z</x:v>
      </x:c>
      <x:c r="B739" s="12" t="n">
        <x:v>598.533882</x:v>
      </x:c>
      <x:c r="C739" s="13" t="n">
        <x:v>353</x:v>
      </x:c>
      <x:c r="D739" s="12" t="n">
        <x:v>92736.62999999999</x:v>
      </x:c>
      <x:c r="E739" s="12" t="n">
        <x:v>0</x:v>
      </x:c>
      <x:c r="F739" s="12" t="n">
        <x:f>SUM(B739,D739:E739)</x:f>
        <x:v>93335.163882</x:v>
      </x:c>
      <x:c r="G739" s="12" t="n">
        <x:f>MAX(G738,F739)</x:f>
        <x:v>100000</x:v>
      </x:c>
      <x:c r="H739" s="14" t="n">
        <x:f>F739/G739-1</x:f>
        <x:v>-0.06664836118000006</x:v>
      </x:c>
      <x:c r="I739" s="14" t="n">
        <x:f>F739/F738-1</x:f>
        <x:v>-0.0006047650266374216</x:v>
      </x:c>
      <x:c r="J739" s="12" t="n">
        <x:v>0</x:v>
      </x:c>
      <x:c r="K739" s="12" t="n">
        <x:v>0</x:v>
      </x:c>
      <x:c r="L739" s="12" t="n">
        <x:v>0</x:v>
      </x:c>
      <x:c r="M739" s="2" t="str">
        <x:v>持有</x:v>
      </x:c>
    </x:row>
    <x:row r="740" ht="23" customHeight="1">
      <x:c r="A740" s="11" t="d">
        <x:v>2017-11-30T00:00:00.000Z</x:v>
      </x:c>
      <x:c r="B740" s="12" t="n">
        <x:v>598.533882</x:v>
      </x:c>
      <x:c r="C740" s="13" t="n">
        <x:v>353</x:v>
      </x:c>
      <x:c r="D740" s="12" t="n">
        <x:v>93548.53</x:v>
      </x:c>
      <x:c r="E740" s="12" t="n">
        <x:v>0</x:v>
      </x:c>
      <x:c r="F740" s="12" t="n">
        <x:f>SUM(B740,D740:E740)</x:f>
        <x:v>94147.063882</x:v>
      </x:c>
      <x:c r="G740" s="12" t="n">
        <x:f>MAX(G739,F740)</x:f>
        <x:v>100000</x:v>
      </x:c>
      <x:c r="H740" s="14" t="n">
        <x:f>F740/G740-1</x:f>
        <x:v>-0.05852936117999996</x:v>
      </x:c>
      <x:c r="I740" s="14" t="n">
        <x:f>F740/F739-1</x:f>
        <x:v>0.008698757962502413</x:v>
      </x:c>
      <x:c r="J740" s="12" t="n">
        <x:v>0</x:v>
      </x:c>
      <x:c r="K740" s="12" t="n">
        <x:v>0</x:v>
      </x:c>
      <x:c r="L740" s="12" t="n">
        <x:v>0</x:v>
      </x:c>
      <x:c r="M740" s="2" t="str">
        <x:v>持有</x:v>
      </x:c>
    </x:row>
    <x:row r="741" ht="23" customHeight="1">
      <x:c r="A741" s="11" t="d">
        <x:v>2017-12-01T00:00:00.000Z</x:v>
      </x:c>
      <x:c r="B741" s="12" t="n">
        <x:v>598.533882</x:v>
      </x:c>
      <x:c r="C741" s="13" t="n">
        <x:v>353</x:v>
      </x:c>
      <x:c r="D741" s="12" t="n">
        <x:v>93354.37999999999</x:v>
      </x:c>
      <x:c r="E741" s="12" t="n">
        <x:v>0</x:v>
      </x:c>
      <x:c r="F741" s="12" t="n">
        <x:f>SUM(B741,D741:E741)</x:f>
        <x:v>93952.913882</x:v>
      </x:c>
      <x:c r="G741" s="12" t="n">
        <x:f>MAX(G740,F741)</x:f>
        <x:v>100000</x:v>
      </x:c>
      <x:c r="H741" s="14" t="n">
        <x:f>F741/G741-1</x:f>
        <x:v>-0.06047086118000011</x:v>
      </x:c>
      <x:c r="I741" s="14" t="n">
        <x:f>F741/F740-1</x:f>
        <x:v>-0.0020621992019139723</x:v>
      </x:c>
      <x:c r="J741" s="12" t="n">
        <x:v>0</x:v>
      </x:c>
      <x:c r="K741" s="12" t="n">
        <x:v>0</x:v>
      </x:c>
      <x:c r="L741" s="12" t="n">
        <x:v>0</x:v>
      </x:c>
      <x:c r="M741" s="2" t="str">
        <x:v>持有</x:v>
      </x:c>
    </x:row>
    <x:row r="742" ht="23" customHeight="1">
      <x:c r="A742" s="11" t="d">
        <x:v>2017-12-04T00:00:00.000Z</x:v>
      </x:c>
      <x:c r="B742" s="12" t="n">
        <x:v>598.533882</x:v>
      </x:c>
      <x:c r="C742" s="13" t="n">
        <x:v>353</x:v>
      </x:c>
      <x:c r="D742" s="12" t="n">
        <x:v>93241.42</x:v>
      </x:c>
      <x:c r="E742" s="12" t="n">
        <x:v>0</x:v>
      </x:c>
      <x:c r="F742" s="12" t="n">
        <x:f>SUM(B742,D742:E742)</x:f>
        <x:v>93839.953882</x:v>
      </x:c>
      <x:c r="G742" s="12" t="n">
        <x:f>MAX(G741,F742)</x:f>
        <x:v>100000</x:v>
      </x:c>
      <x:c r="H742" s="14" t="n">
        <x:f>F742/G742-1</x:f>
        <x:v>-0.061600461179999955</x:v>
      </x:c>
      <x:c r="I742" s="14" t="n">
        <x:f>F742/F741-1</x:f>
        <x:v>-0.001202304381340058</x:v>
      </x:c>
      <x:c r="J742" s="12" t="n">
        <x:v>0</x:v>
      </x:c>
      <x:c r="K742" s="12" t="n">
        <x:v>0</x:v>
      </x:c>
      <x:c r="L742" s="12" t="n">
        <x:v>0</x:v>
      </x:c>
      <x:c r="M742" s="2" t="str">
        <x:v>持有</x:v>
      </x:c>
    </x:row>
    <x:row r="743" ht="23" customHeight="1">
      <x:c r="A743" s="11" t="d">
        <x:v>2017-12-05T00:00:00.000Z</x:v>
      </x:c>
      <x:c r="B743" s="12" t="n">
        <x:v>598.533882</x:v>
      </x:c>
      <x:c r="C743" s="13" t="n">
        <x:v>353</x:v>
      </x:c>
      <x:c r="D743" s="12" t="n">
        <x:v>92906.06999999999</x:v>
      </x:c>
      <x:c r="E743" s="12" t="n">
        <x:v>0</x:v>
      </x:c>
      <x:c r="F743" s="12" t="n">
        <x:f>SUM(B743,D743:E743)</x:f>
        <x:v>93504.603882</x:v>
      </x:c>
      <x:c r="G743" s="12" t="n">
        <x:f>MAX(G742,F743)</x:f>
        <x:v>100000</x:v>
      </x:c>
      <x:c r="H743" s="14" t="n">
        <x:f>F743/G743-1</x:f>
        <x:v>-0.06495396118000007</x:v>
      </x:c>
      <x:c r="I743" s="14" t="n">
        <x:f>F743/F742-1</x:f>
        <x:v>-0.003573637732406598</x:v>
      </x:c>
      <x:c r="J743" s="12" t="n">
        <x:v>0</x:v>
      </x:c>
      <x:c r="K743" s="12" t="n">
        <x:v>0</x:v>
      </x:c>
      <x:c r="L743" s="12" t="n">
        <x:v>0</x:v>
      </x:c>
      <x:c r="M743" s="2" t="str">
        <x:v>持有</x:v>
      </x:c>
    </x:row>
    <x:row r="744" ht="23" customHeight="1">
      <x:c r="A744" s="11" t="d">
        <x:v>2017-12-06T00:00:00.000Z</x:v>
      </x:c>
      <x:c r="B744" s="12" t="n">
        <x:v>598.533882</x:v>
      </x:c>
      <x:c r="C744" s="13" t="n">
        <x:v>353</x:v>
      </x:c>
      <x:c r="D744" s="12" t="n">
        <x:v>92923.72</x:v>
      </x:c>
      <x:c r="E744" s="12" t="n">
        <x:v>0</x:v>
      </x:c>
      <x:c r="F744" s="12" t="n">
        <x:f>SUM(B744,D744:E744)</x:f>
        <x:v>93522.253882</x:v>
      </x:c>
      <x:c r="G744" s="12" t="n">
        <x:f>MAX(G743,F744)</x:f>
        <x:v>100000</x:v>
      </x:c>
      <x:c r="H744" s="14" t="n">
        <x:f>F744/G744-1</x:f>
        <x:v>-0.06477746117999994</x:v>
      </x:c>
      <x:c r="I744" s="14" t="n">
        <x:f>F744/F743-1</x:f>
        <x:v>0.0001887607590134177</x:v>
      </x:c>
      <x:c r="J744" s="12" t="n">
        <x:v>0</x:v>
      </x:c>
      <x:c r="K744" s="12" t="n">
        <x:v>0</x:v>
      </x:c>
      <x:c r="L744" s="12" t="n">
        <x:v>0</x:v>
      </x:c>
      <x:c r="M744" s="2" t="str">
        <x:v>持有</x:v>
      </x:c>
    </x:row>
    <x:row r="745" ht="23" customHeight="1">
      <x:c r="A745" s="11" t="d">
        <x:v>2017-12-07T00:00:00.000Z</x:v>
      </x:c>
      <x:c r="B745" s="12" t="n">
        <x:v>598.533882</x:v>
      </x:c>
      <x:c r="C745" s="13" t="n">
        <x:v>353</x:v>
      </x:c>
      <x:c r="D745" s="12" t="n">
        <x:v>93216.70999999999</x:v>
      </x:c>
      <x:c r="E745" s="12" t="n">
        <x:v>0</x:v>
      </x:c>
      <x:c r="F745" s="12" t="n">
        <x:f>SUM(B745,D745:E745)</x:f>
        <x:v>93815.243882</x:v>
      </x:c>
      <x:c r="G745" s="12" t="n">
        <x:f>MAX(G744,F745)</x:f>
        <x:v>100000</x:v>
      </x:c>
      <x:c r="H745" s="14" t="n">
        <x:f>F745/G745-1</x:f>
        <x:v>-0.06184756118000001</x:v>
      </x:c>
      <x:c r="I745" s="14" t="n">
        <x:f>F745/F744-1</x:f>
        <x:v>0.0031328372428840456</x:v>
      </x:c>
      <x:c r="J745" s="12" t="n">
        <x:v>0</x:v>
      </x:c>
      <x:c r="K745" s="12" t="n">
        <x:v>0</x:v>
      </x:c>
      <x:c r="L745" s="12" t="n">
        <x:v>0</x:v>
      </x:c>
      <x:c r="M745" s="2" t="str">
        <x:v>持有</x:v>
      </x:c>
    </x:row>
    <x:row r="746" ht="23" customHeight="1">
      <x:c r="A746" s="11" t="d">
        <x:v>2017-12-08T00:00:00.000Z</x:v>
      </x:c>
      <x:c r="B746" s="12" t="n">
        <x:v>598.533882</x:v>
      </x:c>
      <x:c r="C746" s="13" t="n">
        <x:v>353</x:v>
      </x:c>
      <x:c r="D746" s="12" t="n">
        <x:v>93725.03</x:v>
      </x:c>
      <x:c r="E746" s="12" t="n">
        <x:v>0</x:v>
      </x:c>
      <x:c r="F746" s="12" t="n">
        <x:f>SUM(B746,D746:E746)</x:f>
        <x:v>94323.563882</x:v>
      </x:c>
      <x:c r="G746" s="12" t="n">
        <x:f>MAX(G745,F746)</x:f>
        <x:v>100000</x:v>
      </x:c>
      <x:c r="H746" s="14" t="n">
        <x:f>F746/G746-1</x:f>
        <x:v>-0.056764361179999945</x:v>
      </x:c>
      <x:c r="I746" s="14" t="n">
        <x:f>F746/F745-1</x:f>
        <x:v>0.0054183092103812225</x:v>
      </x:c>
      <x:c r="J746" s="12" t="n">
        <x:v>0</x:v>
      </x:c>
      <x:c r="K746" s="12" t="n">
        <x:v>0</x:v>
      </x:c>
      <x:c r="L746" s="12" t="n">
        <x:v>0</x:v>
      </x:c>
      <x:c r="M746" s="2" t="str">
        <x:v>持有</x:v>
      </x:c>
    </x:row>
    <x:row r="747" ht="23" customHeight="1">
      <x:c r="A747" s="11" t="d">
        <x:v>2017-12-11T00:00:00.000Z</x:v>
      </x:c>
      <x:c r="B747" s="12" t="n">
        <x:v>598.533882</x:v>
      </x:c>
      <x:c r="C747" s="13" t="n">
        <x:v>353</x:v>
      </x:c>
      <x:c r="D747" s="12" t="n">
        <x:v>94007.43000000001</x:v>
      </x:c>
      <x:c r="E747" s="12" t="n">
        <x:v>0</x:v>
      </x:c>
      <x:c r="F747" s="12" t="n">
        <x:f>SUM(B747,D747:E747)</x:f>
        <x:v>94605.96388200001</x:v>
      </x:c>
      <x:c r="G747" s="12" t="n">
        <x:f>MAX(G746,F747)</x:f>
        <x:v>100000</x:v>
      </x:c>
      <x:c r="H747" s="14" t="n">
        <x:f>F747/G747-1</x:f>
        <x:v>-0.053940361179999896</x:v>
      </x:c>
      <x:c r="I747" s="14" t="n">
        <x:f>F747/F746-1</x:f>
        <x:v>0.0029939496386426345</x:v>
      </x:c>
      <x:c r="J747" s="12" t="n">
        <x:v>0</x:v>
      </x:c>
      <x:c r="K747" s="12" t="n">
        <x:v>0</x:v>
      </x:c>
      <x:c r="L747" s="12" t="n">
        <x:v>0</x:v>
      </x:c>
      <x:c r="M747" s="2" t="str">
        <x:v>持有</x:v>
      </x:c>
    </x:row>
    <x:row r="748" ht="23" customHeight="1">
      <x:c r="A748" s="11" t="d">
        <x:v>2017-12-12T00:00:00.000Z</x:v>
      </x:c>
      <x:c r="B748" s="12" t="n">
        <x:v>598.533882</x:v>
      </x:c>
      <x:c r="C748" s="13" t="n">
        <x:v>353</x:v>
      </x:c>
      <x:c r="D748" s="12" t="n">
        <x:v>94173.34</x:v>
      </x:c>
      <x:c r="E748" s="12" t="n">
        <x:v>0</x:v>
      </x:c>
      <x:c r="F748" s="12" t="n">
        <x:f>SUM(B748,D748:E748)</x:f>
        <x:v>94771.873882</x:v>
      </x:c>
      <x:c r="G748" s="12" t="n">
        <x:f>MAX(G747,F748)</x:f>
        <x:v>100000</x:v>
      </x:c>
      <x:c r="H748" s="14" t="n">
        <x:f>F748/G748-1</x:f>
        <x:v>-0.05228126117999998</x:v>
      </x:c>
      <x:c r="I748" s="14" t="n">
        <x:f>F748/F747-1</x:f>
        <x:v>0.0017536949383754052</x:v>
      </x:c>
      <x:c r="J748" s="12" t="n">
        <x:v>0</x:v>
      </x:c>
      <x:c r="K748" s="12" t="n">
        <x:v>0</x:v>
      </x:c>
      <x:c r="L748" s="12" t="n">
        <x:v>0</x:v>
      </x:c>
      <x:c r="M748" s="2" t="str">
        <x:v>持有</x:v>
      </x:c>
    </x:row>
    <x:row r="749" ht="23" customHeight="1">
      <x:c r="A749" s="11" t="d">
        <x:v>2017-12-13T00:00:00.000Z</x:v>
      </x:c>
      <x:c r="B749" s="12" t="n">
        <x:v>598.533882</x:v>
      </x:c>
      <x:c r="C749" s="13" t="n">
        <x:v>353</x:v>
      </x:c>
      <x:c r="D749" s="12" t="n">
        <x:v>94162.75</x:v>
      </x:c>
      <x:c r="E749" s="12" t="n">
        <x:v>0</x:v>
      </x:c>
      <x:c r="F749" s="12" t="n">
        <x:f>SUM(B749,D749:E749)</x:f>
        <x:v>94761.283882</x:v>
      </x:c>
      <x:c r="G749" s="12" t="n">
        <x:f>MAX(G748,F749)</x:f>
        <x:v>100000</x:v>
      </x:c>
      <x:c r="H749" s="14" t="n">
        <x:f>F749/G749-1</x:f>
        <x:v>-0.052387161179999975</x:v>
      </x:c>
      <x:c r="I749" s="14" t="n">
        <x:f>F749/F748-1</x:f>
        <x:v>-0.0001117420133865954</x:v>
      </x:c>
      <x:c r="J749" s="12" t="n">
        <x:v>0</x:v>
      </x:c>
      <x:c r="K749" s="12" t="n">
        <x:v>0</x:v>
      </x:c>
      <x:c r="L749" s="12" t="n">
        <x:v>0</x:v>
      </x:c>
      <x:c r="M749" s="2" t="str">
        <x:v>持有</x:v>
      </x:c>
    </x:row>
    <x:row r="750" ht="23" customHeight="1">
      <x:c r="A750" s="11" t="d">
        <x:v>2017-12-14T00:00:00.000Z</x:v>
      </x:c>
      <x:c r="B750" s="12" t="n">
        <x:v>598.533882</x:v>
      </x:c>
      <x:c r="C750" s="13" t="n">
        <x:v>353</x:v>
      </x:c>
      <x:c r="D750" s="12" t="n">
        <x:v>93777.98000000001</x:v>
      </x:c>
      <x:c r="E750" s="12" t="n">
        <x:v>0</x:v>
      </x:c>
      <x:c r="F750" s="12" t="n">
        <x:f>SUM(B750,D750:E750)</x:f>
        <x:v>94376.51388200001</x:v>
      </x:c>
      <x:c r="G750" s="12" t="n">
        <x:f>MAX(G749,F750)</x:f>
        <x:v>100000</x:v>
      </x:c>
      <x:c r="H750" s="14" t="n">
        <x:f>F750/G750-1</x:f>
        <x:v>-0.05623486117999987</x:v>
      </x:c>
      <x:c r="I750" s="14" t="n">
        <x:f>F750/F749-1</x:f>
        <x:v>-0.0040604135384987305</x:v>
      </x:c>
      <x:c r="J750" s="12" t="n">
        <x:v>0</x:v>
      </x:c>
      <x:c r="K750" s="12" t="n">
        <x:v>0</x:v>
      </x:c>
      <x:c r="L750" s="12" t="n">
        <x:v>0</x:v>
      </x:c>
      <x:c r="M750" s="2" t="str">
        <x:v>持有</x:v>
      </x:c>
    </x:row>
    <x:row r="751" ht="23" customHeight="1">
      <x:c r="A751" s="11" t="d">
        <x:v>2017-12-15T00:00:00.000Z</x:v>
      </x:c>
      <x:c r="B751" s="12" t="n">
        <x:v>598.533882</x:v>
      </x:c>
      <x:c r="C751" s="13" t="n">
        <x:v>353</x:v>
      </x:c>
      <x:c r="D751" s="12" t="n">
        <x:v>94078.03</x:v>
      </x:c>
      <x:c r="E751" s="12" t="n">
        <x:v>477.020549</x:v>
      </x:c>
      <x:c r="F751" s="12" t="n">
        <x:f>SUM(B751,D751:E751)</x:f>
        <x:v>95153.584431</x:v>
      </x:c>
      <x:c r="G751" s="12" t="n">
        <x:f>MAX(G750,F751)</x:f>
        <x:v>100000</x:v>
      </x:c>
      <x:c r="H751" s="14" t="n">
        <x:f>F751/G751-1</x:f>
        <x:v>-0.048464155690000066</x:v>
      </x:c>
      <x:c r="I751" s="14" t="n">
        <x:f>F751/F750-1</x:f>
        <x:v>0.008233728043521182</x:v>
      </x:c>
      <x:c r="J751" s="12" t="n">
        <x:v>477.020549</x:v>
      </x:c>
      <x:c r="K751" s="12" t="n">
        <x:v>0</x:v>
      </x:c>
      <x:c r="L751" s="12" t="n">
        <x:v>0</x:v>
      </x:c>
      <x:c r="M751" s="2" t="str">
        <x:v>持有</x:v>
      </x:c>
    </x:row>
    <x:row r="752" ht="23" customHeight="1">
      <x:c r="A752" s="11" t="d">
        <x:v>2017-12-18T00:00:00.000Z</x:v>
      </x:c>
      <x:c r="B752" s="12" t="n">
        <x:v>598.533882</x:v>
      </x:c>
      <x:c r="C752" s="13" t="n">
        <x:v>353</x:v>
      </x:c>
      <x:c r="D752" s="12" t="n">
        <x:v>94674.59999999999</x:v>
      </x:c>
      <x:c r="E752" s="12" t="n">
        <x:v>477.020549</x:v>
      </x:c>
      <x:c r="F752" s="12" t="n">
        <x:f>SUM(B752,D752:E752)</x:f>
        <x:v>95750.15443099999</x:v>
      </x:c>
      <x:c r="G752" s="12" t="n">
        <x:f>MAX(G751,F752)</x:f>
        <x:v>100000</x:v>
      </x:c>
      <x:c r="H752" s="14" t="n">
        <x:f>F752/G752-1</x:f>
        <x:v>-0.0424984556900001</x:v>
      </x:c>
      <x:c r="I752" s="14" t="n">
        <x:f>F752/F751-1</x:f>
        <x:v>0.006269548368223576</x:v>
      </x:c>
      <x:c r="J752" s="12" t="n">
        <x:v>0</x:v>
      </x:c>
      <x:c r="K752" s="12" t="n">
        <x:v>0</x:v>
      </x:c>
      <x:c r="L752" s="12" t="n">
        <x:v>0</x:v>
      </x:c>
      <x:c r="M752" s="2" t="str">
        <x:v>持有</x:v>
      </x:c>
    </x:row>
    <x:row r="753" ht="23" customHeight="1">
      <x:c r="A753" s="11" t="d">
        <x:v>2017-12-19T00:00:00.000Z</x:v>
      </x:c>
      <x:c r="B753" s="12" t="n">
        <x:v>598.533882</x:v>
      </x:c>
      <x:c r="C753" s="13" t="n">
        <x:v>353</x:v>
      </x:c>
      <x:c r="D753" s="12" t="n">
        <x:v>94311.01000000001</x:v>
      </x:c>
      <x:c r="E753" s="12" t="n">
        <x:v>477.020549</x:v>
      </x:c>
      <x:c r="F753" s="12" t="n">
        <x:f>SUM(B753,D753:E753)</x:f>
        <x:v>95386.564431</x:v>
      </x:c>
      <x:c r="G753" s="12" t="n">
        <x:f>MAX(G752,F753)</x:f>
        <x:v>100000</x:v>
      </x:c>
      <x:c r="H753" s="14" t="n">
        <x:f>F753/G753-1</x:f>
        <x:v>-0.046134355689999906</x:v>
      </x:c>
      <x:c r="I753" s="14" t="n">
        <x:f>F753/F752-1</x:f>
        <x:v>-0.003797278470835219</x:v>
      </x:c>
      <x:c r="J753" s="12" t="n">
        <x:v>0</x:v>
      </x:c>
      <x:c r="K753" s="12" t="n">
        <x:v>0</x:v>
      </x:c>
      <x:c r="L753" s="12" t="n">
        <x:v>0</x:v>
      </x:c>
      <x:c r="M753" s="2" t="str">
        <x:v>持有</x:v>
      </x:c>
    </x:row>
    <x:row r="754" ht="23" customHeight="1">
      <x:c r="A754" s="11" t="d">
        <x:v>2017-12-20T00:00:00.000Z</x:v>
      </x:c>
      <x:c r="B754" s="12" t="n">
        <x:v>598.533882</x:v>
      </x:c>
      <x:c r="C754" s="13" t="n">
        <x:v>353</x:v>
      </x:c>
      <x:c r="D754" s="12" t="n">
        <x:v>94261.59</x:v>
      </x:c>
      <x:c r="E754" s="12" t="n">
        <x:v>477.020549</x:v>
      </x:c>
      <x:c r="F754" s="12" t="n">
        <x:f>SUM(B754,D754:E754)</x:f>
        <x:v>95337.144431</x:v>
      </x:c>
      <x:c r="G754" s="12" t="n">
        <x:f>MAX(G753,F754)</x:f>
        <x:v>100000</x:v>
      </x:c>
      <x:c r="H754" s="14" t="n">
        <x:f>F754/G754-1</x:f>
        <x:v>-0.04662855569000002</x:v>
      </x:c>
      <x:c r="I754" s="14" t="n">
        <x:f>F754/F753-1</x:f>
        <x:v>-0.0005181023165559129</x:v>
      </x:c>
      <x:c r="J754" s="12" t="n">
        <x:v>0</x:v>
      </x:c>
      <x:c r="K754" s="12" t="n">
        <x:v>0</x:v>
      </x:c>
      <x:c r="L754" s="12" t="n">
        <x:v>0</x:v>
      </x:c>
      <x:c r="M754" s="2" t="str">
        <x:v>持有</x:v>
      </x:c>
    </x:row>
    <x:row r="755" ht="23" customHeight="1">
      <x:c r="A755" s="11" t="d">
        <x:v>2017-12-21T00:00:00.000Z</x:v>
      </x:c>
      <x:c r="B755" s="12" t="n">
        <x:v>598.533882</x:v>
      </x:c>
      <x:c r="C755" s="13" t="n">
        <x:v>353</x:v>
      </x:c>
      <x:c r="D755" s="12" t="n">
        <x:v>94455.73999999999</x:v>
      </x:c>
      <x:c r="E755" s="12" t="n">
        <x:v>477.020549</x:v>
      </x:c>
      <x:c r="F755" s="12" t="n">
        <x:f>SUM(B755,D755:E755)</x:f>
        <x:v>95531.29443099999</x:v>
      </x:c>
      <x:c r="G755" s="12" t="n">
        <x:f>MAX(G754,F755)</x:f>
        <x:v>100000</x:v>
      </x:c>
      <x:c r="H755" s="14" t="n">
        <x:f>F755/G755-1</x:f>
        <x:v>-0.04468705569000009</x:v>
      </x:c>
      <x:c r="I755" s="14" t="n">
        <x:f>F755/F754-1</x:f>
        <x:v>0.0020364570510134072</x:v>
      </x:c>
      <x:c r="J755" s="12" t="n">
        <x:v>0</x:v>
      </x:c>
      <x:c r="K755" s="12" t="n">
        <x:v>0</x:v>
      </x:c>
      <x:c r="L755" s="12" t="n">
        <x:v>0</x:v>
      </x:c>
      <x:c r="M755" s="2" t="str">
        <x:v>持有</x:v>
      </x:c>
    </x:row>
    <x:row r="756" ht="23" customHeight="1">
      <x:c r="A756" s="11" t="d">
        <x:v>2017-12-22T00:00:00.000Z</x:v>
      </x:c>
      <x:c r="B756" s="12" t="n">
        <x:v>598.533882</x:v>
      </x:c>
      <x:c r="C756" s="13" t="n">
        <x:v>353</x:v>
      </x:c>
      <x:c r="D756" s="12" t="n">
        <x:v>94431.03</x:v>
      </x:c>
      <x:c r="E756" s="12" t="n">
        <x:v>477.020549</x:v>
      </x:c>
      <x:c r="F756" s="12" t="n">
        <x:f>SUM(B756,D756:E756)</x:f>
        <x:v>95506.584431</x:v>
      </x:c>
      <x:c r="G756" s="12" t="n">
        <x:f>MAX(G755,F756)</x:f>
        <x:v>100000</x:v>
      </x:c>
      <x:c r="H756" s="14" t="n">
        <x:f>F756/G756-1</x:f>
        <x:v>-0.04493415569000003</x:v>
      </x:c>
      <x:c r="I756" s="14" t="n">
        <x:f>F756/F755-1</x:f>
        <x:v>-0.00025865869553187704</x:v>
      </x:c>
      <x:c r="J756" s="12" t="n">
        <x:v>0</x:v>
      </x:c>
      <x:c r="K756" s="12" t="n">
        <x:v>0</x:v>
      </x:c>
      <x:c r="L756" s="12" t="n">
        <x:v>0</x:v>
      </x:c>
      <x:c r="M756" s="2" t="str">
        <x:v>持有</x:v>
      </x:c>
    </x:row>
    <x:row r="757" ht="23" customHeight="1">
      <x:c r="A757" s="11" t="d">
        <x:v>2017-12-26T00:00:00.000Z</x:v>
      </x:c>
      <x:c r="B757" s="12" t="n">
        <x:v>598.533882</x:v>
      </x:c>
      <x:c r="C757" s="13" t="n">
        <x:v>353</x:v>
      </x:c>
      <x:c r="D757" s="12" t="n">
        <x:v>94318.06999999999</x:v>
      </x:c>
      <x:c r="E757" s="12" t="n">
        <x:v>477.020549</x:v>
      </x:c>
      <x:c r="F757" s="12" t="n">
        <x:f>SUM(B757,D757:E757)</x:f>
        <x:v>95393.62443099999</x:v>
      </x:c>
      <x:c r="G757" s="12" t="n">
        <x:f>MAX(G756,F757)</x:f>
        <x:v>100000</x:v>
      </x:c>
      <x:c r="H757" s="14" t="n">
        <x:f>F757/G757-1</x:f>
        <x:v>-0.0460637556900001</x:v>
      </x:c>
      <x:c r="I757" s="14" t="n">
        <x:f>F757/F756-1</x:f>
        <x:v>-0.001182745678457553</x:v>
      </x:c>
      <x:c r="J757" s="12" t="n">
        <x:v>0</x:v>
      </x:c>
      <x:c r="K757" s="12" t="n">
        <x:v>0</x:v>
      </x:c>
      <x:c r="L757" s="12" t="n">
        <x:v>0</x:v>
      </x:c>
      <x:c r="M757" s="2" t="str">
        <x:v>持有</x:v>
      </x:c>
    </x:row>
    <x:row r="758" ht="23" customHeight="1">
      <x:c r="A758" s="11" t="d">
        <x:v>2017-12-27T00:00:00.000Z</x:v>
      </x:c>
      <x:c r="B758" s="12" t="n">
        <x:v>598.533882</x:v>
      </x:c>
      <x:c r="C758" s="13" t="n">
        <x:v>353</x:v>
      </x:c>
      <x:c r="D758" s="12" t="n">
        <x:v>94363.95999999999</x:v>
      </x:c>
      <x:c r="E758" s="12" t="n">
        <x:v>477.020549</x:v>
      </x:c>
      <x:c r="F758" s="12" t="n">
        <x:f>SUM(B758,D758:E758)</x:f>
        <x:v>95439.51443099999</x:v>
      </x:c>
      <x:c r="G758" s="12" t="n">
        <x:f>MAX(G757,F758)</x:f>
        <x:v>100000</x:v>
      </x:c>
      <x:c r="H758" s="14" t="n">
        <x:f>F758/G758-1</x:f>
        <x:v>-0.04560485569000017</x:v>
      </x:c>
      <x:c r="I758" s="14" t="n">
        <x:f>F758/F757-1</x:f>
        <x:v>0.0004810594028030746</x:v>
      </x:c>
      <x:c r="J758" s="12" t="n">
        <x:v>0</x:v>
      </x:c>
      <x:c r="K758" s="12" t="n">
        <x:v>0</x:v>
      </x:c>
      <x:c r="L758" s="12" t="n">
        <x:v>0</x:v>
      </x:c>
      <x:c r="M758" s="2" t="str">
        <x:v>持有</x:v>
      </x:c>
    </x:row>
    <x:row r="759" ht="23" customHeight="1">
      <x:c r="A759" s="11" t="d">
        <x:v>2017-12-28T00:00:00.000Z</x:v>
      </x:c>
      <x:c r="B759" s="12" t="n">
        <x:v>598.533882</x:v>
      </x:c>
      <x:c r="C759" s="13" t="n">
        <x:v>353</x:v>
      </x:c>
      <x:c r="D759" s="12" t="n">
        <x:v>94558.11</x:v>
      </x:c>
      <x:c r="E759" s="12" t="n">
        <x:v>477.020549</x:v>
      </x:c>
      <x:c r="F759" s="12" t="n">
        <x:f>SUM(B759,D759:E759)</x:f>
        <x:v>95633.664431</x:v>
      </x:c>
      <x:c r="G759" s="12" t="n">
        <x:f>MAX(G758,F759)</x:f>
        <x:v>100000</x:v>
      </x:c>
      <x:c r="H759" s="14" t="n">
        <x:f>F759/G759-1</x:f>
        <x:v>-0.043663355690000016</x:v>
      </x:c>
      <x:c r="I759" s="14" t="n">
        <x:f>F759/F758-1</x:f>
        <x:v>0.002034272713534957</x:v>
      </x:c>
      <x:c r="J759" s="12" t="n">
        <x:v>0</x:v>
      </x:c>
      <x:c r="K759" s="12" t="n">
        <x:v>0</x:v>
      </x:c>
      <x:c r="L759" s="12" t="n">
        <x:v>0</x:v>
      </x:c>
      <x:c r="M759" s="2" t="str">
        <x:v>持有</x:v>
      </x:c>
    </x:row>
    <x:row r="760" ht="23" customHeight="1">
      <x:c r="A760" s="11" t="d">
        <x:v>2017-12-29T00:00:00.000Z</x:v>
      </x:c>
      <x:c r="B760" s="12" t="n">
        <x:v>598.533882</x:v>
      </x:c>
      <x:c r="C760" s="13" t="n">
        <x:v>353</x:v>
      </x:c>
      <x:c r="D760" s="12" t="n">
        <x:v>94201.58</x:v>
      </x:c>
      <x:c r="E760" s="12" t="n">
        <x:v>477.020549</x:v>
      </x:c>
      <x:c r="F760" s="12" t="n">
        <x:f>SUM(B760,D760:E760)</x:f>
        <x:v>95277.134431</x:v>
      </x:c>
      <x:c r="G760" s="12" t="n">
        <x:f>MAX(G759,F760)</x:f>
        <x:v>100000</x:v>
      </x:c>
      <x:c r="H760" s="14" t="n">
        <x:f>F760/G760-1</x:f>
        <x:v>-0.04722865569000001</x:v>
      </x:c>
      <x:c r="I760" s="14" t="n">
        <x:f>F760/F759-1</x:f>
        <x:v>-0.0037280805051367327</x:v>
      </x:c>
      <x:c r="J760" s="12" t="n">
        <x:v>0</x:v>
      </x:c>
      <x:c r="K760" s="12" t="n">
        <x:v>0</x:v>
      </x:c>
      <x:c r="L760" s="12" t="n">
        <x:v>0</x:v>
      </x:c>
      <x:c r="M760" s="2" t="str">
        <x:v>持有</x:v>
      </x:c>
    </x:row>
    <x:row r="761" ht="23" customHeight="1">
      <x:c r="A761" s="11" t="d">
        <x:v>2018-01-02T00:00:00.000Z</x:v>
      </x:c>
      <x:c r="B761" s="12" t="n">
        <x:v>598.533882</x:v>
      </x:c>
      <x:c r="C761" s="13" t="n">
        <x:v>353</x:v>
      </x:c>
      <x:c r="D761" s="12" t="n">
        <x:v>94875.81</x:v>
      </x:c>
      <x:c r="E761" s="12" t="n">
        <x:v>477.020549</x:v>
      </x:c>
      <x:c r="F761" s="12" t="n">
        <x:f>SUM(B761,D761:E761)</x:f>
        <x:v>95951.364431</x:v>
      </x:c>
      <x:c r="G761" s="12" t="n">
        <x:f>MAX(G760,F761)</x:f>
        <x:v>100000</x:v>
      </x:c>
      <x:c r="H761" s="14" t="n">
        <x:f>F761/G761-1</x:f>
        <x:v>-0.04048635569000003</x:v>
      </x:c>
      <x:c r="I761" s="14" t="n">
        <x:f>F761/F760-1</x:f>
        <x:v>0.007076514255246469</x:v>
      </x:c>
      <x:c r="J761" s="12" t="n">
        <x:v>0</x:v>
      </x:c>
      <x:c r="K761" s="12" t="n">
        <x:v>0</x:v>
      </x:c>
      <x:c r="L761" s="12" t="n">
        <x:v>0</x:v>
      </x:c>
      <x:c r="M761" s="2" t="str">
        <x:v>持有</x:v>
      </x:c>
    </x:row>
    <x:row r="762" ht="23" customHeight="1">
      <x:c r="A762" s="11" t="d">
        <x:v>2018-01-03T00:00:00.000Z</x:v>
      </x:c>
      <x:c r="B762" s="12" t="n">
        <x:v>598.533882</x:v>
      </x:c>
      <x:c r="C762" s="13" t="n">
        <x:v>353</x:v>
      </x:c>
      <x:c r="D762" s="12" t="n">
        <x:v>95475.91</x:v>
      </x:c>
      <x:c r="E762" s="12" t="n">
        <x:v>477.020549</x:v>
      </x:c>
      <x:c r="F762" s="12" t="n">
        <x:f>SUM(B762,D762:E762)</x:f>
        <x:v>96551.464431</x:v>
      </x:c>
      <x:c r="G762" s="12" t="n">
        <x:f>MAX(G761,F762)</x:f>
        <x:v>100000</x:v>
      </x:c>
      <x:c r="H762" s="14" t="n">
        <x:f>F762/G762-1</x:f>
        <x:v>-0.03448535569</x:v>
      </x:c>
      <x:c r="I762" s="14" t="n">
        <x:f>F762/F761-1</x:f>
        <x:v>0.006254210177819353</x:v>
      </x:c>
      <x:c r="J762" s="12" t="n">
        <x:v>0</x:v>
      </x:c>
      <x:c r="K762" s="12" t="n">
        <x:v>0</x:v>
      </x:c>
      <x:c r="L762" s="12" t="n">
        <x:v>0</x:v>
      </x:c>
      <x:c r="M762" s="2" t="str">
        <x:v>持有</x:v>
      </x:c>
    </x:row>
    <x:row r="763" ht="23" customHeight="1">
      <x:c r="A763" s="11" t="d">
        <x:v>2018-01-04T00:00:00.000Z</x:v>
      </x:c>
      <x:c r="B763" s="12" t="n">
        <x:v>598.533882</x:v>
      </x:c>
      <x:c r="C763" s="13" t="n">
        <x:v>353</x:v>
      </x:c>
      <x:c r="D763" s="12" t="n">
        <x:v>95878.33</x:v>
      </x:c>
      <x:c r="E763" s="12" t="n">
        <x:v>477.020549</x:v>
      </x:c>
      <x:c r="F763" s="12" t="n">
        <x:f>SUM(B763,D763:E763)</x:f>
        <x:v>96953.884431</x:v>
      </x:c>
      <x:c r="G763" s="12" t="n">
        <x:f>MAX(G762,F763)</x:f>
        <x:v>100000</x:v>
      </x:c>
      <x:c r="H763" s="14" t="n">
        <x:f>F763/G763-1</x:f>
        <x:v>-0.030461155689999964</x:v>
      </x:c>
      <x:c r="I763" s="14" t="n">
        <x:f>F763/F762-1</x:f>
        <x:v>0.004167932639567384</x:v>
      </x:c>
      <x:c r="J763" s="12" t="n">
        <x:v>0</x:v>
      </x:c>
      <x:c r="K763" s="12" t="n">
        <x:v>0</x:v>
      </x:c>
      <x:c r="L763" s="12" t="n">
        <x:v>0</x:v>
      </x:c>
      <x:c r="M763" s="2" t="str">
        <x:v>持有</x:v>
      </x:c>
    </x:row>
    <x:row r="764" ht="23" customHeight="1">
      <x:c r="A764" s="11" t="d">
        <x:v>2018-01-05T00:00:00.000Z</x:v>
      </x:c>
      <x:c r="B764" s="12" t="n">
        <x:v>598.533882</x:v>
      </x:c>
      <x:c r="C764" s="13" t="n">
        <x:v>353</x:v>
      </x:c>
      <x:c r="D764" s="12" t="n">
        <x:v>96517.26000000001</x:v>
      </x:c>
      <x:c r="E764" s="12" t="n">
        <x:v>477.020549</x:v>
      </x:c>
      <x:c r="F764" s="12" t="n">
        <x:f>SUM(B764,D764:E764)</x:f>
        <x:v>97592.814431</x:v>
      </x:c>
      <x:c r="G764" s="12" t="n">
        <x:f>MAX(G763,F764)</x:f>
        <x:v>100000</x:v>
      </x:c>
      <x:c r="H764" s="14" t="n">
        <x:f>F764/G764-1</x:f>
        <x:v>-0.02407185568999992</x:v>
      </x:c>
      <x:c r="I764" s="14" t="n">
        <x:f>F764/F763-1</x:f>
        <x:v>0.006590040241809092</x:v>
      </x:c>
      <x:c r="J764" s="12" t="n">
        <x:v>0</x:v>
      </x:c>
      <x:c r="K764" s="12" t="n">
        <x:v>0</x:v>
      </x:c>
      <x:c r="L764" s="12" t="n">
        <x:v>0</x:v>
      </x:c>
      <x:c r="M764" s="2" t="str">
        <x:v>持有</x:v>
      </x:c>
    </x:row>
    <x:row r="765" ht="23" customHeight="1">
      <x:c r="A765" s="11" t="d">
        <x:v>2018-01-08T00:00:00.000Z</x:v>
      </x:c>
      <x:c r="B765" s="12" t="n">
        <x:v>598.533882</x:v>
      </x:c>
      <x:c r="C765" s="13" t="n">
        <x:v>353</x:v>
      </x:c>
      <x:c r="D765" s="12" t="n">
        <x:v>96693.76000000001</x:v>
      </x:c>
      <x:c r="E765" s="12" t="n">
        <x:v>477.020549</x:v>
      </x:c>
      <x:c r="F765" s="12" t="n">
        <x:f>SUM(B765,D765:E765)</x:f>
        <x:v>97769.314431</x:v>
      </x:c>
      <x:c r="G765" s="12" t="n">
        <x:f>MAX(G764,F765)</x:f>
        <x:v>100000</x:v>
      </x:c>
      <x:c r="H765" s="14" t="n">
        <x:f>F765/G765-1</x:f>
        <x:v>-0.022306855689999905</x:v>
      </x:c>
      <x:c r="I765" s="14" t="n">
        <x:f>F765/F764-1</x:f>
        <x:v>0.0018085347884375658</x:v>
      </x:c>
      <x:c r="J765" s="12" t="n">
        <x:v>0</x:v>
      </x:c>
      <x:c r="K765" s="12" t="n">
        <x:v>0</x:v>
      </x:c>
      <x:c r="L765" s="12" t="n">
        <x:v>0</x:v>
      </x:c>
      <x:c r="M765" s="2" t="str">
        <x:v>持有</x:v>
      </x:c>
    </x:row>
    <x:row r="766" ht="23" customHeight="1">
      <x:c r="A766" s="11" t="d">
        <x:v>2018-01-09T00:00:00.000Z</x:v>
      </x:c>
      <x:c r="B766" s="12" t="n">
        <x:v>598.533882</x:v>
      </x:c>
      <x:c r="C766" s="13" t="n">
        <x:v>353</x:v>
      </x:c>
      <x:c r="D766" s="12" t="n">
        <x:v>96912.62000000001</x:v>
      </x:c>
      <x:c r="E766" s="12" t="n">
        <x:v>477.020549</x:v>
      </x:c>
      <x:c r="F766" s="12" t="n">
        <x:f>SUM(B766,D766:E766)</x:f>
        <x:v>97988.174431</x:v>
      </x:c>
      <x:c r="G766" s="12" t="n">
        <x:f>MAX(G765,F766)</x:f>
        <x:v>100000</x:v>
      </x:c>
      <x:c r="H766" s="14" t="n">
        <x:f>F766/G766-1</x:f>
        <x:v>-0.02011825568999992</x:v>
      </x:c>
      <x:c r="I766" s="14" t="n">
        <x:f>F766/F765-1</x:f>
        <x:v>0.0022385346698370334</x:v>
      </x:c>
      <x:c r="J766" s="12" t="n">
        <x:v>0</x:v>
      </x:c>
      <x:c r="K766" s="12" t="n">
        <x:v>0</x:v>
      </x:c>
      <x:c r="L766" s="12" t="n">
        <x:v>0</x:v>
      </x:c>
      <x:c r="M766" s="2" t="str">
        <x:v>持有</x:v>
      </x:c>
    </x:row>
    <x:row r="767" ht="23" customHeight="1">
      <x:c r="A767" s="11" t="d">
        <x:v>2018-01-10T00:00:00.000Z</x:v>
      </x:c>
      <x:c r="B767" s="12" t="n">
        <x:v>598.533882</x:v>
      </x:c>
      <x:c r="C767" s="13" t="n">
        <x:v>353</x:v>
      </x:c>
      <x:c r="D767" s="12" t="n">
        <x:v>96764.36</x:v>
      </x:c>
      <x:c r="E767" s="12" t="n">
        <x:v>477.020549</x:v>
      </x:c>
      <x:c r="F767" s="12" t="n">
        <x:f>SUM(B767,D767:E767)</x:f>
        <x:v>97839.914431</x:v>
      </x:c>
      <x:c r="G767" s="12" t="n">
        <x:f>MAX(G766,F767)</x:f>
        <x:v>100000</x:v>
      </x:c>
      <x:c r="H767" s="14" t="n">
        <x:f>F767/G767-1</x:f>
        <x:v>-0.02160085569000003</x:v>
      </x:c>
      <x:c r="I767" s="14" t="n">
        <x:f>F767/F766-1</x:f>
        <x:v>-0.0015130397199553114</x:v>
      </x:c>
      <x:c r="J767" s="12" t="n">
        <x:v>0</x:v>
      </x:c>
      <x:c r="K767" s="12" t="n">
        <x:v>0</x:v>
      </x:c>
      <x:c r="L767" s="12" t="n">
        <x:v>0</x:v>
      </x:c>
      <x:c r="M767" s="2" t="str">
        <x:v>持有</x:v>
      </x:c>
    </x:row>
    <x:row r="768" ht="23" customHeight="1">
      <x:c r="A768" s="11" t="d">
        <x:v>2018-01-11T00:00:00.000Z</x:v>
      </x:c>
      <x:c r="B768" s="12" t="n">
        <x:v>598.533882</x:v>
      </x:c>
      <x:c r="C768" s="13" t="n">
        <x:v>353</x:v>
      </x:c>
      <x:c r="D768" s="12" t="n">
        <x:v>97470.36</x:v>
      </x:c>
      <x:c r="E768" s="12" t="n">
        <x:v>477.020549</x:v>
      </x:c>
      <x:c r="F768" s="12" t="n">
        <x:f>SUM(B768,D768:E768)</x:f>
        <x:v>98545.914431</x:v>
      </x:c>
      <x:c r="G768" s="12" t="n">
        <x:f>MAX(G767,F768)</x:f>
        <x:v>100000</x:v>
      </x:c>
      <x:c r="H768" s="14" t="n">
        <x:f>F768/G768-1</x:f>
        <x:v>-0.014540855690000076</x:v>
      </x:c>
      <x:c r="I768" s="14" t="n">
        <x:f>F768/F767-1</x:f>
        <x:v>0.007215868943731607</x:v>
      </x:c>
      <x:c r="J768" s="12" t="n">
        <x:v>0</x:v>
      </x:c>
      <x:c r="K768" s="12" t="n">
        <x:v>0</x:v>
      </x:c>
      <x:c r="L768" s="12" t="n">
        <x:v>0</x:v>
      </x:c>
      <x:c r="M768" s="2" t="str">
        <x:v>持有</x:v>
      </x:c>
    </x:row>
    <x:row r="769" ht="23" customHeight="1">
      <x:c r="A769" s="11" t="d">
        <x:v>2018-01-12T00:00:00.000Z</x:v>
      </x:c>
      <x:c r="B769" s="12" t="n">
        <x:v>598.533882</x:v>
      </x:c>
      <x:c r="C769" s="13" t="n">
        <x:v>353</x:v>
      </x:c>
      <x:c r="D769" s="12" t="n">
        <x:v>98105.76000000001</x:v>
      </x:c>
      <x:c r="E769" s="12" t="n">
        <x:v>477.020549</x:v>
      </x:c>
      <x:c r="F769" s="12" t="n">
        <x:f>SUM(B769,D769:E769)</x:f>
        <x:v>99181.314431</x:v>
      </x:c>
      <x:c r="G769" s="12" t="n">
        <x:f>MAX(G768,F769)</x:f>
        <x:v>100000</x:v>
      </x:c>
      <x:c r="H769" s="14" t="n">
        <x:f>F769/G769-1</x:f>
        <x:v>-0.008186855689999883</x:v>
      </x:c>
      <x:c r="I769" s="14" t="n">
        <x:f>F769/F768-1</x:f>
        <x:v>0.00644775588789015</x:v>
      </x:c>
      <x:c r="J769" s="12" t="n">
        <x:v>0</x:v>
      </x:c>
      <x:c r="K769" s="12" t="n">
        <x:v>0</x:v>
      </x:c>
      <x:c r="L769" s="12" t="n">
        <x:v>0</x:v>
      </x:c>
      <x:c r="M769" s="2" t="str">
        <x:v>持有</x:v>
      </x:c>
    </x:row>
    <x:row r="770" ht="23" customHeight="1">
      <x:c r="A770" s="11" t="d">
        <x:v>2018-01-16T00:00:00.000Z</x:v>
      </x:c>
      <x:c r="B770" s="12" t="n">
        <x:v>598.533882</x:v>
      </x:c>
      <x:c r="C770" s="13" t="n">
        <x:v>353</x:v>
      </x:c>
      <x:c r="D770" s="12" t="n">
        <x:v>97770.41</x:v>
      </x:c>
      <x:c r="E770" s="12" t="n">
        <x:v>477.020549</x:v>
      </x:c>
      <x:c r="F770" s="12" t="n">
        <x:f>SUM(B770,D770:E770)</x:f>
        <x:v>98845.964431</x:v>
      </x:c>
      <x:c r="G770" s="12" t="n">
        <x:f>MAX(G769,F770)</x:f>
        <x:v>100000</x:v>
      </x:c>
      <x:c r="H770" s="14" t="n">
        <x:f>F770/G770-1</x:f>
        <x:v>-0.011540355690000004</x:v>
      </x:c>
      <x:c r="I770" s="14" t="n">
        <x:f>F770/F769-1</x:f>
        <x:v>-0.0033811812428974353</x:v>
      </x:c>
      <x:c r="J770" s="12" t="n">
        <x:v>0</x:v>
      </x:c>
      <x:c r="K770" s="12" t="n">
        <x:v>0</x:v>
      </x:c>
      <x:c r="L770" s="12" t="n">
        <x:v>0</x:v>
      </x:c>
      <x:c r="M770" s="2" t="str">
        <x:v>持有</x:v>
      </x:c>
    </x:row>
    <x:row r="771" ht="23" customHeight="1">
      <x:c r="A771" s="11" t="d">
        <x:v>2018-01-17T00:00:00.000Z</x:v>
      </x:c>
      <x:c r="B771" s="12" t="n">
        <x:v>598.533882</x:v>
      </x:c>
      <x:c r="C771" s="13" t="n">
        <x:v>353</x:v>
      </x:c>
      <x:c r="D771" s="12" t="n">
        <x:v>98702.33</x:v>
      </x:c>
      <x:c r="E771" s="12" t="n">
        <x:v>477.020549</x:v>
      </x:c>
      <x:c r="F771" s="12" t="n">
        <x:f>SUM(B771,D771:E771)</x:f>
        <x:v>99777.884431</x:v>
      </x:c>
      <x:c r="G771" s="12" t="n">
        <x:f>MAX(G770,F771)</x:f>
        <x:v>100000</x:v>
      </x:c>
      <x:c r="H771" s="14" t="n">
        <x:f>F771/G771-1</x:f>
        <x:v>-0.0022211556900000318</x:v>
      </x:c>
      <x:c r="I771" s="14" t="n">
        <x:f>F771/F770-1</x:f>
        <x:v>0.009428002502323007</x:v>
      </x:c>
      <x:c r="J771" s="12" t="n">
        <x:v>0</x:v>
      </x:c>
      <x:c r="K771" s="12" t="n">
        <x:v>0</x:v>
      </x:c>
      <x:c r="L771" s="12" t="n">
        <x:v>0</x:v>
      </x:c>
      <x:c r="M771" s="2" t="str">
        <x:v>持有</x:v>
      </x:c>
    </x:row>
    <x:row r="772" ht="23" customHeight="1">
      <x:c r="A772" s="11" t="d">
        <x:v>2018-01-18T00:00:00.000Z</x:v>
      </x:c>
      <x:c r="B772" s="12" t="n">
        <x:v>598.533882</x:v>
      </x:c>
      <x:c r="C772" s="13" t="n">
        <x:v>353</x:v>
      </x:c>
      <x:c r="D772" s="12" t="n">
        <x:v>98536.42</x:v>
      </x:c>
      <x:c r="E772" s="12" t="n">
        <x:v>477.020549</x:v>
      </x:c>
      <x:c r="F772" s="12" t="n">
        <x:f>SUM(B772,D772:E772)</x:f>
        <x:v>99611.974431</x:v>
      </x:c>
      <x:c r="G772" s="12" t="n">
        <x:f>MAX(G771,F772)</x:f>
        <x:v>100000</x:v>
      </x:c>
      <x:c r="H772" s="14" t="n">
        <x:f>F772/G772-1</x:f>
        <x:v>-0.003880255690000056</x:v>
      </x:c>
      <x:c r="I772" s="14" t="n">
        <x:f>F772/F771-1</x:f>
        <x:v>-0.0016627933228503533</x:v>
      </x:c>
      <x:c r="J772" s="12" t="n">
        <x:v>0</x:v>
      </x:c>
      <x:c r="K772" s="12" t="n">
        <x:v>0</x:v>
      </x:c>
      <x:c r="L772" s="12" t="n">
        <x:v>0</x:v>
      </x:c>
      <x:c r="M772" s="2" t="str">
        <x:v>持有</x:v>
      </x:c>
    </x:row>
    <x:row r="773" ht="23" customHeight="1">
      <x:c r="A773" s="11" t="d">
        <x:v>2018-01-19T00:00:00.000Z</x:v>
      </x:c>
      <x:c r="B773" s="12" t="n">
        <x:v>598.533882</x:v>
      </x:c>
      <x:c r="C773" s="13" t="n">
        <x:v>353</x:v>
      </x:c>
      <x:c r="D773" s="12" t="n">
        <x:v>98984.73000000001</x:v>
      </x:c>
      <x:c r="E773" s="12" t="n">
        <x:v>477.020549</x:v>
      </x:c>
      <x:c r="F773" s="12" t="n">
        <x:f>SUM(B773,D773:E773)</x:f>
        <x:v>100060.28443100001</x:v>
      </x:c>
      <x:c r="G773" s="12" t="n">
        <x:f>MAX(G772,F773)</x:f>
        <x:v>100060.28443100001</x:v>
      </x:c>
      <x:c r="H773" s="14" t="n">
        <x:f>F773/G773-1</x:f>
        <x:v>0</x:v>
      </x:c>
      <x:c r="I773" s="14" t="n">
        <x:f>F773/F772-1</x:f>
        <x:v>0.004500563336494734</x:v>
      </x:c>
      <x:c r="J773" s="12" t="n">
        <x:v>0</x:v>
      </x:c>
      <x:c r="K773" s="12" t="n">
        <x:v>0</x:v>
      </x:c>
      <x:c r="L773" s="12" t="n">
        <x:v>0</x:v>
      </x:c>
      <x:c r="M773" s="2" t="str">
        <x:v>持有</x:v>
      </x:c>
    </x:row>
    <x:row r="774" ht="23" customHeight="1">
      <x:c r="A774" s="11" t="d">
        <x:v>2018-01-22T00:00:00.000Z</x:v>
      </x:c>
      <x:c r="B774" s="12" t="n">
        <x:v>598.533882</x:v>
      </x:c>
      <x:c r="C774" s="13" t="n">
        <x:v>353</x:v>
      </x:c>
      <x:c r="D774" s="12" t="n">
        <x:v>99789.56999999999</x:v>
      </x:c>
      <x:c r="E774" s="12" t="n">
        <x:v>477.020549</x:v>
      </x:c>
      <x:c r="F774" s="12" t="n">
        <x:f>SUM(B774,D774:E774)</x:f>
        <x:v>100865.12443099999</x:v>
      </x:c>
      <x:c r="G774" s="12" t="n">
        <x:f>MAX(G773,F774)</x:f>
        <x:v>100865.12443099999</x:v>
      </x:c>
      <x:c r="H774" s="14" t="n">
        <x:f>F774/G774-1</x:f>
        <x:v>0</x:v>
      </x:c>
      <x:c r="I774" s="14" t="n">
        <x:f>F774/F773-1</x:f>
        <x:v>0.008043550991052584</x:v>
      </x:c>
      <x:c r="J774" s="12" t="n">
        <x:v>0</x:v>
      </x:c>
      <x:c r="K774" s="12" t="n">
        <x:v>0</x:v>
      </x:c>
      <x:c r="L774" s="12" t="n">
        <x:v>0</x:v>
      </x:c>
      <x:c r="M774" s="2" t="str">
        <x:v>持有</x:v>
      </x:c>
    </x:row>
    <x:row r="775" ht="23" customHeight="1">
      <x:c r="A775" s="11" t="d">
        <x:v>2018-01-23T00:00:00.000Z</x:v>
      </x:c>
      <x:c r="B775" s="12" t="n">
        <x:v>598.533882</x:v>
      </x:c>
      <x:c r="C775" s="13" t="n">
        <x:v>353</x:v>
      </x:c>
      <x:c r="D775" s="12" t="n">
        <x:v>100001.37000000001</x:v>
      </x:c>
      <x:c r="E775" s="12" t="n">
        <x:v>477.020549</x:v>
      </x:c>
      <x:c r="F775" s="12" t="n">
        <x:f>SUM(B775,D775:E775)</x:f>
        <x:v>101076.924431</x:v>
      </x:c>
      <x:c r="G775" s="12" t="n">
        <x:f>MAX(G774,F775)</x:f>
        <x:v>101076.924431</x:v>
      </x:c>
      <x:c r="H775" s="14" t="n">
        <x:f>F775/G775-1</x:f>
        <x:v>0</x:v>
      </x:c>
      <x:c r="I775" s="14" t="n">
        <x:f>F775/F774-1</x:f>
        <x:v>0.0020998338245734605</x:v>
      </x:c>
      <x:c r="J775" s="12" t="n">
        <x:v>0</x:v>
      </x:c>
      <x:c r="K775" s="12" t="n">
        <x:v>0</x:v>
      </x:c>
      <x:c r="L775" s="12" t="n">
        <x:v>0</x:v>
      </x:c>
      <x:c r="M775" s="2" t="str">
        <x:v>持有</x:v>
      </x:c>
    </x:row>
    <x:row r="776" ht="23" customHeight="1">
      <x:c r="A776" s="11" t="d">
        <x:v>2018-01-24T00:00:00.000Z</x:v>
      </x:c>
      <x:c r="B776" s="12" t="n">
        <x:v>598.533882</x:v>
      </x:c>
      <x:c r="C776" s="13" t="n">
        <x:v>353</x:v>
      </x:c>
      <x:c r="D776" s="12" t="n">
        <x:v>99962.54000000001</x:v>
      </x:c>
      <x:c r="E776" s="12" t="n">
        <x:v>477.020549</x:v>
      </x:c>
      <x:c r="F776" s="12" t="n">
        <x:f>SUM(B776,D776:E776)</x:f>
        <x:v>101038.094431</x:v>
      </x:c>
      <x:c r="G776" s="12" t="n">
        <x:f>MAX(G775,F776)</x:f>
        <x:v>101076.924431</x:v>
      </x:c>
      <x:c r="H776" s="14" t="n">
        <x:f>F776/G776-1</x:f>
        <x:v>-0.00038416285634523817</x:v>
      </x:c>
      <x:c r="I776" s="14" t="n">
        <x:f>F776/F775-1</x:f>
        <x:v>-0.00038416285634523817</x:v>
      </x:c>
      <x:c r="J776" s="12" t="n">
        <x:v>0</x:v>
      </x:c>
      <x:c r="K776" s="12" t="n">
        <x:v>0</x:v>
      </x:c>
      <x:c r="L776" s="12" t="n">
        <x:v>0</x:v>
      </x:c>
      <x:c r="M776" s="2" t="str">
        <x:v>持有</x:v>
      </x:c>
    </x:row>
    <x:row r="777" ht="23" customHeight="1">
      <x:c r="A777" s="11" t="d">
        <x:v>2018-01-25T00:00:00.000Z</x:v>
      </x:c>
      <x:c r="B777" s="12" t="n">
        <x:v>598.533882</x:v>
      </x:c>
      <x:c r="C777" s="13" t="n">
        <x:v>353</x:v>
      </x:c>
      <x:c r="D777" s="12" t="n">
        <x:v>100004.90000000001</x:v>
      </x:c>
      <x:c r="E777" s="12" t="n">
        <x:v>477.020549</x:v>
      </x:c>
      <x:c r="F777" s="12" t="n">
        <x:f>SUM(B777,D777:E777)</x:f>
        <x:v>101080.454431</x:v>
      </x:c>
      <x:c r="G777" s="12" t="n">
        <x:f>MAX(G776,F777)</x:f>
        <x:v>101080.454431</x:v>
      </x:c>
      <x:c r="H777" s="14" t="n">
        <x:f>F777/G777-1</x:f>
        <x:v>0</x:v>
      </x:c>
      <x:c r="I777" s="14" t="n">
        <x:f>F777/F776-1</x:f>
        <x:v>0.00041924781181346127</x:v>
      </x:c>
      <x:c r="J777" s="12" t="n">
        <x:v>0</x:v>
      </x:c>
      <x:c r="K777" s="12" t="n">
        <x:v>0</x:v>
      </x:c>
      <x:c r="L777" s="12" t="n">
        <x:v>0</x:v>
      </x:c>
      <x:c r="M777" s="2" t="str">
        <x:v>持有</x:v>
      </x:c>
    </x:row>
    <x:row r="778" ht="23" customHeight="1">
      <x:c r="A778" s="11" t="d">
        <x:v>2018-01-26T00:00:00.000Z</x:v>
      </x:c>
      <x:c r="B778" s="12" t="n">
        <x:v>598.533882</x:v>
      </x:c>
      <x:c r="C778" s="13" t="n">
        <x:v>353</x:v>
      </x:c>
      <x:c r="D778" s="12" t="n">
        <x:v>101162.73999999999</x:v>
      </x:c>
      <x:c r="E778" s="12" t="n">
        <x:v>477.020549</x:v>
      </x:c>
      <x:c r="F778" s="12" t="n">
        <x:f>SUM(B778,D778:E778)</x:f>
        <x:v>102238.29443099999</x:v>
      </x:c>
      <x:c r="G778" s="12" t="n">
        <x:f>MAX(G777,F778)</x:f>
        <x:v>102238.29443099999</x:v>
      </x:c>
      <x:c r="H778" s="14" t="n">
        <x:f>F778/G778-1</x:f>
        <x:v>0</x:v>
      </x:c>
      <x:c r="I778" s="14" t="n">
        <x:f>F778/F777-1</x:f>
        <x:v>0.01145463785771117</x:v>
      </x:c>
      <x:c r="J778" s="12" t="n">
        <x:v>0</x:v>
      </x:c>
      <x:c r="K778" s="12" t="n">
        <x:v>0</x:v>
      </x:c>
      <x:c r="L778" s="12" t="n">
        <x:v>0</x:v>
      </x:c>
      <x:c r="M778" s="2" t="str">
        <x:v>持有</x:v>
      </x:c>
    </x:row>
    <x:row r="779" ht="23" customHeight="1">
      <x:c r="A779" s="11" t="d">
        <x:v>2018-01-29T00:00:00.000Z</x:v>
      </x:c>
      <x:c r="B779" s="12" t="n">
        <x:v>598.533882</x:v>
      </x:c>
      <x:c r="C779" s="13" t="n">
        <x:v>353</x:v>
      </x:c>
      <x:c r="D779" s="12" t="n">
        <x:v>100492.04000000001</x:v>
      </x:c>
      <x:c r="E779" s="12" t="n">
        <x:v>477.020549</x:v>
      </x:c>
      <x:c r="F779" s="12" t="n">
        <x:f>SUM(B779,D779:E779)</x:f>
        <x:v>101567.594431</x:v>
      </x:c>
      <x:c r="G779" s="12" t="n">
        <x:f>MAX(G778,F779)</x:f>
        <x:v>102238.29443099999</x:v>
      </x:c>
      <x:c r="H779" s="14" t="n">
        <x:f>F779/G779-1</x:f>
        <x:v>-0.0065601642098268576</x:v>
      </x:c>
      <x:c r="I779" s="14" t="n">
        <x:f>F779/F778-1</x:f>
        <x:v>-0.0065601642098268576</x:v>
      </x:c>
      <x:c r="J779" s="12" t="n">
        <x:v>0</x:v>
      </x:c>
      <x:c r="K779" s="12" t="n">
        <x:v>0</x:v>
      </x:c>
      <x:c r="L779" s="12" t="n">
        <x:v>0</x:v>
      </x:c>
      <x:c r="M779" s="2" t="str">
        <x:v>持有</x:v>
      </x:c>
    </x:row>
    <x:row r="780" ht="23" customHeight="1">
      <x:c r="A780" s="11" t="d">
        <x:v>2018-01-30T00:00:00.000Z</x:v>
      </x:c>
      <x:c r="B780" s="12" t="n">
        <x:v>598.533882</x:v>
      </x:c>
      <x:c r="C780" s="13" t="n">
        <x:v>353</x:v>
      </x:c>
      <x:c r="D780" s="12" t="n">
        <x:v>99461.28</x:v>
      </x:c>
      <x:c r="E780" s="12" t="n">
        <x:v>477.020549</x:v>
      </x:c>
      <x:c r="F780" s="12" t="n">
        <x:f>SUM(B780,D780:E780)</x:f>
        <x:v>100536.834431</x:v>
      </x:c>
      <x:c r="G780" s="12" t="n">
        <x:f>MAX(G779,F780)</x:f>
        <x:v>102238.29443099999</x:v>
      </x:c>
      <x:c r="H780" s="14" t="n">
        <x:f>F780/G780-1</x:f>
        <x:v>-0.016642100784929448</x:v>
      </x:c>
      <x:c r="I780" s="14" t="n">
        <x:f>F780/F779-1</x:f>
        <x:v>-0.0101485124834797</x:v>
      </x:c>
      <x:c r="J780" s="12" t="n">
        <x:v>0</x:v>
      </x:c>
      <x:c r="K780" s="12" t="n">
        <x:v>0</x:v>
      </x:c>
      <x:c r="L780" s="12" t="n">
        <x:v>0</x:v>
      </x:c>
      <x:c r="M780" s="2" t="str">
        <x:v>持有</x:v>
      </x:c>
    </x:row>
    <x:row r="781" ht="23" customHeight="1">
      <x:c r="A781" s="11" t="d">
        <x:v>2018-01-31T00:00:00.000Z</x:v>
      </x:c>
      <x:c r="B781" s="12" t="n">
        <x:v>1075.554431</x:v>
      </x:c>
      <x:c r="C781" s="13" t="n">
        <x:v>353</x:v>
      </x:c>
      <x:c r="D781" s="12" t="n">
        <x:v>99510.7</x:v>
      </x:c>
      <x:c r="E781" s="12" t="n">
        <x:v>0</x:v>
      </x:c>
      <x:c r="F781" s="12" t="n">
        <x:f>SUM(B781,D781:E781)</x:f>
        <x:v>100586.254431</x:v>
      </x:c>
      <x:c r="G781" s="12" t="n">
        <x:f>MAX(G780,F781)</x:f>
        <x:v>102238.29443099999</x:v>
      </x:c>
      <x:c r="H781" s="14" t="n">
        <x:f>F781/G781-1</x:f>
        <x:v>-0.016158720264205395</x:v>
      </x:c>
      <x:c r="I781" s="14" t="n">
        <x:f>F781/F780-1</x:f>
        <x:v>0.0004915611306015588</x:v>
      </x:c>
      <x:c r="J781" s="12" t="n">
        <x:v>0</x:v>
      </x:c>
      <x:c r="K781" s="12" t="n">
        <x:v>477.020549</x:v>
      </x:c>
      <x:c r="L781" s="12" t="n">
        <x:v>0</x:v>
      </x:c>
      <x:c r="M781" s="2" t="str">
        <x:v>持有</x:v>
      </x:c>
    </x:row>
    <x:row r="782" ht="23" customHeight="1">
      <x:c r="A782" s="11" t="d">
        <x:v>2018-02-01T00:00:00.000Z</x:v>
      </x:c>
      <x:c r="B782" s="12" t="n">
        <x:v>1075.554431</x:v>
      </x:c>
      <x:c r="C782" s="13" t="n">
        <x:v>353</x:v>
      </x:c>
      <x:c r="D782" s="12" t="n">
        <x:v>99397.73999999999</x:v>
      </x:c>
      <x:c r="E782" s="12" t="n">
        <x:v>0</x:v>
      </x:c>
      <x:c r="F782" s="12" t="n">
        <x:f>SUM(B782,D782:E782)</x:f>
        <x:v>100473.29443099999</x:v>
      </x:c>
      <x:c r="G782" s="12" t="n">
        <x:f>MAX(G781,F782)</x:f>
        <x:v>102238.29443099999</x:v>
      </x:c>
      <x:c r="H782" s="14" t="n">
        <x:f>F782/G782-1</x:f>
        <x:v>-0.01726359002586053</x:v>
      </x:c>
      <x:c r="I782" s="14" t="n">
        <x:f>F782/F781-1</x:f>
        <x:v>-0.001123016267371768</x:v>
      </x:c>
      <x:c r="J782" s="12" t="n">
        <x:v>0</x:v>
      </x:c>
      <x:c r="K782" s="12" t="n">
        <x:v>0</x:v>
      </x:c>
      <x:c r="L782" s="12" t="n">
        <x:v>0</x:v>
      </x:c>
      <x:c r="M782" s="2" t="str">
        <x:v>持有</x:v>
      </x:c>
    </x:row>
    <x:row r="783" ht="23" customHeight="1">
      <x:c r="A783" s="11" t="d">
        <x:v>2018-02-02T00:00:00.000Z</x:v>
      </x:c>
      <x:c r="B783" s="12" t="n">
        <x:v>1075.554431</x:v>
      </x:c>
      <x:c r="C783" s="13" t="n">
        <x:v>353</x:v>
      </x:c>
      <x:c r="D783" s="12" t="n">
        <x:v>97233.84999999999</x:v>
      </x:c>
      <x:c r="E783" s="12" t="n">
        <x:v>0</x:v>
      </x:c>
      <x:c r="F783" s="12" t="n">
        <x:f>SUM(B783,D783:E783)</x:f>
        <x:v>98309.40443099999</x:v>
      </x:c>
      <x:c r="G783" s="12" t="n">
        <x:f>MAX(G782,F783)</x:f>
        <x:v>102238.29443099999</x:v>
      </x:c>
      <x:c r="H783" s="14" t="n">
        <x:f>F783/G783-1</x:f>
        <x:v>-0.03842875139756541</x:v>
      </x:c>
      <x:c r="I783" s="14" t="n">
        <x:f>F783/F782-1</x:f>
        <x:v>-0.02153696673583294</x:v>
      </x:c>
      <x:c r="J783" s="12" t="n">
        <x:v>0</x:v>
      </x:c>
      <x:c r="K783" s="12" t="n">
        <x:v>0</x:v>
      </x:c>
      <x:c r="L783" s="12" t="n">
        <x:v>0</x:v>
      </x:c>
      <x:c r="M783" s="2" t="str">
        <x:v>持有</x:v>
      </x:c>
    </x:row>
    <x:row r="784" ht="23" customHeight="1">
      <x:c r="A784" s="11" t="d">
        <x:v>2018-02-05T00:00:00.000Z</x:v>
      </x:c>
      <x:c r="B784" s="12" t="n">
        <x:v>1075.554431</x:v>
      </x:c>
      <x:c r="C784" s="13" t="n">
        <x:v>353</x:v>
      </x:c>
      <x:c r="D784" s="12" t="n">
        <x:v>93167.29000000001</x:v>
      </x:c>
      <x:c r="E784" s="12" t="n">
        <x:v>0</x:v>
      </x:c>
      <x:c r="F784" s="12" t="n">
        <x:f>SUM(B784,D784:E784)</x:f>
        <x:v>94242.844431</x:v>
      </x:c>
      <x:c r="G784" s="12" t="n">
        <x:f>MAX(G783,F784)</x:f>
        <x:v>102238.29443099999</x:v>
      </x:c>
      <x:c r="H784" s="14" t="n">
        <x:f>F784/G784-1</x:f>
        <x:v>-0.07820406281714787</x:v>
      </x:c>
      <x:c r="I784" s="14" t="n">
        <x:f>F784/F783-1</x:f>
        <x:v>-0.04136491339294157</x:v>
      </x:c>
      <x:c r="J784" s="12" t="n">
        <x:v>0</x:v>
      </x:c>
      <x:c r="K784" s="12" t="n">
        <x:v>0</x:v>
      </x:c>
      <x:c r="L784" s="12" t="n">
        <x:v>0</x:v>
      </x:c>
      <x:c r="M784" s="2" t="str">
        <x:v>持有</x:v>
      </x:c>
    </x:row>
    <x:row r="785" ht="23" customHeight="1">
      <x:c r="A785" s="11" t="d">
        <x:v>2018-02-06T00:00:00.000Z</x:v>
      </x:c>
      <x:c r="B785" s="12" t="n">
        <x:v>92742.615611</x:v>
      </x:c>
      <x:c r="C785" s="13" t="n">
        <x:v>0</x:v>
      </x:c>
      <x:c r="D785" s="12" t="n">
        <x:v>0</x:v>
      </x:c>
      <x:c r="E785" s="12" t="n">
        <x:v>0</x:v>
      </x:c>
      <x:c r="F785" s="12" t="n">
        <x:f>SUM(B785,D785:E785)</x:f>
        <x:v>92742.615611</x:v>
      </x:c>
      <x:c r="G785" s="12" t="n">
        <x:f>MAX(G784,F785)</x:f>
        <x:v>102238.29443099999</x:v>
      </x:c>
      <x:c r="H785" s="14" t="n">
        <x:f>F785/G785-1</x:f>
        <x:v>-0.09287790717604905</x:v>
      </x:c>
      <x:c r="I785" s="14" t="n">
        <x:f>F785/F784-1</x:f>
        <x:v>-0.01591875573214896</x:v>
      </x:c>
      <x:c r="J785" s="12" t="n">
        <x:v>0</x:v>
      </x:c>
      <x:c r="K785" s="12" t="n">
        <x:v>0</x:v>
      </x:c>
      <x:c r="L785" s="12" t="n">
        <x:v>-353</x:v>
      </x:c>
      <x:c r="M785" s="2" t="str">
        <x:v>卖出</x:v>
      </x:c>
    </x:row>
    <x:row r="786" ht="23" customHeight="1">
      <x:c r="A786" s="11" t="d">
        <x:v>2018-02-07T00:00:00.000Z</x:v>
      </x:c>
      <x:c r="B786" s="12" t="n">
        <x:v>92742.615611</x:v>
      </x:c>
      <x:c r="C786" s="13" t="n">
        <x:v>0</x:v>
      </x:c>
      <x:c r="D786" s="12" t="n">
        <x:v>0</x:v>
      </x:c>
      <x:c r="E786" s="12" t="n">
        <x:v>0</x:v>
      </x:c>
      <x:c r="F786" s="12" t="n">
        <x:f>SUM(B786,D786:E786)</x:f>
        <x:v>92742.615611</x:v>
      </x:c>
      <x:c r="G786" s="12" t="n">
        <x:f>MAX(G785,F786)</x:f>
        <x:v>102238.29443099999</x:v>
      </x:c>
      <x:c r="H786" s="14" t="n">
        <x:f>F786/G786-1</x:f>
        <x:v>-0.09287790717604905</x:v>
      </x:c>
      <x:c r="I786" s="14" t="n">
        <x:f>F786/F785-1</x:f>
        <x:v>0</x:v>
      </x:c>
      <x:c r="J786" s="12" t="n">
        <x:v>0</x:v>
      </x:c>
      <x:c r="K786" s="12" t="n">
        <x:v>0</x:v>
      </x:c>
      <x:c r="L786" s="12" t="n">
        <x:v>0</x:v>
      </x:c>
      <x:c r="M786" s="2" t="str">
        <x:v>空仓</x:v>
      </x:c>
    </x:row>
    <x:row r="787" ht="23" customHeight="1">
      <x:c r="A787" s="11" t="d">
        <x:v>2018-02-08T00:00:00.000Z</x:v>
      </x:c>
      <x:c r="B787" s="12" t="n">
        <x:v>92742.615611</x:v>
      </x:c>
      <x:c r="C787" s="13" t="n">
        <x:v>0</x:v>
      </x:c>
      <x:c r="D787" s="12" t="n">
        <x:v>0</x:v>
      </x:c>
      <x:c r="E787" s="12" t="n">
        <x:v>0</x:v>
      </x:c>
      <x:c r="F787" s="12" t="n">
        <x:f>SUM(B787,D787:E787)</x:f>
        <x:v>92742.615611</x:v>
      </x:c>
      <x:c r="G787" s="12" t="n">
        <x:f>MAX(G786,F787)</x:f>
        <x:v>102238.29443099999</x:v>
      </x:c>
      <x:c r="H787" s="14" t="n">
        <x:f>F787/G787-1</x:f>
        <x:v>-0.09287790717604905</x:v>
      </x:c>
      <x:c r="I787" s="14" t="n">
        <x:f>F787/F786-1</x:f>
        <x:v>0</x:v>
      </x:c>
      <x:c r="J787" s="12" t="n">
        <x:v>0</x:v>
      </x:c>
      <x:c r="K787" s="12" t="n">
        <x:v>0</x:v>
      </x:c>
      <x:c r="L787" s="12" t="n">
        <x:v>0</x:v>
      </x:c>
      <x:c r="M787" s="2" t="str">
        <x:v>空仓</x:v>
      </x:c>
    </x:row>
    <x:row r="788" ht="23" customHeight="1">
      <x:c r="A788" s="11" t="d">
        <x:v>2018-02-09T00:00:00.000Z</x:v>
      </x:c>
      <x:c r="B788" s="12" t="n">
        <x:v>92742.615611</x:v>
      </x:c>
      <x:c r="C788" s="13" t="n">
        <x:v>0</x:v>
      </x:c>
      <x:c r="D788" s="12" t="n">
        <x:v>0</x:v>
      </x:c>
      <x:c r="E788" s="12" t="n">
        <x:v>0</x:v>
      </x:c>
      <x:c r="F788" s="12" t="n">
        <x:f>SUM(B788,D788:E788)</x:f>
        <x:v>92742.615611</x:v>
      </x:c>
      <x:c r="G788" s="12" t="n">
        <x:f>MAX(G787,F788)</x:f>
        <x:v>102238.29443099999</x:v>
      </x:c>
      <x:c r="H788" s="14" t="n">
        <x:f>F788/G788-1</x:f>
        <x:v>-0.09287790717604905</x:v>
      </x:c>
      <x:c r="I788" s="14" t="n">
        <x:f>F788/F787-1</x:f>
        <x:v>0</x:v>
      </x:c>
      <x:c r="J788" s="12" t="n">
        <x:v>0</x:v>
      </x:c>
      <x:c r="K788" s="12" t="n">
        <x:v>0</x:v>
      </x:c>
      <x:c r="L788" s="12" t="n">
        <x:v>0</x:v>
      </x:c>
      <x:c r="M788" s="2" t="str">
        <x:v>空仓</x:v>
      </x:c>
    </x:row>
    <x:row r="789" ht="23" customHeight="1">
      <x:c r="A789" s="11" t="d">
        <x:v>2018-02-12T00:00:00.000Z</x:v>
      </x:c>
      <x:c r="B789" s="12" t="n">
        <x:v>92742.615611</x:v>
      </x:c>
      <x:c r="C789" s="13" t="n">
        <x:v>0</x:v>
      </x:c>
      <x:c r="D789" s="12" t="n">
        <x:v>0</x:v>
      </x:c>
      <x:c r="E789" s="12" t="n">
        <x:v>0</x:v>
      </x:c>
      <x:c r="F789" s="12" t="n">
        <x:f>SUM(B789,D789:E789)</x:f>
        <x:v>92742.615611</x:v>
      </x:c>
      <x:c r="G789" s="12" t="n">
        <x:f>MAX(G788,F789)</x:f>
        <x:v>102238.29443099999</x:v>
      </x:c>
      <x:c r="H789" s="14" t="n">
        <x:f>F789/G789-1</x:f>
        <x:v>-0.09287790717604905</x:v>
      </x:c>
      <x:c r="I789" s="14" t="n">
        <x:f>F789/F788-1</x:f>
        <x:v>0</x:v>
      </x:c>
      <x:c r="J789" s="12" t="n">
        <x:v>0</x:v>
      </x:c>
      <x:c r="K789" s="12" t="n">
        <x:v>0</x:v>
      </x:c>
      <x:c r="L789" s="12" t="n">
        <x:v>0</x:v>
      </x:c>
      <x:c r="M789" s="2" t="str">
        <x:v>空仓</x:v>
      </x:c>
    </x:row>
    <x:row r="790" ht="23" customHeight="1">
      <x:c r="A790" s="11" t="d">
        <x:v>2018-02-13T00:00:00.000Z</x:v>
      </x:c>
      <x:c r="B790" s="12" t="n">
        <x:v>92742.615611</x:v>
      </x:c>
      <x:c r="C790" s="13" t="n">
        <x:v>0</x:v>
      </x:c>
      <x:c r="D790" s="12" t="n">
        <x:v>0</x:v>
      </x:c>
      <x:c r="E790" s="12" t="n">
        <x:v>0</x:v>
      </x:c>
      <x:c r="F790" s="12" t="n">
        <x:f>SUM(B790,D790:E790)</x:f>
        <x:v>92742.615611</x:v>
      </x:c>
      <x:c r="G790" s="12" t="n">
        <x:f>MAX(G789,F790)</x:f>
        <x:v>102238.29443099999</x:v>
      </x:c>
      <x:c r="H790" s="14" t="n">
        <x:f>F790/G790-1</x:f>
        <x:v>-0.09287790717604905</x:v>
      </x:c>
      <x:c r="I790" s="14" t="n">
        <x:f>F790/F789-1</x:f>
        <x:v>0</x:v>
      </x:c>
      <x:c r="J790" s="12" t="n">
        <x:v>0</x:v>
      </x:c>
      <x:c r="K790" s="12" t="n">
        <x:v>0</x:v>
      </x:c>
      <x:c r="L790" s="12" t="n">
        <x:v>0</x:v>
      </x:c>
      <x:c r="M790" s="2" t="str">
        <x:v>空仓</x:v>
      </x:c>
    </x:row>
    <x:row r="791" ht="23" customHeight="1">
      <x:c r="A791" s="11" t="d">
        <x:v>2018-02-14T00:00:00.000Z</x:v>
      </x:c>
      <x:c r="B791" s="12" t="n">
        <x:v>92742.615611</x:v>
      </x:c>
      <x:c r="C791" s="13" t="n">
        <x:v>0</x:v>
      </x:c>
      <x:c r="D791" s="12" t="n">
        <x:v>0</x:v>
      </x:c>
      <x:c r="E791" s="12" t="n">
        <x:v>0</x:v>
      </x:c>
      <x:c r="F791" s="12" t="n">
        <x:f>SUM(B791,D791:E791)</x:f>
        <x:v>92742.615611</x:v>
      </x:c>
      <x:c r="G791" s="12" t="n">
        <x:f>MAX(G790,F791)</x:f>
        <x:v>102238.29443099999</x:v>
      </x:c>
      <x:c r="H791" s="14" t="n">
        <x:f>F791/G791-1</x:f>
        <x:v>-0.09287790717604905</x:v>
      </x:c>
      <x:c r="I791" s="14" t="n">
        <x:f>F791/F790-1</x:f>
        <x:v>0</x:v>
      </x:c>
      <x:c r="J791" s="12" t="n">
        <x:v>0</x:v>
      </x:c>
      <x:c r="K791" s="12" t="n">
        <x:v>0</x:v>
      </x:c>
      <x:c r="L791" s="12" t="n">
        <x:v>0</x:v>
      </x:c>
      <x:c r="M791" s="2" t="str">
        <x:v>空仓</x:v>
      </x:c>
    </x:row>
    <x:row r="792" ht="23" customHeight="1">
      <x:c r="A792" s="11" t="d">
        <x:v>2018-02-15T00:00:00.000Z</x:v>
      </x:c>
      <x:c r="B792" s="12" t="n">
        <x:v>92742.615611</x:v>
      </x:c>
      <x:c r="C792" s="13" t="n">
        <x:v>0</x:v>
      </x:c>
      <x:c r="D792" s="12" t="n">
        <x:v>0</x:v>
      </x:c>
      <x:c r="E792" s="12" t="n">
        <x:v>0</x:v>
      </x:c>
      <x:c r="F792" s="12" t="n">
        <x:f>SUM(B792,D792:E792)</x:f>
        <x:v>92742.615611</x:v>
      </x:c>
      <x:c r="G792" s="12" t="n">
        <x:f>MAX(G791,F792)</x:f>
        <x:v>102238.29443099999</x:v>
      </x:c>
      <x:c r="H792" s="14" t="n">
        <x:f>F792/G792-1</x:f>
        <x:v>-0.09287790717604905</x:v>
      </x:c>
      <x:c r="I792" s="14" t="n">
        <x:f>F792/F791-1</x:f>
        <x:v>0</x:v>
      </x:c>
      <x:c r="J792" s="12" t="n">
        <x:v>0</x:v>
      </x:c>
      <x:c r="K792" s="12" t="n">
        <x:v>0</x:v>
      </x:c>
      <x:c r="L792" s="12" t="n">
        <x:v>0</x:v>
      </x:c>
      <x:c r="M792" s="2" t="str">
        <x:v>空仓</x:v>
      </x:c>
    </x:row>
    <x:row r="793" ht="23" customHeight="1">
      <x:c r="A793" s="11" t="d">
        <x:v>2018-02-16T00:00:00.000Z</x:v>
      </x:c>
      <x:c r="B793" s="12" t="n">
        <x:v>61.226811</x:v>
      </x:c>
      <x:c r="C793" s="13" t="n">
        <x:v>340</x:v>
      </x:c>
      <x:c r="D793" s="12" t="n">
        <x:v>92857.40000000001</x:v>
      </x:c>
      <x:c r="E793" s="12" t="n">
        <x:v>0</x:v>
      </x:c>
      <x:c r="F793" s="12" t="n">
        <x:f>SUM(B793,D793:E793)</x:f>
        <x:v>92918.62681100001</x:v>
      </x:c>
      <x:c r="G793" s="12" t="n">
        <x:f>MAX(G792,F793)</x:f>
        <x:v>102238.29443099999</x:v>
      </x:c>
      <x:c r="H793" s="14" t="n">
        <x:f>F793/G793-1</x:f>
        <x:v>-0.09115632916088767</x:v>
      </x:c>
      <x:c r="I793" s="14" t="n">
        <x:f>F793/F792-1</x:f>
        <x:v>0.001897845977713919</x:v>
      </x:c>
      <x:c r="J793" s="12" t="n">
        <x:v>0</x:v>
      </x:c>
      <x:c r="K793" s="12" t="n">
        <x:v>0</x:v>
      </x:c>
      <x:c r="L793" s="12" t="n">
        <x:v>340</x:v>
      </x:c>
      <x:c r="M793" s="2" t="str">
        <x:v>买入</x:v>
      </x:c>
    </x:row>
    <x:row r="794" ht="23" customHeight="1">
      <x:c r="A794" s="11" t="d">
        <x:v>2018-02-20T00:00:00.000Z</x:v>
      </x:c>
      <x:c r="B794" s="12" t="n">
        <x:v>61.226811</x:v>
      </x:c>
      <x:c r="C794" s="13" t="n">
        <x:v>340</x:v>
      </x:c>
      <x:c r="D794" s="12" t="n">
        <x:v>92275.99999999999</x:v>
      </x:c>
      <x:c r="E794" s="12" t="n">
        <x:v>0</x:v>
      </x:c>
      <x:c r="F794" s="12" t="n">
        <x:f>SUM(B794,D794:E794)</x:f>
        <x:v>92337.22681099999</x:v>
      </x:c>
      <x:c r="G794" s="12" t="n">
        <x:f>MAX(G793,F794)</x:f>
        <x:v>102238.29443099999</x:v>
      </x:c>
      <x:c r="H794" s="14" t="n">
        <x:f>F794/G794-1</x:f>
        <x:v>-0.09684304374504382</x:v>
      </x:c>
      <x:c r="I794" s="14" t="n">
        <x:f>F794/F793-1</x:f>
        <x:v>-0.006257087733147593</x:v>
      </x:c>
      <x:c r="J794" s="12" t="n">
        <x:v>0</x:v>
      </x:c>
      <x:c r="K794" s="12" t="n">
        <x:v>0</x:v>
      </x:c>
      <x:c r="L794" s="12" t="n">
        <x:v>0</x:v>
      </x:c>
      <x:c r="M794" s="2" t="str">
        <x:v>持有</x:v>
      </x:c>
    </x:row>
    <x:row r="795" ht="23" customHeight="1">
      <x:c r="A795" s="11" t="d">
        <x:v>2018-02-21T00:00:00.000Z</x:v>
      </x:c>
      <x:c r="B795" s="12" t="n">
        <x:v>92414.780811</x:v>
      </x:c>
      <x:c r="C795" s="13" t="n">
        <x:v>0</x:v>
      </x:c>
      <x:c r="D795" s="12" t="n">
        <x:v>0</x:v>
      </x:c>
      <x:c r="E795" s="12" t="n">
        <x:v>0</x:v>
      </x:c>
      <x:c r="F795" s="12" t="n">
        <x:f>SUM(B795,D795:E795)</x:f>
        <x:v>92414.780811</x:v>
      </x:c>
      <x:c r="G795" s="12" t="n">
        <x:f>MAX(G794,F795)</x:f>
        <x:v>102238.29443099999</x:v>
      </x:c>
      <x:c r="H795" s="14" t="n">
        <x:f>F795/G795-1</x:f>
        <x:v>-0.09608448257741442</x:v>
      </x:c>
      <x:c r="I795" s="14" t="n">
        <x:f>F795/F794-1</x:f>
        <x:v>0.0008398996014766791</x:v>
      </x:c>
      <x:c r="J795" s="12" t="n">
        <x:v>0</x:v>
      </x:c>
      <x:c r="K795" s="12" t="n">
        <x:v>0</x:v>
      </x:c>
      <x:c r="L795" s="12" t="n">
        <x:v>-340</x:v>
      </x:c>
      <x:c r="M795" s="2" t="str">
        <x:v>卖出</x:v>
      </x:c>
    </x:row>
    <x:row r="796" ht="23" customHeight="1">
      <x:c r="A796" s="11" t="d">
        <x:v>2018-02-22T00:00:00.000Z</x:v>
      </x:c>
      <x:c r="B796" s="12" t="n">
        <x:v>92414.780811</x:v>
      </x:c>
      <x:c r="C796" s="13" t="n">
        <x:v>0</x:v>
      </x:c>
      <x:c r="D796" s="12" t="n">
        <x:v>0</x:v>
      </x:c>
      <x:c r="E796" s="12" t="n">
        <x:v>0</x:v>
      </x:c>
      <x:c r="F796" s="12" t="n">
        <x:f>SUM(B796,D796:E796)</x:f>
        <x:v>92414.780811</x:v>
      </x:c>
      <x:c r="G796" s="12" t="n">
        <x:f>MAX(G795,F796)</x:f>
        <x:v>102238.29443099999</x:v>
      </x:c>
      <x:c r="H796" s="14" t="n">
        <x:f>F796/G796-1</x:f>
        <x:v>-0.09608448257741442</x:v>
      </x:c>
      <x:c r="I796" s="14" t="n">
        <x:f>F796/F795-1</x:f>
        <x:v>0</x:v>
      </x:c>
      <x:c r="J796" s="12" t="n">
        <x:v>0</x:v>
      </x:c>
      <x:c r="K796" s="12" t="n">
        <x:v>0</x:v>
      </x:c>
      <x:c r="L796" s="12" t="n">
        <x:v>0</x:v>
      </x:c>
      <x:c r="M796" s="2" t="str">
        <x:v>空仓</x:v>
      </x:c>
    </x:row>
    <x:row r="797" ht="23" customHeight="1">
      <x:c r="A797" s="11" t="d">
        <x:v>2018-02-23T00:00:00.000Z</x:v>
      </x:c>
      <x:c r="B797" s="12" t="n">
        <x:v>92414.780811</x:v>
      </x:c>
      <x:c r="C797" s="13" t="n">
        <x:v>0</x:v>
      </x:c>
      <x:c r="D797" s="12" t="n">
        <x:v>0</x:v>
      </x:c>
      <x:c r="E797" s="12" t="n">
        <x:v>0</x:v>
      </x:c>
      <x:c r="F797" s="12" t="n">
        <x:f>SUM(B797,D797:E797)</x:f>
        <x:v>92414.780811</x:v>
      </x:c>
      <x:c r="G797" s="12" t="n">
        <x:f>MAX(G796,F797)</x:f>
        <x:v>102238.29443099999</x:v>
      </x:c>
      <x:c r="H797" s="14" t="n">
        <x:f>F797/G797-1</x:f>
        <x:v>-0.09608448257741442</x:v>
      </x:c>
      <x:c r="I797" s="14" t="n">
        <x:f>F797/F796-1</x:f>
        <x:v>0</x:v>
      </x:c>
      <x:c r="J797" s="12" t="n">
        <x:v>0</x:v>
      </x:c>
      <x:c r="K797" s="12" t="n">
        <x:v>0</x:v>
      </x:c>
      <x:c r="L797" s="12" t="n">
        <x:v>0</x:v>
      </x:c>
      <x:c r="M797" s="2" t="str">
        <x:v>空仓</x:v>
      </x:c>
    </x:row>
    <x:row r="798" ht="23" customHeight="1">
      <x:c r="A798" s="11" t="d">
        <x:v>2018-02-26T00:00:00.000Z</x:v>
      </x:c>
      <x:c r="B798" s="12" t="n">
        <x:v>162.000191</x:v>
      </x:c>
      <x:c r="C798" s="13" t="n">
        <x:v>334</x:v>
      </x:c>
      <x:c r="D798" s="12" t="n">
        <x:v>92818.59999999999</x:v>
      </x:c>
      <x:c r="E798" s="12" t="n">
        <x:v>0</x:v>
      </x:c>
      <x:c r="F798" s="12" t="n">
        <x:f>SUM(B798,D798:E798)</x:f>
        <x:v>92980.60019099999</x:v>
      </x:c>
      <x:c r="G798" s="12" t="n">
        <x:f>MAX(G797,F798)</x:f>
        <x:v>102238.29443099999</x:v>
      </x:c>
      <x:c r="H798" s="14" t="n">
        <x:f>F798/G798-1</x:f>
        <x:v>-0.09055016314115016</x:v>
      </x:c>
      <x:c r="I798" s="14" t="n">
        <x:f>F798/F797-1</x:f>
        <x:v>0.006122606957832399</x:v>
      </x:c>
      <x:c r="J798" s="12" t="n">
        <x:v>0</x:v>
      </x:c>
      <x:c r="K798" s="12" t="n">
        <x:v>0</x:v>
      </x:c>
      <x:c r="L798" s="12" t="n">
        <x:v>334</x:v>
      </x:c>
      <x:c r="M798" s="2" t="str">
        <x:v>买入</x:v>
      </x:c>
    </x:row>
    <x:row r="799" ht="23" customHeight="1">
      <x:c r="A799" s="11" t="d">
        <x:v>2018-02-27T00:00:00.000Z</x:v>
      </x:c>
      <x:c r="B799" s="12" t="n">
        <x:v>162.000191</x:v>
      </x:c>
      <x:c r="C799" s="13" t="n">
        <x:v>334</x:v>
      </x:c>
      <x:c r="D799" s="12" t="n">
        <x:v>91659.62</x:v>
      </x:c>
      <x:c r="E799" s="12" t="n">
        <x:v>0</x:v>
      </x:c>
      <x:c r="F799" s="12" t="n">
        <x:f>SUM(B799,D799:E799)</x:f>
        <x:v>91821.620191</x:v>
      </x:c>
      <x:c r="G799" s="12" t="n">
        <x:f>MAX(G798,F799)</x:f>
        <x:v>102238.29443099999</x:v>
      </x:c>
      <x:c r="H799" s="14" t="n">
        <x:f>F799/G799-1</x:f>
        <x:v>-0.10188622861886787</x:v>
      </x:c>
      <x:c r="I799" s="14" t="n">
        <x:f>F799/F798-1</x:f>
        <x:v>-0.012464750685833748</x:v>
      </x:c>
      <x:c r="J799" s="12" t="n">
        <x:v>0</x:v>
      </x:c>
      <x:c r="K799" s="12" t="n">
        <x:v>0</x:v>
      </x:c>
      <x:c r="L799" s="12" t="n">
        <x:v>0</x:v>
      </x:c>
      <x:c r="M799" s="2" t="str">
        <x:v>持有</x:v>
      </x:c>
    </x:row>
    <x:row r="800" ht="23" customHeight="1">
      <x:c r="A800" s="11" t="d">
        <x:v>2018-02-28T00:00:00.000Z</x:v>
      </x:c>
      <x:c r="B800" s="12" t="n">
        <x:v>162.000191</x:v>
      </x:c>
      <x:c r="C800" s="13" t="n">
        <x:v>334</x:v>
      </x:c>
      <x:c r="D800" s="12" t="n">
        <x:v>90731.09999999999</x:v>
      </x:c>
      <x:c r="E800" s="12" t="n">
        <x:v>0</x:v>
      </x:c>
      <x:c r="F800" s="12" t="n">
        <x:f>SUM(B800,D800:E800)</x:f>
        <x:v>90893.10019099999</x:v>
      </x:c>
      <x:c r="G800" s="12" t="n">
        <x:f>MAX(G799,F800)</x:f>
        <x:v>102238.29443099999</x:v>
      </x:c>
      <x:c r="H800" s="14" t="n">
        <x:f>F800/G800-1</x:f>
        <x:v>-0.11096814851167924</x:v>
      </x:c>
      <x:c r="I800" s="14" t="n">
        <x:f>F800/F799-1</x:f>
        <x:v>-0.010112215380958967</x:v>
      </x:c>
      <x:c r="J800" s="12" t="n">
        <x:v>0</x:v>
      </x:c>
      <x:c r="K800" s="12" t="n">
        <x:v>0</x:v>
      </x:c>
      <x:c r="L800" s="12" t="n">
        <x:v>0</x:v>
      </x:c>
      <x:c r="M800" s="2" t="str">
        <x:v>持有</x:v>
      </x:c>
    </x:row>
    <x:row r="801" ht="23" customHeight="1">
      <x:c r="A801" s="11" t="d">
        <x:v>2018-03-01T00:00:00.000Z</x:v>
      </x:c>
      <x:c r="B801" s="12" t="n">
        <x:v>90722.289251</x:v>
      </x:c>
      <x:c r="C801" s="13" t="n">
        <x:v>0</x:v>
      </x:c>
      <x:c r="D801" s="12" t="n">
        <x:v>0</x:v>
      </x:c>
      <x:c r="E801" s="12" t="n">
        <x:v>0</x:v>
      </x:c>
      <x:c r="F801" s="12" t="n">
        <x:f>SUM(B801,D801:E801)</x:f>
        <x:v>90722.289251</x:v>
      </x:c>
      <x:c r="G801" s="12" t="n">
        <x:f>MAX(G800,F801)</x:f>
        <x:v>102238.29443099999</x:v>
      </x:c>
      <x:c r="H801" s="14" t="n">
        <x:f>F801/G801-1</x:f>
        <x:v>-0.11263886241541399</x:v>
      </x:c>
      <x:c r="I801" s="14" t="n">
        <x:f>F801/F800-1</x:f>
        <x:v>-0.001879250896284268</x:v>
      </x:c>
      <x:c r="J801" s="12" t="n">
        <x:v>0</x:v>
      </x:c>
      <x:c r="K801" s="12" t="n">
        <x:v>0</x:v>
      </x:c>
      <x:c r="L801" s="12" t="n">
        <x:v>-334</x:v>
      </x:c>
      <x:c r="M801" s="2" t="str">
        <x:v>卖出</x:v>
      </x:c>
    </x:row>
    <x:row r="802" ht="23" customHeight="1">
      <x:c r="A802" s="11" t="d">
        <x:v>2018-03-02T00:00:00.000Z</x:v>
      </x:c>
      <x:c r="B802" s="12" t="n">
        <x:v>90722.289251</x:v>
      </x:c>
      <x:c r="C802" s="13" t="n">
        <x:v>0</x:v>
      </x:c>
      <x:c r="D802" s="12" t="n">
        <x:v>0</x:v>
      </x:c>
      <x:c r="E802" s="12" t="n">
        <x:v>0</x:v>
      </x:c>
      <x:c r="F802" s="12" t="n">
        <x:f>SUM(B802,D802:E802)</x:f>
        <x:v>90722.289251</x:v>
      </x:c>
      <x:c r="G802" s="12" t="n">
        <x:f>MAX(G801,F802)</x:f>
        <x:v>102238.29443099999</x:v>
      </x:c>
      <x:c r="H802" s="14" t="n">
        <x:f>F802/G802-1</x:f>
        <x:v>-0.11263886241541399</x:v>
      </x:c>
      <x:c r="I802" s="14" t="n">
        <x:f>F802/F801-1</x:f>
        <x:v>0</x:v>
      </x:c>
      <x:c r="J802" s="12" t="n">
        <x:v>0</x:v>
      </x:c>
      <x:c r="K802" s="12" t="n">
        <x:v>0</x:v>
      </x:c>
      <x:c r="L802" s="12" t="n">
        <x:v>0</x:v>
      </x:c>
      <x:c r="M802" s="2" t="str">
        <x:v>空仓</x:v>
      </x:c>
    </x:row>
    <x:row r="803" ht="23" customHeight="1">
      <x:c r="A803" s="11" t="d">
        <x:v>2018-03-05T00:00:00.000Z</x:v>
      </x:c>
      <x:c r="B803" s="12" t="n">
        <x:v>90722.289251</x:v>
      </x:c>
      <x:c r="C803" s="13" t="n">
        <x:v>0</x:v>
      </x:c>
      <x:c r="D803" s="12" t="n">
        <x:v>0</x:v>
      </x:c>
      <x:c r="E803" s="12" t="n">
        <x:v>0</x:v>
      </x:c>
      <x:c r="F803" s="12" t="n">
        <x:f>SUM(B803,D803:E803)</x:f>
        <x:v>90722.289251</x:v>
      </x:c>
      <x:c r="G803" s="12" t="n">
        <x:f>MAX(G802,F803)</x:f>
        <x:v>102238.29443099999</x:v>
      </x:c>
      <x:c r="H803" s="14" t="n">
        <x:f>F803/G803-1</x:f>
        <x:v>-0.11263886241541399</x:v>
      </x:c>
      <x:c r="I803" s="14" t="n">
        <x:f>F803/F802-1</x:f>
        <x:v>0</x:v>
      </x:c>
      <x:c r="J803" s="12" t="n">
        <x:v>0</x:v>
      </x:c>
      <x:c r="K803" s="12" t="n">
        <x:v>0</x:v>
      </x:c>
      <x:c r="L803" s="12" t="n">
        <x:v>0</x:v>
      </x:c>
      <x:c r="M803" s="2" t="str">
        <x:v>空仓</x:v>
      </x:c>
    </x:row>
    <x:row r="804" ht="23" customHeight="1">
      <x:c r="A804" s="11" t="d">
        <x:v>2018-03-06T00:00:00.000Z</x:v>
      </x:c>
      <x:c r="B804" s="12" t="n">
        <x:v>90722.289251</x:v>
      </x:c>
      <x:c r="C804" s="13" t="n">
        <x:v>0</x:v>
      </x:c>
      <x:c r="D804" s="12" t="n">
        <x:v>0</x:v>
      </x:c>
      <x:c r="E804" s="12" t="n">
        <x:v>0</x:v>
      </x:c>
      <x:c r="F804" s="12" t="n">
        <x:f>SUM(B804,D804:E804)</x:f>
        <x:v>90722.289251</x:v>
      </x:c>
      <x:c r="G804" s="12" t="n">
        <x:f>MAX(G803,F804)</x:f>
        <x:v>102238.29443099999</x:v>
      </x:c>
      <x:c r="H804" s="14" t="n">
        <x:f>F804/G804-1</x:f>
        <x:v>-0.11263886241541399</x:v>
      </x:c>
      <x:c r="I804" s="14" t="n">
        <x:f>F804/F803-1</x:f>
        <x:v>0</x:v>
      </x:c>
      <x:c r="J804" s="12" t="n">
        <x:v>0</x:v>
      </x:c>
      <x:c r="K804" s="12" t="n">
        <x:v>0</x:v>
      </x:c>
      <x:c r="L804" s="12" t="n">
        <x:v>0</x:v>
      </x:c>
      <x:c r="M804" s="2" t="str">
        <x:v>空仓</x:v>
      </x:c>
    </x:row>
    <x:row r="805" ht="23" customHeight="1">
      <x:c r="A805" s="11" t="d">
        <x:v>2018-03-07T00:00:00.000Z</x:v>
      </x:c>
      <x:c r="B805" s="12" t="n">
        <x:v>90722.289251</x:v>
      </x:c>
      <x:c r="C805" s="13" t="n">
        <x:v>0</x:v>
      </x:c>
      <x:c r="D805" s="12" t="n">
        <x:v>0</x:v>
      </x:c>
      <x:c r="E805" s="12" t="n">
        <x:v>0</x:v>
      </x:c>
      <x:c r="F805" s="12" t="n">
        <x:f>SUM(B805,D805:E805)</x:f>
        <x:v>90722.289251</x:v>
      </x:c>
      <x:c r="G805" s="12" t="n">
        <x:f>MAX(G804,F805)</x:f>
        <x:v>102238.29443099999</x:v>
      </x:c>
      <x:c r="H805" s="14" t="n">
        <x:f>F805/G805-1</x:f>
        <x:v>-0.11263886241541399</x:v>
      </x:c>
      <x:c r="I805" s="14" t="n">
        <x:f>F805/F804-1</x:f>
        <x:v>0</x:v>
      </x:c>
      <x:c r="J805" s="12" t="n">
        <x:v>0</x:v>
      </x:c>
      <x:c r="K805" s="12" t="n">
        <x:v>0</x:v>
      </x:c>
      <x:c r="L805" s="12" t="n">
        <x:v>0</x:v>
      </x:c>
      <x:c r="M805" s="2" t="str">
        <x:v>空仓</x:v>
      </x:c>
    </x:row>
    <x:row r="806" ht="23" customHeight="1">
      <x:c r="A806" s="11" t="d">
        <x:v>2018-03-08T00:00:00.000Z</x:v>
      </x:c>
      <x:c r="B806" s="12" t="n">
        <x:v>90722.289251</x:v>
      </x:c>
      <x:c r="C806" s="13" t="n">
        <x:v>0</x:v>
      </x:c>
      <x:c r="D806" s="12" t="n">
        <x:v>0</x:v>
      </x:c>
      <x:c r="E806" s="12" t="n">
        <x:v>0</x:v>
      </x:c>
      <x:c r="F806" s="12" t="n">
        <x:f>SUM(B806,D806:E806)</x:f>
        <x:v>90722.289251</x:v>
      </x:c>
      <x:c r="G806" s="12" t="n">
        <x:f>MAX(G805,F806)</x:f>
        <x:v>102238.29443099999</x:v>
      </x:c>
      <x:c r="H806" s="14" t="n">
        <x:f>F806/G806-1</x:f>
        <x:v>-0.11263886241541399</x:v>
      </x:c>
      <x:c r="I806" s="14" t="n">
        <x:f>F806/F805-1</x:f>
        <x:v>0</x:v>
      </x:c>
      <x:c r="J806" s="12" t="n">
        <x:v>0</x:v>
      </x:c>
      <x:c r="K806" s="12" t="n">
        <x:v>0</x:v>
      </x:c>
      <x:c r="L806" s="12" t="n">
        <x:v>0</x:v>
      </x:c>
      <x:c r="M806" s="2" t="str">
        <x:v>空仓</x:v>
      </x:c>
    </x:row>
    <x:row r="807" ht="23" customHeight="1">
      <x:c r="A807" s="11" t="d">
        <x:v>2018-03-09T00:00:00.000Z</x:v>
      </x:c>
      <x:c r="B807" s="12" t="n">
        <x:v>202.259651</x:v>
      </x:c>
      <x:c r="C807" s="13" t="n">
        <x:v>328</x:v>
      </x:c>
      <x:c r="D807" s="12" t="n">
        <x:v>91469.36</x:v>
      </x:c>
      <x:c r="E807" s="12" t="n">
        <x:v>0</x:v>
      </x:c>
      <x:c r="F807" s="12" t="n">
        <x:f>SUM(B807,D807:E807)</x:f>
        <x:v>91671.619651</x:v>
      </x:c>
      <x:c r="G807" s="12" t="n">
        <x:f>MAX(G806,F807)</x:f>
        <x:v>102238.29443099999</x:v>
      </x:c>
      <x:c r="H807" s="14" t="n">
        <x:f>F807/G807-1</x:f>
        <x:v>-0.10335339452607328</x:v>
      </x:c>
      <x:c r="I807" s="14" t="n">
        <x:f>F807/F806-1</x:f>
        <x:v>0.010464136298120819</x:v>
      </x:c>
      <x:c r="J807" s="12" t="n">
        <x:v>0</x:v>
      </x:c>
      <x:c r="K807" s="12" t="n">
        <x:v>0</x:v>
      </x:c>
      <x:c r="L807" s="12" t="n">
        <x:v>328</x:v>
      </x:c>
      <x:c r="M807" s="2" t="str">
        <x:v>买入</x:v>
      </x:c>
    </x:row>
    <x:row r="808" ht="23" customHeight="1">
      <x:c r="A808" s="11" t="d">
        <x:v>2018-03-12T00:00:00.000Z</x:v>
      </x:c>
      <x:c r="B808" s="12" t="n">
        <x:v>202.259651</x:v>
      </x:c>
      <x:c r="C808" s="13" t="n">
        <x:v>328</x:v>
      </x:c>
      <x:c r="D808" s="12" t="n">
        <x:v>91354.56</x:v>
      </x:c>
      <x:c r="E808" s="12" t="n">
        <x:v>0</x:v>
      </x:c>
      <x:c r="F808" s="12" t="n">
        <x:f>SUM(B808,D808:E808)</x:f>
        <x:v>91556.819651</x:v>
      </x:c>
      <x:c r="G808" s="12" t="n">
        <x:f>MAX(G807,F808)</x:f>
        <x:v>102238.29443099999</x:v>
      </x:c>
      <x:c r="H808" s="14" t="n">
        <x:f>F808/G808-1</x:f>
        <x:v>-0.10447626145806699</x:v>
      </x:c>
      <x:c r="I808" s="14" t="n">
        <x:f>F808/F807-1</x:f>
        <x:v>-0.0012522959716110282</x:v>
      </x:c>
      <x:c r="J808" s="12" t="n">
        <x:v>0</x:v>
      </x:c>
      <x:c r="K808" s="12" t="n">
        <x:v>0</x:v>
      </x:c>
      <x:c r="L808" s="12" t="n">
        <x:v>0</x:v>
      </x:c>
      <x:c r="M808" s="2" t="str">
        <x:v>持有</x:v>
      </x:c>
    </x:row>
    <x:row r="809" ht="23" customHeight="1">
      <x:c r="A809" s="11" t="d">
        <x:v>2018-03-13T00:00:00.000Z</x:v>
      </x:c>
      <x:c r="B809" s="12" t="n">
        <x:v>202.259651</x:v>
      </x:c>
      <x:c r="C809" s="13" t="n">
        <x:v>328</x:v>
      </x:c>
      <x:c r="D809" s="12" t="n">
        <x:v>90764.16</x:v>
      </x:c>
      <x:c r="E809" s="12" t="n">
        <x:v>0</x:v>
      </x:c>
      <x:c r="F809" s="12" t="n">
        <x:f>SUM(B809,D809:E809)</x:f>
        <x:v>90966.419651</x:v>
      </x:c>
      <x:c r="G809" s="12" t="n">
        <x:f>MAX(G808,F809)</x:f>
        <x:v>102238.29443099999</x:v>
      </x:c>
      <x:c r="H809" s="14" t="n">
        <x:f>F809/G809-1</x:f>
        <x:v>-0.11025100567974855</x:v>
      </x:c>
      <x:c r="I809" s="14" t="n">
        <x:f>F809/F808-1</x:f>
        <x:v>-0.006448454656359903</x:v>
      </x:c>
      <x:c r="J809" s="12" t="n">
        <x:v>0</x:v>
      </x:c>
      <x:c r="K809" s="12" t="n">
        <x:v>0</x:v>
      </x:c>
      <x:c r="L809" s="12" t="n">
        <x:v>0</x:v>
      </x:c>
      <x:c r="M809" s="2" t="str">
        <x:v>持有</x:v>
      </x:c>
    </x:row>
    <x:row r="810" ht="23" customHeight="1">
      <x:c r="A810" s="11" t="d">
        <x:v>2018-03-14T00:00:00.000Z</x:v>
      </x:c>
      <x:c r="B810" s="12" t="n">
        <x:v>202.259651</x:v>
      </x:c>
      <x:c r="C810" s="13" t="n">
        <x:v>328</x:v>
      </x:c>
      <x:c r="D810" s="12" t="n">
        <x:v>90298.40000000001</x:v>
      </x:c>
      <x:c r="E810" s="12" t="n">
        <x:v>0</x:v>
      </x:c>
      <x:c r="F810" s="12" t="n">
        <x:f>SUM(B810,D810:E810)</x:f>
        <x:v>90500.65965100001</x:v>
      </x:c>
      <x:c r="G810" s="12" t="n">
        <x:f>MAX(G809,F810)</x:f>
        <x:v>102238.29443099999</x:v>
      </x:c>
      <x:c r="H810" s="14" t="n">
        <x:f>F810/G810-1</x:f>
        <x:v>-0.11480663723240847</x:v>
      </x:c>
      <x:c r="I810" s="14" t="n">
        <x:f>F810/F809-1</x:f>
        <x:v>-0.005120131162542396</x:v>
      </x:c>
      <x:c r="J810" s="12" t="n">
        <x:v>0</x:v>
      </x:c>
      <x:c r="K810" s="12" t="n">
        <x:v>0</x:v>
      </x:c>
      <x:c r="L810" s="12" t="n">
        <x:v>0</x:v>
      </x:c>
      <x:c r="M810" s="2" t="str">
        <x:v>持有</x:v>
      </x:c>
    </x:row>
    <x:row r="811" ht="23" customHeight="1">
      <x:c r="A811" s="11" t="d">
        <x:v>2018-03-15T00:00:00.000Z</x:v>
      </x:c>
      <x:c r="B811" s="12" t="n">
        <x:v>202.259651</x:v>
      </x:c>
      <x:c r="C811" s="13" t="n">
        <x:v>328</x:v>
      </x:c>
      <x:c r="D811" s="12" t="n">
        <x:v>90200</x:v>
      </x:c>
      <x:c r="E811" s="12" t="n">
        <x:v>0</x:v>
      </x:c>
      <x:c r="F811" s="12" t="n">
        <x:f>SUM(B811,D811:E811)</x:f>
        <x:v>90402.259651</x:v>
      </x:c>
      <x:c r="G811" s="12" t="n">
        <x:f>MAX(G810,F811)</x:f>
        <x:v>102238.29443099999</x:v>
      </x:c>
      <x:c r="H811" s="14" t="n">
        <x:f>F811/G811-1</x:f>
        <x:v>-0.1157690946026888</x:v>
      </x:c>
      <x:c r="I811" s="14" t="n">
        <x:f>F811/F810-1</x:f>
        <x:v>-0.001087284892502094</x:v>
      </x:c>
      <x:c r="J811" s="12" t="n">
        <x:v>0</x:v>
      </x:c>
      <x:c r="K811" s="12" t="n">
        <x:v>0</x:v>
      </x:c>
      <x:c r="L811" s="12" t="n">
        <x:v>0</x:v>
      </x:c>
      <x:c r="M811" s="2" t="str">
        <x:v>持有</x:v>
      </x:c>
    </x:row>
    <x:row r="812" ht="23" customHeight="1">
      <x:c r="A812" s="11" t="d">
        <x:v>2018-03-16T00:00:00.000Z</x:v>
      </x:c>
      <x:c r="B812" s="12" t="n">
        <x:v>202.259651</x:v>
      </x:c>
      <x:c r="C812" s="13" t="n">
        <x:v>328</x:v>
      </x:c>
      <x:c r="D812" s="12" t="n">
        <x:v>89937.59999999999</x:v>
      </x:c>
      <x:c r="E812" s="12" t="n">
        <x:v>359.7422</x:v>
      </x:c>
      <x:c r="F812" s="12" t="n">
        <x:f>SUM(B812,D812:E812)</x:f>
        <x:v>90499.60185099998</x:v>
      </x:c>
      <x:c r="G812" s="12" t="n">
        <x:f>MAX(G811,F812)</x:f>
        <x:v>102238.29443099999</x:v>
      </x:c>
      <x:c r="H812" s="14" t="n">
        <x:f>F812/G812-1</x:f>
        <x:v>-0.11481698364913917</x:v>
      </x:c>
      <x:c r="I812" s="14" t="n">
        <x:f>F812/F811-1</x:f>
        <x:v>0.001076767332761186</x:v>
      </x:c>
      <x:c r="J812" s="12" t="n">
        <x:v>359.7422</x:v>
      </x:c>
      <x:c r="K812" s="12" t="n">
        <x:v>0</x:v>
      </x:c>
      <x:c r="L812" s="12" t="n">
        <x:v>0</x:v>
      </x:c>
      <x:c r="M812" s="2" t="str">
        <x:v>持有</x:v>
      </x:c>
    </x:row>
    <x:row r="813" ht="23" customHeight="1">
      <x:c r="A813" s="11" t="d">
        <x:v>2018-03-19T00:00:00.000Z</x:v>
      </x:c>
      <x:c r="B813" s="12" t="n">
        <x:v>89771.400851</x:v>
      </x:c>
      <x:c r="C813" s="13" t="n">
        <x:v>0</x:v>
      </x:c>
      <x:c r="D813" s="12" t="n">
        <x:v>0</x:v>
      </x:c>
      <x:c r="E813" s="12" t="n">
        <x:v>359.7422</x:v>
      </x:c>
      <x:c r="F813" s="12" t="n">
        <x:f>SUM(B813,D813:E813)</x:f>
        <x:v>90131.14305099999</x:v>
      </x:c>
      <x:c r="G813" s="12" t="n">
        <x:f>MAX(G812,F813)</x:f>
        <x:v>102238.29443099999</x:v>
      </x:c>
      <x:c r="H813" s="14" t="n">
        <x:f>F813/G813-1</x:f>
        <x:v>-0.11842090527215354</x:v>
      </x:c>
      <x:c r="I813" s="14" t="n">
        <x:f>F813/F812-1</x:f>
        <x:v>-0.004071385867604471</x:v>
      </x:c>
      <x:c r="J813" s="12" t="n">
        <x:v>0</x:v>
      </x:c>
      <x:c r="K813" s="12" t="n">
        <x:v>0</x:v>
      </x:c>
      <x:c r="L813" s="12" t="n">
        <x:v>-328</x:v>
      </x:c>
      <x:c r="M813" s="2" t="str">
        <x:v>卖出</x:v>
      </x:c>
    </x:row>
    <x:row r="814" ht="23" customHeight="1">
      <x:c r="A814" s="11" t="d">
        <x:v>2018-03-20T00:00:00.000Z</x:v>
      </x:c>
      <x:c r="B814" s="12" t="n">
        <x:v>89771.400851</x:v>
      </x:c>
      <x:c r="C814" s="13" t="n">
        <x:v>0</x:v>
      </x:c>
      <x:c r="D814" s="12" t="n">
        <x:v>0</x:v>
      </x:c>
      <x:c r="E814" s="12" t="n">
        <x:v>359.7422</x:v>
      </x:c>
      <x:c r="F814" s="12" t="n">
        <x:f>SUM(B814,D814:E814)</x:f>
        <x:v>90131.14305099999</x:v>
      </x:c>
      <x:c r="G814" s="12" t="n">
        <x:f>MAX(G813,F814)</x:f>
        <x:v>102238.29443099999</x:v>
      </x:c>
      <x:c r="H814" s="14" t="n">
        <x:f>F814/G814-1</x:f>
        <x:v>-0.11842090527215354</x:v>
      </x:c>
      <x:c r="I814" s="14" t="n">
        <x:f>F814/F813-1</x:f>
        <x:v>0</x:v>
      </x:c>
      <x:c r="J814" s="12" t="n">
        <x:v>0</x:v>
      </x:c>
      <x:c r="K814" s="12" t="n">
        <x:v>0</x:v>
      </x:c>
      <x:c r="L814" s="12" t="n">
        <x:v>0</x:v>
      </x:c>
      <x:c r="M814" s="2" t="str">
        <x:v>空仓</x:v>
      </x:c>
    </x:row>
    <x:row r="815" ht="23" customHeight="1">
      <x:c r="A815" s="11" t="d">
        <x:v>2018-03-21T00:00:00.000Z</x:v>
      </x:c>
      <x:c r="B815" s="12" t="n">
        <x:v>89771.400851</x:v>
      </x:c>
      <x:c r="C815" s="13" t="n">
        <x:v>0</x:v>
      </x:c>
      <x:c r="D815" s="12" t="n">
        <x:v>0</x:v>
      </x:c>
      <x:c r="E815" s="12" t="n">
        <x:v>359.7422</x:v>
      </x:c>
      <x:c r="F815" s="12" t="n">
        <x:f>SUM(B815,D815:E815)</x:f>
        <x:v>90131.14305099999</x:v>
      </x:c>
      <x:c r="G815" s="12" t="n">
        <x:f>MAX(G814,F815)</x:f>
        <x:v>102238.29443099999</x:v>
      </x:c>
      <x:c r="H815" s="14" t="n">
        <x:f>F815/G815-1</x:f>
        <x:v>-0.11842090527215354</x:v>
      </x:c>
      <x:c r="I815" s="14" t="n">
        <x:f>F815/F814-1</x:f>
        <x:v>0</x:v>
      </x:c>
      <x:c r="J815" s="12" t="n">
        <x:v>0</x:v>
      </x:c>
      <x:c r="K815" s="12" t="n">
        <x:v>0</x:v>
      </x:c>
      <x:c r="L815" s="12" t="n">
        <x:v>0</x:v>
      </x:c>
      <x:c r="M815" s="2" t="str">
        <x:v>空仓</x:v>
      </x:c>
    </x:row>
    <x:row r="816" ht="23" customHeight="1">
      <x:c r="A816" s="11" t="d">
        <x:v>2018-03-22T00:00:00.000Z</x:v>
      </x:c>
      <x:c r="B816" s="12" t="n">
        <x:v>89771.400851</x:v>
      </x:c>
      <x:c r="C816" s="13" t="n">
        <x:v>0</x:v>
      </x:c>
      <x:c r="D816" s="12" t="n">
        <x:v>0</x:v>
      </x:c>
      <x:c r="E816" s="12" t="n">
        <x:v>359.7422</x:v>
      </x:c>
      <x:c r="F816" s="12" t="n">
        <x:f>SUM(B816,D816:E816)</x:f>
        <x:v>90131.14305099999</x:v>
      </x:c>
      <x:c r="G816" s="12" t="n">
        <x:f>MAX(G815,F816)</x:f>
        <x:v>102238.29443099999</x:v>
      </x:c>
      <x:c r="H816" s="14" t="n">
        <x:f>F816/G816-1</x:f>
        <x:v>-0.11842090527215354</x:v>
      </x:c>
      <x:c r="I816" s="14" t="n">
        <x:f>F816/F815-1</x:f>
        <x:v>0</x:v>
      </x:c>
      <x:c r="J816" s="12" t="n">
        <x:v>0</x:v>
      </x:c>
      <x:c r="K816" s="12" t="n">
        <x:v>0</x:v>
      </x:c>
      <x:c r="L816" s="12" t="n">
        <x:v>0</x:v>
      </x:c>
      <x:c r="M816" s="2" t="str">
        <x:v>空仓</x:v>
      </x:c>
    </x:row>
    <x:row r="817" ht="23" customHeight="1">
      <x:c r="A817" s="11" t="d">
        <x:v>2018-03-23T00:00:00.000Z</x:v>
      </x:c>
      <x:c r="B817" s="12" t="n">
        <x:v>89771.400851</x:v>
      </x:c>
      <x:c r="C817" s="13" t="n">
        <x:v>0</x:v>
      </x:c>
      <x:c r="D817" s="12" t="n">
        <x:v>0</x:v>
      </x:c>
      <x:c r="E817" s="12" t="n">
        <x:v>359.7422</x:v>
      </x:c>
      <x:c r="F817" s="12" t="n">
        <x:f>SUM(B817,D817:E817)</x:f>
        <x:v>90131.14305099999</x:v>
      </x:c>
      <x:c r="G817" s="12" t="n">
        <x:f>MAX(G816,F817)</x:f>
        <x:v>102238.29443099999</x:v>
      </x:c>
      <x:c r="H817" s="14" t="n">
        <x:f>F817/G817-1</x:f>
        <x:v>-0.11842090527215354</x:v>
      </x:c>
      <x:c r="I817" s="14" t="n">
        <x:f>F817/F816-1</x:f>
        <x:v>0</x:v>
      </x:c>
      <x:c r="J817" s="12" t="n">
        <x:v>0</x:v>
      </x:c>
      <x:c r="K817" s="12" t="n">
        <x:v>0</x:v>
      </x:c>
      <x:c r="L817" s="12" t="n">
        <x:v>0</x:v>
      </x:c>
      <x:c r="M817" s="2" t="str">
        <x:v>空仓</x:v>
      </x:c>
    </x:row>
    <x:row r="818" ht="23" customHeight="1">
      <x:c r="A818" s="11" t="d">
        <x:v>2018-03-26T00:00:00.000Z</x:v>
      </x:c>
      <x:c r="B818" s="12" t="n">
        <x:v>89771.400851</x:v>
      </x:c>
      <x:c r="C818" s="13" t="n">
        <x:v>0</x:v>
      </x:c>
      <x:c r="D818" s="12" t="n">
        <x:v>0</x:v>
      </x:c>
      <x:c r="E818" s="12" t="n">
        <x:v>359.7422</x:v>
      </x:c>
      <x:c r="F818" s="12" t="n">
        <x:f>SUM(B818,D818:E818)</x:f>
        <x:v>90131.14305099999</x:v>
      </x:c>
      <x:c r="G818" s="12" t="n">
        <x:f>MAX(G817,F818)</x:f>
        <x:v>102238.29443099999</x:v>
      </x:c>
      <x:c r="H818" s="14" t="n">
        <x:f>F818/G818-1</x:f>
        <x:v>-0.11842090527215354</x:v>
      </x:c>
      <x:c r="I818" s="14" t="n">
        <x:f>F818/F817-1</x:f>
        <x:v>0</x:v>
      </x:c>
      <x:c r="J818" s="12" t="n">
        <x:v>0</x:v>
      </x:c>
      <x:c r="K818" s="12" t="n">
        <x:v>0</x:v>
      </x:c>
      <x:c r="L818" s="12" t="n">
        <x:v>0</x:v>
      </x:c>
      <x:c r="M818" s="2" t="str">
        <x:v>空仓</x:v>
      </x:c>
    </x:row>
    <x:row r="819" ht="23" customHeight="1">
      <x:c r="A819" s="11" t="d">
        <x:v>2018-03-27T00:00:00.000Z</x:v>
      </x:c>
      <x:c r="B819" s="12" t="n">
        <x:v>89771.400851</x:v>
      </x:c>
      <x:c r="C819" s="13" t="n">
        <x:v>0</x:v>
      </x:c>
      <x:c r="D819" s="12" t="n">
        <x:v>0</x:v>
      </x:c>
      <x:c r="E819" s="12" t="n">
        <x:v>359.7422</x:v>
      </x:c>
      <x:c r="F819" s="12" t="n">
        <x:f>SUM(B819,D819:E819)</x:f>
        <x:v>90131.14305099999</x:v>
      </x:c>
      <x:c r="G819" s="12" t="n">
        <x:f>MAX(G818,F819)</x:f>
        <x:v>102238.29443099999</x:v>
      </x:c>
      <x:c r="H819" s="14" t="n">
        <x:f>F819/G819-1</x:f>
        <x:v>-0.11842090527215354</x:v>
      </x:c>
      <x:c r="I819" s="14" t="n">
        <x:f>F819/F818-1</x:f>
        <x:v>0</x:v>
      </x:c>
      <x:c r="J819" s="12" t="n">
        <x:v>0</x:v>
      </x:c>
      <x:c r="K819" s="12" t="n">
        <x:v>0</x:v>
      </x:c>
      <x:c r="L819" s="12" t="n">
        <x:v>0</x:v>
      </x:c>
      <x:c r="M819" s="2" t="str">
        <x:v>空仓</x:v>
      </x:c>
    </x:row>
    <x:row r="820" ht="23" customHeight="1">
      <x:c r="A820" s="11" t="d">
        <x:v>2018-03-28T00:00:00.000Z</x:v>
      </x:c>
      <x:c r="B820" s="12" t="n">
        <x:v>89771.400851</x:v>
      </x:c>
      <x:c r="C820" s="13" t="n">
        <x:v>0</x:v>
      </x:c>
      <x:c r="D820" s="12" t="n">
        <x:v>0</x:v>
      </x:c>
      <x:c r="E820" s="12" t="n">
        <x:v>359.7422</x:v>
      </x:c>
      <x:c r="F820" s="12" t="n">
        <x:f>SUM(B820,D820:E820)</x:f>
        <x:v>90131.14305099999</x:v>
      </x:c>
      <x:c r="G820" s="12" t="n">
        <x:f>MAX(G819,F820)</x:f>
        <x:v>102238.29443099999</x:v>
      </x:c>
      <x:c r="H820" s="14" t="n">
        <x:f>F820/G820-1</x:f>
        <x:v>-0.11842090527215354</x:v>
      </x:c>
      <x:c r="I820" s="14" t="n">
        <x:f>F820/F819-1</x:f>
        <x:v>0</x:v>
      </x:c>
      <x:c r="J820" s="12" t="n">
        <x:v>0</x:v>
      </x:c>
      <x:c r="K820" s="12" t="n">
        <x:v>0</x:v>
      </x:c>
      <x:c r="L820" s="12" t="n">
        <x:v>0</x:v>
      </x:c>
      <x:c r="M820" s="2" t="str">
        <x:v>空仓</x:v>
      </x:c>
    </x:row>
    <x:row r="821" ht="23" customHeight="1">
      <x:c r="A821" s="11" t="d">
        <x:v>2018-03-29T00:00:00.000Z</x:v>
      </x:c>
      <x:c r="B821" s="12" t="n">
        <x:v>89771.400851</x:v>
      </x:c>
      <x:c r="C821" s="13" t="n">
        <x:v>0</x:v>
      </x:c>
      <x:c r="D821" s="12" t="n">
        <x:v>0</x:v>
      </x:c>
      <x:c r="E821" s="12" t="n">
        <x:v>359.7422</x:v>
      </x:c>
      <x:c r="F821" s="12" t="n">
        <x:f>SUM(B821,D821:E821)</x:f>
        <x:v>90131.14305099999</x:v>
      </x:c>
      <x:c r="G821" s="12" t="n">
        <x:f>MAX(G820,F821)</x:f>
        <x:v>102238.29443099999</x:v>
      </x:c>
      <x:c r="H821" s="14" t="n">
        <x:f>F821/G821-1</x:f>
        <x:v>-0.11842090527215354</x:v>
      </x:c>
      <x:c r="I821" s="14" t="n">
        <x:f>F821/F820-1</x:f>
        <x:v>0</x:v>
      </x:c>
      <x:c r="J821" s="12" t="n">
        <x:v>0</x:v>
      </x:c>
      <x:c r="K821" s="12" t="n">
        <x:v>0</x:v>
      </x:c>
      <x:c r="L821" s="12" t="n">
        <x:v>0</x:v>
      </x:c>
      <x:c r="M821" s="2" t="str">
        <x:v>空仓</x:v>
      </x:c>
    </x:row>
    <x:row r="822" ht="23" customHeight="1">
      <x:c r="A822" s="11" t="d">
        <x:v>2018-04-02T00:00:00.000Z</x:v>
      </x:c>
      <x:c r="B822" s="12" t="n">
        <x:v>89771.400851</x:v>
      </x:c>
      <x:c r="C822" s="13" t="n">
        <x:v>0</x:v>
      </x:c>
      <x:c r="D822" s="12" t="n">
        <x:v>0</x:v>
      </x:c>
      <x:c r="E822" s="12" t="n">
        <x:v>359.7422</x:v>
      </x:c>
      <x:c r="F822" s="12" t="n">
        <x:f>SUM(B822,D822:E822)</x:f>
        <x:v>90131.14305099999</x:v>
      </x:c>
      <x:c r="G822" s="12" t="n">
        <x:f>MAX(G821,F822)</x:f>
        <x:v>102238.29443099999</x:v>
      </x:c>
      <x:c r="H822" s="14" t="n">
        <x:f>F822/G822-1</x:f>
        <x:v>-0.11842090527215354</x:v>
      </x:c>
      <x:c r="I822" s="14" t="n">
        <x:f>F822/F821-1</x:f>
        <x:v>0</x:v>
      </x:c>
      <x:c r="J822" s="12" t="n">
        <x:v>0</x:v>
      </x:c>
      <x:c r="K822" s="12" t="n">
        <x:v>0</x:v>
      </x:c>
      <x:c r="L822" s="12" t="n">
        <x:v>0</x:v>
      </x:c>
      <x:c r="M822" s="2" t="str">
        <x:v>空仓</x:v>
      </x:c>
    </x:row>
    <x:row r="823" ht="23" customHeight="1">
      <x:c r="A823" s="11" t="d">
        <x:v>2018-04-03T00:00:00.000Z</x:v>
      </x:c>
      <x:c r="B823" s="12" t="n">
        <x:v>89771.400851</x:v>
      </x:c>
      <x:c r="C823" s="13" t="n">
        <x:v>0</x:v>
      </x:c>
      <x:c r="D823" s="12" t="n">
        <x:v>0</x:v>
      </x:c>
      <x:c r="E823" s="12" t="n">
        <x:v>359.7422</x:v>
      </x:c>
      <x:c r="F823" s="12" t="n">
        <x:f>SUM(B823,D823:E823)</x:f>
        <x:v>90131.14305099999</x:v>
      </x:c>
      <x:c r="G823" s="12" t="n">
        <x:f>MAX(G822,F823)</x:f>
        <x:v>102238.29443099999</x:v>
      </x:c>
      <x:c r="H823" s="14" t="n">
        <x:f>F823/G823-1</x:f>
        <x:v>-0.11842090527215354</x:v>
      </x:c>
      <x:c r="I823" s="14" t="n">
        <x:f>F823/F822-1</x:f>
        <x:v>0</x:v>
      </x:c>
      <x:c r="J823" s="12" t="n">
        <x:v>0</x:v>
      </x:c>
      <x:c r="K823" s="12" t="n">
        <x:v>0</x:v>
      </x:c>
      <x:c r="L823" s="12" t="n">
        <x:v>0</x:v>
      </x:c>
      <x:c r="M823" s="2" t="str">
        <x:v>空仓</x:v>
      </x:c>
    </x:row>
    <x:row r="824" ht="23" customHeight="1">
      <x:c r="A824" s="11" t="d">
        <x:v>2018-04-04T00:00:00.000Z</x:v>
      </x:c>
      <x:c r="B824" s="12" t="n">
        <x:v>89771.400851</x:v>
      </x:c>
      <x:c r="C824" s="13" t="n">
        <x:v>0</x:v>
      </x:c>
      <x:c r="D824" s="12" t="n">
        <x:v>0</x:v>
      </x:c>
      <x:c r="E824" s="12" t="n">
        <x:v>359.7422</x:v>
      </x:c>
      <x:c r="F824" s="12" t="n">
        <x:f>SUM(B824,D824:E824)</x:f>
        <x:v>90131.14305099999</x:v>
      </x:c>
      <x:c r="G824" s="12" t="n">
        <x:f>MAX(G823,F824)</x:f>
        <x:v>102238.29443099999</x:v>
      </x:c>
      <x:c r="H824" s="14" t="n">
        <x:f>F824/G824-1</x:f>
        <x:v>-0.11842090527215354</x:v>
      </x:c>
      <x:c r="I824" s="14" t="n">
        <x:f>F824/F823-1</x:f>
        <x:v>0</x:v>
      </x:c>
      <x:c r="J824" s="12" t="n">
        <x:v>0</x:v>
      </x:c>
      <x:c r="K824" s="12" t="n">
        <x:v>0</x:v>
      </x:c>
      <x:c r="L824" s="12" t="n">
        <x:v>0</x:v>
      </x:c>
      <x:c r="M824" s="2" t="str">
        <x:v>空仓</x:v>
      </x:c>
    </x:row>
    <x:row r="825" ht="23" customHeight="1">
      <x:c r="A825" s="11" t="d">
        <x:v>2018-04-05T00:00:00.000Z</x:v>
      </x:c>
      <x:c r="B825" s="12" t="n">
        <x:v>89771.400851</x:v>
      </x:c>
      <x:c r="C825" s="13" t="n">
        <x:v>0</x:v>
      </x:c>
      <x:c r="D825" s="12" t="n">
        <x:v>0</x:v>
      </x:c>
      <x:c r="E825" s="12" t="n">
        <x:v>359.7422</x:v>
      </x:c>
      <x:c r="F825" s="12" t="n">
        <x:f>SUM(B825,D825:E825)</x:f>
        <x:v>90131.14305099999</x:v>
      </x:c>
      <x:c r="G825" s="12" t="n">
        <x:f>MAX(G824,F825)</x:f>
        <x:v>102238.29443099999</x:v>
      </x:c>
      <x:c r="H825" s="14" t="n">
        <x:f>F825/G825-1</x:f>
        <x:v>-0.11842090527215354</x:v>
      </x:c>
      <x:c r="I825" s="14" t="n">
        <x:f>F825/F824-1</x:f>
        <x:v>0</x:v>
      </x:c>
      <x:c r="J825" s="12" t="n">
        <x:v>0</x:v>
      </x:c>
      <x:c r="K825" s="12" t="n">
        <x:v>0</x:v>
      </x:c>
      <x:c r="L825" s="12" t="n">
        <x:v>0</x:v>
      </x:c>
      <x:c r="M825" s="2" t="str">
        <x:v>空仓</x:v>
      </x:c>
    </x:row>
    <x:row r="826" ht="23" customHeight="1">
      <x:c r="A826" s="11" t="d">
        <x:v>2018-04-06T00:00:00.000Z</x:v>
      </x:c>
      <x:c r="B826" s="12" t="n">
        <x:v>89771.400851</x:v>
      </x:c>
      <x:c r="C826" s="13" t="n">
        <x:v>0</x:v>
      </x:c>
      <x:c r="D826" s="12" t="n">
        <x:v>0</x:v>
      </x:c>
      <x:c r="E826" s="12" t="n">
        <x:v>359.7422</x:v>
      </x:c>
      <x:c r="F826" s="12" t="n">
        <x:f>SUM(B826,D826:E826)</x:f>
        <x:v>90131.14305099999</x:v>
      </x:c>
      <x:c r="G826" s="12" t="n">
        <x:f>MAX(G825,F826)</x:f>
        <x:v>102238.29443099999</x:v>
      </x:c>
      <x:c r="H826" s="14" t="n">
        <x:f>F826/G826-1</x:f>
        <x:v>-0.11842090527215354</x:v>
      </x:c>
      <x:c r="I826" s="14" t="n">
        <x:f>F826/F825-1</x:f>
        <x:v>0</x:v>
      </x:c>
      <x:c r="J826" s="12" t="n">
        <x:v>0</x:v>
      </x:c>
      <x:c r="K826" s="12" t="n">
        <x:v>0</x:v>
      </x:c>
      <x:c r="L826" s="12" t="n">
        <x:v>0</x:v>
      </x:c>
      <x:c r="M826" s="2" t="str">
        <x:v>空仓</x:v>
      </x:c>
    </x:row>
    <x:row r="827" ht="23" customHeight="1">
      <x:c r="A827" s="11" t="d">
        <x:v>2018-04-09T00:00:00.000Z</x:v>
      </x:c>
      <x:c r="B827" s="12" t="n">
        <x:v>89771.400851</x:v>
      </x:c>
      <x:c r="C827" s="13" t="n">
        <x:v>0</x:v>
      </x:c>
      <x:c r="D827" s="12" t="n">
        <x:v>0</x:v>
      </x:c>
      <x:c r="E827" s="12" t="n">
        <x:v>359.7422</x:v>
      </x:c>
      <x:c r="F827" s="12" t="n">
        <x:f>SUM(B827,D827:E827)</x:f>
        <x:v>90131.14305099999</x:v>
      </x:c>
      <x:c r="G827" s="12" t="n">
        <x:f>MAX(G826,F827)</x:f>
        <x:v>102238.29443099999</x:v>
      </x:c>
      <x:c r="H827" s="14" t="n">
        <x:f>F827/G827-1</x:f>
        <x:v>-0.11842090527215354</x:v>
      </x:c>
      <x:c r="I827" s="14" t="n">
        <x:f>F827/F826-1</x:f>
        <x:v>0</x:v>
      </x:c>
      <x:c r="J827" s="12" t="n">
        <x:v>0</x:v>
      </x:c>
      <x:c r="K827" s="12" t="n">
        <x:v>0</x:v>
      </x:c>
      <x:c r="L827" s="12" t="n">
        <x:v>0</x:v>
      </x:c>
      <x:c r="M827" s="2" t="str">
        <x:v>空仓</x:v>
      </x:c>
    </x:row>
    <x:row r="828" ht="23" customHeight="1">
      <x:c r="A828" s="11" t="d">
        <x:v>2018-04-10T00:00:00.000Z</x:v>
      </x:c>
      <x:c r="B828" s="12" t="n">
        <x:v>89771.400851</x:v>
      </x:c>
      <x:c r="C828" s="13" t="n">
        <x:v>0</x:v>
      </x:c>
      <x:c r="D828" s="12" t="n">
        <x:v>0</x:v>
      </x:c>
      <x:c r="E828" s="12" t="n">
        <x:v>359.7422</x:v>
      </x:c>
      <x:c r="F828" s="12" t="n">
        <x:f>SUM(B828,D828:E828)</x:f>
        <x:v>90131.14305099999</x:v>
      </x:c>
      <x:c r="G828" s="12" t="n">
        <x:f>MAX(G827,F828)</x:f>
        <x:v>102238.29443099999</x:v>
      </x:c>
      <x:c r="H828" s="14" t="n">
        <x:f>F828/G828-1</x:f>
        <x:v>-0.11842090527215354</x:v>
      </x:c>
      <x:c r="I828" s="14" t="n">
        <x:f>F828/F827-1</x:f>
        <x:v>0</x:v>
      </x:c>
      <x:c r="J828" s="12" t="n">
        <x:v>0</x:v>
      </x:c>
      <x:c r="K828" s="12" t="n">
        <x:v>0</x:v>
      </x:c>
      <x:c r="L828" s="12" t="n">
        <x:v>0</x:v>
      </x:c>
      <x:c r="M828" s="2" t="str">
        <x:v>空仓</x:v>
      </x:c>
    </x:row>
    <x:row r="829" ht="23" customHeight="1">
      <x:c r="A829" s="11" t="d">
        <x:v>2018-04-11T00:00:00.000Z</x:v>
      </x:c>
      <x:c r="B829" s="12" t="n">
        <x:v>89771.400851</x:v>
      </x:c>
      <x:c r="C829" s="13" t="n">
        <x:v>0</x:v>
      </x:c>
      <x:c r="D829" s="12" t="n">
        <x:v>0</x:v>
      </x:c>
      <x:c r="E829" s="12" t="n">
        <x:v>359.7422</x:v>
      </x:c>
      <x:c r="F829" s="12" t="n">
        <x:f>SUM(B829,D829:E829)</x:f>
        <x:v>90131.14305099999</x:v>
      </x:c>
      <x:c r="G829" s="12" t="n">
        <x:f>MAX(G828,F829)</x:f>
        <x:v>102238.29443099999</x:v>
      </x:c>
      <x:c r="H829" s="14" t="n">
        <x:f>F829/G829-1</x:f>
        <x:v>-0.11842090527215354</x:v>
      </x:c>
      <x:c r="I829" s="14" t="n">
        <x:f>F829/F828-1</x:f>
        <x:v>0</x:v>
      </x:c>
      <x:c r="J829" s="12" t="n">
        <x:v>0</x:v>
      </x:c>
      <x:c r="K829" s="12" t="n">
        <x:v>0</x:v>
      </x:c>
      <x:c r="L829" s="12" t="n">
        <x:v>0</x:v>
      </x:c>
      <x:c r="M829" s="2" t="str">
        <x:v>空仓</x:v>
      </x:c>
    </x:row>
    <x:row r="830" ht="23" customHeight="1">
      <x:c r="A830" s="11" t="d">
        <x:v>2018-04-12T00:00:00.000Z</x:v>
      </x:c>
      <x:c r="B830" s="12" t="n">
        <x:v>89771.400851</x:v>
      </x:c>
      <x:c r="C830" s="13" t="n">
        <x:v>0</x:v>
      </x:c>
      <x:c r="D830" s="12" t="n">
        <x:v>0</x:v>
      </x:c>
      <x:c r="E830" s="12" t="n">
        <x:v>359.7422</x:v>
      </x:c>
      <x:c r="F830" s="12" t="n">
        <x:f>SUM(B830,D830:E830)</x:f>
        <x:v>90131.14305099999</x:v>
      </x:c>
      <x:c r="G830" s="12" t="n">
        <x:f>MAX(G829,F830)</x:f>
        <x:v>102238.29443099999</x:v>
      </x:c>
      <x:c r="H830" s="14" t="n">
        <x:f>F830/G830-1</x:f>
        <x:v>-0.11842090527215354</x:v>
      </x:c>
      <x:c r="I830" s="14" t="n">
        <x:f>F830/F829-1</x:f>
        <x:v>0</x:v>
      </x:c>
      <x:c r="J830" s="12" t="n">
        <x:v>0</x:v>
      </x:c>
      <x:c r="K830" s="12" t="n">
        <x:v>0</x:v>
      </x:c>
      <x:c r="L830" s="12" t="n">
        <x:v>0</x:v>
      </x:c>
      <x:c r="M830" s="2" t="str">
        <x:v>空仓</x:v>
      </x:c>
    </x:row>
    <x:row r="831" ht="23" customHeight="1">
      <x:c r="A831" s="11" t="d">
        <x:v>2018-04-13T00:00:00.000Z</x:v>
      </x:c>
      <x:c r="B831" s="12" t="n">
        <x:v>89771.400851</x:v>
      </x:c>
      <x:c r="C831" s="13" t="n">
        <x:v>0</x:v>
      </x:c>
      <x:c r="D831" s="12" t="n">
        <x:v>0</x:v>
      </x:c>
      <x:c r="E831" s="12" t="n">
        <x:v>359.7422</x:v>
      </x:c>
      <x:c r="F831" s="12" t="n">
        <x:f>SUM(B831,D831:E831)</x:f>
        <x:v>90131.14305099999</x:v>
      </x:c>
      <x:c r="G831" s="12" t="n">
        <x:f>MAX(G830,F831)</x:f>
        <x:v>102238.29443099999</x:v>
      </x:c>
      <x:c r="H831" s="14" t="n">
        <x:f>F831/G831-1</x:f>
        <x:v>-0.11842090527215354</x:v>
      </x:c>
      <x:c r="I831" s="14" t="n">
        <x:f>F831/F830-1</x:f>
        <x:v>0</x:v>
      </x:c>
      <x:c r="J831" s="12" t="n">
        <x:v>0</x:v>
      </x:c>
      <x:c r="K831" s="12" t="n">
        <x:v>0</x:v>
      </x:c>
      <x:c r="L831" s="12" t="n">
        <x:v>0</x:v>
      </x:c>
      <x:c r="M831" s="2" t="str">
        <x:v>空仓</x:v>
      </x:c>
    </x:row>
    <x:row r="832" ht="23" customHeight="1">
      <x:c r="A832" s="11" t="d">
        <x:v>2018-04-16T00:00:00.000Z</x:v>
      </x:c>
      <x:c r="B832" s="12" t="n">
        <x:v>89771.400851</x:v>
      </x:c>
      <x:c r="C832" s="13" t="n">
        <x:v>0</x:v>
      </x:c>
      <x:c r="D832" s="12" t="n">
        <x:v>0</x:v>
      </x:c>
      <x:c r="E832" s="12" t="n">
        <x:v>359.7422</x:v>
      </x:c>
      <x:c r="F832" s="12" t="n">
        <x:f>SUM(B832,D832:E832)</x:f>
        <x:v>90131.14305099999</x:v>
      </x:c>
      <x:c r="G832" s="12" t="n">
        <x:f>MAX(G831,F832)</x:f>
        <x:v>102238.29443099999</x:v>
      </x:c>
      <x:c r="H832" s="14" t="n">
        <x:f>F832/G832-1</x:f>
        <x:v>-0.11842090527215354</x:v>
      </x:c>
      <x:c r="I832" s="14" t="n">
        <x:f>F832/F831-1</x:f>
        <x:v>0</x:v>
      </x:c>
      <x:c r="J832" s="12" t="n">
        <x:v>0</x:v>
      </x:c>
      <x:c r="K832" s="12" t="n">
        <x:v>0</x:v>
      </x:c>
      <x:c r="L832" s="12" t="n">
        <x:v>0</x:v>
      </x:c>
      <x:c r="M832" s="2" t="str">
        <x:v>空仓</x:v>
      </x:c>
    </x:row>
    <x:row r="833" ht="23" customHeight="1">
      <x:c r="A833" s="11" t="d">
        <x:v>2018-04-17T00:00:00.000Z</x:v>
      </x:c>
      <x:c r="B833" s="12" t="n">
        <x:v>89771.400851</x:v>
      </x:c>
      <x:c r="C833" s="13" t="n">
        <x:v>0</x:v>
      </x:c>
      <x:c r="D833" s="12" t="n">
        <x:v>0</x:v>
      </x:c>
      <x:c r="E833" s="12" t="n">
        <x:v>359.7422</x:v>
      </x:c>
      <x:c r="F833" s="12" t="n">
        <x:f>SUM(B833,D833:E833)</x:f>
        <x:v>90131.14305099999</x:v>
      </x:c>
      <x:c r="G833" s="12" t="n">
        <x:f>MAX(G832,F833)</x:f>
        <x:v>102238.29443099999</x:v>
      </x:c>
      <x:c r="H833" s="14" t="n">
        <x:f>F833/G833-1</x:f>
        <x:v>-0.11842090527215354</x:v>
      </x:c>
      <x:c r="I833" s="14" t="n">
        <x:f>F833/F832-1</x:f>
        <x:v>0</x:v>
      </x:c>
      <x:c r="J833" s="12" t="n">
        <x:v>0</x:v>
      </x:c>
      <x:c r="K833" s="12" t="n">
        <x:v>0</x:v>
      </x:c>
      <x:c r="L833" s="12" t="n">
        <x:v>0</x:v>
      </x:c>
      <x:c r="M833" s="2" t="str">
        <x:v>空仓</x:v>
      </x:c>
    </x:row>
    <x:row r="834" ht="23" customHeight="1">
      <x:c r="A834" s="11" t="d">
        <x:v>2018-04-18T00:00:00.000Z</x:v>
      </x:c>
      <x:c r="B834" s="12" t="n">
        <x:v>83.412461</x:v>
      </x:c>
      <x:c r="C834" s="13" t="n">
        <x:v>331</x:v>
      </x:c>
      <x:c r="D834" s="12" t="n">
        <x:v>89499.09</x:v>
      </x:c>
      <x:c r="E834" s="12" t="n">
        <x:v>359.7422</x:v>
      </x:c>
      <x:c r="F834" s="12" t="n">
        <x:f>SUM(B834,D834:E834)</x:f>
        <x:v>89942.24466099999</x:v>
      </x:c>
      <x:c r="G834" s="12" t="n">
        <x:f>MAX(G833,F834)</x:f>
        <x:v>102238.29443099999</x:v>
      </x:c>
      <x:c r="H834" s="14" t="n">
        <x:f>F834/G834-1</x:f>
        <x:v>-0.12026853380558422</x:v>
      </x:c>
      <x:c r="I834" s="14" t="n">
        <x:f>F834/F833-1</x:f>
        <x:v>-0.0020958170905822637</x:v>
      </x:c>
      <x:c r="J834" s="12" t="n">
        <x:v>0</x:v>
      </x:c>
      <x:c r="K834" s="12" t="n">
        <x:v>0</x:v>
      </x:c>
      <x:c r="L834" s="12" t="n">
        <x:v>331</x:v>
      </x:c>
      <x:c r="M834" s="2" t="str">
        <x:v>买入</x:v>
      </x:c>
    </x:row>
    <x:row r="835" ht="23" customHeight="1">
      <x:c r="A835" s="11" t="d">
        <x:v>2018-04-19T00:00:00.000Z</x:v>
      </x:c>
      <x:c r="B835" s="12" t="n">
        <x:v>83.412461</x:v>
      </x:c>
      <x:c r="C835" s="13" t="n">
        <x:v>331</x:v>
      </x:c>
      <x:c r="D835" s="12" t="n">
        <x:v>89002.59</x:v>
      </x:c>
      <x:c r="E835" s="12" t="n">
        <x:v>359.7422</x:v>
      </x:c>
      <x:c r="F835" s="12" t="n">
        <x:f>SUM(B835,D835:E835)</x:f>
        <x:v>89445.74466099999</x:v>
      </x:c>
      <x:c r="G835" s="12" t="n">
        <x:f>MAX(G834,F835)</x:f>
        <x:v>102238.29443099999</x:v>
      </x:c>
      <x:c r="H835" s="14" t="n">
        <x:f>F835/G835-1</x:f>
        <x:v>-0.12512483547574837</x:v>
      </x:c>
      <x:c r="I835" s="14" t="n">
        <x:f>F835/F834-1</x:f>
        <x:v>-0.005520209128328402</x:v>
      </x:c>
      <x:c r="J835" s="12" t="n">
        <x:v>0</x:v>
      </x:c>
      <x:c r="K835" s="12" t="n">
        <x:v>0</x:v>
      </x:c>
      <x:c r="L835" s="12" t="n">
        <x:v>0</x:v>
      </x:c>
      <x:c r="M835" s="2" t="str">
        <x:v>持有</x:v>
      </x:c>
    </x:row>
    <x:row r="836" ht="23" customHeight="1">
      <x:c r="A836" s="11" t="d">
        <x:v>2018-04-20T00:00:00.000Z</x:v>
      </x:c>
      <x:c r="B836" s="12" t="n">
        <x:v>83.412461</x:v>
      </x:c>
      <x:c r="C836" s="13" t="n">
        <x:v>331</x:v>
      </x:c>
      <x:c r="D836" s="12" t="n">
        <x:v>88247.91</x:v>
      </x:c>
      <x:c r="E836" s="12" t="n">
        <x:v>359.7422</x:v>
      </x:c>
      <x:c r="F836" s="12" t="n">
        <x:f>SUM(B836,D836:E836)</x:f>
        <x:v>88691.064661</x:v>
      </x:c>
      <x:c r="G836" s="12" t="n">
        <x:f>MAX(G835,F836)</x:f>
        <x:v>102238.29443099999</x:v>
      </x:c>
      <x:c r="H836" s="14" t="n">
        <x:f>F836/G836-1</x:f>
        <x:v>-0.1325064140143979</x:v>
      </x:c>
      <x:c r="I836" s="14" t="n">
        <x:f>F836/F835-1</x:f>
        <x:v>-0.008437293499654275</x:v>
      </x:c>
      <x:c r="J836" s="12" t="n">
        <x:v>0</x:v>
      </x:c>
      <x:c r="K836" s="12" t="n">
        <x:v>0</x:v>
      </x:c>
      <x:c r="L836" s="12" t="n">
        <x:v>0</x:v>
      </x:c>
      <x:c r="M836" s="2" t="str">
        <x:v>持有</x:v>
      </x:c>
    </x:row>
    <x:row r="837" ht="23" customHeight="1">
      <x:c r="A837" s="11" t="d">
        <x:v>2018-04-23T00:00:00.000Z</x:v>
      </x:c>
      <x:c r="B837" s="12" t="n">
        <x:v>88458.009401</x:v>
      </x:c>
      <x:c r="C837" s="13" t="n">
        <x:v>0</x:v>
      </x:c>
      <x:c r="D837" s="12" t="n">
        <x:v>0</x:v>
      </x:c>
      <x:c r="E837" s="12" t="n">
        <x:v>359.7422</x:v>
      </x:c>
      <x:c r="F837" s="12" t="n">
        <x:f>SUM(B837,D837:E837)</x:f>
        <x:v>88817.751601</x:v>
      </x:c>
      <x:c r="G837" s="12" t="n">
        <x:f>MAX(G836,F837)</x:f>
        <x:v>102238.29443099999</x:v>
      </x:c>
      <x:c r="H837" s="14" t="n">
        <x:f>F837/G837-1</x:f>
        <x:v>-0.1312672800802388</x:v>
      </x:c>
      <x:c r="I837" s="14" t="n">
        <x:f>F837/F836-1</x:f>
        <x:v>0.001428407027068923</x:v>
      </x:c>
      <x:c r="J837" s="12" t="n">
        <x:v>0</x:v>
      </x:c>
      <x:c r="K837" s="12" t="n">
        <x:v>0</x:v>
      </x:c>
      <x:c r="L837" s="12" t="n">
        <x:v>-331</x:v>
      </x:c>
      <x:c r="M837" s="2" t="str">
        <x:v>卖出</x:v>
      </x:c>
    </x:row>
    <x:row r="838" ht="23" customHeight="1">
      <x:c r="A838" s="11" t="d">
        <x:v>2018-04-24T00:00:00.000Z</x:v>
      </x:c>
      <x:c r="B838" s="12" t="n">
        <x:v>88458.009401</x:v>
      </x:c>
      <x:c r="C838" s="13" t="n">
        <x:v>0</x:v>
      </x:c>
      <x:c r="D838" s="12" t="n">
        <x:v>0</x:v>
      </x:c>
      <x:c r="E838" s="12" t="n">
        <x:v>359.7422</x:v>
      </x:c>
      <x:c r="F838" s="12" t="n">
        <x:f>SUM(B838,D838:E838)</x:f>
        <x:v>88817.751601</x:v>
      </x:c>
      <x:c r="G838" s="12" t="n">
        <x:f>MAX(G837,F838)</x:f>
        <x:v>102238.29443099999</x:v>
      </x:c>
      <x:c r="H838" s="14" t="n">
        <x:f>F838/G838-1</x:f>
        <x:v>-0.1312672800802388</x:v>
      </x:c>
      <x:c r="I838" s="14" t="n">
        <x:f>F838/F837-1</x:f>
        <x:v>0</x:v>
      </x:c>
      <x:c r="J838" s="12" t="n">
        <x:v>0</x:v>
      </x:c>
      <x:c r="K838" s="12" t="n">
        <x:v>0</x:v>
      </x:c>
      <x:c r="L838" s="12" t="n">
        <x:v>0</x:v>
      </x:c>
      <x:c r="M838" s="2" t="str">
        <x:v>空仓</x:v>
      </x:c>
    </x:row>
    <x:row r="839" ht="23" customHeight="1">
      <x:c r="A839" s="11" t="d">
        <x:v>2018-04-25T00:00:00.000Z</x:v>
      </x:c>
      <x:c r="B839" s="12" t="n">
        <x:v>88458.009401</x:v>
      </x:c>
      <x:c r="C839" s="13" t="n">
        <x:v>0</x:v>
      </x:c>
      <x:c r="D839" s="12" t="n">
        <x:v>0</x:v>
      </x:c>
      <x:c r="E839" s="12" t="n">
        <x:v>359.7422</x:v>
      </x:c>
      <x:c r="F839" s="12" t="n">
        <x:f>SUM(B839,D839:E839)</x:f>
        <x:v>88817.751601</x:v>
      </x:c>
      <x:c r="G839" s="12" t="n">
        <x:f>MAX(G838,F839)</x:f>
        <x:v>102238.29443099999</x:v>
      </x:c>
      <x:c r="H839" s="14" t="n">
        <x:f>F839/G839-1</x:f>
        <x:v>-0.1312672800802388</x:v>
      </x:c>
      <x:c r="I839" s="14" t="n">
        <x:f>F839/F838-1</x:f>
        <x:v>0</x:v>
      </x:c>
      <x:c r="J839" s="12" t="n">
        <x:v>0</x:v>
      </x:c>
      <x:c r="K839" s="12" t="n">
        <x:v>0</x:v>
      </x:c>
      <x:c r="L839" s="12" t="n">
        <x:v>0</x:v>
      </x:c>
      <x:c r="M839" s="2" t="str">
        <x:v>空仓</x:v>
      </x:c>
    </x:row>
    <x:row r="840" ht="23" customHeight="1">
      <x:c r="A840" s="11" t="d">
        <x:v>2018-04-26T00:00:00.000Z</x:v>
      </x:c>
      <x:c r="B840" s="12" t="n">
        <x:v>88458.009401</x:v>
      </x:c>
      <x:c r="C840" s="13" t="n">
        <x:v>0</x:v>
      </x:c>
      <x:c r="D840" s="12" t="n">
        <x:v>0</x:v>
      </x:c>
      <x:c r="E840" s="12" t="n">
        <x:v>359.7422</x:v>
      </x:c>
      <x:c r="F840" s="12" t="n">
        <x:f>SUM(B840,D840:E840)</x:f>
        <x:v>88817.751601</x:v>
      </x:c>
      <x:c r="G840" s="12" t="n">
        <x:f>MAX(G839,F840)</x:f>
        <x:v>102238.29443099999</x:v>
      </x:c>
      <x:c r="H840" s="14" t="n">
        <x:f>F840/G840-1</x:f>
        <x:v>-0.1312672800802388</x:v>
      </x:c>
      <x:c r="I840" s="14" t="n">
        <x:f>F840/F839-1</x:f>
        <x:v>0</x:v>
      </x:c>
      <x:c r="J840" s="12" t="n">
        <x:v>0</x:v>
      </x:c>
      <x:c r="K840" s="12" t="n">
        <x:v>0</x:v>
      </x:c>
      <x:c r="L840" s="12" t="n">
        <x:v>0</x:v>
      </x:c>
      <x:c r="M840" s="2" t="str">
        <x:v>空仓</x:v>
      </x:c>
    </x:row>
    <x:row r="841" ht="23" customHeight="1">
      <x:c r="A841" s="11" t="d">
        <x:v>2018-04-27T00:00:00.000Z</x:v>
      </x:c>
      <x:c r="B841" s="12" t="n">
        <x:v>88458.009401</x:v>
      </x:c>
      <x:c r="C841" s="13" t="n">
        <x:v>0</x:v>
      </x:c>
      <x:c r="D841" s="12" t="n">
        <x:v>0</x:v>
      </x:c>
      <x:c r="E841" s="12" t="n">
        <x:v>359.7422</x:v>
      </x:c>
      <x:c r="F841" s="12" t="n">
        <x:f>SUM(B841,D841:E841)</x:f>
        <x:v>88817.751601</x:v>
      </x:c>
      <x:c r="G841" s="12" t="n">
        <x:f>MAX(G840,F841)</x:f>
        <x:v>102238.29443099999</x:v>
      </x:c>
      <x:c r="H841" s="14" t="n">
        <x:f>F841/G841-1</x:f>
        <x:v>-0.1312672800802388</x:v>
      </x:c>
      <x:c r="I841" s="14" t="n">
        <x:f>F841/F840-1</x:f>
        <x:v>0</x:v>
      </x:c>
      <x:c r="J841" s="12" t="n">
        <x:v>0</x:v>
      </x:c>
      <x:c r="K841" s="12" t="n">
        <x:v>0</x:v>
      </x:c>
      <x:c r="L841" s="12" t="n">
        <x:v>0</x:v>
      </x:c>
      <x:c r="M841" s="2" t="str">
        <x:v>空仓</x:v>
      </x:c>
    </x:row>
    <x:row r="842" ht="23" customHeight="1">
      <x:c r="A842" s="11" t="d">
        <x:v>2018-04-30T00:00:00.000Z</x:v>
      </x:c>
      <x:c r="B842" s="12" t="n">
        <x:v>88817.751601</x:v>
      </x:c>
      <x:c r="C842" s="13" t="n">
        <x:v>0</x:v>
      </x:c>
      <x:c r="D842" s="12" t="n">
        <x:v>0</x:v>
      </x:c>
      <x:c r="E842" s="12" t="n">
        <x:v>0</x:v>
      </x:c>
      <x:c r="F842" s="12" t="n">
        <x:f>SUM(B842,D842:E842)</x:f>
        <x:v>88817.751601</x:v>
      </x:c>
      <x:c r="G842" s="12" t="n">
        <x:f>MAX(G841,F842)</x:f>
        <x:v>102238.29443099999</x:v>
      </x:c>
      <x:c r="H842" s="14" t="n">
        <x:f>F842/G842-1</x:f>
        <x:v>-0.1312672800802388</x:v>
      </x:c>
      <x:c r="I842" s="14" t="n">
        <x:f>F842/F841-1</x:f>
        <x:v>0</x:v>
      </x:c>
      <x:c r="J842" s="12" t="n">
        <x:v>0</x:v>
      </x:c>
      <x:c r="K842" s="12" t="n">
        <x:v>359.7422</x:v>
      </x:c>
      <x:c r="L842" s="12" t="n">
        <x:v>0</x:v>
      </x:c>
      <x:c r="M842" s="2" t="str">
        <x:v>空仓</x:v>
      </x:c>
    </x:row>
    <x:row r="843" ht="23" customHeight="1">
      <x:c r="A843" s="11" t="d">
        <x:v>2018-05-01T00:00:00.000Z</x:v>
      </x:c>
      <x:c r="B843" s="12" t="n">
        <x:v>88817.751601</x:v>
      </x:c>
      <x:c r="C843" s="13" t="n">
        <x:v>0</x:v>
      </x:c>
      <x:c r="D843" s="12" t="n">
        <x:v>0</x:v>
      </x:c>
      <x:c r="E843" s="12" t="n">
        <x:v>0</x:v>
      </x:c>
      <x:c r="F843" s="12" t="n">
        <x:f>SUM(B843,D843:E843)</x:f>
        <x:v>88817.751601</x:v>
      </x:c>
      <x:c r="G843" s="12" t="n">
        <x:f>MAX(G842,F843)</x:f>
        <x:v>102238.29443099999</x:v>
      </x:c>
      <x:c r="H843" s="14" t="n">
        <x:f>F843/G843-1</x:f>
        <x:v>-0.1312672800802388</x:v>
      </x:c>
      <x:c r="I843" s="14" t="n">
        <x:f>F843/F842-1</x:f>
        <x:v>0</x:v>
      </x:c>
      <x:c r="J843" s="12" t="n">
        <x:v>0</x:v>
      </x:c>
      <x:c r="K843" s="12" t="n">
        <x:v>0</x:v>
      </x:c>
      <x:c r="L843" s="12" t="n">
        <x:v>0</x:v>
      </x:c>
      <x:c r="M843" s="2" t="str">
        <x:v>空仓</x:v>
      </x:c>
    </x:row>
    <x:row r="844" ht="23" customHeight="1">
      <x:c r="A844" s="11" t="d">
        <x:v>2018-05-02T00:00:00.000Z</x:v>
      </x:c>
      <x:c r="B844" s="12" t="n">
        <x:v>88817.751601</x:v>
      </x:c>
      <x:c r="C844" s="13" t="n">
        <x:v>0</x:v>
      </x:c>
      <x:c r="D844" s="12" t="n">
        <x:v>0</x:v>
      </x:c>
      <x:c r="E844" s="12" t="n">
        <x:v>0</x:v>
      </x:c>
      <x:c r="F844" s="12" t="n">
        <x:f>SUM(B844,D844:E844)</x:f>
        <x:v>88817.751601</x:v>
      </x:c>
      <x:c r="G844" s="12" t="n">
        <x:f>MAX(G843,F844)</x:f>
        <x:v>102238.29443099999</x:v>
      </x:c>
      <x:c r="H844" s="14" t="n">
        <x:f>F844/G844-1</x:f>
        <x:v>-0.1312672800802388</x:v>
      </x:c>
      <x:c r="I844" s="14" t="n">
        <x:f>F844/F843-1</x:f>
        <x:v>0</x:v>
      </x:c>
      <x:c r="J844" s="12" t="n">
        <x:v>0</x:v>
      </x:c>
      <x:c r="K844" s="12" t="n">
        <x:v>0</x:v>
      </x:c>
      <x:c r="L844" s="12" t="n">
        <x:v>0</x:v>
      </x:c>
      <x:c r="M844" s="2" t="str">
        <x:v>空仓</x:v>
      </x:c>
    </x:row>
    <x:row r="845" ht="23" customHeight="1">
      <x:c r="A845" s="11" t="d">
        <x:v>2018-05-03T00:00:00.000Z</x:v>
      </x:c>
      <x:c r="B845" s="12" t="n">
        <x:v>88817.751601</x:v>
      </x:c>
      <x:c r="C845" s="13" t="n">
        <x:v>0</x:v>
      </x:c>
      <x:c r="D845" s="12" t="n">
        <x:v>0</x:v>
      </x:c>
      <x:c r="E845" s="12" t="n">
        <x:v>0</x:v>
      </x:c>
      <x:c r="F845" s="12" t="n">
        <x:f>SUM(B845,D845:E845)</x:f>
        <x:v>88817.751601</x:v>
      </x:c>
      <x:c r="G845" s="12" t="n">
        <x:f>MAX(G844,F845)</x:f>
        <x:v>102238.29443099999</x:v>
      </x:c>
      <x:c r="H845" s="14" t="n">
        <x:f>F845/G845-1</x:f>
        <x:v>-0.1312672800802388</x:v>
      </x:c>
      <x:c r="I845" s="14" t="n">
        <x:f>F845/F844-1</x:f>
        <x:v>0</x:v>
      </x:c>
      <x:c r="J845" s="12" t="n">
        <x:v>0</x:v>
      </x:c>
      <x:c r="K845" s="12" t="n">
        <x:v>0</x:v>
      </x:c>
      <x:c r="L845" s="12" t="n">
        <x:v>0</x:v>
      </x:c>
      <x:c r="M845" s="2" t="str">
        <x:v>空仓</x:v>
      </x:c>
    </x:row>
    <x:row r="846" ht="23" customHeight="1">
      <x:c r="A846" s="11" t="d">
        <x:v>2018-05-04T00:00:00.000Z</x:v>
      </x:c>
      <x:c r="B846" s="12" t="n">
        <x:v>88817.751601</x:v>
      </x:c>
      <x:c r="C846" s="13" t="n">
        <x:v>0</x:v>
      </x:c>
      <x:c r="D846" s="12" t="n">
        <x:v>0</x:v>
      </x:c>
      <x:c r="E846" s="12" t="n">
        <x:v>0</x:v>
      </x:c>
      <x:c r="F846" s="12" t="n">
        <x:f>SUM(B846,D846:E846)</x:f>
        <x:v>88817.751601</x:v>
      </x:c>
      <x:c r="G846" s="12" t="n">
        <x:f>MAX(G845,F846)</x:f>
        <x:v>102238.29443099999</x:v>
      </x:c>
      <x:c r="H846" s="14" t="n">
        <x:f>F846/G846-1</x:f>
        <x:v>-0.1312672800802388</x:v>
      </x:c>
      <x:c r="I846" s="14" t="n">
        <x:f>F846/F845-1</x:f>
        <x:v>0</x:v>
      </x:c>
      <x:c r="J846" s="12" t="n">
        <x:v>0</x:v>
      </x:c>
      <x:c r="K846" s="12" t="n">
        <x:v>0</x:v>
      </x:c>
      <x:c r="L846" s="12" t="n">
        <x:v>0</x:v>
      </x:c>
      <x:c r="M846" s="2" t="str">
        <x:v>空仓</x:v>
      </x:c>
    </x:row>
    <x:row r="847" ht="23" customHeight="1">
      <x:c r="A847" s="11" t="d">
        <x:v>2018-05-07T00:00:00.000Z</x:v>
      </x:c>
      <x:c r="B847" s="12" t="n">
        <x:v>88817.751601</x:v>
      </x:c>
      <x:c r="C847" s="13" t="n">
        <x:v>0</x:v>
      </x:c>
      <x:c r="D847" s="12" t="n">
        <x:v>0</x:v>
      </x:c>
      <x:c r="E847" s="12" t="n">
        <x:v>0</x:v>
      </x:c>
      <x:c r="F847" s="12" t="n">
        <x:f>SUM(B847,D847:E847)</x:f>
        <x:v>88817.751601</x:v>
      </x:c>
      <x:c r="G847" s="12" t="n">
        <x:f>MAX(G846,F847)</x:f>
        <x:v>102238.29443099999</x:v>
      </x:c>
      <x:c r="H847" s="14" t="n">
        <x:f>F847/G847-1</x:f>
        <x:v>-0.1312672800802388</x:v>
      </x:c>
      <x:c r="I847" s="14" t="n">
        <x:f>F847/F846-1</x:f>
        <x:v>0</x:v>
      </x:c>
      <x:c r="J847" s="12" t="n">
        <x:v>0</x:v>
      </x:c>
      <x:c r="K847" s="12" t="n">
        <x:v>0</x:v>
      </x:c>
      <x:c r="L847" s="12" t="n">
        <x:v>0</x:v>
      </x:c>
      <x:c r="M847" s="2" t="str">
        <x:v>空仓</x:v>
      </x:c>
    </x:row>
    <x:row r="848" ht="23" customHeight="1">
      <x:c r="A848" s="11" t="d">
        <x:v>2018-05-08T00:00:00.000Z</x:v>
      </x:c>
      <x:c r="B848" s="12" t="n">
        <x:v>88817.751601</x:v>
      </x:c>
      <x:c r="C848" s="13" t="n">
        <x:v>0</x:v>
      </x:c>
      <x:c r="D848" s="12" t="n">
        <x:v>0</x:v>
      </x:c>
      <x:c r="E848" s="12" t="n">
        <x:v>0</x:v>
      </x:c>
      <x:c r="F848" s="12" t="n">
        <x:f>SUM(B848,D848:E848)</x:f>
        <x:v>88817.751601</x:v>
      </x:c>
      <x:c r="G848" s="12" t="n">
        <x:f>MAX(G847,F848)</x:f>
        <x:v>102238.29443099999</x:v>
      </x:c>
      <x:c r="H848" s="14" t="n">
        <x:f>F848/G848-1</x:f>
        <x:v>-0.1312672800802388</x:v>
      </x:c>
      <x:c r="I848" s="14" t="n">
        <x:f>F848/F847-1</x:f>
        <x:v>0</x:v>
      </x:c>
      <x:c r="J848" s="12" t="n">
        <x:v>0</x:v>
      </x:c>
      <x:c r="K848" s="12" t="n">
        <x:v>0</x:v>
      </x:c>
      <x:c r="L848" s="12" t="n">
        <x:v>0</x:v>
      </x:c>
      <x:c r="M848" s="2" t="str">
        <x:v>空仓</x:v>
      </x:c>
    </x:row>
    <x:row r="849" ht="23" customHeight="1">
      <x:c r="A849" s="11" t="d">
        <x:v>2018-05-09T00:00:00.000Z</x:v>
      </x:c>
      <x:c r="B849" s="12" t="n">
        <x:v>88817.751601</x:v>
      </x:c>
      <x:c r="C849" s="13" t="n">
        <x:v>0</x:v>
      </x:c>
      <x:c r="D849" s="12" t="n">
        <x:v>0</x:v>
      </x:c>
      <x:c r="E849" s="12" t="n">
        <x:v>0</x:v>
      </x:c>
      <x:c r="F849" s="12" t="n">
        <x:f>SUM(B849,D849:E849)</x:f>
        <x:v>88817.751601</x:v>
      </x:c>
      <x:c r="G849" s="12" t="n">
        <x:f>MAX(G848,F849)</x:f>
        <x:v>102238.29443099999</x:v>
      </x:c>
      <x:c r="H849" s="14" t="n">
        <x:f>F849/G849-1</x:f>
        <x:v>-0.1312672800802388</x:v>
      </x:c>
      <x:c r="I849" s="14" t="n">
        <x:f>F849/F848-1</x:f>
        <x:v>0</x:v>
      </x:c>
      <x:c r="J849" s="12" t="n">
        <x:v>0</x:v>
      </x:c>
      <x:c r="K849" s="12" t="n">
        <x:v>0</x:v>
      </x:c>
      <x:c r="L849" s="12" t="n">
        <x:v>0</x:v>
      </x:c>
      <x:c r="M849" s="2" t="str">
        <x:v>空仓</x:v>
      </x:c>
    </x:row>
    <x:row r="850" ht="23" customHeight="1">
      <x:c r="A850" s="11" t="d">
        <x:v>2018-05-10T00:00:00.000Z</x:v>
      </x:c>
      <x:c r="B850" s="12" t="n">
        <x:v>57.560081</x:v>
      </x:c>
      <x:c r="C850" s="13" t="n">
        <x:v>328</x:v>
      </x:c>
      <x:c r="D850" s="12" t="n">
        <x:v>89222.56</x:v>
      </x:c>
      <x:c r="E850" s="12" t="n">
        <x:v>0</x:v>
      </x:c>
      <x:c r="F850" s="12" t="n">
        <x:f>SUM(B850,D850:E850)</x:f>
        <x:v>89280.120081</x:v>
      </x:c>
      <x:c r="G850" s="12" t="n">
        <x:f>MAX(G849,F850)</x:f>
        <x:v>102238.29443099999</x:v>
      </x:c>
      <x:c r="H850" s="14" t="n">
        <x:f>F850/G850-1</x:f>
        <x:v>-0.12674482122494113</x:v>
      </x:c>
      <x:c r="I850" s="14" t="n">
        <x:f>F850/F849-1</x:f>
        <x:v>0.005205811582318809</x:v>
      </x:c>
      <x:c r="J850" s="12" t="n">
        <x:v>0</x:v>
      </x:c>
      <x:c r="K850" s="12" t="n">
        <x:v>0</x:v>
      </x:c>
      <x:c r="L850" s="12" t="n">
        <x:v>328</x:v>
      </x:c>
      <x:c r="M850" s="2" t="str">
        <x:v>买入</x:v>
      </x:c>
    </x:row>
    <x:row r="851" ht="23" customHeight="1">
      <x:c r="A851" s="11" t="d">
        <x:v>2018-05-11T00:00:00.000Z</x:v>
      </x:c>
      <x:c r="B851" s="12" t="n">
        <x:v>57.560081</x:v>
      </x:c>
      <x:c r="C851" s="13" t="n">
        <x:v>328</x:v>
      </x:c>
      <x:c r="D851" s="12" t="n">
        <x:v>89494.8</x:v>
      </x:c>
      <x:c r="E851" s="12" t="n">
        <x:v>0</x:v>
      </x:c>
      <x:c r="F851" s="12" t="n">
        <x:f>SUM(B851,D851:E851)</x:f>
        <x:v>89552.360081</x:v>
      </x:c>
      <x:c r="G851" s="12" t="n">
        <x:f>MAX(G850,F851)</x:f>
        <x:v>102238.29443099999</x:v>
      </x:c>
      <x:c r="H851" s="14" t="n">
        <x:f>F851/G851-1</x:f>
        <x:v>-0.12408202250049905</x:v>
      </x:c>
      <x:c r="I851" s="14" t="n">
        <x:f>F851/F850-1</x:f>
        <x:v>0.0030492790528620084</x:v>
      </x:c>
      <x:c r="J851" s="12" t="n">
        <x:v>0</x:v>
      </x:c>
      <x:c r="K851" s="12" t="n">
        <x:v>0</x:v>
      </x:c>
      <x:c r="L851" s="12" t="n">
        <x:v>0</x:v>
      </x:c>
      <x:c r="M851" s="2" t="str">
        <x:v>持有</x:v>
      </x:c>
    </x:row>
    <x:row r="852" ht="23" customHeight="1">
      <x:c r="A852" s="11" t="d">
        <x:v>2018-05-14T00:00:00.000Z</x:v>
      </x:c>
      <x:c r="B852" s="12" t="n">
        <x:v>57.560081</x:v>
      </x:c>
      <x:c r="C852" s="13" t="n">
        <x:v>328</x:v>
      </x:c>
      <x:c r="D852" s="12" t="n">
        <x:v>89537.44</x:v>
      </x:c>
      <x:c r="E852" s="12" t="n">
        <x:v>0</x:v>
      </x:c>
      <x:c r="F852" s="12" t="n">
        <x:f>SUM(B852,D852:E852)</x:f>
        <x:v>89595.000081</x:v>
      </x:c>
      <x:c r="G852" s="12" t="n">
        <x:f>MAX(G851,F852)</x:f>
        <x:v>102238.29443099999</x:v>
      </x:c>
      <x:c r="H852" s="14" t="n">
        <x:f>F852/G852-1</x:f>
        <x:v>-0.12366495764004426</x:v>
      </x:c>
      <x:c r="I852" s="14" t="n">
        <x:f>F852/F851-1</x:f>
        <x:v>0.00047614602185164223</x:v>
      </x:c>
      <x:c r="J852" s="12" t="n">
        <x:v>0</x:v>
      </x:c>
      <x:c r="K852" s="12" t="n">
        <x:v>0</x:v>
      </x:c>
      <x:c r="L852" s="12" t="n">
        <x:v>0</x:v>
      </x:c>
      <x:c r="M852" s="2" t="str">
        <x:v>持有</x:v>
      </x:c>
    </x:row>
    <x:row r="853" ht="23" customHeight="1">
      <x:c r="A853" s="11" t="d">
        <x:v>2018-05-15T00:00:00.000Z</x:v>
      </x:c>
      <x:c r="B853" s="12" t="n">
        <x:v>57.560081</x:v>
      </x:c>
      <x:c r="C853" s="13" t="n">
        <x:v>328</x:v>
      </x:c>
      <x:c r="D853" s="12" t="n">
        <x:v>88920.8</x:v>
      </x:c>
      <x:c r="E853" s="12" t="n">
        <x:v>0</x:v>
      </x:c>
      <x:c r="F853" s="12" t="n">
        <x:f>SUM(B853,D853:E853)</x:f>
        <x:v>88978.360081</x:v>
      </x:c>
      <x:c r="G853" s="12" t="n">
        <x:f>MAX(G852,F853)</x:f>
        <x:v>102238.29443099999</x:v>
      </x:c>
      <x:c r="H853" s="14" t="n">
        <x:f>F853/G853-1</x:f>
        <x:v>-0.12969635716046723</x:v>
      </x:c>
      <x:c r="I853" s="14" t="n">
        <x:f>F853/F852-1</x:f>
        <x:v>-0.006882526920503507</x:v>
      </x:c>
      <x:c r="J853" s="12" t="n">
        <x:v>0</x:v>
      </x:c>
      <x:c r="K853" s="12" t="n">
        <x:v>0</x:v>
      </x:c>
      <x:c r="L853" s="12" t="n">
        <x:v>0</x:v>
      </x:c>
      <x:c r="M853" s="2" t="str">
        <x:v>持有</x:v>
      </x:c>
    </x:row>
    <x:row r="854" ht="23" customHeight="1">
      <x:c r="A854" s="11" t="d">
        <x:v>2018-05-16T00:00:00.000Z</x:v>
      </x:c>
      <x:c r="B854" s="12" t="n">
        <x:v>57.560081</x:v>
      </x:c>
      <x:c r="C854" s="13" t="n">
        <x:v>328</x:v>
      </x:c>
      <x:c r="D854" s="12" t="n">
        <x:v>89294.72</x:v>
      </x:c>
      <x:c r="E854" s="12" t="n">
        <x:v>0</x:v>
      </x:c>
      <x:c r="F854" s="12" t="n">
        <x:f>SUM(B854,D854:E854)</x:f>
        <x:v>89352.280081</x:v>
      </x:c>
      <x:c r="G854" s="12" t="n">
        <x:f>MAX(G853,F854)</x:f>
        <x:v>102238.29443099999</x:v>
      </x:c>
      <x:c r="H854" s="14" t="n">
        <x:f>F854/G854-1</x:f>
        <x:v>-0.1260390191534022</x:v>
      </x:c>
      <x:c r="I854" s="14" t="n">
        <x:f>F854/F853-1</x:f>
        <x:v>0.004202370100545805</x:v>
      </x:c>
      <x:c r="J854" s="12" t="n">
        <x:v>0</x:v>
      </x:c>
      <x:c r="K854" s="12" t="n">
        <x:v>0</x:v>
      </x:c>
      <x:c r="L854" s="12" t="n">
        <x:v>0</x:v>
      </x:c>
      <x:c r="M854" s="2" t="str">
        <x:v>持有</x:v>
      </x:c>
    </x:row>
    <x:row r="855" ht="23" customHeight="1">
      <x:c r="A855" s="11" t="d">
        <x:v>2018-05-17T00:00:00.000Z</x:v>
      </x:c>
      <x:c r="B855" s="12" t="n">
        <x:v>57.560081</x:v>
      </x:c>
      <x:c r="C855" s="13" t="n">
        <x:v>328</x:v>
      </x:c>
      <x:c r="D855" s="12" t="n">
        <x:v>89219.28</x:v>
      </x:c>
      <x:c r="E855" s="12" t="n">
        <x:v>0</x:v>
      </x:c>
      <x:c r="F855" s="12" t="n">
        <x:f>SUM(B855,D855:E855)</x:f>
        <x:v>89276.840081</x:v>
      </x:c>
      <x:c r="G855" s="12" t="n">
        <x:f>MAX(G854,F855)</x:f>
        <x:v>102238.29443099999</x:v>
      </x:c>
      <x:c r="H855" s="14" t="n">
        <x:f>F855/G855-1</x:f>
        <x:v>-0.12677690313728374</x:v>
      </x:c>
      <x:c r="I855" s="14" t="n">
        <x:f>F855/F854-1</x:f>
        <x:v>-0.0008442985442745909</x:v>
      </x:c>
      <x:c r="J855" s="12" t="n">
        <x:v>0</x:v>
      </x:c>
      <x:c r="K855" s="12" t="n">
        <x:v>0</x:v>
      </x:c>
      <x:c r="L855" s="12" t="n">
        <x:v>0</x:v>
      </x:c>
      <x:c r="M855" s="2" t="str">
        <x:v>持有</x:v>
      </x:c>
    </x:row>
    <x:row r="856" ht="23" customHeight="1">
      <x:c r="A856" s="11" t="d">
        <x:v>2018-05-18T00:00:00.000Z</x:v>
      </x:c>
      <x:c r="B856" s="12" t="n">
        <x:v>57.560081</x:v>
      </x:c>
      <x:c r="C856" s="13" t="n">
        <x:v>328</x:v>
      </x:c>
      <x:c r="D856" s="12" t="n">
        <x:v>88996.23999999999</x:v>
      </x:c>
      <x:c r="E856" s="12" t="n">
        <x:v>0</x:v>
      </x:c>
      <x:c r="F856" s="12" t="n">
        <x:f>SUM(B856,D856:E856)</x:f>
        <x:v>89053.800081</x:v>
      </x:c>
      <x:c r="G856" s="12" t="n">
        <x:f>MAX(G855,F856)</x:f>
        <x:v>102238.29443099999</x:v>
      </x:c>
      <x:c r="H856" s="14" t="n">
        <x:f>F856/G856-1</x:f>
        <x:v>-0.12895847317658582</x:v>
      </x:c>
      <x:c r="I856" s="14" t="n">
        <x:f>F856/F855-1</x:f>
        <x:v>-0.0024982963084003718</x:v>
      </x:c>
      <x:c r="J856" s="12" t="n">
        <x:v>0</x:v>
      </x:c>
      <x:c r="K856" s="12" t="n">
        <x:v>0</x:v>
      </x:c>
      <x:c r="L856" s="12" t="n">
        <x:v>0</x:v>
      </x:c>
      <x:c r="M856" s="2" t="str">
        <x:v>持有</x:v>
      </x:c>
    </x:row>
    <x:row r="857" ht="23" customHeight="1">
      <x:c r="A857" s="11" t="d">
        <x:v>2018-05-21T00:00:00.000Z</x:v>
      </x:c>
      <x:c r="B857" s="12" t="n">
        <x:v>57.560081</x:v>
      </x:c>
      <x:c r="C857" s="13" t="n">
        <x:v>328</x:v>
      </x:c>
      <x:c r="D857" s="12" t="n">
        <x:v>89665.36</x:v>
      </x:c>
      <x:c r="E857" s="12" t="n">
        <x:v>0</x:v>
      </x:c>
      <x:c r="F857" s="12" t="n">
        <x:f>SUM(B857,D857:E857)</x:f>
        <x:v>89722.920081</x:v>
      </x:c>
      <x:c r="G857" s="12" t="n">
        <x:f>MAX(G856,F857)</x:f>
        <x:v>102238.29443099999</x:v>
      </x:c>
      <x:c r="H857" s="14" t="n">
        <x:f>F857/G857-1</x:f>
        <x:v>-0.1224137630586799</x:v>
      </x:c>
      <x:c r="I857" s="14" t="n">
        <x:f>F857/F856-1</x:f>
        <x:v>0.007513660274928169</x:v>
      </x:c>
      <x:c r="J857" s="12" t="n">
        <x:v>0</x:v>
      </x:c>
      <x:c r="K857" s="12" t="n">
        <x:v>0</x:v>
      </x:c>
      <x:c r="L857" s="12" t="n">
        <x:v>0</x:v>
      </x:c>
      <x:c r="M857" s="2" t="str">
        <x:v>持有</x:v>
      </x:c>
    </x:row>
    <x:row r="858" ht="23" customHeight="1">
      <x:c r="A858" s="11" t="d">
        <x:v>2018-05-22T00:00:00.000Z</x:v>
      </x:c>
      <x:c r="B858" s="12" t="n">
        <x:v>57.560081</x:v>
      </x:c>
      <x:c r="C858" s="13" t="n">
        <x:v>328</x:v>
      </x:c>
      <x:c r="D858" s="12" t="n">
        <x:v>89416.08</x:v>
      </x:c>
      <x:c r="E858" s="12" t="n">
        <x:v>0</x:v>
      </x:c>
      <x:c r="F858" s="12" t="n">
        <x:f>SUM(B858,D858:E858)</x:f>
        <x:v>89473.640081</x:v>
      </x:c>
      <x:c r="G858" s="12" t="n">
        <x:f>MAX(G857,F858)</x:f>
        <x:v>102238.29443099999</x:v>
      </x:c>
      <x:c r="H858" s="14" t="n">
        <x:f>F858/G858-1</x:f>
        <x:v>-0.12485198839672318</x:v>
      </x:c>
      <x:c r="I858" s="14" t="n">
        <x:f>F858/F857-1</x:f>
        <x:v>-0.0027783313313359814</x:v>
      </x:c>
      <x:c r="J858" s="12" t="n">
        <x:v>0</x:v>
      </x:c>
      <x:c r="K858" s="12" t="n">
        <x:v>0</x:v>
      </x:c>
      <x:c r="L858" s="12" t="n">
        <x:v>0</x:v>
      </x:c>
      <x:c r="M858" s="2" t="str">
        <x:v>持有</x:v>
      </x:c>
    </x:row>
    <x:row r="859" ht="23" customHeight="1">
      <x:c r="A859" s="11" t="d">
        <x:v>2018-05-23T00:00:00.000Z</x:v>
      </x:c>
      <x:c r="B859" s="12" t="n">
        <x:v>57.560081</x:v>
      </x:c>
      <x:c r="C859" s="13" t="n">
        <x:v>328</x:v>
      </x:c>
      <x:c r="D859" s="12" t="n">
        <x:v>89662.08</x:v>
      </x:c>
      <x:c r="E859" s="12" t="n">
        <x:v>0</x:v>
      </x:c>
      <x:c r="F859" s="12" t="n">
        <x:f>SUM(B859,D859:E859)</x:f>
        <x:v>89719.640081</x:v>
      </x:c>
      <x:c r="G859" s="12" t="n">
        <x:f>MAX(G858,F859)</x:f>
        <x:v>102238.29443099999</x:v>
      </x:c>
      <x:c r="H859" s="14" t="n">
        <x:f>F859/G859-1</x:f>
        <x:v>-0.12244584497102251</x:v>
      </x:c>
      <x:c r="I859" s="14" t="n">
        <x:f>F859/F858-1</x:f>
        <x:v>0.002749413120750388</x:v>
      </x:c>
      <x:c r="J859" s="12" t="n">
        <x:v>0</x:v>
      </x:c>
      <x:c r="K859" s="12" t="n">
        <x:v>0</x:v>
      </x:c>
      <x:c r="L859" s="12" t="n">
        <x:v>0</x:v>
      </x:c>
      <x:c r="M859" s="2" t="str">
        <x:v>持有</x:v>
      </x:c>
    </x:row>
    <x:row r="860" ht="23" customHeight="1">
      <x:c r="A860" s="11" t="d">
        <x:v>2018-05-24T00:00:00.000Z</x:v>
      </x:c>
      <x:c r="B860" s="12" t="n">
        <x:v>57.560081</x:v>
      </x:c>
      <x:c r="C860" s="13" t="n">
        <x:v>328</x:v>
      </x:c>
      <x:c r="D860" s="12" t="n">
        <x:v>89478.40000000001</x:v>
      </x:c>
      <x:c r="E860" s="12" t="n">
        <x:v>0</x:v>
      </x:c>
      <x:c r="F860" s="12" t="n">
        <x:f>SUM(B860,D860:E860)</x:f>
        <x:v>89535.96008100001</x:v>
      </x:c>
      <x:c r="G860" s="12" t="n">
        <x:f>MAX(G859,F860)</x:f>
        <x:v>102238.29443099999</x:v>
      </x:c>
      <x:c r="H860" s="14" t="n">
        <x:f>F860/G860-1</x:f>
        <x:v>-0.1242424320622123</x:v>
      </x:c>
      <x:c r="I860" s="14" t="n">
        <x:f>F860/F859-1</x:f>
        <x:v>-0.0020472663491980514</x:v>
      </x:c>
      <x:c r="J860" s="12" t="n">
        <x:v>0</x:v>
      </x:c>
      <x:c r="K860" s="12" t="n">
        <x:v>0</x:v>
      </x:c>
      <x:c r="L860" s="12" t="n">
        <x:v>0</x:v>
      </x:c>
      <x:c r="M860" s="2" t="str">
        <x:v>持有</x:v>
      </x:c>
    </x:row>
    <x:row r="861" ht="23" customHeight="1">
      <x:c r="A861" s="11" t="d">
        <x:v>2018-05-25T00:00:00.000Z</x:v>
      </x:c>
      <x:c r="B861" s="12" t="n">
        <x:v>57.560081</x:v>
      </x:c>
      <x:c r="C861" s="13" t="n">
        <x:v>328</x:v>
      </x:c>
      <x:c r="D861" s="12" t="n">
        <x:v>89265.2</x:v>
      </x:c>
      <x:c r="E861" s="12" t="n">
        <x:v>0</x:v>
      </x:c>
      <x:c r="F861" s="12" t="n">
        <x:f>SUM(B861,D861:E861)</x:f>
        <x:v>89322.760081</x:v>
      </x:c>
      <x:c r="G861" s="12" t="n">
        <x:f>MAX(G860,F861)</x:f>
        <x:v>102238.29443099999</x:v>
      </x:c>
      <x:c r="H861" s="14" t="n">
        <x:f>F861/G861-1</x:f>
        <x:v>-0.12632775636448634</x:v>
      </x:c>
      <x:c r="I861" s="14" t="n">
        <x:f>F861/F860-1</x:f>
        <x:v>-0.0023811661795678507</x:v>
      </x:c>
      <x:c r="J861" s="12" t="n">
        <x:v>0</x:v>
      </x:c>
      <x:c r="K861" s="12" t="n">
        <x:v>0</x:v>
      </x:c>
      <x:c r="L861" s="12" t="n">
        <x:v>0</x:v>
      </x:c>
      <x:c r="M861" s="2" t="str">
        <x:v>持有</x:v>
      </x:c>
    </x:row>
    <x:row r="862" ht="23" customHeight="1">
      <x:c r="A862" s="11" t="d">
        <x:v>2018-05-29T00:00:00.000Z</x:v>
      </x:c>
      <x:c r="B862" s="12" t="n">
        <x:v>57.560081</x:v>
      </x:c>
      <x:c r="C862" s="13" t="n">
        <x:v>328</x:v>
      </x:c>
      <x:c r="D862" s="12" t="n">
        <x:v>88238.56</x:v>
      </x:c>
      <x:c r="E862" s="12" t="n">
        <x:v>0</x:v>
      </x:c>
      <x:c r="F862" s="12" t="n">
        <x:f>SUM(B862,D862:E862)</x:f>
        <x:v>88296.120081</x:v>
      </x:c>
      <x:c r="G862" s="12" t="n">
        <x:f>MAX(G861,F862)</x:f>
        <x:v>102238.29443099999</x:v>
      </x:c>
      <x:c r="H862" s="14" t="n">
        <x:f>F862/G862-1</x:f>
        <x:v>-0.1363693949277438</x:v>
      </x:c>
      <x:c r="I862" s="14" t="n">
        <x:f>F862/F861-1</x:f>
        <x:v>-0.011493599157359369</x:v>
      </x:c>
      <x:c r="J862" s="12" t="n">
        <x:v>0</x:v>
      </x:c>
      <x:c r="K862" s="12" t="n">
        <x:v>0</x:v>
      </x:c>
      <x:c r="L862" s="12" t="n">
        <x:v>0</x:v>
      </x:c>
      <x:c r="M862" s="2" t="str">
        <x:v>持有</x:v>
      </x:c>
    </x:row>
    <x:row r="863" ht="23" customHeight="1">
      <x:c r="A863" s="11" t="d">
        <x:v>2018-05-30T00:00:00.000Z</x:v>
      </x:c>
      <x:c r="B863" s="12" t="n">
        <x:v>57.560081</x:v>
      </x:c>
      <x:c r="C863" s="13" t="n">
        <x:v>328</x:v>
      </x:c>
      <x:c r="D863" s="12" t="n">
        <x:v>89416.08</x:v>
      </x:c>
      <x:c r="E863" s="12" t="n">
        <x:v>0</x:v>
      </x:c>
      <x:c r="F863" s="12" t="n">
        <x:f>SUM(B863,D863:E863)</x:f>
        <x:v>89473.640081</x:v>
      </x:c>
      <x:c r="G863" s="12" t="n">
        <x:f>MAX(G862,F863)</x:f>
        <x:v>102238.29443099999</x:v>
      </x:c>
      <x:c r="H863" s="14" t="n">
        <x:f>F863/G863-1</x:f>
        <x:v>-0.12485198839672318</x:v>
      </x:c>
      <x:c r="I863" s="14" t="n">
        <x:f>F863/F862-1</x:f>
        <x:v>0.013336033326490249</x:v>
      </x:c>
      <x:c r="J863" s="12" t="n">
        <x:v>0</x:v>
      </x:c>
      <x:c r="K863" s="12" t="n">
        <x:v>0</x:v>
      </x:c>
      <x:c r="L863" s="12" t="n">
        <x:v>0</x:v>
      </x:c>
      <x:c r="M863" s="2" t="str">
        <x:v>持有</x:v>
      </x:c>
    </x:row>
    <x:row r="864" ht="23" customHeight="1">
      <x:c r="A864" s="11" t="d">
        <x:v>2018-05-31T00:00:00.000Z</x:v>
      </x:c>
      <x:c r="B864" s="12" t="n">
        <x:v>57.560081</x:v>
      </x:c>
      <x:c r="C864" s="13" t="n">
        <x:v>328</x:v>
      </x:c>
      <x:c r="D864" s="12" t="n">
        <x:v>88868.31999999999</x:v>
      </x:c>
      <x:c r="E864" s="12" t="n">
        <x:v>0</x:v>
      </x:c>
      <x:c r="F864" s="12" t="n">
        <x:f>SUM(B864,D864:E864)</x:f>
        <x:v>88925.880081</x:v>
      </x:c>
      <x:c r="G864" s="12" t="n">
        <x:f>MAX(G863,F864)</x:f>
        <x:v>102238.29443099999</x:v>
      </x:c>
      <x:c r="H864" s="14" t="n">
        <x:f>F864/G864-1</x:f>
        <x:v>-0.13020966775795018</x:v>
      </x:c>
      <x:c r="I864" s="14" t="n">
        <x:f>F864/F863-1</x:f>
        <x:v>-0.006122026548870951</x:v>
      </x:c>
      <x:c r="J864" s="12" t="n">
        <x:v>0</x:v>
      </x:c>
      <x:c r="K864" s="12" t="n">
        <x:v>0</x:v>
      </x:c>
      <x:c r="L864" s="12" t="n">
        <x:v>0</x:v>
      </x:c>
      <x:c r="M864" s="2" t="str">
        <x:v>持有</x:v>
      </x:c>
    </x:row>
    <x:row r="865" ht="23" customHeight="1">
      <x:c r="A865" s="11" t="d">
        <x:v>2018-06-01T00:00:00.000Z</x:v>
      </x:c>
      <x:c r="B865" s="12" t="n">
        <x:v>57.560081</x:v>
      </x:c>
      <x:c r="C865" s="13" t="n">
        <x:v>328</x:v>
      </x:c>
      <x:c r="D865" s="12" t="n">
        <x:v>89740.8</x:v>
      </x:c>
      <x:c r="E865" s="12" t="n">
        <x:v>0</x:v>
      </x:c>
      <x:c r="F865" s="12" t="n">
        <x:f>SUM(B865,D865:E865)</x:f>
        <x:v>89798.360081</x:v>
      </x:c>
      <x:c r="G865" s="12" t="n">
        <x:f>MAX(G864,F865)</x:f>
        <x:v>102238.29443099999</x:v>
      </x:c>
      <x:c r="H865" s="14" t="n">
        <x:f>F865/G865-1</x:f>
        <x:v>-0.12167587907479838</x:v>
      </x:c>
      <x:c r="I865" s="14" t="n">
        <x:f>F865/F864-1</x:f>
        <x:v>0.009811317011485299</x:v>
      </x:c>
      <x:c r="J865" s="12" t="n">
        <x:v>0</x:v>
      </x:c>
      <x:c r="K865" s="12" t="n">
        <x:v>0</x:v>
      </x:c>
      <x:c r="L865" s="12" t="n">
        <x:v>0</x:v>
      </x:c>
      <x:c r="M865" s="2" t="str">
        <x:v>持有</x:v>
      </x:c>
    </x:row>
    <x:row r="866" ht="23" customHeight="1">
      <x:c r="A866" s="11" t="d">
        <x:v>2018-06-04T00:00:00.000Z</x:v>
      </x:c>
      <x:c r="B866" s="12" t="n">
        <x:v>57.560081</x:v>
      </x:c>
      <x:c r="C866" s="13" t="n">
        <x:v>328</x:v>
      </x:c>
      <x:c r="D866" s="12" t="n">
        <x:v>90167.2</x:v>
      </x:c>
      <x:c r="E866" s="12" t="n">
        <x:v>0</x:v>
      </x:c>
      <x:c r="F866" s="12" t="n">
        <x:f>SUM(B866,D866:E866)</x:f>
        <x:v>90224.760081</x:v>
      </x:c>
      <x:c r="G866" s="12" t="n">
        <x:f>MAX(G865,F866)</x:f>
        <x:v>102238.29443099999</x:v>
      </x:c>
      <x:c r="H866" s="14" t="n">
        <x:f>F866/G866-1</x:f>
        <x:v>-0.11750523047025052</x:v>
      </x:c>
      <x:c r="I866" s="14" t="n">
        <x:f>F866/F865-1</x:f>
        <x:v>0.004748416336505246</x:v>
      </x:c>
      <x:c r="J866" s="12" t="n">
        <x:v>0</x:v>
      </x:c>
      <x:c r="K866" s="12" t="n">
        <x:v>0</x:v>
      </x:c>
      <x:c r="L866" s="12" t="n">
        <x:v>0</x:v>
      </x:c>
      <x:c r="M866" s="2" t="str">
        <x:v>持有</x:v>
      </x:c>
    </x:row>
    <x:row r="867" ht="23" customHeight="1">
      <x:c r="A867" s="11" t="d">
        <x:v>2018-06-05T00:00:00.000Z</x:v>
      </x:c>
      <x:c r="B867" s="12" t="n">
        <x:v>57.560081</x:v>
      </x:c>
      <x:c r="C867" s="13" t="n">
        <x:v>328</x:v>
      </x:c>
      <x:c r="D867" s="12" t="n">
        <x:v>90232.8</x:v>
      </x:c>
      <x:c r="E867" s="12" t="n">
        <x:v>0</x:v>
      </x:c>
      <x:c r="F867" s="12" t="n">
        <x:f>SUM(B867,D867:E867)</x:f>
        <x:v>90290.360081</x:v>
      </x:c>
      <x:c r="G867" s="12" t="n">
        <x:f>MAX(G866,F867)</x:f>
        <x:v>102238.29443099999</x:v>
      </x:c>
      <x:c r="H867" s="14" t="n">
        <x:f>F867/G867-1</x:f>
        <x:v>-0.11686359222339704</x:v>
      </x:c>
      <x:c r="I867" s="14" t="n">
        <x:f>F867/F866-1</x:f>
        <x:v>0.0007270731442357015</x:v>
      </x:c>
      <x:c r="J867" s="12" t="n">
        <x:v>0</x:v>
      </x:c>
      <x:c r="K867" s="12" t="n">
        <x:v>0</x:v>
      </x:c>
      <x:c r="L867" s="12" t="n">
        <x:v>0</x:v>
      </x:c>
      <x:c r="M867" s="2" t="str">
        <x:v>持有</x:v>
      </x:c>
    </x:row>
    <x:row r="868" ht="23" customHeight="1">
      <x:c r="A868" s="11" t="d">
        <x:v>2018-06-06T00:00:00.000Z</x:v>
      </x:c>
      <x:c r="B868" s="12" t="n">
        <x:v>57.560081</x:v>
      </x:c>
      <x:c r="C868" s="13" t="n">
        <x:v>328</x:v>
      </x:c>
      <x:c r="D868" s="12" t="n">
        <x:v>90987.2</x:v>
      </x:c>
      <x:c r="E868" s="12" t="n">
        <x:v>0</x:v>
      </x:c>
      <x:c r="F868" s="12" t="n">
        <x:f>SUM(B868,D868:E868)</x:f>
        <x:v>91044.760081</x:v>
      </x:c>
      <x:c r="G868" s="12" t="n">
        <x:f>MAX(G867,F868)</x:f>
        <x:v>102238.29443099999</x:v>
      </x:c>
      <x:c r="H868" s="14" t="n">
        <x:f>F868/G868-1</x:f>
        <x:v>-0.10948475238458166</x:v>
      </x:c>
      <x:c r="I868" s="14" t="n">
        <x:f>F868/F867-1</x:f>
        <x:v>0.008355266268992745</x:v>
      </x:c>
      <x:c r="J868" s="12" t="n">
        <x:v>0</x:v>
      </x:c>
      <x:c r="K868" s="12" t="n">
        <x:v>0</x:v>
      </x:c>
      <x:c r="L868" s="12" t="n">
        <x:v>0</x:v>
      </x:c>
      <x:c r="M868" s="2" t="str">
        <x:v>持有</x:v>
      </x:c>
    </x:row>
    <x:row r="869" ht="23" customHeight="1">
      <x:c r="A869" s="11" t="d">
        <x:v>2018-06-07T00:00:00.000Z</x:v>
      </x:c>
      <x:c r="B869" s="12" t="n">
        <x:v>57.560081</x:v>
      </x:c>
      <x:c r="C869" s="13" t="n">
        <x:v>328</x:v>
      </x:c>
      <x:c r="D869" s="12" t="n">
        <x:v>90977.36</x:v>
      </x:c>
      <x:c r="E869" s="12" t="n">
        <x:v>0</x:v>
      </x:c>
      <x:c r="F869" s="12" t="n">
        <x:f>SUM(B869,D869:E869)</x:f>
        <x:v>91034.920081</x:v>
      </x:c>
      <x:c r="G869" s="12" t="n">
        <x:f>MAX(G868,F869)</x:f>
        <x:v>102238.29443099999</x:v>
      </x:c>
      <x:c r="H869" s="14" t="n">
        <x:f>F869/G869-1</x:f>
        <x:v>-0.1095809981216096</x:v>
      </x:c>
      <x:c r="I869" s="14" t="n">
        <x:f>F869/F868-1</x:f>
        <x:v>-0.00010807870756368576</x:v>
      </x:c>
      <x:c r="J869" s="12" t="n">
        <x:v>0</x:v>
      </x:c>
      <x:c r="K869" s="12" t="n">
        <x:v>0</x:v>
      </x:c>
      <x:c r="L869" s="12" t="n">
        <x:v>0</x:v>
      </x:c>
      <x:c r="M869" s="2" t="str">
        <x:v>持有</x:v>
      </x:c>
    </x:row>
    <x:row r="870" ht="23" customHeight="1">
      <x:c r="A870" s="11" t="d">
        <x:v>2018-06-08T00:00:00.000Z</x:v>
      </x:c>
      <x:c r="B870" s="12" t="n">
        <x:v>57.560081</x:v>
      </x:c>
      <x:c r="C870" s="13" t="n">
        <x:v>328</x:v>
      </x:c>
      <x:c r="D870" s="12" t="n">
        <x:v>91246.31999999999</x:v>
      </x:c>
      <x:c r="E870" s="12" t="n">
        <x:v>0</x:v>
      </x:c>
      <x:c r="F870" s="12" t="n">
        <x:f>SUM(B870,D870:E870)</x:f>
        <x:v>91303.880081</x:v>
      </x:c>
      <x:c r="G870" s="12" t="n">
        <x:f>MAX(G869,F870)</x:f>
        <x:v>102238.29443099999</x:v>
      </x:c>
      <x:c r="H870" s="14" t="n">
        <x:f>F870/G870-1</x:f>
        <x:v>-0.10695028130951034</x:v>
      </x:c>
      <x:c r="I870" s="14" t="n">
        <x:f>F870/F869-1</x:f>
        <x:v>0.0029544706554438527</x:v>
      </x:c>
      <x:c r="J870" s="12" t="n">
        <x:v>0</x:v>
      </x:c>
      <x:c r="K870" s="12" t="n">
        <x:v>0</x:v>
      </x:c>
      <x:c r="L870" s="12" t="n">
        <x:v>0</x:v>
      </x:c>
      <x:c r="M870" s="2" t="str">
        <x:v>持有</x:v>
      </x:c>
    </x:row>
    <x:row r="871" ht="23" customHeight="1">
      <x:c r="A871" s="11" t="d">
        <x:v>2018-06-11T00:00:00.000Z</x:v>
      </x:c>
      <x:c r="B871" s="12" t="n">
        <x:v>57.560081</x:v>
      </x:c>
      <x:c r="C871" s="13" t="n">
        <x:v>328</x:v>
      </x:c>
      <x:c r="D871" s="12" t="n">
        <x:v>91367.68000000001</x:v>
      </x:c>
      <x:c r="E871" s="12" t="n">
        <x:v>0</x:v>
      </x:c>
      <x:c r="F871" s="12" t="n">
        <x:f>SUM(B871,D871:E871)</x:f>
        <x:v>91425.24008100001</x:v>
      </x:c>
      <x:c r="G871" s="12" t="n">
        <x:f>MAX(G870,F871)</x:f>
        <x:v>102238.29443099999</x:v>
      </x:c>
      <x:c r="H871" s="14" t="n">
        <x:f>F871/G871-1</x:f>
        <x:v>-0.1057632505528312</x:v>
      </x:c>
      <x:c r="I871" s="14" t="n">
        <x:f>F871/F870-1</x:f>
        <x:v>0.0013291877617067627</x:v>
      </x:c>
      <x:c r="J871" s="12" t="n">
        <x:v>0</x:v>
      </x:c>
      <x:c r="K871" s="12" t="n">
        <x:v>0</x:v>
      </x:c>
      <x:c r="L871" s="12" t="n">
        <x:v>0</x:v>
      </x:c>
      <x:c r="M871" s="2" t="str">
        <x:v>持有</x:v>
      </x:c>
    </x:row>
    <x:row r="872" ht="23" customHeight="1">
      <x:c r="A872" s="11" t="d">
        <x:v>2018-06-12T00:00:00.000Z</x:v>
      </x:c>
      <x:c r="B872" s="12" t="n">
        <x:v>57.560081</x:v>
      </x:c>
      <x:c r="C872" s="13" t="n">
        <x:v>328</x:v>
      </x:c>
      <x:c r="D872" s="12" t="n">
        <x:v>91485.76000000001</x:v>
      </x:c>
      <x:c r="E872" s="12" t="n">
        <x:v>0</x:v>
      </x:c>
      <x:c r="F872" s="12" t="n">
        <x:f>SUM(B872,D872:E872)</x:f>
        <x:v>91543.32008100001</x:v>
      </x:c>
      <x:c r="G872" s="12" t="n">
        <x:f>MAX(G871,F872)</x:f>
        <x:v>102238.29443099999</x:v>
      </x:c>
      <x:c r="H872" s="14" t="n">
        <x:f>F872/G872-1</x:f>
        <x:v>-0.10460830170849489</x:v>
      </x:c>
      <x:c r="I872" s="14" t="n">
        <x:f>F872/F871-1</x:f>
        <x:v>0.001291547059601772</x:v>
      </x:c>
      <x:c r="J872" s="12" t="n">
        <x:v>0</x:v>
      </x:c>
      <x:c r="K872" s="12" t="n">
        <x:v>0</x:v>
      </x:c>
      <x:c r="L872" s="12" t="n">
        <x:v>0</x:v>
      </x:c>
      <x:c r="M872" s="2" t="str">
        <x:v>持有</x:v>
      </x:c>
    </x:row>
    <x:row r="873" ht="23" customHeight="1">
      <x:c r="A873" s="11" t="d">
        <x:v>2018-06-13T00:00:00.000Z</x:v>
      </x:c>
      <x:c r="B873" s="12" t="n">
        <x:v>57.560081</x:v>
      </x:c>
      <x:c r="C873" s="13" t="n">
        <x:v>328</x:v>
      </x:c>
      <x:c r="D873" s="12" t="n">
        <x:v>91193.84</x:v>
      </x:c>
      <x:c r="E873" s="12" t="n">
        <x:v>0</x:v>
      </x:c>
      <x:c r="F873" s="12" t="n">
        <x:f>SUM(B873,D873:E873)</x:f>
        <x:v>91251.400081</x:v>
      </x:c>
      <x:c r="G873" s="12" t="n">
        <x:f>MAX(G872,F873)</x:f>
        <x:v>102238.29443099999</x:v>
      </x:c>
      <x:c r="H873" s="14" t="n">
        <x:f>F873/G873-1</x:f>
        <x:v>-0.10746359190699306</x:v>
      </x:c>
      <x:c r="I873" s="14" t="n">
        <x:f>F873/F872-1</x:f>
        <x:v>-0.0031888727625534186</x:v>
      </x:c>
      <x:c r="J873" s="12" t="n">
        <x:v>0</x:v>
      </x:c>
      <x:c r="K873" s="12" t="n">
        <x:v>0</x:v>
      </x:c>
      <x:c r="L873" s="12" t="n">
        <x:v>0</x:v>
      </x:c>
      <x:c r="M873" s="2" t="str">
        <x:v>持有</x:v>
      </x:c>
    </x:row>
    <x:row r="874" ht="23" customHeight="1">
      <x:c r="A874" s="11" t="d">
        <x:v>2018-06-14T00:00:00.000Z</x:v>
      </x:c>
      <x:c r="B874" s="12" t="n">
        <x:v>57.560081</x:v>
      </x:c>
      <x:c r="C874" s="13" t="n">
        <x:v>328</x:v>
      </x:c>
      <x:c r="D874" s="12" t="n">
        <x:v>91423.44</x:v>
      </x:c>
      <x:c r="E874" s="12" t="n">
        <x:v>0</x:v>
      </x:c>
      <x:c r="F874" s="12" t="n">
        <x:f>SUM(B874,D874:E874)</x:f>
        <x:v>91481.000081</x:v>
      </x:c>
      <x:c r="G874" s="12" t="n">
        <x:f>MAX(G873,F874)</x:f>
        <x:v>102238.29443099999</x:v>
      </x:c>
      <x:c r="H874" s="14" t="n">
        <x:f>F874/G874-1</x:f>
        <x:v>-0.10521785804300576</x:v>
      </x:c>
      <x:c r="I874" s="14" t="n">
        <x:f>F874/F873-1</x:f>
        <x:v>0.0025161257777546187</x:v>
      </x:c>
      <x:c r="J874" s="12" t="n">
        <x:v>0</x:v>
      </x:c>
      <x:c r="K874" s="12" t="n">
        <x:v>0</x:v>
      </x:c>
      <x:c r="L874" s="12" t="n">
        <x:v>0</x:v>
      </x:c>
      <x:c r="M874" s="2" t="str">
        <x:v>持有</x:v>
      </x:c>
    </x:row>
    <x:row r="875" ht="23" customHeight="1">
      <x:c r="A875" s="11" t="d">
        <x:v>2018-06-15T00:00:00.000Z</x:v>
      </x:c>
      <x:c r="B875" s="12" t="n">
        <x:v>57.560081</x:v>
      </x:c>
      <x:c r="C875" s="13" t="n">
        <x:v>328</x:v>
      </x:c>
      <x:c r="D875" s="12" t="n">
        <x:v>90898.64</x:v>
      </x:c>
      <x:c r="E875" s="12" t="n">
        <x:v>408.546304</x:v>
      </x:c>
      <x:c r="F875" s="12" t="n">
        <x:f>SUM(B875,D875:E875)</x:f>
        <x:v>91364.746385</x:v>
      </x:c>
      <x:c r="G875" s="12" t="n">
        <x:f>MAX(G874,F875)</x:f>
        <x:v>102238.29443099999</x:v>
      </x:c>
      <x:c r="H875" s="14" t="n">
        <x:f>F875/G875-1</x:f>
        <x:v>-0.1063549436785497</x:v>
      </x:c>
      <x:c r="I875" s="14" t="n">
        <x:f>F875/F874-1</x:f>
        <x:v>-0.001270796076748848</x:v>
      </x:c>
      <x:c r="J875" s="12" t="n">
        <x:v>408.546304</x:v>
      </x:c>
      <x:c r="K875" s="12" t="n">
        <x:v>0</x:v>
      </x:c>
      <x:c r="L875" s="12" t="n">
        <x:v>0</x:v>
      </x:c>
      <x:c r="M875" s="2" t="str">
        <x:v>持有</x:v>
      </x:c>
    </x:row>
    <x:row r="876" ht="23" customHeight="1">
      <x:c r="A876" s="11" t="d">
        <x:v>2018-06-18T00:00:00.000Z</x:v>
      </x:c>
      <x:c r="B876" s="12" t="n">
        <x:v>57.560081</x:v>
      </x:c>
      <x:c r="C876" s="13" t="n">
        <x:v>328</x:v>
      </x:c>
      <x:c r="D876" s="12" t="n">
        <x:v>90711.68000000001</x:v>
      </x:c>
      <x:c r="E876" s="12" t="n">
        <x:v>408.546304</x:v>
      </x:c>
      <x:c r="F876" s="12" t="n">
        <x:f>SUM(B876,D876:E876)</x:f>
        <x:v>91177.78638500001</x:v>
      </x:c>
      <x:c r="G876" s="12" t="n">
        <x:f>MAX(G875,F876)</x:f>
        <x:v>102238.29443099999</x:v>
      </x:c>
      <x:c r="H876" s="14" t="n">
        <x:f>F876/G876-1</x:f>
        <x:v>-0.1081836126820821</x:v>
      </x:c>
      <x:c r="I876" s="14" t="n">
        <x:f>F876/F875-1</x:f>
        <x:v>-0.00204630349667001</x:v>
      </x:c>
      <x:c r="J876" s="12" t="n">
        <x:v>0</x:v>
      </x:c>
      <x:c r="K876" s="12" t="n">
        <x:v>0</x:v>
      </x:c>
      <x:c r="L876" s="12" t="n">
        <x:v>0</x:v>
      </x:c>
      <x:c r="M876" s="2" t="str">
        <x:v>持有</x:v>
      </x:c>
    </x:row>
    <x:row r="877" ht="23" customHeight="1">
      <x:c r="A877" s="11" t="d">
        <x:v>2018-06-19T00:00:00.000Z</x:v>
      </x:c>
      <x:c r="B877" s="12" t="n">
        <x:v>57.560081</x:v>
      </x:c>
      <x:c r="C877" s="13" t="n">
        <x:v>328</x:v>
      </x:c>
      <x:c r="D877" s="12" t="n">
        <x:v>90364</x:v>
      </x:c>
      <x:c r="E877" s="12" t="n">
        <x:v>408.546304</x:v>
      </x:c>
      <x:c r="F877" s="12" t="n">
        <x:f>SUM(B877,D877:E877)</x:f>
        <x:v>90830.106385</x:v>
      </x:c>
      <x:c r="G877" s="12" t="n">
        <x:f>MAX(G876,F877)</x:f>
        <x:v>102238.29443099999</x:v>
      </x:c>
      <x:c r="H877" s="14" t="n">
        <x:f>F877/G877-1</x:f>
        <x:v>-0.11158429539040582</x:v>
      </x:c>
      <x:c r="I877" s="14" t="n">
        <x:f>F877/F876-1</x:f>
        <x:v>-0.003813209486485225</x:v>
      </x:c>
      <x:c r="J877" s="12" t="n">
        <x:v>0</x:v>
      </x:c>
      <x:c r="K877" s="12" t="n">
        <x:v>0</x:v>
      </x:c>
      <x:c r="L877" s="12" t="n">
        <x:v>0</x:v>
      </x:c>
      <x:c r="M877" s="2" t="str">
        <x:v>持有</x:v>
      </x:c>
    </x:row>
    <x:row r="878" ht="23" customHeight="1">
      <x:c r="A878" s="11" t="d">
        <x:v>2018-06-20T00:00:00.000Z</x:v>
      </x:c>
      <x:c r="B878" s="12" t="n">
        <x:v>57.560081</x:v>
      </x:c>
      <x:c r="C878" s="13" t="n">
        <x:v>328</x:v>
      </x:c>
      <x:c r="D878" s="12" t="n">
        <x:v>90518.16</x:v>
      </x:c>
      <x:c r="E878" s="12" t="n">
        <x:v>408.546304</x:v>
      </x:c>
      <x:c r="F878" s="12" t="n">
        <x:f>SUM(B878,D878:E878)</x:f>
        <x:v>90984.26638500001</x:v>
      </x:c>
      <x:c r="G878" s="12" t="n">
        <x:f>MAX(G877,F878)</x:f>
        <x:v>102238.29443099999</x:v>
      </x:c>
      <x:c r="H878" s="14" t="n">
        <x:f>F878/G878-1</x:f>
        <x:v>-0.11007644551030005</x:v>
      </x:c>
      <x:c r="I878" s="14" t="n">
        <x:f>F878/F877-1</x:f>
        <x:v>0.0016972346079455747</x:v>
      </x:c>
      <x:c r="J878" s="12" t="n">
        <x:v>0</x:v>
      </x:c>
      <x:c r="K878" s="12" t="n">
        <x:v>0</x:v>
      </x:c>
      <x:c r="L878" s="12" t="n">
        <x:v>0</x:v>
      </x:c>
      <x:c r="M878" s="2" t="str">
        <x:v>持有</x:v>
      </x:c>
    </x:row>
    <x:row r="879" ht="23" customHeight="1">
      <x:c r="A879" s="11" t="d">
        <x:v>2018-06-21T00:00:00.000Z</x:v>
      </x:c>
      <x:c r="B879" s="12" t="n">
        <x:v>57.560081</x:v>
      </x:c>
      <x:c r="C879" s="13" t="n">
        <x:v>328</x:v>
      </x:c>
      <x:c r="D879" s="12" t="n">
        <x:v>89950.72</x:v>
      </x:c>
      <x:c r="E879" s="12" t="n">
        <x:v>408.546304</x:v>
      </x:c>
      <x:c r="F879" s="12" t="n">
        <x:f>SUM(B879,D879:E879)</x:f>
        <x:v>90416.82638500001</x:v>
      </x:c>
      <x:c r="G879" s="12" t="n">
        <x:f>MAX(G878,F879)</x:f>
        <x:v>102238.29443099999</x:v>
      </x:c>
      <x:c r="H879" s="14" t="n">
        <x:f>F879/G879-1</x:f>
        <x:v>-0.11562661634558291</x:v>
      </x:c>
      <x:c r="I879" s="14" t="n">
        <x:f>F879/F878-1</x:f>
        <x:v>-0.006236682698510521</x:v>
      </x:c>
      <x:c r="J879" s="12" t="n">
        <x:v>0</x:v>
      </x:c>
      <x:c r="K879" s="12" t="n">
        <x:v>0</x:v>
      </x:c>
      <x:c r="L879" s="12" t="n">
        <x:v>0</x:v>
      </x:c>
      <x:c r="M879" s="2" t="str">
        <x:v>持有</x:v>
      </x:c>
    </x:row>
    <x:row r="880" ht="23" customHeight="1">
      <x:c r="A880" s="11" t="d">
        <x:v>2018-06-22T00:00:00.000Z</x:v>
      </x:c>
      <x:c r="B880" s="12" t="n">
        <x:v>57.560081</x:v>
      </x:c>
      <x:c r="C880" s="13" t="n">
        <x:v>328</x:v>
      </x:c>
      <x:c r="D880" s="12" t="n">
        <x:v>90114.72</x:v>
      </x:c>
      <x:c r="E880" s="12" t="n">
        <x:v>408.546304</x:v>
      </x:c>
      <x:c r="F880" s="12" t="n">
        <x:f>SUM(B880,D880:E880)</x:f>
        <x:v>90580.82638500001</x:v>
      </x:c>
      <x:c r="G880" s="12" t="n">
        <x:f>MAX(G879,F880)</x:f>
        <x:v>102238.29443099999</x:v>
      </x:c>
      <x:c r="H880" s="14" t="n">
        <x:f>F880/G880-1</x:f>
        <x:v>-0.1140225207284491</x:v>
      </x:c>
      <x:c r="I880" s="14" t="n">
        <x:f>F880/F879-1</x:f>
        <x:v>0.0018138216807308538</x:v>
      </x:c>
      <x:c r="J880" s="12" t="n">
        <x:v>0</x:v>
      </x:c>
      <x:c r="K880" s="12" t="n">
        <x:v>0</x:v>
      </x:c>
      <x:c r="L880" s="12" t="n">
        <x:v>0</x:v>
      </x:c>
      <x:c r="M880" s="2" t="str">
        <x:v>持有</x:v>
      </x:c>
    </x:row>
    <x:row r="881" ht="23" customHeight="1">
      <x:c r="A881" s="11" t="d">
        <x:v>2018-06-25T00:00:00.000Z</x:v>
      </x:c>
      <x:c r="B881" s="12" t="n">
        <x:v>57.560081</x:v>
      </x:c>
      <x:c r="C881" s="13" t="n">
        <x:v>328</x:v>
      </x:c>
      <x:c r="D881" s="12" t="n">
        <x:v>88888</x:v>
      </x:c>
      <x:c r="E881" s="12" t="n">
        <x:v>408.546304</x:v>
      </x:c>
      <x:c r="F881" s="12" t="n">
        <x:f>SUM(B881,D881:E881)</x:f>
        <x:v>89354.106385</x:v>
      </x:c>
      <x:c r="G881" s="12" t="n">
        <x:f>MAX(G880,F881)</x:f>
        <x:v>102238.29443099999</x:v>
      </x:c>
      <x:c r="H881" s="14" t="n">
        <x:f>F881/G881-1</x:f>
        <x:v>-0.12602115594460983</x:v>
      </x:c>
      <x:c r="I881" s="14" t="n">
        <x:f>F881/F880-1</x:f>
        <x:v>-0.013542821907872815</x:v>
      </x:c>
      <x:c r="J881" s="12" t="n">
        <x:v>0</x:v>
      </x:c>
      <x:c r="K881" s="12" t="n">
        <x:v>0</x:v>
      </x:c>
      <x:c r="L881" s="12" t="n">
        <x:v>0</x:v>
      </x:c>
      <x:c r="M881" s="2" t="str">
        <x:v>持有</x:v>
      </x:c>
    </x:row>
    <x:row r="882" ht="23" customHeight="1">
      <x:c r="A882" s="11" t="d">
        <x:v>2018-06-26T00:00:00.000Z</x:v>
      </x:c>
      <x:c r="B882" s="12" t="n">
        <x:v>89066.382161</x:v>
      </x:c>
      <x:c r="C882" s="13" t="n">
        <x:v>0</x:v>
      </x:c>
      <x:c r="D882" s="12" t="n">
        <x:v>0</x:v>
      </x:c>
      <x:c r="E882" s="12" t="n">
        <x:v>408.546304</x:v>
      </x:c>
      <x:c r="F882" s="12" t="n">
        <x:f>SUM(B882,D882:E882)</x:f>
        <x:v>89474.928465</x:v>
      </x:c>
      <x:c r="G882" s="12" t="n">
        <x:f>MAX(G881,F882)</x:f>
        <x:v>102238.29443099999</x:v>
      </x:c>
      <x:c r="H882" s="14" t="n">
        <x:f>F882/G882-1</x:f>
        <x:v>-0.12483938662155503</x:v>
      </x:c>
      <x:c r="I882" s="14" t="n">
        <x:f>F882/F881-1</x:f>
        <x:v>0.0013521715440745208</x:v>
      </x:c>
      <x:c r="J882" s="12" t="n">
        <x:v>0</x:v>
      </x:c>
      <x:c r="K882" s="12" t="n">
        <x:v>0</x:v>
      </x:c>
      <x:c r="L882" s="12" t="n">
        <x:v>-328</x:v>
      </x:c>
      <x:c r="M882" s="2" t="str">
        <x:v>卖出</x:v>
      </x:c>
    </x:row>
    <x:row r="883" ht="23" customHeight="1">
      <x:c r="A883" s="11" t="d">
        <x:v>2018-06-27T00:00:00.000Z</x:v>
      </x:c>
      <x:c r="B883" s="12" t="n">
        <x:v>220.865401</x:v>
      </x:c>
      <x:c r="C883" s="13" t="n">
        <x:v>326</x:v>
      </x:c>
      <x:c r="D883" s="12" t="n">
        <x:v>87808.1</x:v>
      </x:c>
      <x:c r="E883" s="12" t="n">
        <x:v>408.546304</x:v>
      </x:c>
      <x:c r="F883" s="12" t="n">
        <x:f>SUM(B883,D883:E883)</x:f>
        <x:v>88437.51170500001</x:v>
      </x:c>
      <x:c r="G883" s="12" t="n">
        <x:f>MAX(G882,F883)</x:f>
        <x:v>102238.29443099999</x:v>
      </x:c>
      <x:c r="H883" s="14" t="n">
        <x:f>F883/G883-1</x:f>
        <x:v>-0.13498643343775696</x:v>
      </x:c>
      <x:c r="I883" s="14" t="n">
        <x:f>F883/F882-1</x:f>
        <x:v>-0.01159449666848067</x:v>
      </x:c>
      <x:c r="J883" s="12" t="n">
        <x:v>0</x:v>
      </x:c>
      <x:c r="K883" s="12" t="n">
        <x:v>0</x:v>
      </x:c>
      <x:c r="L883" s="12" t="n">
        <x:v>326</x:v>
      </x:c>
      <x:c r="M883" s="2" t="str">
        <x:v>买入</x:v>
      </x:c>
    </x:row>
    <x:row r="884" ht="23" customHeight="1">
      <x:c r="A884" s="11" t="d">
        <x:v>2018-06-28T00:00:00.000Z</x:v>
      </x:c>
      <x:c r="B884" s="12" t="n">
        <x:v>87921.616861</x:v>
      </x:c>
      <x:c r="C884" s="13" t="n">
        <x:v>0</x:v>
      </x:c>
      <x:c r="D884" s="12" t="n">
        <x:v>0</x:v>
      </x:c>
      <x:c r="E884" s="12" t="n">
        <x:v>408.546304</x:v>
      </x:c>
      <x:c r="F884" s="12" t="n">
        <x:f>SUM(B884,D884:E884)</x:f>
        <x:v>88330.163165</x:v>
      </x:c>
      <x:c r="G884" s="12" t="n">
        <x:f>MAX(G883,F884)</x:f>
        <x:v>102238.29443099999</x:v>
      </x:c>
      <x:c r="H884" s="14" t="n">
        <x:f>F884/G884-1</x:f>
        <x:v>-0.1360364171116577</x:v>
      </x:c>
      <x:c r="I884" s="14" t="n">
        <x:f>F884/F883-1</x:f>
        <x:v>-0.0012138349206169963</x:v>
      </x:c>
      <x:c r="J884" s="12" t="n">
        <x:v>0</x:v>
      </x:c>
      <x:c r="K884" s="12" t="n">
        <x:v>0</x:v>
      </x:c>
      <x:c r="L884" s="12" t="n">
        <x:v>-326</x:v>
      </x:c>
      <x:c r="M884" s="2" t="str">
        <x:v>卖出</x:v>
      </x:c>
    </x:row>
    <x:row r="885" ht="23" customHeight="1">
      <x:c r="A885" s="11" t="d">
        <x:v>2018-06-29T00:00:00.000Z</x:v>
      </x:c>
      <x:c r="B885" s="12" t="n">
        <x:v>87921.616861</x:v>
      </x:c>
      <x:c r="C885" s="13" t="n">
        <x:v>0</x:v>
      </x:c>
      <x:c r="D885" s="12" t="n">
        <x:v>0</x:v>
      </x:c>
      <x:c r="E885" s="12" t="n">
        <x:v>408.546304</x:v>
      </x:c>
      <x:c r="F885" s="12" t="n">
        <x:f>SUM(B885,D885:E885)</x:f>
        <x:v>88330.163165</x:v>
      </x:c>
      <x:c r="G885" s="12" t="n">
        <x:f>MAX(G884,F885)</x:f>
        <x:v>102238.29443099999</x:v>
      </x:c>
      <x:c r="H885" s="14" t="n">
        <x:f>F885/G885-1</x:f>
        <x:v>-0.1360364171116577</x:v>
      </x:c>
      <x:c r="I885" s="14" t="n">
        <x:f>F885/F884-1</x:f>
        <x:v>0</x:v>
      </x:c>
      <x:c r="J885" s="12" t="n">
        <x:v>0</x:v>
      </x:c>
      <x:c r="K885" s="12" t="n">
        <x:v>0</x:v>
      </x:c>
      <x:c r="L885" s="12" t="n">
        <x:v>0</x:v>
      </x:c>
      <x:c r="M885" s="2" t="str">
        <x:v>空仓</x:v>
      </x:c>
    </x:row>
    <x:row r="886" ht="23" customHeight="1">
      <x:c r="A886" s="11" t="d">
        <x:v>2018-07-02T00:00:00.000Z</x:v>
      </x:c>
      <x:c r="B886" s="12" t="n">
        <x:v>87921.616861</x:v>
      </x:c>
      <x:c r="C886" s="13" t="n">
        <x:v>0</x:v>
      </x:c>
      <x:c r="D886" s="12" t="n">
        <x:v>0</x:v>
      </x:c>
      <x:c r="E886" s="12" t="n">
        <x:v>408.546304</x:v>
      </x:c>
      <x:c r="F886" s="12" t="n">
        <x:f>SUM(B886,D886:E886)</x:f>
        <x:v>88330.163165</x:v>
      </x:c>
      <x:c r="G886" s="12" t="n">
        <x:f>MAX(G885,F886)</x:f>
        <x:v>102238.29443099999</x:v>
      </x:c>
      <x:c r="H886" s="14" t="n">
        <x:f>F886/G886-1</x:f>
        <x:v>-0.1360364171116577</x:v>
      </x:c>
      <x:c r="I886" s="14" t="n">
        <x:f>F886/F885-1</x:f>
        <x:v>0</x:v>
      </x:c>
      <x:c r="J886" s="12" t="n">
        <x:v>0</x:v>
      </x:c>
      <x:c r="K886" s="12" t="n">
        <x:v>0</x:v>
      </x:c>
      <x:c r="L886" s="12" t="n">
        <x:v>0</x:v>
      </x:c>
      <x:c r="M886" s="2" t="str">
        <x:v>空仓</x:v>
      </x:c>
    </x:row>
    <x:row r="887" ht="23" customHeight="1">
      <x:c r="A887" s="11" t="d">
        <x:v>2018-07-03T00:00:00.000Z</x:v>
      </x:c>
      <x:c r="B887" s="12" t="n">
        <x:v>242.755591</x:v>
      </x:c>
      <x:c r="C887" s="13" t="n">
        <x:v>321</x:v>
      </x:c>
      <x:c r="D887" s="12" t="n">
        <x:v>86958.9</x:v>
      </x:c>
      <x:c r="E887" s="12" t="n">
        <x:v>408.546304</x:v>
      </x:c>
      <x:c r="F887" s="12" t="n">
        <x:f>SUM(B887,D887:E887)</x:f>
        <x:v>87610.20189499999</x:v>
      </x:c>
      <x:c r="G887" s="12" t="n">
        <x:f>MAX(G886,F887)</x:f>
        <x:v>102238.29443099999</x:v>
      </x:c>
      <x:c r="H887" s="14" t="n">
        <x:f>F887/G887-1</x:f>
        <x:v>-0.1430784092928351</x:v>
      </x:c>
      <x:c r="I887" s="14" t="n">
        <x:f>F887/F886-1</x:f>
        <x:v>-0.00815079746490599</x:v>
      </x:c>
      <x:c r="J887" s="12" t="n">
        <x:v>0</x:v>
      </x:c>
      <x:c r="K887" s="12" t="n">
        <x:v>0</x:v>
      </x:c>
      <x:c r="L887" s="12" t="n">
        <x:v>321</x:v>
      </x:c>
      <x:c r="M887" s="2" t="str">
        <x:v>买入</x:v>
      </x:c>
    </x:row>
    <x:row r="888" ht="23" customHeight="1">
      <x:c r="A888" s="11" t="d">
        <x:v>2018-07-05T00:00:00.000Z</x:v>
      </x:c>
      <x:c r="B888" s="12" t="n">
        <x:v>87521.959021</x:v>
      </x:c>
      <x:c r="C888" s="13" t="n">
        <x:v>0</x:v>
      </x:c>
      <x:c r="D888" s="12" t="n">
        <x:v>0</x:v>
      </x:c>
      <x:c r="E888" s="12" t="n">
        <x:v>408.546304</x:v>
      </x:c>
      <x:c r="F888" s="12" t="n">
        <x:f>SUM(B888,D888:E888)</x:f>
        <x:v>87930.505325</x:v>
      </x:c>
      <x:c r="G888" s="12" t="n">
        <x:f>MAX(G887,F888)</x:f>
        <x:v>102238.29443099999</x:v>
      </x:c>
      <x:c r="H888" s="14" t="n">
        <x:f>F888/G888-1</x:f>
        <x:v>-0.139945498754933</x:v>
      </x:c>
      <x:c r="I888" s="14" t="n">
        <x:f>F888/F887-1</x:f>
        <x:v>0.0036560060708898945</x:v>
      </x:c>
      <x:c r="J888" s="12" t="n">
        <x:v>0</x:v>
      </x:c>
      <x:c r="K888" s="12" t="n">
        <x:v>0</x:v>
      </x:c>
      <x:c r="L888" s="12" t="n">
        <x:v>-321</x:v>
      </x:c>
      <x:c r="M888" s="2" t="str">
        <x:v>卖出</x:v>
      </x:c>
    </x:row>
    <x:row r="889" ht="23" customHeight="1">
      <x:c r="A889" s="11" t="d">
        <x:v>2018-07-06T00:00:00.000Z</x:v>
      </x:c>
      <x:c r="B889" s="12" t="n">
        <x:v>29.754221</x:v>
      </x:c>
      <x:c r="C889" s="13" t="n">
        <x:v>320</x:v>
      </x:c>
      <x:c r="D889" s="12" t="n">
        <x:v>88134.40000000001</x:v>
      </x:c>
      <x:c r="E889" s="12" t="n">
        <x:v>408.546304</x:v>
      </x:c>
      <x:c r="F889" s="12" t="n">
        <x:f>SUM(B889,D889:E889)</x:f>
        <x:v>88572.70052500001</x:v>
      </x:c>
      <x:c r="G889" s="12" t="n">
        <x:f>MAX(G888,F889)</x:f>
        <x:v>102238.29443099999</x:v>
      </x:c>
      <x:c r="H889" s="14" t="n">
        <x:f>F889/G889-1</x:f>
        <x:v>-0.1336641420130772</x:v>
      </x:c>
      <x:c r="I889" s="14" t="n">
        <x:f>F889/F888-1</x:f>
        <x:v>0.007303440343330081</x:v>
      </x:c>
      <x:c r="J889" s="12" t="n">
        <x:v>0</x:v>
      </x:c>
      <x:c r="K889" s="12" t="n">
        <x:v>0</x:v>
      </x:c>
      <x:c r="L889" s="12" t="n">
        <x:v>320</x:v>
      </x:c>
      <x:c r="M889" s="2" t="str">
        <x:v>买入</x:v>
      </x:c>
    </x:row>
    <x:row r="890" ht="23" customHeight="1">
      <x:c r="A890" s="11" t="d">
        <x:v>2018-07-09T00:00:00.000Z</x:v>
      </x:c>
      <x:c r="B890" s="12" t="n">
        <x:v>29.754221</x:v>
      </x:c>
      <x:c r="C890" s="13" t="n">
        <x:v>320</x:v>
      </x:c>
      <x:c r="D890" s="12" t="n">
        <x:v>88928</x:v>
      </x:c>
      <x:c r="E890" s="12" t="n">
        <x:v>408.546304</x:v>
      </x:c>
      <x:c r="F890" s="12" t="n">
        <x:f>SUM(B890,D890:E890)</x:f>
        <x:v>89366.300525</x:v>
      </x:c>
      <x:c r="G890" s="12" t="n">
        <x:f>MAX(G889,F890)</x:f>
        <x:v>102238.29443099999</x:v>
      </x:c>
      <x:c r="H890" s="14" t="n">
        <x:f>F890/G890-1</x:f>
        <x:v>-0.1259018841974836</x:v>
      </x:c>
      <x:c r="I890" s="14" t="n">
        <x:f>F890/F889-1</x:f>
        <x:v>0.008959871329383251</x:v>
      </x:c>
      <x:c r="J890" s="12" t="n">
        <x:v>0</x:v>
      </x:c>
      <x:c r="K890" s="12" t="n">
        <x:v>0</x:v>
      </x:c>
      <x:c r="L890" s="12" t="n">
        <x:v>0</x:v>
      </x:c>
      <x:c r="M890" s="2" t="str">
        <x:v>持有</x:v>
      </x:c>
    </x:row>
    <x:row r="891" ht="23" customHeight="1">
      <x:c r="A891" s="11" t="d">
        <x:v>2018-07-10T00:00:00.000Z</x:v>
      </x:c>
      <x:c r="B891" s="12" t="n">
        <x:v>29.754221</x:v>
      </x:c>
      <x:c r="C891" s="13" t="n">
        <x:v>320</x:v>
      </x:c>
      <x:c r="D891" s="12" t="n">
        <x:v>89248</x:v>
      </x:c>
      <x:c r="E891" s="12" t="n">
        <x:v>408.546304</x:v>
      </x:c>
      <x:c r="F891" s="12" t="n">
        <x:f>SUM(B891,D891:E891)</x:f>
        <x:v>89686.300525</x:v>
      </x:c>
      <x:c r="G891" s="12" t="n">
        <x:f>MAX(G890,F891)</x:f>
        <x:v>102238.29443099999</x:v>
      </x:c>
      <x:c r="H891" s="14" t="n">
        <x:f>F891/G891-1</x:f>
        <x:v>-0.12277194152990545</x:v>
      </x:c>
      <x:c r="I891" s="14" t="n">
        <x:f>F891/F890-1</x:f>
        <x:v>0.003580768120869937</x:v>
      </x:c>
      <x:c r="J891" s="12" t="n">
        <x:v>0</x:v>
      </x:c>
      <x:c r="K891" s="12" t="n">
        <x:v>0</x:v>
      </x:c>
      <x:c r="L891" s="12" t="n">
        <x:v>0</x:v>
      </x:c>
      <x:c r="M891" s="2" t="str">
        <x:v>持有</x:v>
      </x:c>
    </x:row>
    <x:row r="892" ht="23" customHeight="1">
      <x:c r="A892" s="11" t="d">
        <x:v>2018-07-11T00:00:00.000Z</x:v>
      </x:c>
      <x:c r="B892" s="12" t="n">
        <x:v>29.754221</x:v>
      </x:c>
      <x:c r="C892" s="13" t="n">
        <x:v>320</x:v>
      </x:c>
      <x:c r="D892" s="12" t="n">
        <x:v>88595.20000000001</x:v>
      </x:c>
      <x:c r="E892" s="12" t="n">
        <x:v>408.546304</x:v>
      </x:c>
      <x:c r="F892" s="12" t="n">
        <x:f>SUM(B892,D892:E892)</x:f>
        <x:v>89033.50052500001</x:v>
      </x:c>
      <x:c r="G892" s="12" t="n">
        <x:f>MAX(G891,F892)</x:f>
        <x:v>102238.29443099999</x:v>
      </x:c>
      <x:c r="H892" s="14" t="n">
        <x:f>F892/G892-1</x:f>
        <x:v>-0.1291570245717647</x:v>
      </x:c>
      <x:c r="I892" s="14" t="n">
        <x:f>F892/F891-1</x:f>
        <x:v>-0.007278703616702575</x:v>
      </x:c>
      <x:c r="J892" s="12" t="n">
        <x:v>0</x:v>
      </x:c>
      <x:c r="K892" s="12" t="n">
        <x:v>0</x:v>
      </x:c>
      <x:c r="L892" s="12" t="n">
        <x:v>0</x:v>
      </x:c>
      <x:c r="M892" s="2" t="str">
        <x:v>持有</x:v>
      </x:c>
    </x:row>
    <x:row r="893" ht="23" customHeight="1">
      <x:c r="A893" s="11" t="d">
        <x:v>2018-07-12T00:00:00.000Z</x:v>
      </x:c>
      <x:c r="B893" s="12" t="n">
        <x:v>29.754221</x:v>
      </x:c>
      <x:c r="C893" s="13" t="n">
        <x:v>320</x:v>
      </x:c>
      <x:c r="D893" s="12" t="n">
        <x:v>89398.4</x:v>
      </x:c>
      <x:c r="E893" s="12" t="n">
        <x:v>408.546304</x:v>
      </x:c>
      <x:c r="F893" s="12" t="n">
        <x:f>SUM(B893,D893:E893)</x:f>
        <x:v>89836.700525</x:v>
      </x:c>
      <x:c r="G893" s="12" t="n">
        <x:f>MAX(G892,F893)</x:f>
        <x:v>102238.29443099999</x:v>
      </x:c>
      <x:c r="H893" s="14" t="n">
        <x:f>F893/G893-1</x:f>
        <x:v>-0.12130086847614385</x:v>
      </x:c>
      <x:c r="I893" s="14" t="n">
        <x:f>F893/F892-1</x:f>
        <x:v>0.00902132338124173</x:v>
      </x:c>
      <x:c r="J893" s="12" t="n">
        <x:v>0</x:v>
      </x:c>
      <x:c r="K893" s="12" t="n">
        <x:v>0</x:v>
      </x:c>
      <x:c r="L893" s="12" t="n">
        <x:v>0</x:v>
      </x:c>
      <x:c r="M893" s="2" t="str">
        <x:v>持有</x:v>
      </x:c>
    </x:row>
    <x:row r="894" ht="23" customHeight="1">
      <x:c r="A894" s="11" t="d">
        <x:v>2018-07-13T00:00:00.000Z</x:v>
      </x:c>
      <x:c r="B894" s="12" t="n">
        <x:v>29.754221</x:v>
      </x:c>
      <x:c r="C894" s="13" t="n">
        <x:v>320</x:v>
      </x:c>
      <x:c r="D894" s="12" t="n">
        <x:v>89468.79999999999</x:v>
      </x:c>
      <x:c r="E894" s="12" t="n">
        <x:v>408.546304</x:v>
      </x:c>
      <x:c r="F894" s="12" t="n">
        <x:f>SUM(B894,D894:E894)</x:f>
        <x:v>89907.10052499999</x:v>
      </x:c>
      <x:c r="G894" s="12" t="n">
        <x:f>MAX(G893,F894)</x:f>
        <x:v>102238.29443099999</x:v>
      </x:c>
      <x:c r="H894" s="14" t="n">
        <x:f>F894/G894-1</x:f>
        <x:v>-0.12061228108927669</x:v>
      </x:c>
      <x:c r="I894" s="14" t="n">
        <x:f>F894/F893-1</x:f>
        <x:v>0.0007836440963278068</x:v>
      </x:c>
      <x:c r="J894" s="12" t="n">
        <x:v>0</x:v>
      </x:c>
      <x:c r="K894" s="12" t="n">
        <x:v>0</x:v>
      </x:c>
      <x:c r="L894" s="12" t="n">
        <x:v>0</x:v>
      </x:c>
      <x:c r="M894" s="2" t="str">
        <x:v>持有</x:v>
      </x:c>
    </x:row>
    <x:row r="895" ht="23" customHeight="1">
      <x:c r="A895" s="11" t="d">
        <x:v>2018-07-16T00:00:00.000Z</x:v>
      </x:c>
      <x:c r="B895" s="12" t="n">
        <x:v>29.754221</x:v>
      </x:c>
      <x:c r="C895" s="13" t="n">
        <x:v>320</x:v>
      </x:c>
      <x:c r="D895" s="12" t="n">
        <x:v>89388.79999999999</x:v>
      </x:c>
      <x:c r="E895" s="12" t="n">
        <x:v>408.546304</x:v>
      </x:c>
      <x:c r="F895" s="12" t="n">
        <x:f>SUM(B895,D895:E895)</x:f>
        <x:v>89827.10052499999</x:v>
      </x:c>
      <x:c r="G895" s="12" t="n">
        <x:f>MAX(G894,F895)</x:f>
        <x:v>102238.29443099999</x:v>
      </x:c>
      <x:c r="H895" s="14" t="n">
        <x:f>F895/G895-1</x:f>
        <x:v>-0.12139476675617122</x:v>
      </x:c>
      <x:c r="I895" s="14" t="n">
        <x:f>F895/F894-1</x:f>
        <x:v>-0.0008898073626315561</x:v>
      </x:c>
      <x:c r="J895" s="12" t="n">
        <x:v>0</x:v>
      </x:c>
      <x:c r="K895" s="12" t="n">
        <x:v>0</x:v>
      </x:c>
      <x:c r="L895" s="12" t="n">
        <x:v>0</x:v>
      </x:c>
      <x:c r="M895" s="2" t="str">
        <x:v>持有</x:v>
      </x:c>
    </x:row>
    <x:row r="896" ht="23" customHeight="1">
      <x:c r="A896" s="11" t="d">
        <x:v>2018-07-17T00:00:00.000Z</x:v>
      </x:c>
      <x:c r="B896" s="12" t="n">
        <x:v>29.754221</x:v>
      </x:c>
      <x:c r="C896" s="13" t="n">
        <x:v>320</x:v>
      </x:c>
      <x:c r="D896" s="12" t="n">
        <x:v>89750.40000000001</x:v>
      </x:c>
      <x:c r="E896" s="12" t="n">
        <x:v>408.546304</x:v>
      </x:c>
      <x:c r="F896" s="12" t="n">
        <x:f>SUM(B896,D896:E896)</x:f>
        <x:v>90188.70052500001</x:v>
      </x:c>
      <x:c r="G896" s="12" t="n">
        <x:f>MAX(G895,F896)</x:f>
        <x:v>102238.29443099999</x:v>
      </x:c>
      <x:c r="H896" s="14" t="n">
        <x:f>F896/G896-1</x:f>
        <x:v>-0.11785793154180779</x:v>
      </x:c>
      <x:c r="I896" s="14" t="n">
        <x:f>F896/F895-1</x:f>
        <x:v>0.004025511208606503</x:v>
      </x:c>
      <x:c r="J896" s="12" t="n">
        <x:v>0</x:v>
      </x:c>
      <x:c r="K896" s="12" t="n">
        <x:v>0</x:v>
      </x:c>
      <x:c r="L896" s="12" t="n">
        <x:v>0</x:v>
      </x:c>
      <x:c r="M896" s="2" t="str">
        <x:v>持有</x:v>
      </x:c>
    </x:row>
    <x:row r="897" ht="23" customHeight="1">
      <x:c r="A897" s="11" t="d">
        <x:v>2018-07-18T00:00:00.000Z</x:v>
      </x:c>
      <x:c r="B897" s="12" t="n">
        <x:v>29.754221</x:v>
      </x:c>
      <x:c r="C897" s="13" t="n">
        <x:v>320</x:v>
      </x:c>
      <x:c r="D897" s="12" t="n">
        <x:v>89939.2</x:v>
      </x:c>
      <x:c r="E897" s="12" t="n">
        <x:v>408.546304</x:v>
      </x:c>
      <x:c r="F897" s="12" t="n">
        <x:f>SUM(B897,D897:E897)</x:f>
        <x:v>90377.500525</x:v>
      </x:c>
      <x:c r="G897" s="12" t="n">
        <x:f>MAX(G896,F897)</x:f>
        <x:v>102238.29443099999</x:v>
      </x:c>
      <x:c r="H897" s="14" t="n">
        <x:f>F897/G897-1</x:f>
        <x:v>-0.11601126536793682</x:v>
      </x:c>
      <x:c r="I897" s="14" t="n">
        <x:f>F897/F896-1</x:f>
        <x:v>0.0020933886274108193</x:v>
      </x:c>
      <x:c r="J897" s="12" t="n">
        <x:v>0</x:v>
      </x:c>
      <x:c r="K897" s="12" t="n">
        <x:v>0</x:v>
      </x:c>
      <x:c r="L897" s="12" t="n">
        <x:v>0</x:v>
      </x:c>
      <x:c r="M897" s="2" t="str">
        <x:v>持有</x:v>
      </x:c>
    </x:row>
    <x:row r="898" ht="23" customHeight="1">
      <x:c r="A898" s="11" t="d">
        <x:v>2018-07-19T00:00:00.000Z</x:v>
      </x:c>
      <x:c r="B898" s="12" t="n">
        <x:v>29.754221</x:v>
      </x:c>
      <x:c r="C898" s="13" t="n">
        <x:v>320</x:v>
      </x:c>
      <x:c r="D898" s="12" t="n">
        <x:v>89600</x:v>
      </x:c>
      <x:c r="E898" s="12" t="n">
        <x:v>408.546304</x:v>
      </x:c>
      <x:c r="F898" s="12" t="n">
        <x:f>SUM(B898,D898:E898)</x:f>
        <x:v>90038.300525</x:v>
      </x:c>
      <x:c r="G898" s="12" t="n">
        <x:f>MAX(G897,F898)</x:f>
        <x:v>102238.29443099999</x:v>
      </x:c>
      <x:c r="H898" s="14" t="n">
        <x:f>F898/G898-1</x:f>
        <x:v>-0.1193290045955695</x:v>
      </x:c>
      <x:c r="I898" s="14" t="n">
        <x:f>F898/F897-1</x:f>
        <x:v>-0.0037531465024989163</x:v>
      </x:c>
      <x:c r="J898" s="12" t="n">
        <x:v>0</x:v>
      </x:c>
      <x:c r="K898" s="12" t="n">
        <x:v>0</x:v>
      </x:c>
      <x:c r="L898" s="12" t="n">
        <x:v>0</x:v>
      </x:c>
      <x:c r="M898" s="2" t="str">
        <x:v>持有</x:v>
      </x:c>
    </x:row>
    <x:row r="899" ht="23" customHeight="1">
      <x:c r="A899" s="11" t="d">
        <x:v>2018-07-20T00:00:00.000Z</x:v>
      </x:c>
      <x:c r="B899" s="12" t="n">
        <x:v>29.754221</x:v>
      </x:c>
      <x:c r="C899" s="13" t="n">
        <x:v>320</x:v>
      </x:c>
      <x:c r="D899" s="12" t="n">
        <x:v>89497.6</x:v>
      </x:c>
      <x:c r="E899" s="12" t="n">
        <x:v>408.546304</x:v>
      </x:c>
      <x:c r="F899" s="12" t="n">
        <x:f>SUM(B899,D899:E899)</x:f>
        <x:v>89935.900525</x:v>
      </x:c>
      <x:c r="G899" s="12" t="n">
        <x:f>MAX(G898,F899)</x:f>
        <x:v>102238.29443099999</x:v>
      </x:c>
      <x:c r="H899" s="14" t="n">
        <x:f>F899/G899-1</x:f>
        <x:v>-0.12033058624919446</x:v>
      </x:c>
      <x:c r="I899" s="14" t="n">
        <x:f>F899/F898-1</x:f>
        <x:v>-0.0011372937894531532</x:v>
      </x:c>
      <x:c r="J899" s="12" t="n">
        <x:v>0</x:v>
      </x:c>
      <x:c r="K899" s="12" t="n">
        <x:v>0</x:v>
      </x:c>
      <x:c r="L899" s="12" t="n">
        <x:v>0</x:v>
      </x:c>
      <x:c r="M899" s="2" t="str">
        <x:v>持有</x:v>
      </x:c>
    </x:row>
    <x:row r="900" ht="23" customHeight="1">
      <x:c r="A900" s="11" t="d">
        <x:v>2018-07-23T00:00:00.000Z</x:v>
      </x:c>
      <x:c r="B900" s="12" t="n">
        <x:v>29.754221</x:v>
      </x:c>
      <x:c r="C900" s="13" t="n">
        <x:v>320</x:v>
      </x:c>
      <x:c r="D900" s="12" t="n">
        <x:v>89664</x:v>
      </x:c>
      <x:c r="E900" s="12" t="n">
        <x:v>408.546304</x:v>
      </x:c>
      <x:c r="F900" s="12" t="n">
        <x:f>SUM(B900,D900:E900)</x:f>
        <x:v>90102.300525</x:v>
      </x:c>
      <x:c r="G900" s="12" t="n">
        <x:f>MAX(G899,F900)</x:f>
        <x:v>102238.29443099999</x:v>
      </x:c>
      <x:c r="H900" s="14" t="n">
        <x:f>F900/G900-1</x:f>
        <x:v>-0.11870301606205391</x:v>
      </x:c>
      <x:c r="I900" s="14" t="n">
        <x:f>F900/F899-1</x:f>
        <x:v>0.0018502066363781378</x:v>
      </x:c>
      <x:c r="J900" s="12" t="n">
        <x:v>0</x:v>
      </x:c>
      <x:c r="K900" s="12" t="n">
        <x:v>0</x:v>
      </x:c>
      <x:c r="L900" s="12" t="n">
        <x:v>0</x:v>
      </x:c>
      <x:c r="M900" s="2" t="str">
        <x:v>持有</x:v>
      </x:c>
    </x:row>
    <x:row r="901" ht="23" customHeight="1">
      <x:c r="A901" s="11" t="d">
        <x:v>2018-07-24T00:00:00.000Z</x:v>
      </x:c>
      <x:c r="B901" s="12" t="n">
        <x:v>29.754221</x:v>
      </x:c>
      <x:c r="C901" s="13" t="n">
        <x:v>320</x:v>
      </x:c>
      <x:c r="D901" s="12" t="n">
        <x:v>90115.20000000001</x:v>
      </x:c>
      <x:c r="E901" s="12" t="n">
        <x:v>408.546304</x:v>
      </x:c>
      <x:c r="F901" s="12" t="n">
        <x:f>SUM(B901,D901:E901)</x:f>
        <x:v>90553.50052500001</x:v>
      </x:c>
      <x:c r="G901" s="12" t="n">
        <x:f>MAX(G900,F901)</x:f>
        <x:v>102238.29443099999</x:v>
      </x:c>
      <x:c r="H901" s="14" t="n">
        <x:f>F901/G901-1</x:f>
        <x:v>-0.11428979690076868</x:v>
      </x:c>
      <x:c r="I901" s="14" t="n">
        <x:f>F901/F900-1</x:f>
        <x:v>0.005007641285194708</x:v>
      </x:c>
      <x:c r="J901" s="12" t="n">
        <x:v>0</x:v>
      </x:c>
      <x:c r="K901" s="12" t="n">
        <x:v>0</x:v>
      </x:c>
      <x:c r="L901" s="12" t="n">
        <x:v>0</x:v>
      </x:c>
      <x:c r="M901" s="2" t="str">
        <x:v>持有</x:v>
      </x:c>
    </x:row>
    <x:row r="902" ht="23" customHeight="1">
      <x:c r="A902" s="11" t="d">
        <x:v>2018-07-25T00:00:00.000Z</x:v>
      </x:c>
      <x:c r="B902" s="12" t="n">
        <x:v>29.754221</x:v>
      </x:c>
      <x:c r="C902" s="13" t="n">
        <x:v>320</x:v>
      </x:c>
      <x:c r="D902" s="12" t="n">
        <x:v>90883.2</x:v>
      </x:c>
      <x:c r="E902" s="12" t="n">
        <x:v>408.546304</x:v>
      </x:c>
      <x:c r="F902" s="12" t="n">
        <x:f>SUM(B902,D902:E902)</x:f>
        <x:v>91321.500525</x:v>
      </x:c>
      <x:c r="G902" s="12" t="n">
        <x:f>MAX(G901,F902)</x:f>
        <x:v>102238.29443099999</x:v>
      </x:c>
      <x:c r="H902" s="14" t="n">
        <x:f>F902/G902-1</x:f>
        <x:v>-0.1067779344985813</x:v>
      </x:c>
      <x:c r="I902" s="14" t="n">
        <x:f>F902/F901-1</x:f>
        <x:v>0.0084811740633699</x:v>
      </x:c>
      <x:c r="J902" s="12" t="n">
        <x:v>0</x:v>
      </x:c>
      <x:c r="K902" s="12" t="n">
        <x:v>0</x:v>
      </x:c>
      <x:c r="L902" s="12" t="n">
        <x:v>0</x:v>
      </x:c>
      <x:c r="M902" s="2" t="str">
        <x:v>持有</x:v>
      </x:c>
    </x:row>
    <x:row r="903" ht="23" customHeight="1">
      <x:c r="A903" s="11" t="d">
        <x:v>2018-07-26T00:00:00.000Z</x:v>
      </x:c>
      <x:c r="B903" s="12" t="n">
        <x:v>29.754221</x:v>
      </x:c>
      <x:c r="C903" s="13" t="n">
        <x:v>320</x:v>
      </x:c>
      <x:c r="D903" s="12" t="n">
        <x:v>90668.79999999999</x:v>
      </x:c>
      <x:c r="E903" s="12" t="n">
        <x:v>408.546304</x:v>
      </x:c>
      <x:c r="F903" s="12" t="n">
        <x:f>SUM(B903,D903:E903)</x:f>
        <x:v>91107.10052499999</x:v>
      </x:c>
      <x:c r="G903" s="12" t="n">
        <x:f>MAX(G902,F903)</x:f>
        <x:v>102238.29443099999</x:v>
      </x:c>
      <x:c r="H903" s="14" t="n">
        <x:f>F903/G903-1</x:f>
        <x:v>-0.10887499608585882</x:v>
      </x:c>
      <x:c r="I903" s="14" t="n">
        <x:f>F903/F902-1</x:f>
        <x:v>-0.0023477494211926464</x:v>
      </x:c>
      <x:c r="J903" s="12" t="n">
        <x:v>0</x:v>
      </x:c>
      <x:c r="K903" s="12" t="n">
        <x:v>0</x:v>
      </x:c>
      <x:c r="L903" s="12" t="n">
        <x:v>0</x:v>
      </x:c>
      <x:c r="M903" s="2" t="str">
        <x:v>持有</x:v>
      </x:c>
    </x:row>
    <x:row r="904" ht="23" customHeight="1">
      <x:c r="A904" s="11" t="d">
        <x:v>2018-07-27T00:00:00.000Z</x:v>
      </x:c>
      <x:c r="B904" s="12" t="n">
        <x:v>29.754221</x:v>
      </x:c>
      <x:c r="C904" s="13" t="n">
        <x:v>320</x:v>
      </x:c>
      <x:c r="D904" s="12" t="n">
        <x:v>90054.40000000001</x:v>
      </x:c>
      <x:c r="E904" s="12" t="n">
        <x:v>408.546304</x:v>
      </x:c>
      <x:c r="F904" s="12" t="n">
        <x:f>SUM(B904,D904:E904)</x:f>
        <x:v>90492.70052500001</x:v>
      </x:c>
      <x:c r="G904" s="12" t="n">
        <x:f>MAX(G903,F904)</x:f>
        <x:v>102238.29443099999</x:v>
      </x:c>
      <x:c r="H904" s="14" t="n">
        <x:f>F904/G904-1</x:f>
        <x:v>-0.11488448600760859</x:v>
      </x:c>
      <x:c r="I904" s="14" t="n">
        <x:f>F904/F903-1</x:f>
        <x:v>-0.006743711483073511</x:v>
      </x:c>
      <x:c r="J904" s="12" t="n">
        <x:v>0</x:v>
      </x:c>
      <x:c r="K904" s="12" t="n">
        <x:v>0</x:v>
      </x:c>
      <x:c r="L904" s="12" t="n">
        <x:v>0</x:v>
      </x:c>
      <x:c r="M904" s="2" t="str">
        <x:v>持有</x:v>
      </x:c>
    </x:row>
    <x:row r="905" ht="23" customHeight="1">
      <x:c r="A905" s="11" t="d">
        <x:v>2018-07-30T00:00:00.000Z</x:v>
      </x:c>
      <x:c r="B905" s="12" t="n">
        <x:v>29.754221</x:v>
      </x:c>
      <x:c r="C905" s="13" t="n">
        <x:v>320</x:v>
      </x:c>
      <x:c r="D905" s="12" t="n">
        <x:v>89584</x:v>
      </x:c>
      <x:c r="E905" s="12" t="n">
        <x:v>408.546304</x:v>
      </x:c>
      <x:c r="F905" s="12" t="n">
        <x:f>SUM(B905,D905:E905)</x:f>
        <x:v>90022.300525</x:v>
      </x:c>
      <x:c r="G905" s="12" t="n">
        <x:f>MAX(G904,F905)</x:f>
        <x:v>102238.29443099999</x:v>
      </x:c>
      <x:c r="H905" s="14" t="n">
        <x:f>F905/G905-1</x:f>
        <x:v>-0.11948550172894845</x:v>
      </x:c>
      <x:c r="I905" s="14" t="n">
        <x:f>F905/F904-1</x:f>
        <x:v>-0.005198209328166281</x:v>
      </x:c>
      <x:c r="J905" s="12" t="n">
        <x:v>0</x:v>
      </x:c>
      <x:c r="K905" s="12" t="n">
        <x:v>0</x:v>
      </x:c>
      <x:c r="L905" s="12" t="n">
        <x:v>0</x:v>
      </x:c>
      <x:c r="M905" s="2" t="str">
        <x:v>持有</x:v>
      </x:c>
    </x:row>
    <x:row r="906" ht="23" customHeight="1">
      <x:c r="A906" s="11" t="d">
        <x:v>2018-07-31T00:00:00.000Z</x:v>
      </x:c>
      <x:c r="B906" s="12" t="n">
        <x:v>438.300525</x:v>
      </x:c>
      <x:c r="C906" s="13" t="n">
        <x:v>320</x:v>
      </x:c>
      <x:c r="D906" s="12" t="n">
        <x:v>90025.59999999999</x:v>
      </x:c>
      <x:c r="E906" s="12" t="n">
        <x:v>0</x:v>
      </x:c>
      <x:c r="F906" s="12" t="n">
        <x:f>SUM(B906,D906:E906)</x:f>
        <x:v>90463.90052499999</x:v>
      </x:c>
      <x:c r="G906" s="12" t="n">
        <x:f>MAX(G905,F906)</x:f>
        <x:v>102238.29443099999</x:v>
      </x:c>
      <x:c r="H906" s="14" t="n">
        <x:f>F906/G906-1</x:f>
        <x:v>-0.1151661808476907</x:v>
      </x:c>
      <x:c r="I906" s="14" t="n">
        <x:f>F906/F905-1</x:f>
        <x:v>0.004905451176260067</x:v>
      </x:c>
      <x:c r="J906" s="12" t="n">
        <x:v>0</x:v>
      </x:c>
      <x:c r="K906" s="12" t="n">
        <x:v>408.546304</x:v>
      </x:c>
      <x:c r="L906" s="12" t="n">
        <x:v>0</x:v>
      </x:c>
      <x:c r="M906" s="2" t="str">
        <x:v>持有</x:v>
      </x:c>
    </x:row>
    <x:row r="907" ht="23" customHeight="1">
      <x:c r="A907" s="11" t="d">
        <x:v>2018-08-01T00:00:00.000Z</x:v>
      </x:c>
      <x:c r="B907" s="12" t="n">
        <x:v>438.300525</x:v>
      </x:c>
      <x:c r="C907" s="13" t="n">
        <x:v>320</x:v>
      </x:c>
      <x:c r="D907" s="12" t="n">
        <x:v>89875.20000000001</x:v>
      </x:c>
      <x:c r="E907" s="12" t="n">
        <x:v>0</x:v>
      </x:c>
      <x:c r="F907" s="12" t="n">
        <x:f>SUM(B907,D907:E907)</x:f>
        <x:v>90313.50052500001</x:v>
      </x:c>
      <x:c r="G907" s="12" t="n">
        <x:f>MAX(G906,F907)</x:f>
        <x:v>102238.29443099999</x:v>
      </x:c>
      <x:c r="H907" s="14" t="n">
        <x:f>F907/G907-1</x:f>
        <x:v>-0.1166372539014523</x:v>
      </x:c>
      <x:c r="I907" s="14" t="n">
        <x:f>F907/F906-1</x:f>
        <x:v>-0.0016625416229805179</x:v>
      </x:c>
      <x:c r="J907" s="12" t="n">
        <x:v>0</x:v>
      </x:c>
      <x:c r="K907" s="12" t="n">
        <x:v>0</x:v>
      </x:c>
      <x:c r="L907" s="12" t="n">
        <x:v>0</x:v>
      </x:c>
      <x:c r="M907" s="2" t="str">
        <x:v>持有</x:v>
      </x:c>
    </x:row>
    <x:row r="908" ht="23" customHeight="1">
      <x:c r="A908" s="11" t="d">
        <x:v>2018-08-02T00:00:00.000Z</x:v>
      </x:c>
      <x:c r="B908" s="12" t="n">
        <x:v>438.300525</x:v>
      </x:c>
      <x:c r="C908" s="13" t="n">
        <x:v>320</x:v>
      </x:c>
      <x:c r="D908" s="12" t="n">
        <x:v>90364.79999999999</x:v>
      </x:c>
      <x:c r="E908" s="12" t="n">
        <x:v>0</x:v>
      </x:c>
      <x:c r="F908" s="12" t="n">
        <x:f>SUM(B908,D908:E908)</x:f>
        <x:v>90803.10052499999</x:v>
      </x:c>
      <x:c r="G908" s="12" t="n">
        <x:f>MAX(G907,F908)</x:f>
        <x:v>102238.29443099999</x:v>
      </x:c>
      <x:c r="H908" s="14" t="n">
        <x:f>F908/G908-1</x:f>
        <x:v>-0.11184844162005803</x:v>
      </x:c>
      <x:c r="I908" s="14" t="n">
        <x:f>F908/F907-1</x:f>
        <x:v>0.005421116412871685</x:v>
      </x:c>
      <x:c r="J908" s="12" t="n">
        <x:v>0</x:v>
      </x:c>
      <x:c r="K908" s="12" t="n">
        <x:v>0</x:v>
      </x:c>
      <x:c r="L908" s="12" t="n">
        <x:v>0</x:v>
      </x:c>
      <x:c r="M908" s="2" t="str">
        <x:v>持有</x:v>
      </x:c>
    </x:row>
    <x:row r="909" ht="23" customHeight="1">
      <x:c r="A909" s="11" t="d">
        <x:v>2018-08-03T00:00:00.000Z</x:v>
      </x:c>
      <x:c r="B909" s="12" t="n">
        <x:v>438.300525</x:v>
      </x:c>
      <x:c r="C909" s="13" t="n">
        <x:v>320</x:v>
      </x:c>
      <x:c r="D909" s="12" t="n">
        <x:v>90752</x:v>
      </x:c>
      <x:c r="E909" s="12" t="n">
        <x:v>0</x:v>
      </x:c>
      <x:c r="F909" s="12" t="n">
        <x:f>SUM(B909,D909:E909)</x:f>
        <x:v>91190.300525</x:v>
      </x:c>
      <x:c r="G909" s="12" t="n">
        <x:f>MAX(G908,F909)</x:f>
        <x:v>102238.29443099999</x:v>
      </x:c>
      <x:c r="H909" s="14" t="n">
        <x:f>F909/G909-1</x:f>
        <x:v>-0.10806121099228838</x:v>
      </x:c>
      <x:c r="I909" s="14" t="n">
        <x:f>F909/F908-1</x:f>
        <x:v>0.004264171573011621</x:v>
      </x:c>
      <x:c r="J909" s="12" t="n">
        <x:v>0</x:v>
      </x:c>
      <x:c r="K909" s="12" t="n">
        <x:v>0</x:v>
      </x:c>
      <x:c r="L909" s="12" t="n">
        <x:v>0</x:v>
      </x:c>
      <x:c r="M909" s="2" t="str">
        <x:v>持有</x:v>
      </x:c>
    </x:row>
    <x:row r="910" ht="23" customHeight="1">
      <x:c r="A910" s="11" t="d">
        <x:v>2018-08-06T00:00:00.000Z</x:v>
      </x:c>
      <x:c r="B910" s="12" t="n">
        <x:v>438.300525</x:v>
      </x:c>
      <x:c r="C910" s="13" t="n">
        <x:v>320</x:v>
      </x:c>
      <x:c r="D910" s="12" t="n">
        <x:v>91084.79999999999</x:v>
      </x:c>
      <x:c r="E910" s="12" t="n">
        <x:v>0</x:v>
      </x:c>
      <x:c r="F910" s="12" t="n">
        <x:f>SUM(B910,D910:E910)</x:f>
        <x:v>91523.10052499999</x:v>
      </x:c>
      <x:c r="G910" s="12" t="n">
        <x:f>MAX(G909,F910)</x:f>
        <x:v>102238.29443099999</x:v>
      </x:c>
      <x:c r="H910" s="14" t="n">
        <x:f>F910/G910-1</x:f>
        <x:v>-0.10480607061800729</x:v>
      </x:c>
      <x:c r="I910" s="14" t="n">
        <x:f>F910/F909-1</x:f>
        <x:v>0.0036495109467125086</x:v>
      </x:c>
      <x:c r="J910" s="12" t="n">
        <x:v>0</x:v>
      </x:c>
      <x:c r="K910" s="12" t="n">
        <x:v>0</x:v>
      </x:c>
      <x:c r="L910" s="12" t="n">
        <x:v>0</x:v>
      </x:c>
      <x:c r="M910" s="2" t="str">
        <x:v>持有</x:v>
      </x:c>
    </x:row>
    <x:row r="911" ht="23" customHeight="1">
      <x:c r="A911" s="11" t="d">
        <x:v>2018-08-07T00:00:00.000Z</x:v>
      </x:c>
      <x:c r="B911" s="12" t="n">
        <x:v>438.300525</x:v>
      </x:c>
      <x:c r="C911" s="13" t="n">
        <x:v>320</x:v>
      </x:c>
      <x:c r="D911" s="12" t="n">
        <x:v>91385.59999999999</x:v>
      </x:c>
      <x:c r="E911" s="12" t="n">
        <x:v>0</x:v>
      </x:c>
      <x:c r="F911" s="12" t="n">
        <x:f>SUM(B911,D911:E911)</x:f>
        <x:v>91823.90052499999</x:v>
      </x:c>
      <x:c r="G911" s="12" t="n">
        <x:f>MAX(G910,F911)</x:f>
        <x:v>102238.29443099999</x:v>
      </x:c>
      <x:c r="H911" s="14" t="n">
        <x:f>F911/G911-1</x:f>
        <x:v>-0.10186392451048376</x:v>
      </x:c>
      <x:c r="I911" s="14" t="n">
        <x:f>F911/F910-1</x:f>
        <x:v>0.003286601942837697</x:v>
      </x:c>
      <x:c r="J911" s="12" t="n">
        <x:v>0</x:v>
      </x:c>
      <x:c r="K911" s="12" t="n">
        <x:v>0</x:v>
      </x:c>
      <x:c r="L911" s="12" t="n">
        <x:v>0</x:v>
      </x:c>
      <x:c r="M911" s="2" t="str">
        <x:v>持有</x:v>
      </x:c>
    </x:row>
    <x:row r="912" ht="23" customHeight="1">
      <x:c r="A912" s="11" t="d">
        <x:v>2018-08-08T00:00:00.000Z</x:v>
      </x:c>
      <x:c r="B912" s="12" t="n">
        <x:v>438.300525</x:v>
      </x:c>
      <x:c r="C912" s="13" t="n">
        <x:v>320</x:v>
      </x:c>
      <x:c r="D912" s="12" t="n">
        <x:v>91347.2</x:v>
      </x:c>
      <x:c r="E912" s="12" t="n">
        <x:v>0</x:v>
      </x:c>
      <x:c r="F912" s="12" t="n">
        <x:f>SUM(B912,D912:E912)</x:f>
        <x:v>91785.500525</x:v>
      </x:c>
      <x:c r="G912" s="12" t="n">
        <x:f>MAX(G911,F912)</x:f>
        <x:v>102238.29443099999</x:v>
      </x:c>
      <x:c r="H912" s="14" t="n">
        <x:f>F912/G912-1</x:f>
        <x:v>-0.10223951763059314</x:v>
      </x:c>
      <x:c r="I912" s="14" t="n">
        <x:f>F912/F911-1</x:f>
        <x:v>-0.0004181917755665676</x:v>
      </x:c>
      <x:c r="J912" s="12" t="n">
        <x:v>0</x:v>
      </x:c>
      <x:c r="K912" s="12" t="n">
        <x:v>0</x:v>
      </x:c>
      <x:c r="L912" s="12" t="n">
        <x:v>0</x:v>
      </x:c>
      <x:c r="M912" s="2" t="str">
        <x:v>持有</x:v>
      </x:c>
    </x:row>
    <x:row r="913" ht="23" customHeight="1">
      <x:c r="A913" s="11" t="d">
        <x:v>2018-08-09T00:00:00.000Z</x:v>
      </x:c>
      <x:c r="B913" s="12" t="n">
        <x:v>438.300525</x:v>
      </x:c>
      <x:c r="C913" s="13" t="n">
        <x:v>320</x:v>
      </x:c>
      <x:c r="D913" s="12" t="n">
        <x:v>91222.4</x:v>
      </x:c>
      <x:c r="E913" s="12" t="n">
        <x:v>0</x:v>
      </x:c>
      <x:c r="F913" s="12" t="n">
        <x:f>SUM(B913,D913:E913)</x:f>
        <x:v>91660.700525</x:v>
      </x:c>
      <x:c r="G913" s="12" t="n">
        <x:f>MAX(G912,F913)</x:f>
        <x:v>102238.29443099999</x:v>
      </x:c>
      <x:c r="H913" s="14" t="n">
        <x:f>F913/G913-1</x:f>
        <x:v>-0.10346019527094863</x:v>
      </x:c>
      <x:c r="I913" s="14" t="n">
        <x:f>F913/F912-1</x:f>
        <x:v>-0.001359691882554026</x:v>
      </x:c>
      <x:c r="J913" s="12" t="n">
        <x:v>0</x:v>
      </x:c>
      <x:c r="K913" s="12" t="n">
        <x:v>0</x:v>
      </x:c>
      <x:c r="L913" s="12" t="n">
        <x:v>0</x:v>
      </x:c>
      <x:c r="M913" s="2" t="str">
        <x:v>持有</x:v>
      </x:c>
    </x:row>
    <x:row r="914" ht="23" customHeight="1">
      <x:c r="A914" s="11" t="d">
        <x:v>2018-08-10T00:00:00.000Z</x:v>
      </x:c>
      <x:c r="B914" s="12" t="n">
        <x:v>438.300525</x:v>
      </x:c>
      <x:c r="C914" s="13" t="n">
        <x:v>320</x:v>
      </x:c>
      <x:c r="D914" s="12" t="n">
        <x:v>90611.20000000001</x:v>
      </x:c>
      <x:c r="E914" s="12" t="n">
        <x:v>0</x:v>
      </x:c>
      <x:c r="F914" s="12" t="n">
        <x:f>SUM(B914,D914:E914)</x:f>
        <x:v>91049.50052500001</x:v>
      </x:c>
      <x:c r="G914" s="12" t="n">
        <x:f>MAX(G913,F914)</x:f>
        <x:v>102238.29443099999</x:v>
      </x:c>
      <x:c r="H914" s="14" t="n">
        <x:f>F914/G914-1</x:f>
        <x:v>-0.1094383857660226</x:v>
      </x:c>
      <x:c r="I914" s="14" t="n">
        <x:f>F914/F913-1</x:f>
        <x:v>-0.006668070356207645</x:v>
      </x:c>
      <x:c r="J914" s="12" t="n">
        <x:v>0</x:v>
      </x:c>
      <x:c r="K914" s="12" t="n">
        <x:v>0</x:v>
      </x:c>
      <x:c r="L914" s="12" t="n">
        <x:v>0</x:v>
      </x:c>
      <x:c r="M914" s="2" t="str">
        <x:v>持有</x:v>
      </x:c>
    </x:row>
    <x:row r="915" ht="23" customHeight="1">
      <x:c r="A915" s="11" t="d">
        <x:v>2018-08-13T00:00:00.000Z</x:v>
      </x:c>
      <x:c r="B915" s="12" t="n">
        <x:v>438.300525</x:v>
      </x:c>
      <x:c r="C915" s="13" t="n">
        <x:v>320</x:v>
      </x:c>
      <x:c r="D915" s="12" t="n">
        <x:v>90272</x:v>
      </x:c>
      <x:c r="E915" s="12" t="n">
        <x:v>0</x:v>
      </x:c>
      <x:c r="F915" s="12" t="n">
        <x:f>SUM(B915,D915:E915)</x:f>
        <x:v>90710.300525</x:v>
      </x:c>
      <x:c r="G915" s="12" t="n">
        <x:f>MAX(G914,F915)</x:f>
        <x:v>102238.29443099999</x:v>
      </x:c>
      <x:c r="H915" s="14" t="n">
        <x:f>F915/G915-1</x:f>
        <x:v>-0.1127561249936555</x:v>
      </x:c>
      <x:c r="I915" s="14" t="n">
        <x:f>F915/F914-1</x:f>
        <x:v>-0.0037254460270967904</x:v>
      </x:c>
      <x:c r="J915" s="12" t="n">
        <x:v>0</x:v>
      </x:c>
      <x:c r="K915" s="12" t="n">
        <x:v>0</x:v>
      </x:c>
      <x:c r="L915" s="12" t="n">
        <x:v>0</x:v>
      </x:c>
      <x:c r="M915" s="2" t="str">
        <x:v>持有</x:v>
      </x:c>
    </x:row>
    <x:row r="916" ht="23" customHeight="1">
      <x:c r="A916" s="11" t="d">
        <x:v>2018-08-14T00:00:00.000Z</x:v>
      </x:c>
      <x:c r="B916" s="12" t="n">
        <x:v>438.300525</x:v>
      </x:c>
      <x:c r="C916" s="13" t="n">
        <x:v>320</x:v>
      </x:c>
      <x:c r="D916" s="12" t="n">
        <x:v>90848</x:v>
      </x:c>
      <x:c r="E916" s="12" t="n">
        <x:v>0</x:v>
      </x:c>
      <x:c r="F916" s="12" t="n">
        <x:f>SUM(B916,D916:E916)</x:f>
        <x:v>91286.300525</x:v>
      </x:c>
      <x:c r="G916" s="12" t="n">
        <x:f>MAX(G915,F916)</x:f>
        <x:v>102238.29443099999</x:v>
      </x:c>
      <x:c r="H916" s="14" t="n">
        <x:f>F916/G916-1</x:f>
        <x:v>-0.10712222819201489</x:v>
      </x:c>
      <x:c r="I916" s="14" t="n">
        <x:f>F916/F915-1</x:f>
        <x:v>0.00634988525742175</x:v>
      </x:c>
      <x:c r="J916" s="12" t="n">
        <x:v>0</x:v>
      </x:c>
      <x:c r="K916" s="12" t="n">
        <x:v>0</x:v>
      </x:c>
      <x:c r="L916" s="12" t="n">
        <x:v>0</x:v>
      </x:c>
      <x:c r="M916" s="2" t="str">
        <x:v>持有</x:v>
      </x:c>
    </x:row>
    <x:row r="917" ht="23" customHeight="1">
      <x:c r="A917" s="11" t="d">
        <x:v>2018-08-15T00:00:00.000Z</x:v>
      </x:c>
      <x:c r="B917" s="12" t="n">
        <x:v>438.300525</x:v>
      </x:c>
      <x:c r="C917" s="13" t="n">
        <x:v>320</x:v>
      </x:c>
      <x:c r="D917" s="12" t="n">
        <x:v>90169.59999999999</x:v>
      </x:c>
      <x:c r="E917" s="12" t="n">
        <x:v>0</x:v>
      </x:c>
      <x:c r="F917" s="12" t="n">
        <x:f>SUM(B917,D917:E917)</x:f>
        <x:v>90607.90052499999</x:v>
      </x:c>
      <x:c r="G917" s="12" t="n">
        <x:f>MAX(G916,F917)</x:f>
        <x:v>102238.29443099999</x:v>
      </x:c>
      <x:c r="H917" s="14" t="n">
        <x:f>F917/G917-1</x:f>
        <x:v>-0.11375770664728058</x:v>
      </x:c>
      <x:c r="I917" s="14" t="n">
        <x:f>F917/F916-1</x:f>
        <x:v>-0.007431564167881044</x:v>
      </x:c>
      <x:c r="J917" s="12" t="n">
        <x:v>0</x:v>
      </x:c>
      <x:c r="K917" s="12" t="n">
        <x:v>0</x:v>
      </x:c>
      <x:c r="L917" s="12" t="n">
        <x:v>0</x:v>
      </x:c>
      <x:c r="M917" s="2" t="str">
        <x:v>持有</x:v>
      </x:c>
    </x:row>
    <x:row r="918" ht="23" customHeight="1">
      <x:c r="A918" s="11" t="d">
        <x:v>2018-08-16T00:00:00.000Z</x:v>
      </x:c>
      <x:c r="B918" s="12" t="n">
        <x:v>438.300525</x:v>
      </x:c>
      <x:c r="C918" s="13" t="n">
        <x:v>320</x:v>
      </x:c>
      <x:c r="D918" s="12" t="n">
        <x:v>90899.2</x:v>
      </x:c>
      <x:c r="E918" s="12" t="n">
        <x:v>0</x:v>
      </x:c>
      <x:c r="F918" s="12" t="n">
        <x:f>SUM(B918,D918:E918)</x:f>
        <x:v>91337.500525</x:v>
      </x:c>
      <x:c r="G918" s="12" t="n">
        <x:f>MAX(G917,F918)</x:f>
        <x:v>102238.29443099999</x:v>
      </x:c>
      <x:c r="H918" s="14" t="n">
        <x:f>F918/G918-1</x:f>
        <x:v>-0.10662143736520246</x:v>
      </x:c>
      <x:c r="I918" s="14" t="n">
        <x:f>F918/F917-1</x:f>
        <x:v>0.008052277955592935</x:v>
      </x:c>
      <x:c r="J918" s="12" t="n">
        <x:v>0</x:v>
      </x:c>
      <x:c r="K918" s="12" t="n">
        <x:v>0</x:v>
      </x:c>
      <x:c r="L918" s="12" t="n">
        <x:v>0</x:v>
      </x:c>
      <x:c r="M918" s="2" t="str">
        <x:v>持有</x:v>
      </x:c>
    </x:row>
    <x:row r="919" ht="23" customHeight="1">
      <x:c r="A919" s="11" t="d">
        <x:v>2018-08-17T00:00:00.000Z</x:v>
      </x:c>
      <x:c r="B919" s="12" t="n">
        <x:v>438.300525</x:v>
      </x:c>
      <x:c r="C919" s="13" t="n">
        <x:v>320</x:v>
      </x:c>
      <x:c r="D919" s="12" t="n">
        <x:v>91219.2</x:v>
      </x:c>
      <x:c r="E919" s="12" t="n">
        <x:v>0</x:v>
      </x:c>
      <x:c r="F919" s="12" t="n">
        <x:f>SUM(B919,D919:E919)</x:f>
        <x:v>91657.500525</x:v>
      </x:c>
      <x:c r="G919" s="12" t="n">
        <x:f>MAX(G918,F919)</x:f>
        <x:v>102238.29443099999</x:v>
      </x:c>
      <x:c r="H919" s="14" t="n">
        <x:f>F919/G919-1</x:f>
        <x:v>-0.10349149469762431</x:v>
      </x:c>
      <x:c r="I919" s="14" t="n">
        <x:f>F919/F918-1</x:f>
        <x:v>0.003503489784159486</x:v>
      </x:c>
      <x:c r="J919" s="12" t="n">
        <x:v>0</x:v>
      </x:c>
      <x:c r="K919" s="12" t="n">
        <x:v>0</x:v>
      </x:c>
      <x:c r="L919" s="12" t="n">
        <x:v>0</x:v>
      </x:c>
      <x:c r="M919" s="2" t="str">
        <x:v>持有</x:v>
      </x:c>
    </x:row>
    <x:row r="920" ht="23" customHeight="1">
      <x:c r="A920" s="11" t="d">
        <x:v>2018-08-20T00:00:00.000Z</x:v>
      </x:c>
      <x:c r="B920" s="12" t="n">
        <x:v>438.300525</x:v>
      </x:c>
      <x:c r="C920" s="13" t="n">
        <x:v>320</x:v>
      </x:c>
      <x:c r="D920" s="12" t="n">
        <x:v>91414.40000000001</x:v>
      </x:c>
      <x:c r="E920" s="12" t="n">
        <x:v>0</x:v>
      </x:c>
      <x:c r="F920" s="12" t="n">
        <x:f>SUM(B920,D920:E920)</x:f>
        <x:v>91852.70052500001</x:v>
      </x:c>
      <x:c r="G920" s="12" t="n">
        <x:f>MAX(G919,F920)</x:f>
        <x:v>102238.29443099999</x:v>
      </x:c>
      <x:c r="H920" s="14" t="n">
        <x:f>F920/G920-1</x:f>
        <x:v>-0.10158222967040154</x:v>
      </x:c>
      <x:c r="I920" s="14" t="n">
        <x:f>F920/F919-1</x:f>
        <x:v>0.002129667500007537</x:v>
      </x:c>
      <x:c r="J920" s="12" t="n">
        <x:v>0</x:v>
      </x:c>
      <x:c r="K920" s="12" t="n">
        <x:v>0</x:v>
      </x:c>
      <x:c r="L920" s="12" t="n">
        <x:v>0</x:v>
      </x:c>
      <x:c r="M920" s="2" t="str">
        <x:v>持有</x:v>
      </x:c>
    </x:row>
    <x:row r="921" ht="23" customHeight="1">
      <x:c r="A921" s="11" t="d">
        <x:v>2018-08-21T00:00:00.000Z</x:v>
      </x:c>
      <x:c r="B921" s="12" t="n">
        <x:v>438.300525</x:v>
      </x:c>
      <x:c r="C921" s="13" t="n">
        <x:v>320</x:v>
      </x:c>
      <x:c r="D921" s="12" t="n">
        <x:v>91628.79999999999</x:v>
      </x:c>
      <x:c r="E921" s="12" t="n">
        <x:v>0</x:v>
      </x:c>
      <x:c r="F921" s="12" t="n">
        <x:f>SUM(B921,D921:E921)</x:f>
        <x:v>92067.10052499999</x:v>
      </x:c>
      <x:c r="G921" s="12" t="n">
        <x:f>MAX(G920,F921)</x:f>
        <x:v>102238.29443099999</x:v>
      </x:c>
      <x:c r="H921" s="14" t="n">
        <x:f>F921/G921-1</x:f>
        <x:v>-0.09948516808312446</x:v>
      </x:c>
      <x:c r="I921" s="14" t="n">
        <x:f>F921/F920-1</x:f>
        <x:v>0.002334171981602573</x:v>
      </x:c>
      <x:c r="J921" s="12" t="n">
        <x:v>0</x:v>
      </x:c>
      <x:c r="K921" s="12" t="n">
        <x:v>0</x:v>
      </x:c>
      <x:c r="L921" s="12" t="n">
        <x:v>0</x:v>
      </x:c>
      <x:c r="M921" s="2" t="str">
        <x:v>持有</x:v>
      </x:c>
    </x:row>
    <x:row r="922" ht="23" customHeight="1">
      <x:c r="A922" s="11" t="d">
        <x:v>2018-08-22T00:00:00.000Z</x:v>
      </x:c>
      <x:c r="B922" s="12" t="n">
        <x:v>438.300525</x:v>
      </x:c>
      <x:c r="C922" s="13" t="n">
        <x:v>320</x:v>
      </x:c>
      <x:c r="D922" s="12" t="n">
        <x:v>91574.40000000001</x:v>
      </x:c>
      <x:c r="E922" s="12" t="n">
        <x:v>0</x:v>
      </x:c>
      <x:c r="F922" s="12" t="n">
        <x:f>SUM(B922,D922:E922)</x:f>
        <x:v>92012.70052500001</x:v>
      </x:c>
      <x:c r="G922" s="12" t="n">
        <x:f>MAX(G921,F922)</x:f>
        <x:v>102238.29443099999</x:v>
      </x:c>
      <x:c r="H922" s="14" t="n">
        <x:f>F922/G922-1</x:f>
        <x:v>-0.10001725833661257</x:v>
      </x:c>
      <x:c r="I922" s="14" t="n">
        <x:f>F922/F921-1</x:f>
        <x:v>-0.0005908733922299625</x:v>
      </x:c>
      <x:c r="J922" s="12" t="n">
        <x:v>0</x:v>
      </x:c>
      <x:c r="K922" s="12" t="n">
        <x:v>0</x:v>
      </x:c>
      <x:c r="L922" s="12" t="n">
        <x:v>0</x:v>
      </x:c>
      <x:c r="M922" s="2" t="str">
        <x:v>持有</x:v>
      </x:c>
    </x:row>
    <x:row r="923" ht="23" customHeight="1">
      <x:c r="A923" s="11" t="d">
        <x:v>2018-08-23T00:00:00.000Z</x:v>
      </x:c>
      <x:c r="B923" s="12" t="n">
        <x:v>438.300525</x:v>
      </x:c>
      <x:c r="C923" s="13" t="n">
        <x:v>320</x:v>
      </x:c>
      <x:c r="D923" s="12" t="n">
        <x:v>91452.8</x:v>
      </x:c>
      <x:c r="E923" s="12" t="n">
        <x:v>0</x:v>
      </x:c>
      <x:c r="F923" s="12" t="n">
        <x:f>SUM(B923,D923:E923)</x:f>
        <x:v>91891.100525</x:v>
      </x:c>
      <x:c r="G923" s="12" t="n">
        <x:f>MAX(G922,F923)</x:f>
        <x:v>102238.29443099999</x:v>
      </x:c>
      <x:c r="H923" s="14" t="n">
        <x:f>F923/G923-1</x:f>
        <x:v>-0.10120663655029227</x:v>
      </x:c>
      <x:c r="I923" s="14" t="n">
        <x:f>F923/F922-1</x:f>
        <x:v>-0.0013215566906110698</x:v>
      </x:c>
      <x:c r="J923" s="12" t="n">
        <x:v>0</x:v>
      </x:c>
      <x:c r="K923" s="12" t="n">
        <x:v>0</x:v>
      </x:c>
      <x:c r="L923" s="12" t="n">
        <x:v>0</x:v>
      </x:c>
      <x:c r="M923" s="2" t="str">
        <x:v>持有</x:v>
      </x:c>
    </x:row>
    <x:row r="924" ht="23" customHeight="1">
      <x:c r="A924" s="11" t="d">
        <x:v>2018-08-24T00:00:00.000Z</x:v>
      </x:c>
      <x:c r="B924" s="12" t="n">
        <x:v>438.300525</x:v>
      </x:c>
      <x:c r="C924" s="13" t="n">
        <x:v>320</x:v>
      </x:c>
      <x:c r="D924" s="12" t="n">
        <x:v>92003.2</x:v>
      </x:c>
      <x:c r="E924" s="12" t="n">
        <x:v>0</x:v>
      </x:c>
      <x:c r="F924" s="12" t="n">
        <x:f>SUM(B924,D924:E924)</x:f>
        <x:v>92441.500525</x:v>
      </x:c>
      <x:c r="G924" s="12" t="n">
        <x:f>MAX(G923,F924)</x:f>
        <x:v>102238.29443099999</x:v>
      </x:c>
      <x:c r="H924" s="14" t="n">
        <x:f>F924/G924-1</x:f>
        <x:v>-0.09582313516205798</x:v>
      </x:c>
      <x:c r="I924" s="14" t="n">
        <x:f>F924/F923-1</x:f>
        <x:v>0.005989698641711838</x:v>
      </x:c>
      <x:c r="J924" s="12" t="n">
        <x:v>0</x:v>
      </x:c>
      <x:c r="K924" s="12" t="n">
        <x:v>0</x:v>
      </x:c>
      <x:c r="L924" s="12" t="n">
        <x:v>0</x:v>
      </x:c>
      <x:c r="M924" s="2" t="str">
        <x:v>持有</x:v>
      </x:c>
    </x:row>
    <x:row r="925" ht="23" customHeight="1">
      <x:c r="A925" s="11" t="d">
        <x:v>2018-08-27T00:00:00.000Z</x:v>
      </x:c>
      <x:c r="B925" s="12" t="n">
        <x:v>438.300525</x:v>
      </x:c>
      <x:c r="C925" s="13" t="n">
        <x:v>320</x:v>
      </x:c>
      <x:c r="D925" s="12" t="n">
        <x:v>92729.59999999999</x:v>
      </x:c>
      <x:c r="E925" s="12" t="n">
        <x:v>0</x:v>
      </x:c>
      <x:c r="F925" s="12" t="n">
        <x:f>SUM(B925,D925:E925)</x:f>
        <x:v>93167.90052499999</x:v>
      </x:c>
      <x:c r="G925" s="12" t="n">
        <x:f>MAX(G924,F925)</x:f>
        <x:v>102238.29443099999</x:v>
      </x:c>
      <x:c r="H925" s="14" t="n">
        <x:f>F925/G925-1</x:f>
        <x:v>-0.08871816530665577</x:v>
      </x:c>
      <x:c r="I925" s="14" t="n">
        <x:f>F925/F924-1</x:f>
        <x:v>0.007857942546092067</x:v>
      </x:c>
      <x:c r="J925" s="12" t="n">
        <x:v>0</x:v>
      </x:c>
      <x:c r="K925" s="12" t="n">
        <x:v>0</x:v>
      </x:c>
      <x:c r="L925" s="12" t="n">
        <x:v>0</x:v>
      </x:c>
      <x:c r="M925" s="2" t="str">
        <x:v>持有</x:v>
      </x:c>
    </x:row>
    <x:row r="926" ht="23" customHeight="1">
      <x:c r="A926" s="11" t="d">
        <x:v>2018-08-28T00:00:00.000Z</x:v>
      </x:c>
      <x:c r="B926" s="12" t="n">
        <x:v>438.300525</x:v>
      </x:c>
      <x:c r="C926" s="13" t="n">
        <x:v>320</x:v>
      </x:c>
      <x:c r="D926" s="12" t="n">
        <x:v>92774.40000000001</x:v>
      </x:c>
      <x:c r="E926" s="12" t="n">
        <x:v>0</x:v>
      </x:c>
      <x:c r="F926" s="12" t="n">
        <x:f>SUM(B926,D926:E926)</x:f>
        <x:v>93212.70052500001</x:v>
      </x:c>
      <x:c r="G926" s="12" t="n">
        <x:f>MAX(G925,F926)</x:f>
        <x:v>102238.29443099999</x:v>
      </x:c>
      <x:c r="H926" s="14" t="n">
        <x:f>F926/G926-1</x:f>
        <x:v>-0.0882799733331946</x:v>
      </x:c>
      <x:c r="I926" s="14" t="n">
        <x:f>F926/F925-1</x:f>
        <x:v>0.00048085230801131473</x:v>
      </x:c>
      <x:c r="J926" s="12" t="n">
        <x:v>0</x:v>
      </x:c>
      <x:c r="K926" s="12" t="n">
        <x:v>0</x:v>
      </x:c>
      <x:c r="L926" s="12" t="n">
        <x:v>0</x:v>
      </x:c>
      <x:c r="M926" s="2" t="str">
        <x:v>持有</x:v>
      </x:c>
    </x:row>
    <x:row r="927" ht="23" customHeight="1">
      <x:c r="A927" s="11" t="d">
        <x:v>2018-08-29T00:00:00.000Z</x:v>
      </x:c>
      <x:c r="B927" s="12" t="n">
        <x:v>438.300525</x:v>
      </x:c>
      <x:c r="C927" s="13" t="n">
        <x:v>320</x:v>
      </x:c>
      <x:c r="D927" s="12" t="n">
        <x:v>93273.6</x:v>
      </x:c>
      <x:c r="E927" s="12" t="n">
        <x:v>0</x:v>
      </x:c>
      <x:c r="F927" s="12" t="n">
        <x:f>SUM(B927,D927:E927)</x:f>
        <x:v>93711.900525</x:v>
      </x:c>
      <x:c r="G927" s="12" t="n">
        <x:f>MAX(G926,F927)</x:f>
        <x:v>102238.29443099999</x:v>
      </x:c>
      <x:c r="H927" s="14" t="n">
        <x:f>F927/G927-1</x:f>
        <x:v>-0.08339726277177284</x:v>
      </x:c>
      <x:c r="I927" s="14" t="n">
        <x:f>F927/F926-1</x:f>
        <x:v>0.00535549337363217</x:v>
      </x:c>
      <x:c r="J927" s="12" t="n">
        <x:v>0</x:v>
      </x:c>
      <x:c r="K927" s="12" t="n">
        <x:v>0</x:v>
      </x:c>
      <x:c r="L927" s="12" t="n">
        <x:v>0</x:v>
      </x:c>
      <x:c r="M927" s="2" t="str">
        <x:v>持有</x:v>
      </x:c>
    </x:row>
    <x:row r="928" ht="23" customHeight="1">
      <x:c r="A928" s="11" t="d">
        <x:v>2018-08-30T00:00:00.000Z</x:v>
      </x:c>
      <x:c r="B928" s="12" t="n">
        <x:v>438.300525</x:v>
      </x:c>
      <x:c r="C928" s="13" t="n">
        <x:v>320</x:v>
      </x:c>
      <x:c r="D928" s="12" t="n">
        <x:v>92896</x:v>
      </x:c>
      <x:c r="E928" s="12" t="n">
        <x:v>0</x:v>
      </x:c>
      <x:c r="F928" s="12" t="n">
        <x:f>SUM(B928,D928:E928)</x:f>
        <x:v>93334.300525</x:v>
      </x:c>
      <x:c r="G928" s="12" t="n">
        <x:f>MAX(G927,F928)</x:f>
        <x:v>102238.29443099999</x:v>
      </x:c>
      <x:c r="H928" s="14" t="n">
        <x:f>F928/G928-1</x:f>
        <x:v>-0.087090595119515</x:v>
      </x:c>
      <x:c r="I928" s="14" t="n">
        <x:f>F928/F927-1</x:f>
        <x:v>-0.004029370847081215</x:v>
      </x:c>
      <x:c r="J928" s="12" t="n">
        <x:v>0</x:v>
      </x:c>
      <x:c r="K928" s="12" t="n">
        <x:v>0</x:v>
      </x:c>
      <x:c r="L928" s="12" t="n">
        <x:v>0</x:v>
      </x:c>
      <x:c r="M928" s="2" t="str">
        <x:v>持有</x:v>
      </x:c>
    </x:row>
    <x:row r="929" ht="23" customHeight="1">
      <x:c r="A929" s="11" t="d">
        <x:v>2018-08-31T00:00:00.000Z</x:v>
      </x:c>
      <x:c r="B929" s="12" t="n">
        <x:v>438.300525</x:v>
      </x:c>
      <x:c r="C929" s="13" t="n">
        <x:v>320</x:v>
      </x:c>
      <x:c r="D929" s="12" t="n">
        <x:v>92899.2</x:v>
      </x:c>
      <x:c r="E929" s="12" t="n">
        <x:v>0</x:v>
      </x:c>
      <x:c r="F929" s="12" t="n">
        <x:f>SUM(B929,D929:E929)</x:f>
        <x:v>93337.500525</x:v>
      </x:c>
      <x:c r="G929" s="12" t="n">
        <x:f>MAX(G928,F929)</x:f>
        <x:v>102238.29443099999</x:v>
      </x:c>
      <x:c r="H929" s="14" t="n">
        <x:f>F929/G929-1</x:f>
        <x:v>-0.08705929569283932</x:v>
      </x:c>
      <x:c r="I929" s="14" t="n">
        <x:f>F929/F928-1</x:f>
        <x:v>0.00003428535899452356</x:v>
      </x:c>
      <x:c r="J929" s="12" t="n">
        <x:v>0</x:v>
      </x:c>
      <x:c r="K929" s="12" t="n">
        <x:v>0</x:v>
      </x:c>
      <x:c r="L929" s="12" t="n">
        <x:v>0</x:v>
      </x:c>
      <x:c r="M929" s="2" t="str">
        <x:v>持有</x:v>
      </x:c>
    </x:row>
    <x:row r="930" ht="23" customHeight="1">
      <x:c r="A930" s="11" t="d">
        <x:v>2018-09-04T00:00:00.000Z</x:v>
      </x:c>
      <x:c r="B930" s="12" t="n">
        <x:v>438.300525</x:v>
      </x:c>
      <x:c r="C930" s="13" t="n">
        <x:v>320</x:v>
      </x:c>
      <x:c r="D930" s="12" t="n">
        <x:v>92739.2</x:v>
      </x:c>
      <x:c r="E930" s="12" t="n">
        <x:v>0</x:v>
      </x:c>
      <x:c r="F930" s="12" t="n">
        <x:f>SUM(B930,D930:E930)</x:f>
        <x:v>93177.500525</x:v>
      </x:c>
      <x:c r="G930" s="12" t="n">
        <x:f>MAX(G929,F930)</x:f>
        <x:v>102238.29443099999</x:v>
      </x:c>
      <x:c r="H930" s="14" t="n">
        <x:f>F930/G930-1</x:f>
        <x:v>-0.08862426702662829</x:v>
      </x:c>
      <x:c r="I930" s="14" t="n">
        <x:f>F930/F929-1</x:f>
        <x:v>-0.0017142091774479118</x:v>
      </x:c>
      <x:c r="J930" s="12" t="n">
        <x:v>0</x:v>
      </x:c>
      <x:c r="K930" s="12" t="n">
        <x:v>0</x:v>
      </x:c>
      <x:c r="L930" s="12" t="n">
        <x:v>0</x:v>
      </x:c>
      <x:c r="M930" s="2" t="str">
        <x:v>持有</x:v>
      </x:c>
    </x:row>
    <x:row r="931" ht="23" customHeight="1">
      <x:c r="A931" s="11" t="d">
        <x:v>2018-09-05T00:00:00.000Z</x:v>
      </x:c>
      <x:c r="B931" s="12" t="n">
        <x:v>438.300525</x:v>
      </x:c>
      <x:c r="C931" s="13" t="n">
        <x:v>320</x:v>
      </x:c>
      <x:c r="D931" s="12" t="n">
        <x:v>92489.59999999999</x:v>
      </x:c>
      <x:c r="E931" s="12" t="n">
        <x:v>0</x:v>
      </x:c>
      <x:c r="F931" s="12" t="n">
        <x:f>SUM(B931,D931:E931)</x:f>
        <x:v>92927.90052499999</x:v>
      </x:c>
      <x:c r="G931" s="12" t="n">
        <x:f>MAX(G930,F931)</x:f>
        <x:v>102238.29443099999</x:v>
      </x:c>
      <x:c r="H931" s="14" t="n">
        <x:f>F931/G931-1</x:f>
        <x:v>-0.09106562230733928</x:v>
      </x:c>
      <x:c r="I931" s="14" t="n">
        <x:f>F931/F930-1</x:f>
        <x:v>-0.0026787582688273526</x:v>
      </x:c>
      <x:c r="J931" s="12" t="n">
        <x:v>0</x:v>
      </x:c>
      <x:c r="K931" s="12" t="n">
        <x:v>0</x:v>
      </x:c>
      <x:c r="L931" s="12" t="n">
        <x:v>0</x:v>
      </x:c>
      <x:c r="M931" s="2" t="str">
        <x:v>持有</x:v>
      </x:c>
    </x:row>
    <x:row r="932" ht="23" customHeight="1">
      <x:c r="A932" s="11" t="d">
        <x:v>2018-09-06T00:00:00.000Z</x:v>
      </x:c>
      <x:c r="B932" s="12" t="n">
        <x:v>438.300525</x:v>
      </x:c>
      <x:c r="C932" s="13" t="n">
        <x:v>320</x:v>
      </x:c>
      <x:c r="D932" s="12" t="n">
        <x:v>92211.20000000001</x:v>
      </x:c>
      <x:c r="E932" s="12" t="n">
        <x:v>0</x:v>
      </x:c>
      <x:c r="F932" s="12" t="n">
        <x:f>SUM(B932,D932:E932)</x:f>
        <x:v>92649.50052500001</x:v>
      </x:c>
      <x:c r="G932" s="12" t="n">
        <x:f>MAX(G931,F932)</x:f>
        <x:v>102238.29443099999</x:v>
      </x:c>
      <x:c r="H932" s="14" t="n">
        <x:f>F932/G932-1</x:f>
        <x:v>-0.09378867242813205</x:v>
      </x:c>
      <x:c r="I932" s="14" t="n">
        <x:f>F932/F931-1</x:f>
        <x:v>-0.002995870975532111</x:v>
      </x:c>
      <x:c r="J932" s="12" t="n">
        <x:v>0</x:v>
      </x:c>
      <x:c r="K932" s="12" t="n">
        <x:v>0</x:v>
      </x:c>
      <x:c r="L932" s="12" t="n">
        <x:v>0</x:v>
      </x:c>
      <x:c r="M932" s="2" t="str">
        <x:v>持有</x:v>
      </x:c>
    </x:row>
    <x:row r="933" ht="23" customHeight="1">
      <x:c r="A933" s="11" t="d">
        <x:v>2018-09-07T00:00:00.000Z</x:v>
      </x:c>
      <x:c r="B933" s="12" t="n">
        <x:v>438.300525</x:v>
      </x:c>
      <x:c r="C933" s="13" t="n">
        <x:v>320</x:v>
      </x:c>
      <x:c r="D933" s="12" t="n">
        <x:v>92032</x:v>
      </x:c>
      <x:c r="E933" s="12" t="n">
        <x:v>0</x:v>
      </x:c>
      <x:c r="F933" s="12" t="n">
        <x:f>SUM(B933,D933:E933)</x:f>
        <x:v>92470.300525</x:v>
      </x:c>
      <x:c r="G933" s="12" t="n">
        <x:f>MAX(G932,F933)</x:f>
        <x:v>102238.29443099999</x:v>
      </x:c>
      <x:c r="H933" s="14" t="n">
        <x:f>F933/G933-1</x:f>
        <x:v>-0.09554144032197598</x:v>
      </x:c>
      <x:c r="I933" s="14" t="n">
        <x:f>F933/F932-1</x:f>
        <x:v>-0.0019341712473847084</x:v>
      </x:c>
      <x:c r="J933" s="12" t="n">
        <x:v>0</x:v>
      </x:c>
      <x:c r="K933" s="12" t="n">
        <x:v>0</x:v>
      </x:c>
      <x:c r="L933" s="12" t="n">
        <x:v>0</x:v>
      </x:c>
      <x:c r="M933" s="2" t="str">
        <x:v>持有</x:v>
      </x:c>
    </x:row>
    <x:row r="934" ht="23" customHeight="1">
      <x:c r="A934" s="11" t="d">
        <x:v>2018-09-10T00:00:00.000Z</x:v>
      </x:c>
      <x:c r="B934" s="12" t="n">
        <x:v>438.300525</x:v>
      </x:c>
      <x:c r="C934" s="13" t="n">
        <x:v>320</x:v>
      </x:c>
      <x:c r="D934" s="12" t="n">
        <x:v>92192</x:v>
      </x:c>
      <x:c r="E934" s="12" t="n">
        <x:v>0</x:v>
      </x:c>
      <x:c r="F934" s="12" t="n">
        <x:f>SUM(B934,D934:E934)</x:f>
        <x:v>92630.300525</x:v>
      </x:c>
      <x:c r="G934" s="12" t="n">
        <x:f>MAX(G933,F934)</x:f>
        <x:v>102238.29443099999</x:v>
      </x:c>
      <x:c r="H934" s="14" t="n">
        <x:f>F934/G934-1</x:f>
        <x:v>-0.0939764689881869</x:v>
      </x:c>
      <x:c r="I934" s="14" t="n">
        <x:f>F934/F933-1</x:f>
        <x:v>0.001730285281777988</x:v>
      </x:c>
      <x:c r="J934" s="12" t="n">
        <x:v>0</x:v>
      </x:c>
      <x:c r="K934" s="12" t="n">
        <x:v>0</x:v>
      </x:c>
      <x:c r="L934" s="12" t="n">
        <x:v>0</x:v>
      </x:c>
      <x:c r="M934" s="2" t="str">
        <x:v>持有</x:v>
      </x:c>
    </x:row>
    <x:row r="935" ht="23" customHeight="1">
      <x:c r="A935" s="11" t="d">
        <x:v>2018-09-11T00:00:00.000Z</x:v>
      </x:c>
      <x:c r="B935" s="12" t="n">
        <x:v>438.300525</x:v>
      </x:c>
      <x:c r="C935" s="13" t="n">
        <x:v>320</x:v>
      </x:c>
      <x:c r="D935" s="12" t="n">
        <x:v>92496</x:v>
      </x:c>
      <x:c r="E935" s="12" t="n">
        <x:v>0</x:v>
      </x:c>
      <x:c r="F935" s="12" t="n">
        <x:f>SUM(B935,D935:E935)</x:f>
        <x:v>92934.300525</x:v>
      </x:c>
      <x:c r="G935" s="12" t="n">
        <x:f>MAX(G934,F935)</x:f>
        <x:v>102238.29443099999</x:v>
      </x:c>
      <x:c r="H935" s="14" t="n">
        <x:f>F935/G935-1</x:f>
        <x:v>-0.0910030234539877</x:v>
      </x:c>
      <x:c r="I935" s="14" t="n">
        <x:f>F935/F934-1</x:f>
        <x:v>0.0032818634753102316</x:v>
      </x:c>
      <x:c r="J935" s="12" t="n">
        <x:v>0</x:v>
      </x:c>
      <x:c r="K935" s="12" t="n">
        <x:v>0</x:v>
      </x:c>
      <x:c r="L935" s="12" t="n">
        <x:v>0</x:v>
      </x:c>
      <x:c r="M935" s="2" t="str">
        <x:v>持有</x:v>
      </x:c>
    </x:row>
    <x:row r="936" ht="23" customHeight="1">
      <x:c r="A936" s="11" t="d">
        <x:v>2018-09-12T00:00:00.000Z</x:v>
      </x:c>
      <x:c r="B936" s="12" t="n">
        <x:v>438.300525</x:v>
      </x:c>
      <x:c r="C936" s="13" t="n">
        <x:v>320</x:v>
      </x:c>
      <x:c r="D936" s="12" t="n">
        <x:v>92518.4</x:v>
      </x:c>
      <x:c r="E936" s="12" t="n">
        <x:v>0</x:v>
      </x:c>
      <x:c r="F936" s="12" t="n">
        <x:f>SUM(B936,D936:E936)</x:f>
        <x:v>92956.700525</x:v>
      </x:c>
      <x:c r="G936" s="12" t="n">
        <x:f>MAX(G935,F936)</x:f>
        <x:v>102238.29443099999</x:v>
      </x:c>
      <x:c r="H936" s="14" t="n">
        <x:f>F936/G936-1</x:f>
        <x:v>-0.09078392746725727</x:v>
      </x:c>
      <x:c r="I936" s="14" t="n">
        <x:f>F936/F935-1</x:f>
        <x:v>0.00024103049007151434</x:v>
      </x:c>
      <x:c r="J936" s="12" t="n">
        <x:v>0</x:v>
      </x:c>
      <x:c r="K936" s="12" t="n">
        <x:v>0</x:v>
      </x:c>
      <x:c r="L936" s="12" t="n">
        <x:v>0</x:v>
      </x:c>
      <x:c r="M936" s="2" t="str">
        <x:v>持有</x:v>
      </x:c>
    </x:row>
    <x:row r="937" ht="23" customHeight="1">
      <x:c r="A937" s="11" t="d">
        <x:v>2018-09-13T00:00:00.000Z</x:v>
      </x:c>
      <x:c r="B937" s="12" t="n">
        <x:v>438.300525</x:v>
      </x:c>
      <x:c r="C937" s="13" t="n">
        <x:v>320</x:v>
      </x:c>
      <x:c r="D937" s="12" t="n">
        <x:v>93065.59999999999</x:v>
      </x:c>
      <x:c r="E937" s="12" t="n">
        <x:v>0</x:v>
      </x:c>
      <x:c r="F937" s="12" t="n">
        <x:f>SUM(B937,D937:E937)</x:f>
        <x:v>93503.90052499999</x:v>
      </x:c>
      <x:c r="G937" s="12" t="n">
        <x:f>MAX(G936,F937)</x:f>
        <x:v>102238.29443099999</x:v>
      </x:c>
      <x:c r="H937" s="14" t="n">
        <x:f>F937/G937-1</x:f>
        <x:v>-0.08543172550569877</x:v>
      </x:c>
      <x:c r="I937" s="14" t="n">
        <x:f>F937/F936-1</x:f>
        <x:v>0.005886611690276489</x:v>
      </x:c>
      <x:c r="J937" s="12" t="n">
        <x:v>0</x:v>
      </x:c>
      <x:c r="K937" s="12" t="n">
        <x:v>0</x:v>
      </x:c>
      <x:c r="L937" s="12" t="n">
        <x:v>0</x:v>
      </x:c>
      <x:c r="M937" s="2" t="str">
        <x:v>持有</x:v>
      </x:c>
    </x:row>
    <x:row r="938" ht="23" customHeight="1">
      <x:c r="A938" s="11" t="d">
        <x:v>2018-09-14T00:00:00.000Z</x:v>
      </x:c>
      <x:c r="B938" s="12" t="n">
        <x:v>438.300525</x:v>
      </x:c>
      <x:c r="C938" s="13" t="n">
        <x:v>320</x:v>
      </x:c>
      <x:c r="D938" s="12" t="n">
        <x:v>93081.6</x:v>
      </x:c>
      <x:c r="E938" s="12" t="n">
        <x:v>0</x:v>
      </x:c>
      <x:c r="F938" s="12" t="n">
        <x:f>SUM(B938,D938:E938)</x:f>
        <x:v>93519.900525</x:v>
      </x:c>
      <x:c r="G938" s="12" t="n">
        <x:f>MAX(G937,F938)</x:f>
        <x:v>102238.29443099999</x:v>
      </x:c>
      <x:c r="H938" s="14" t="n">
        <x:f>F938/G938-1</x:f>
        <x:v>-0.08527522837231971</x:v>
      </x:c>
      <x:c r="I938" s="14" t="n">
        <x:f>F938/F937-1</x:f>
        <x:v>0.00017111585623896808</x:v>
      </x:c>
      <x:c r="J938" s="12" t="n">
        <x:v>0</x:v>
      </x:c>
      <x:c r="K938" s="12" t="n">
        <x:v>0</x:v>
      </x:c>
      <x:c r="L938" s="12" t="n">
        <x:v>0</x:v>
      </x:c>
      <x:c r="M938" s="2" t="str">
        <x:v>持有</x:v>
      </x:c>
    </x:row>
    <x:row r="939" ht="23" customHeight="1">
      <x:c r="A939" s="11" t="d">
        <x:v>2018-09-17T00:00:00.000Z</x:v>
      </x:c>
      <x:c r="B939" s="12" t="n">
        <x:v>438.300525</x:v>
      </x:c>
      <x:c r="C939" s="13" t="n">
        <x:v>320</x:v>
      </x:c>
      <x:c r="D939" s="12" t="n">
        <x:v>92588.79999999999</x:v>
      </x:c>
      <x:c r="E939" s="12" t="n">
        <x:v>0</x:v>
      </x:c>
      <x:c r="F939" s="12" t="n">
        <x:f>SUM(B939,D939:E939)</x:f>
        <x:v>93027.10052499999</x:v>
      </x:c>
      <x:c r="G939" s="12" t="n">
        <x:f>MAX(G938,F939)</x:f>
        <x:v>102238.29443099999</x:v>
      </x:c>
      <x:c r="H939" s="14" t="n">
        <x:f>F939/G939-1</x:f>
        <x:v>-0.09009534008039011</x:v>
      </x:c>
      <x:c r="I939" s="14" t="n">
        <x:f>F939/F938-1</x:f>
        <x:v>-0.005269466682850887</x:v>
      </x:c>
      <x:c r="J939" s="12" t="n">
        <x:v>0</x:v>
      </x:c>
      <x:c r="K939" s="12" t="n">
        <x:v>0</x:v>
      </x:c>
      <x:c r="L939" s="12" t="n">
        <x:v>0</x:v>
      </x:c>
      <x:c r="M939" s="2" t="str">
        <x:v>持有</x:v>
      </x:c>
    </x:row>
    <x:row r="940" ht="23" customHeight="1">
      <x:c r="A940" s="11" t="d">
        <x:v>2018-09-18T00:00:00.000Z</x:v>
      </x:c>
      <x:c r="B940" s="12" t="n">
        <x:v>438.300525</x:v>
      </x:c>
      <x:c r="C940" s="13" t="n">
        <x:v>320</x:v>
      </x:c>
      <x:c r="D940" s="12" t="n">
        <x:v>93091.20000000001</x:v>
      </x:c>
      <x:c r="E940" s="12" t="n">
        <x:v>0</x:v>
      </x:c>
      <x:c r="F940" s="12" t="n">
        <x:f>SUM(B940,D940:E940)</x:f>
        <x:v>93529.50052500001</x:v>
      </x:c>
      <x:c r="G940" s="12" t="n">
        <x:f>MAX(G939,F940)</x:f>
        <x:v>102238.29443099999</x:v>
      </x:c>
      <x:c r="H940" s="14" t="n">
        <x:f>F940/G940-1</x:f>
        <x:v>-0.08518133009229223</x:v>
      </x:c>
      <x:c r="I940" s="14" t="n">
        <x:f>F940/F939-1</x:f>
        <x:v>0.005400576790684841</x:v>
      </x:c>
      <x:c r="J940" s="12" t="n">
        <x:v>0</x:v>
      </x:c>
      <x:c r="K940" s="12" t="n">
        <x:v>0</x:v>
      </x:c>
      <x:c r="L940" s="12" t="n">
        <x:v>0</x:v>
      </x:c>
      <x:c r="M940" s="2" t="str">
        <x:v>持有</x:v>
      </x:c>
    </x:row>
    <x:row r="941" ht="23" customHeight="1">
      <x:c r="A941" s="11" t="d">
        <x:v>2018-09-19T00:00:00.000Z</x:v>
      </x:c>
      <x:c r="B941" s="12" t="n">
        <x:v>438.300525</x:v>
      </x:c>
      <x:c r="C941" s="13" t="n">
        <x:v>320</x:v>
      </x:c>
      <x:c r="D941" s="12" t="n">
        <x:v>93190.40000000001</x:v>
      </x:c>
      <x:c r="E941" s="12" t="n">
        <x:v>0</x:v>
      </x:c>
      <x:c r="F941" s="12" t="n">
        <x:f>SUM(B941,D941:E941)</x:f>
        <x:v>93628.70052500001</x:v>
      </x:c>
      <x:c r="G941" s="12" t="n">
        <x:f>MAX(G940,F941)</x:f>
        <x:v>102238.29443099999</x:v>
      </x:c>
      <x:c r="H941" s="14" t="n">
        <x:f>F941/G941-1</x:f>
        <x:v>-0.08421104786534306</x:v>
      </x:c>
      <x:c r="I941" s="14" t="n">
        <x:f>F941/F940-1</x:f>
        <x:v>0.001060627924271751</x:v>
      </x:c>
      <x:c r="J941" s="12" t="n">
        <x:v>0</x:v>
      </x:c>
      <x:c r="K941" s="12" t="n">
        <x:v>0</x:v>
      </x:c>
      <x:c r="L941" s="12" t="n">
        <x:v>0</x:v>
      </x:c>
      <x:c r="M941" s="2" t="str">
        <x:v>持有</x:v>
      </x:c>
    </x:row>
    <x:row r="942" ht="23" customHeight="1">
      <x:c r="A942" s="11" t="d">
        <x:v>2018-09-20T00:00:00.000Z</x:v>
      </x:c>
      <x:c r="B942" s="12" t="n">
        <x:v>438.300525</x:v>
      </x:c>
      <x:c r="C942" s="13" t="n">
        <x:v>320</x:v>
      </x:c>
      <x:c r="D942" s="12" t="n">
        <x:v>93945.59999999999</x:v>
      </x:c>
      <x:c r="E942" s="12" t="n">
        <x:v>0</x:v>
      </x:c>
      <x:c r="F942" s="12" t="n">
        <x:f>SUM(B942,D942:E942)</x:f>
        <x:v>94383.90052499999</x:v>
      </x:c>
      <x:c r="G942" s="12" t="n">
        <x:f>MAX(G941,F942)</x:f>
        <x:v>102238.29443099999</x:v>
      </x:c>
      <x:c r="H942" s="14" t="n">
        <x:f>F942/G942-1</x:f>
        <x:v>-0.07682438316985896</x:v>
      </x:c>
      <x:c r="I942" s="14" t="n">
        <x:f>F942/F941-1</x:f>
        <x:v>0.008065902824298421</x:v>
      </x:c>
      <x:c r="J942" s="12" t="n">
        <x:v>0</x:v>
      </x:c>
      <x:c r="K942" s="12" t="n">
        <x:v>0</x:v>
      </x:c>
      <x:c r="L942" s="12" t="n">
        <x:v>0</x:v>
      </x:c>
      <x:c r="M942" s="2" t="str">
        <x:v>持有</x:v>
      </x:c>
    </x:row>
    <x:row r="943" ht="23" customHeight="1">
      <x:c r="A943" s="11" t="d">
        <x:v>2018-09-21T00:00:00.000Z</x:v>
      </x:c>
      <x:c r="B943" s="12" t="n">
        <x:v>438.300525</x:v>
      </x:c>
      <x:c r="C943" s="13" t="n">
        <x:v>320</x:v>
      </x:c>
      <x:c r="D943" s="12" t="n">
        <x:v>93436.8</x:v>
      </x:c>
      <x:c r="E943" s="12" t="n">
        <x:v>423.23552</x:v>
      </x:c>
      <x:c r="F943" s="12" t="n">
        <x:f>SUM(B943,D943:E943)</x:f>
        <x:v>94298.336045</x:v>
      </x:c>
      <x:c r="G943" s="12" t="n">
        <x:f>MAX(G942,F943)</x:f>
        <x:v>102238.29443099999</x:v>
      </x:c>
      <x:c r="H943" s="14" t="n">
        <x:f>F943/G943-1</x:f>
        <x:v>-0.07766129540979982</x:v>
      </x:c>
      <x:c r="I943" s="14" t="n">
        <x:f>F943/F942-1</x:f>
        <x:v>-0.0009065579990236161</x:v>
      </x:c>
      <x:c r="J943" s="12" t="n">
        <x:v>423.23552</x:v>
      </x:c>
      <x:c r="K943" s="12" t="n">
        <x:v>0</x:v>
      </x:c>
      <x:c r="L943" s="12" t="n">
        <x:v>0</x:v>
      </x:c>
      <x:c r="M943" s="2" t="str">
        <x:v>持有</x:v>
      </x:c>
    </x:row>
    <x:row r="944" ht="23" customHeight="1">
      <x:c r="A944" s="11" t="d">
        <x:v>2018-09-24T00:00:00.000Z</x:v>
      </x:c>
      <x:c r="B944" s="12" t="n">
        <x:v>438.300525</x:v>
      </x:c>
      <x:c r="C944" s="13" t="n">
        <x:v>320</x:v>
      </x:c>
      <x:c r="D944" s="12" t="n">
        <x:v>93126.4</x:v>
      </x:c>
      <x:c r="E944" s="12" t="n">
        <x:v>423.23552</x:v>
      </x:c>
      <x:c r="F944" s="12" t="n">
        <x:f>SUM(B944,D944:E944)</x:f>
        <x:v>93987.936045</x:v>
      </x:c>
      <x:c r="G944" s="12" t="n">
        <x:f>MAX(G943,F944)</x:f>
        <x:v>102238.29443099999</x:v>
      </x:c>
      <x:c r="H944" s="14" t="n">
        <x:f>F944/G944-1</x:f>
        <x:v>-0.08069733979735072</x:v>
      </x:c>
      <x:c r="I944" s="14" t="n">
        <x:f>F944/F943-1</x:f>
        <x:v>-0.003291680564245447</x:v>
      </x:c>
      <x:c r="J944" s="12" t="n">
        <x:v>0</x:v>
      </x:c>
      <x:c r="K944" s="12" t="n">
        <x:v>0</x:v>
      </x:c>
      <x:c r="L944" s="12" t="n">
        <x:v>0</x:v>
      </x:c>
      <x:c r="M944" s="2" t="str">
        <x:v>持有</x:v>
      </x:c>
    </x:row>
    <x:row r="945" ht="23" customHeight="1">
      <x:c r="A945" s="11" t="d">
        <x:v>2018-09-25T00:00:00.000Z</x:v>
      </x:c>
      <x:c r="B945" s="12" t="n">
        <x:v>438.300525</x:v>
      </x:c>
      <x:c r="C945" s="13" t="n">
        <x:v>320</x:v>
      </x:c>
      <x:c r="D945" s="12" t="n">
        <x:v>93040</x:v>
      </x:c>
      <x:c r="E945" s="12" t="n">
        <x:v>423.23552</x:v>
      </x:c>
      <x:c r="F945" s="12" t="n">
        <x:f>SUM(B945,D945:E945)</x:f>
        <x:v>93901.536045</x:v>
      </x:c>
      <x:c r="G945" s="12" t="n">
        <x:f>MAX(G944,F945)</x:f>
        <x:v>102238.29443099999</x:v>
      </x:c>
      <x:c r="H945" s="14" t="n">
        <x:f>F945/G945-1</x:f>
        <x:v>-0.08154242431759673</x:v>
      </x:c>
      <x:c r="I945" s="14" t="n">
        <x:f>F945/F944-1</x:f>
        <x:v>-0.0009192669148371246</x:v>
      </x:c>
      <x:c r="J945" s="12" t="n">
        <x:v>0</x:v>
      </x:c>
      <x:c r="K945" s="12" t="n">
        <x:v>0</x:v>
      </x:c>
      <x:c r="L945" s="12" t="n">
        <x:v>0</x:v>
      </x:c>
      <x:c r="M945" s="2" t="str">
        <x:v>持有</x:v>
      </x:c>
    </x:row>
    <x:row r="946" ht="23" customHeight="1">
      <x:c r="A946" s="11" t="d">
        <x:v>2018-09-26T00:00:00.000Z</x:v>
      </x:c>
      <x:c r="B946" s="12" t="n">
        <x:v>438.300525</x:v>
      </x:c>
      <x:c r="C946" s="13" t="n">
        <x:v>320</x:v>
      </x:c>
      <x:c r="D946" s="12" t="n">
        <x:v>92761.6</x:v>
      </x:c>
      <x:c r="E946" s="12" t="n">
        <x:v>423.23552</x:v>
      </x:c>
      <x:c r="F946" s="12" t="n">
        <x:f>SUM(B946,D946:E946)</x:f>
        <x:v>93623.136045</x:v>
      </x:c>
      <x:c r="G946" s="12" t="n">
        <x:f>MAX(G945,F946)</x:f>
        <x:v>102238.29443099999</x:v>
      </x:c>
      <x:c r="H946" s="14" t="n">
        <x:f>F946/G946-1</x:f>
        <x:v>-0.08426547443838961</x:v>
      </x:c>
      <x:c r="I946" s="14" t="n">
        <x:f>F946/F945-1</x:f>
        <x:v>-0.0029648077307976584</x:v>
      </x:c>
      <x:c r="J946" s="12" t="n">
        <x:v>0</x:v>
      </x:c>
      <x:c r="K946" s="12" t="n">
        <x:v>0</x:v>
      </x:c>
      <x:c r="L946" s="12" t="n">
        <x:v>0</x:v>
      </x:c>
      <x:c r="M946" s="2" t="str">
        <x:v>持有</x:v>
      </x:c>
    </x:row>
    <x:row r="947" ht="23" customHeight="1">
      <x:c r="A947" s="11" t="d">
        <x:v>2018-09-27T00:00:00.000Z</x:v>
      </x:c>
      <x:c r="B947" s="12" t="n">
        <x:v>438.300525</x:v>
      </x:c>
      <x:c r="C947" s="13" t="n">
        <x:v>320</x:v>
      </x:c>
      <x:c r="D947" s="12" t="n">
        <x:v>93020.8</x:v>
      </x:c>
      <x:c r="E947" s="12" t="n">
        <x:v>423.23552</x:v>
      </x:c>
      <x:c r="F947" s="12" t="n">
        <x:f>SUM(B947,D947:E947)</x:f>
        <x:v>93882.336045</x:v>
      </x:c>
      <x:c r="G947" s="12" t="n">
        <x:f>MAX(G946,F947)</x:f>
        <x:v>102238.29443099999</x:v>
      </x:c>
      <x:c r="H947" s="14" t="n">
        <x:f>F947/G947-1</x:f>
        <x:v>-0.08173022087765136</x:v>
      </x:c>
      <x:c r="I947" s="14" t="n">
        <x:f>F947/F946-1</x:f>
        <x:v>0.0027685464400104554</x:v>
      </x:c>
      <x:c r="J947" s="12" t="n">
        <x:v>0</x:v>
      </x:c>
      <x:c r="K947" s="12" t="n">
        <x:v>0</x:v>
      </x:c>
      <x:c r="L947" s="12" t="n">
        <x:v>0</x:v>
      </x:c>
      <x:c r="M947" s="2" t="str">
        <x:v>持有</x:v>
      </x:c>
    </x:row>
    <x:row r="948" ht="23" customHeight="1">
      <x:c r="A948" s="11" t="d">
        <x:v>2018-09-28T00:00:00.000Z</x:v>
      </x:c>
      <x:c r="B948" s="12" t="n">
        <x:v>438.300525</x:v>
      </x:c>
      <x:c r="C948" s="13" t="n">
        <x:v>320</x:v>
      </x:c>
      <x:c r="D948" s="12" t="n">
        <x:v>93030.40000000001</x:v>
      </x:c>
      <x:c r="E948" s="12" t="n">
        <x:v>423.23552</x:v>
      </x:c>
      <x:c r="F948" s="12" t="n">
        <x:f>SUM(B948,D948:E948)</x:f>
        <x:v>93891.93604500001</x:v>
      </x:c>
      <x:c r="G948" s="12" t="n">
        <x:f>MAX(G947,F948)</x:f>
        <x:v>102238.29443099999</x:v>
      </x:c>
      <x:c r="H948" s="14" t="n">
        <x:f>F948/G948-1</x:f>
        <x:v>-0.08163632259762399</x:v>
      </x:c>
      <x:c r="I948" s="14" t="n">
        <x:f>F948/F947-1</x:f>
        <x:v>0.00010225565750099364</x:v>
      </x:c>
      <x:c r="J948" s="12" t="n">
        <x:v>0</x:v>
      </x:c>
      <x:c r="K948" s="12" t="n">
        <x:v>0</x:v>
      </x:c>
      <x:c r="L948" s="12" t="n">
        <x:v>0</x:v>
      </x:c>
      <x:c r="M948" s="2" t="str">
        <x:v>持有</x:v>
      </x:c>
    </x:row>
    <x:row r="949" ht="23" customHeight="1">
      <x:c r="A949" s="11" t="d">
        <x:v>2018-10-01T00:00:00.000Z</x:v>
      </x:c>
      <x:c r="B949" s="12" t="n">
        <x:v>438.300525</x:v>
      </x:c>
      <x:c r="C949" s="13" t="n">
        <x:v>320</x:v>
      </x:c>
      <x:c r="D949" s="12" t="n">
        <x:v>93353.6</x:v>
      </x:c>
      <x:c r="E949" s="12" t="n">
        <x:v>423.23552</x:v>
      </x:c>
      <x:c r="F949" s="12" t="n">
        <x:f>SUM(B949,D949:E949)</x:f>
        <x:v>94215.136045</x:v>
      </x:c>
      <x:c r="G949" s="12" t="n">
        <x:f>MAX(G948,F949)</x:f>
        <x:v>102238.29443099999</x:v>
      </x:c>
      <x:c r="H949" s="14" t="n">
        <x:f>F949/G949-1</x:f>
        <x:v>-0.07847508050337015</x:v>
      </x:c>
      <x:c r="I949" s="14" t="n">
        <x:f>F949/F948-1</x:f>
        <x:v>0.0034422551457997663</x:v>
      </x:c>
      <x:c r="J949" s="12" t="n">
        <x:v>0</x:v>
      </x:c>
      <x:c r="K949" s="12" t="n">
        <x:v>0</x:v>
      </x:c>
      <x:c r="L949" s="12" t="n">
        <x:v>0</x:v>
      </x:c>
      <x:c r="M949" s="2" t="str">
        <x:v>持有</x:v>
      </x:c>
    </x:row>
    <x:row r="950" ht="23" customHeight="1">
      <x:c r="A950" s="11" t="d">
        <x:v>2018-10-02T00:00:00.000Z</x:v>
      </x:c>
      <x:c r="B950" s="12" t="n">
        <x:v>438.300525</x:v>
      </x:c>
      <x:c r="C950" s="13" t="n">
        <x:v>320</x:v>
      </x:c>
      <x:c r="D950" s="12" t="n">
        <x:v>93299.2</x:v>
      </x:c>
      <x:c r="E950" s="12" t="n">
        <x:v>423.23552</x:v>
      </x:c>
      <x:c r="F950" s="12" t="n">
        <x:f>SUM(B950,D950:E950)</x:f>
        <x:v>94160.736045</x:v>
      </x:c>
      <x:c r="G950" s="12" t="n">
        <x:f>MAX(G949,F950)</x:f>
        <x:v>102238.29443099999</x:v>
      </x:c>
      <x:c r="H950" s="14" t="n">
        <x:f>F950/G950-1</x:f>
        <x:v>-0.07900717075685848</x:v>
      </x:c>
      <x:c r="I950" s="14" t="n">
        <x:f>F950/F949-1</x:f>
        <x:v>-0.0005774019152721133</x:v>
      </x:c>
      <x:c r="J950" s="12" t="n">
        <x:v>0</x:v>
      </x:c>
      <x:c r="K950" s="12" t="n">
        <x:v>0</x:v>
      </x:c>
      <x:c r="L950" s="12" t="n">
        <x:v>0</x:v>
      </x:c>
      <x:c r="M950" s="2" t="str">
        <x:v>持有</x:v>
      </x:c>
    </x:row>
    <x:row r="951" ht="23" customHeight="1">
      <x:c r="A951" s="11" t="d">
        <x:v>2018-10-03T00:00:00.000Z</x:v>
      </x:c>
      <x:c r="B951" s="12" t="n">
        <x:v>438.300525</x:v>
      </x:c>
      <x:c r="C951" s="13" t="n">
        <x:v>320</x:v>
      </x:c>
      <x:c r="D951" s="12" t="n">
        <x:v>93350.40000000001</x:v>
      </x:c>
      <x:c r="E951" s="12" t="n">
        <x:v>423.23552</x:v>
      </x:c>
      <x:c r="F951" s="12" t="n">
        <x:f>SUM(B951,D951:E951)</x:f>
        <x:v>94211.93604500001</x:v>
      </x:c>
      <x:c r="G951" s="12" t="n">
        <x:f>MAX(G950,F951)</x:f>
        <x:v>102238.29443099999</x:v>
      </x:c>
      <x:c r="H951" s="14" t="n">
        <x:f>F951/G951-1</x:f>
        <x:v>-0.07850637993004583</x:v>
      </x:c>
      <x:c r="I951" s="14" t="n">
        <x:f>F951/F950-1</x:f>
        <x:v>0.0005437510596300044</x:v>
      </x:c>
      <x:c r="J951" s="12" t="n">
        <x:v>0</x:v>
      </x:c>
      <x:c r="K951" s="12" t="n">
        <x:v>0</x:v>
      </x:c>
      <x:c r="L951" s="12" t="n">
        <x:v>0</x:v>
      </x:c>
      <x:c r="M951" s="2" t="str">
        <x:v>持有</x:v>
      </x:c>
    </x:row>
    <x:row r="952" ht="23" customHeight="1">
      <x:c r="A952" s="11" t="d">
        <x:v>2018-10-04T00:00:00.000Z</x:v>
      </x:c>
      <x:c r="B952" s="12" t="n">
        <x:v>438.300525</x:v>
      </x:c>
      <x:c r="C952" s="13" t="n">
        <x:v>320</x:v>
      </x:c>
      <x:c r="D952" s="12" t="n">
        <x:v>92620.8</x:v>
      </x:c>
      <x:c r="E952" s="12" t="n">
        <x:v>423.23552</x:v>
      </x:c>
      <x:c r="F952" s="12" t="n">
        <x:f>SUM(B952,D952:E952)</x:f>
        <x:v>93482.336045</x:v>
      </x:c>
      <x:c r="G952" s="12" t="n">
        <x:f>MAX(G951,F952)</x:f>
        <x:v>102238.29443099999</x:v>
      </x:c>
      <x:c r="H952" s="14" t="n">
        <x:f>F952/G952-1</x:f>
        <x:v>-0.08564264921212406</x:v>
      </x:c>
      <x:c r="I952" s="14" t="n">
        <x:f>F952/F951-1</x:f>
        <x:v>-0.007744241660117446</x:v>
      </x:c>
      <x:c r="J952" s="12" t="n">
        <x:v>0</x:v>
      </x:c>
      <x:c r="K952" s="12" t="n">
        <x:v>0</x:v>
      </x:c>
      <x:c r="L952" s="12" t="n">
        <x:v>0</x:v>
      </x:c>
      <x:c r="M952" s="2" t="str">
        <x:v>持有</x:v>
      </x:c>
    </x:row>
    <x:row r="953" ht="23" customHeight="1">
      <x:c r="A953" s="11" t="d">
        <x:v>2018-10-05T00:00:00.000Z</x:v>
      </x:c>
      <x:c r="B953" s="12" t="n">
        <x:v>438.300525</x:v>
      </x:c>
      <x:c r="C953" s="13" t="n">
        <x:v>320</x:v>
      </x:c>
      <x:c r="D953" s="12" t="n">
        <x:v>92102.4</x:v>
      </x:c>
      <x:c r="E953" s="12" t="n">
        <x:v>423.23552</x:v>
      </x:c>
      <x:c r="F953" s="12" t="n">
        <x:f>SUM(B953,D953:E953)</x:f>
        <x:v>92963.936045</x:v>
      </x:c>
      <x:c r="G953" s="12" t="n">
        <x:f>MAX(G952,F953)</x:f>
        <x:v>102238.29443099999</x:v>
      </x:c>
      <x:c r="H953" s="14" t="n">
        <x:f>F953/G953-1</x:f>
        <x:v>-0.09071315633360066</x:v>
      </x:c>
      <x:c r="I953" s="14" t="n">
        <x:f>F953/F952-1</x:f>
        <x:v>-0.005545432666022254</x:v>
      </x:c>
      <x:c r="J953" s="12" t="n">
        <x:v>0</x:v>
      </x:c>
      <x:c r="K953" s="12" t="n">
        <x:v>0</x:v>
      </x:c>
      <x:c r="L953" s="12" t="n">
        <x:v>0</x:v>
      </x:c>
      <x:c r="M953" s="2" t="str">
        <x:v>持有</x:v>
      </x:c>
    </x:row>
    <x:row r="954" ht="23" customHeight="1">
      <x:c r="A954" s="11" t="d">
        <x:v>2018-10-08T00:00:00.000Z</x:v>
      </x:c>
      <x:c r="B954" s="12" t="n">
        <x:v>438.300525</x:v>
      </x:c>
      <x:c r="C954" s="13" t="n">
        <x:v>320</x:v>
      </x:c>
      <x:c r="D954" s="12" t="n">
        <x:v>92102.4</x:v>
      </x:c>
      <x:c r="E954" s="12" t="n">
        <x:v>423.23552</x:v>
      </x:c>
      <x:c r="F954" s="12" t="n">
        <x:f>SUM(B954,D954:E954)</x:f>
        <x:v>92963.936045</x:v>
      </x:c>
      <x:c r="G954" s="12" t="n">
        <x:f>MAX(G953,F954)</x:f>
        <x:v>102238.29443099999</x:v>
      </x:c>
      <x:c r="H954" s="14" t="n">
        <x:f>F954/G954-1</x:f>
        <x:v>-0.09071315633360066</x:v>
      </x:c>
      <x:c r="I954" s="14" t="n">
        <x:f>F954/F953-1</x:f>
        <x:v>0</x:v>
      </x:c>
      <x:c r="J954" s="12" t="n">
        <x:v>0</x:v>
      </x:c>
      <x:c r="K954" s="12" t="n">
        <x:v>0</x:v>
      </x:c>
      <x:c r="L954" s="12" t="n">
        <x:v>0</x:v>
      </x:c>
      <x:c r="M954" s="2" t="str">
        <x:v>持有</x:v>
      </x:c>
    </x:row>
    <x:row r="955" ht="23" customHeight="1">
      <x:c r="A955" s="11" t="d">
        <x:v>2018-10-09T00:00:00.000Z</x:v>
      </x:c>
      <x:c r="B955" s="12" t="n">
        <x:v>438.300525</x:v>
      </x:c>
      <x:c r="C955" s="13" t="n">
        <x:v>320</x:v>
      </x:c>
      <x:c r="D955" s="12" t="n">
        <x:v>91968</x:v>
      </x:c>
      <x:c r="E955" s="12" t="n">
        <x:v>423.23552</x:v>
      </x:c>
      <x:c r="F955" s="12" t="n">
        <x:f>SUM(B955,D955:E955)</x:f>
        <x:v>92829.536045</x:v>
      </x:c>
      <x:c r="G955" s="12" t="n">
        <x:f>MAX(G954,F955)</x:f>
        <x:v>102238.29443099999</x:v>
      </x:c>
      <x:c r="H955" s="14" t="n">
        <x:f>F955/G955-1</x:f>
        <x:v>-0.09202773225398342</x:v>
      </x:c>
      <x:c r="I955" s="14" t="n">
        <x:f>F955/F954-1</x:f>
        <x:v>-0.0014457219188195314</x:v>
      </x:c>
      <x:c r="J955" s="12" t="n">
        <x:v>0</x:v>
      </x:c>
      <x:c r="K955" s="12" t="n">
        <x:v>0</x:v>
      </x:c>
      <x:c r="L955" s="12" t="n">
        <x:v>0</x:v>
      </x:c>
      <x:c r="M955" s="2" t="str">
        <x:v>持有</x:v>
      </x:c>
    </x:row>
    <x:row r="956" ht="23" customHeight="1">
      <x:c r="A956" s="11" t="d">
        <x:v>2018-10-10T00:00:00.000Z</x:v>
      </x:c>
      <x:c r="B956" s="12" t="n">
        <x:v>92132.114925</x:v>
      </x:c>
      <x:c r="C956" s="13" t="n">
        <x:v>0</x:v>
      </x:c>
      <x:c r="D956" s="12" t="n">
        <x:v>0</x:v>
      </x:c>
      <x:c r="E956" s="12" t="n">
        <x:v>423.23552</x:v>
      </x:c>
      <x:c r="F956" s="12" t="n">
        <x:f>SUM(B956,D956:E956)</x:f>
        <x:v>92555.350445</x:v>
      </x:c>
      <x:c r="G956" s="12" t="n">
        <x:f>MAX(G955,F956)</x:f>
        <x:v>102238.29443099999</x:v>
      </x:c>
      <x:c r="H956" s="14" t="n">
        <x:f>F956/G956-1</x:f>
        <x:v>-0.09470956102984429</x:v>
      </x:c>
      <x:c r="I956" s="14" t="n">
        <x:f>F956/F955-1</x:f>
        <x:v>-0.002953646131195642</x:v>
      </x:c>
      <x:c r="J956" s="12" t="n">
        <x:v>0</x:v>
      </x:c>
      <x:c r="K956" s="12" t="n">
        <x:v>0</x:v>
      </x:c>
      <x:c r="L956" s="12" t="n">
        <x:v>-320</x:v>
      </x:c>
      <x:c r="M956" s="2" t="str">
        <x:v>卖出</x:v>
      </x:c>
    </x:row>
    <x:row r="957" ht="23" customHeight="1">
      <x:c r="A957" s="11" t="d">
        <x:v>2018-10-11T00:00:00.000Z</x:v>
      </x:c>
      <x:c r="B957" s="12" t="n">
        <x:v>92132.114925</x:v>
      </x:c>
      <x:c r="C957" s="13" t="n">
        <x:v>0</x:v>
      </x:c>
      <x:c r="D957" s="12" t="n">
        <x:v>0</x:v>
      </x:c>
      <x:c r="E957" s="12" t="n">
        <x:v>423.23552</x:v>
      </x:c>
      <x:c r="F957" s="12" t="n">
        <x:f>SUM(B957,D957:E957)</x:f>
        <x:v>92555.350445</x:v>
      </x:c>
      <x:c r="G957" s="12" t="n">
        <x:f>MAX(G956,F957)</x:f>
        <x:v>102238.29443099999</x:v>
      </x:c>
      <x:c r="H957" s="14" t="n">
        <x:f>F957/G957-1</x:f>
        <x:v>-0.09470956102984429</x:v>
      </x:c>
      <x:c r="I957" s="14" t="n">
        <x:f>F957/F956-1</x:f>
        <x:v>0</x:v>
      </x:c>
      <x:c r="J957" s="12" t="n">
        <x:v>0</x:v>
      </x:c>
      <x:c r="K957" s="12" t="n">
        <x:v>0</x:v>
      </x:c>
      <x:c r="L957" s="12" t="n">
        <x:v>0</x:v>
      </x:c>
      <x:c r="M957" s="2" t="str">
        <x:v>空仓</x:v>
      </x:c>
    </x:row>
    <x:row r="958" ht="23" customHeight="1">
      <x:c r="A958" s="11" t="d">
        <x:v>2018-10-12T00:00:00.000Z</x:v>
      </x:c>
      <x:c r="B958" s="12" t="n">
        <x:v>92132.114925</x:v>
      </x:c>
      <x:c r="C958" s="13" t="n">
        <x:v>0</x:v>
      </x:c>
      <x:c r="D958" s="12" t="n">
        <x:v>0</x:v>
      </x:c>
      <x:c r="E958" s="12" t="n">
        <x:v>423.23552</x:v>
      </x:c>
      <x:c r="F958" s="12" t="n">
        <x:f>SUM(B958,D958:E958)</x:f>
        <x:v>92555.350445</x:v>
      </x:c>
      <x:c r="G958" s="12" t="n">
        <x:f>MAX(G957,F958)</x:f>
        <x:v>102238.29443099999</x:v>
      </x:c>
      <x:c r="H958" s="14" t="n">
        <x:f>F958/G958-1</x:f>
        <x:v>-0.09470956102984429</x:v>
      </x:c>
      <x:c r="I958" s="14" t="n">
        <x:f>F958/F957-1</x:f>
        <x:v>0</x:v>
      </x:c>
      <x:c r="J958" s="12" t="n">
        <x:v>0</x:v>
      </x:c>
      <x:c r="K958" s="12" t="n">
        <x:v>0</x:v>
      </x:c>
      <x:c r="L958" s="12" t="n">
        <x:v>0</x:v>
      </x:c>
      <x:c r="M958" s="2" t="str">
        <x:v>空仓</x:v>
      </x:c>
    </x:row>
    <x:row r="959" ht="23" customHeight="1">
      <x:c r="A959" s="11" t="d">
        <x:v>2018-10-15T00:00:00.000Z</x:v>
      </x:c>
      <x:c r="B959" s="12" t="n">
        <x:v>92132.114925</x:v>
      </x:c>
      <x:c r="C959" s="13" t="n">
        <x:v>0</x:v>
      </x:c>
      <x:c r="D959" s="12" t="n">
        <x:v>0</x:v>
      </x:c>
      <x:c r="E959" s="12" t="n">
        <x:v>423.23552</x:v>
      </x:c>
      <x:c r="F959" s="12" t="n">
        <x:f>SUM(B959,D959:E959)</x:f>
        <x:v>92555.350445</x:v>
      </x:c>
      <x:c r="G959" s="12" t="n">
        <x:f>MAX(G958,F959)</x:f>
        <x:v>102238.29443099999</x:v>
      </x:c>
      <x:c r="H959" s="14" t="n">
        <x:f>F959/G959-1</x:f>
        <x:v>-0.09470956102984429</x:v>
      </x:c>
      <x:c r="I959" s="14" t="n">
        <x:f>F959/F958-1</x:f>
        <x:v>0</x:v>
      </x:c>
      <x:c r="J959" s="12" t="n">
        <x:v>0</x:v>
      </x:c>
      <x:c r="K959" s="12" t="n">
        <x:v>0</x:v>
      </x:c>
      <x:c r="L959" s="12" t="n">
        <x:v>0</x:v>
      </x:c>
      <x:c r="M959" s="2" t="str">
        <x:v>空仓</x:v>
      </x:c>
    </x:row>
    <x:row r="960" ht="23" customHeight="1">
      <x:c r="A960" s="11" t="d">
        <x:v>2018-10-16T00:00:00.000Z</x:v>
      </x:c>
      <x:c r="B960" s="12" t="n">
        <x:v>92132.114925</x:v>
      </x:c>
      <x:c r="C960" s="13" t="n">
        <x:v>0</x:v>
      </x:c>
      <x:c r="D960" s="12" t="n">
        <x:v>0</x:v>
      </x:c>
      <x:c r="E960" s="12" t="n">
        <x:v>423.23552</x:v>
      </x:c>
      <x:c r="F960" s="12" t="n">
        <x:f>SUM(B960,D960:E960)</x:f>
        <x:v>92555.350445</x:v>
      </x:c>
      <x:c r="G960" s="12" t="n">
        <x:f>MAX(G959,F960)</x:f>
        <x:v>102238.29443099999</x:v>
      </x:c>
      <x:c r="H960" s="14" t="n">
        <x:f>F960/G960-1</x:f>
        <x:v>-0.09470956102984429</x:v>
      </x:c>
      <x:c r="I960" s="14" t="n">
        <x:f>F960/F959-1</x:f>
        <x:v>0</x:v>
      </x:c>
      <x:c r="J960" s="12" t="n">
        <x:v>0</x:v>
      </x:c>
      <x:c r="K960" s="12" t="n">
        <x:v>0</x:v>
      </x:c>
      <x:c r="L960" s="12" t="n">
        <x:v>0</x:v>
      </x:c>
      <x:c r="M960" s="2" t="str">
        <x:v>空仓</x:v>
      </x:c>
    </x:row>
    <x:row r="961" ht="23" customHeight="1">
      <x:c r="A961" s="11" t="d">
        <x:v>2018-10-17T00:00:00.000Z</x:v>
      </x:c>
      <x:c r="B961" s="12" t="n">
        <x:v>92132.114925</x:v>
      </x:c>
      <x:c r="C961" s="13" t="n">
        <x:v>0</x:v>
      </x:c>
      <x:c r="D961" s="12" t="n">
        <x:v>0</x:v>
      </x:c>
      <x:c r="E961" s="12" t="n">
        <x:v>423.23552</x:v>
      </x:c>
      <x:c r="F961" s="12" t="n">
        <x:f>SUM(B961,D961:E961)</x:f>
        <x:v>92555.350445</x:v>
      </x:c>
      <x:c r="G961" s="12" t="n">
        <x:f>MAX(G960,F961)</x:f>
        <x:v>102238.29443099999</x:v>
      </x:c>
      <x:c r="H961" s="14" t="n">
        <x:f>F961/G961-1</x:f>
        <x:v>-0.09470956102984429</x:v>
      </x:c>
      <x:c r="I961" s="14" t="n">
        <x:f>F961/F960-1</x:f>
        <x:v>0</x:v>
      </x:c>
      <x:c r="J961" s="12" t="n">
        <x:v>0</x:v>
      </x:c>
      <x:c r="K961" s="12" t="n">
        <x:v>0</x:v>
      </x:c>
      <x:c r="L961" s="12" t="n">
        <x:v>0</x:v>
      </x:c>
      <x:c r="M961" s="2" t="str">
        <x:v>空仓</x:v>
      </x:c>
    </x:row>
    <x:row r="962" ht="23" customHeight="1">
      <x:c r="A962" s="11" t="d">
        <x:v>2018-10-18T00:00:00.000Z</x:v>
      </x:c>
      <x:c r="B962" s="12" t="n">
        <x:v>92132.114925</x:v>
      </x:c>
      <x:c r="C962" s="13" t="n">
        <x:v>0</x:v>
      </x:c>
      <x:c r="D962" s="12" t="n">
        <x:v>0</x:v>
      </x:c>
      <x:c r="E962" s="12" t="n">
        <x:v>423.23552</x:v>
      </x:c>
      <x:c r="F962" s="12" t="n">
        <x:f>SUM(B962,D962:E962)</x:f>
        <x:v>92555.350445</x:v>
      </x:c>
      <x:c r="G962" s="12" t="n">
        <x:f>MAX(G961,F962)</x:f>
        <x:v>102238.29443099999</x:v>
      </x:c>
      <x:c r="H962" s="14" t="n">
        <x:f>F962/G962-1</x:f>
        <x:v>-0.09470956102984429</x:v>
      </x:c>
      <x:c r="I962" s="14" t="n">
        <x:f>F962/F961-1</x:f>
        <x:v>0</x:v>
      </x:c>
      <x:c r="J962" s="12" t="n">
        <x:v>0</x:v>
      </x:c>
      <x:c r="K962" s="12" t="n">
        <x:v>0</x:v>
      </x:c>
      <x:c r="L962" s="12" t="n">
        <x:v>0</x:v>
      </x:c>
      <x:c r="M962" s="2" t="str">
        <x:v>空仓</x:v>
      </x:c>
    </x:row>
    <x:row r="963" ht="23" customHeight="1">
      <x:c r="A963" s="11" t="d">
        <x:v>2018-10-19T00:00:00.000Z</x:v>
      </x:c>
      <x:c r="B963" s="12" t="n">
        <x:v>92132.114925</x:v>
      </x:c>
      <x:c r="C963" s="13" t="n">
        <x:v>0</x:v>
      </x:c>
      <x:c r="D963" s="12" t="n">
        <x:v>0</x:v>
      </x:c>
      <x:c r="E963" s="12" t="n">
        <x:v>423.23552</x:v>
      </x:c>
      <x:c r="F963" s="12" t="n">
        <x:f>SUM(B963,D963:E963)</x:f>
        <x:v>92555.350445</x:v>
      </x:c>
      <x:c r="G963" s="12" t="n">
        <x:f>MAX(G962,F963)</x:f>
        <x:v>102238.29443099999</x:v>
      </x:c>
      <x:c r="H963" s="14" t="n">
        <x:f>F963/G963-1</x:f>
        <x:v>-0.09470956102984429</x:v>
      </x:c>
      <x:c r="I963" s="14" t="n">
        <x:f>F963/F962-1</x:f>
        <x:v>0</x:v>
      </x:c>
      <x:c r="J963" s="12" t="n">
        <x:v>0</x:v>
      </x:c>
      <x:c r="K963" s="12" t="n">
        <x:v>0</x:v>
      </x:c>
      <x:c r="L963" s="12" t="n">
        <x:v>0</x:v>
      </x:c>
      <x:c r="M963" s="2" t="str">
        <x:v>空仓</x:v>
      </x:c>
    </x:row>
    <x:row r="964" ht="23" customHeight="1">
      <x:c r="A964" s="11" t="d">
        <x:v>2018-10-22T00:00:00.000Z</x:v>
      </x:c>
      <x:c r="B964" s="12" t="n">
        <x:v>92132.114925</x:v>
      </x:c>
      <x:c r="C964" s="13" t="n">
        <x:v>0</x:v>
      </x:c>
      <x:c r="D964" s="12" t="n">
        <x:v>0</x:v>
      </x:c>
      <x:c r="E964" s="12" t="n">
        <x:v>423.23552</x:v>
      </x:c>
      <x:c r="F964" s="12" t="n">
        <x:f>SUM(B964,D964:E964)</x:f>
        <x:v>92555.350445</x:v>
      </x:c>
      <x:c r="G964" s="12" t="n">
        <x:f>MAX(G963,F964)</x:f>
        <x:v>102238.29443099999</x:v>
      </x:c>
      <x:c r="H964" s="14" t="n">
        <x:f>F964/G964-1</x:f>
        <x:v>-0.09470956102984429</x:v>
      </x:c>
      <x:c r="I964" s="14" t="n">
        <x:f>F964/F963-1</x:f>
        <x:v>0</x:v>
      </x:c>
      <x:c r="J964" s="12" t="n">
        <x:v>0</x:v>
      </x:c>
      <x:c r="K964" s="12" t="n">
        <x:v>0</x:v>
      </x:c>
      <x:c r="L964" s="12" t="n">
        <x:v>0</x:v>
      </x:c>
      <x:c r="M964" s="2" t="str">
        <x:v>空仓</x:v>
      </x:c>
    </x:row>
    <x:row r="965" ht="23" customHeight="1">
      <x:c r="A965" s="11" t="d">
        <x:v>2018-10-23T00:00:00.000Z</x:v>
      </x:c>
      <x:c r="B965" s="12" t="n">
        <x:v>92132.114925</x:v>
      </x:c>
      <x:c r="C965" s="13" t="n">
        <x:v>0</x:v>
      </x:c>
      <x:c r="D965" s="12" t="n">
        <x:v>0</x:v>
      </x:c>
      <x:c r="E965" s="12" t="n">
        <x:v>423.23552</x:v>
      </x:c>
      <x:c r="F965" s="12" t="n">
        <x:f>SUM(B965,D965:E965)</x:f>
        <x:v>92555.350445</x:v>
      </x:c>
      <x:c r="G965" s="12" t="n">
        <x:f>MAX(G964,F965)</x:f>
        <x:v>102238.29443099999</x:v>
      </x:c>
      <x:c r="H965" s="14" t="n">
        <x:f>F965/G965-1</x:f>
        <x:v>-0.09470956102984429</x:v>
      </x:c>
      <x:c r="I965" s="14" t="n">
        <x:f>F965/F964-1</x:f>
        <x:v>0</x:v>
      </x:c>
      <x:c r="J965" s="12" t="n">
        <x:v>0</x:v>
      </x:c>
      <x:c r="K965" s="12" t="n">
        <x:v>0</x:v>
      </x:c>
      <x:c r="L965" s="12" t="n">
        <x:v>0</x:v>
      </x:c>
      <x:c r="M965" s="2" t="str">
        <x:v>空仓</x:v>
      </x:c>
    </x:row>
    <x:row r="966" ht="23" customHeight="1">
      <x:c r="A966" s="11" t="d">
        <x:v>2018-10-24T00:00:00.000Z</x:v>
      </x:c>
      <x:c r="B966" s="12" t="n">
        <x:v>92132.114925</x:v>
      </x:c>
      <x:c r="C966" s="13" t="n">
        <x:v>0</x:v>
      </x:c>
      <x:c r="D966" s="12" t="n">
        <x:v>0</x:v>
      </x:c>
      <x:c r="E966" s="12" t="n">
        <x:v>423.23552</x:v>
      </x:c>
      <x:c r="F966" s="12" t="n">
        <x:f>SUM(B966,D966:E966)</x:f>
        <x:v>92555.350445</x:v>
      </x:c>
      <x:c r="G966" s="12" t="n">
        <x:f>MAX(G965,F966)</x:f>
        <x:v>102238.29443099999</x:v>
      </x:c>
      <x:c r="H966" s="14" t="n">
        <x:f>F966/G966-1</x:f>
        <x:v>-0.09470956102984429</x:v>
      </x:c>
      <x:c r="I966" s="14" t="n">
        <x:f>F966/F965-1</x:f>
        <x:v>0</x:v>
      </x:c>
      <x:c r="J966" s="12" t="n">
        <x:v>0</x:v>
      </x:c>
      <x:c r="K966" s="12" t="n">
        <x:v>0</x:v>
      </x:c>
      <x:c r="L966" s="12" t="n">
        <x:v>0</x:v>
      </x:c>
      <x:c r="M966" s="2" t="str">
        <x:v>空仓</x:v>
      </x:c>
    </x:row>
    <x:row r="967" ht="23" customHeight="1">
      <x:c r="A967" s="11" t="d">
        <x:v>2018-10-25T00:00:00.000Z</x:v>
      </x:c>
      <x:c r="B967" s="12" t="n">
        <x:v>92132.114925</x:v>
      </x:c>
      <x:c r="C967" s="13" t="n">
        <x:v>0</x:v>
      </x:c>
      <x:c r="D967" s="12" t="n">
        <x:v>0</x:v>
      </x:c>
      <x:c r="E967" s="12" t="n">
        <x:v>423.23552</x:v>
      </x:c>
      <x:c r="F967" s="12" t="n">
        <x:f>SUM(B967,D967:E967)</x:f>
        <x:v>92555.350445</x:v>
      </x:c>
      <x:c r="G967" s="12" t="n">
        <x:f>MAX(G966,F967)</x:f>
        <x:v>102238.29443099999</x:v>
      </x:c>
      <x:c r="H967" s="14" t="n">
        <x:f>F967/G967-1</x:f>
        <x:v>-0.09470956102984429</x:v>
      </x:c>
      <x:c r="I967" s="14" t="n">
        <x:f>F967/F966-1</x:f>
        <x:v>0</x:v>
      </x:c>
      <x:c r="J967" s="12" t="n">
        <x:v>0</x:v>
      </x:c>
      <x:c r="K967" s="12" t="n">
        <x:v>0</x:v>
      </x:c>
      <x:c r="L967" s="12" t="n">
        <x:v>0</x:v>
      </x:c>
      <x:c r="M967" s="2" t="str">
        <x:v>空仓</x:v>
      </x:c>
    </x:row>
    <x:row r="968" ht="23" customHeight="1">
      <x:c r="A968" s="11" t="d">
        <x:v>2018-10-26T00:00:00.000Z</x:v>
      </x:c>
      <x:c r="B968" s="12" t="n">
        <x:v>92132.114925</x:v>
      </x:c>
      <x:c r="C968" s="13" t="n">
        <x:v>0</x:v>
      </x:c>
      <x:c r="D968" s="12" t="n">
        <x:v>0</x:v>
      </x:c>
      <x:c r="E968" s="12" t="n">
        <x:v>423.23552</x:v>
      </x:c>
      <x:c r="F968" s="12" t="n">
        <x:f>SUM(B968,D968:E968)</x:f>
        <x:v>92555.350445</x:v>
      </x:c>
      <x:c r="G968" s="12" t="n">
        <x:f>MAX(G967,F968)</x:f>
        <x:v>102238.29443099999</x:v>
      </x:c>
      <x:c r="H968" s="14" t="n">
        <x:f>F968/G968-1</x:f>
        <x:v>-0.09470956102984429</x:v>
      </x:c>
      <x:c r="I968" s="14" t="n">
        <x:f>F968/F967-1</x:f>
        <x:v>0</x:v>
      </x:c>
      <x:c r="J968" s="12" t="n">
        <x:v>0</x:v>
      </x:c>
      <x:c r="K968" s="12" t="n">
        <x:v>0</x:v>
      </x:c>
      <x:c r="L968" s="12" t="n">
        <x:v>0</x:v>
      </x:c>
      <x:c r="M968" s="2" t="str">
        <x:v>空仓</x:v>
      </x:c>
    </x:row>
    <x:row r="969" ht="23" customHeight="1">
      <x:c r="A969" s="11" t="d">
        <x:v>2018-10-29T00:00:00.000Z</x:v>
      </x:c>
      <x:c r="B969" s="12" t="n">
        <x:v>92132.114925</x:v>
      </x:c>
      <x:c r="C969" s="13" t="n">
        <x:v>0</x:v>
      </x:c>
      <x:c r="D969" s="12" t="n">
        <x:v>0</x:v>
      </x:c>
      <x:c r="E969" s="12" t="n">
        <x:v>423.23552</x:v>
      </x:c>
      <x:c r="F969" s="12" t="n">
        <x:f>SUM(B969,D969:E969)</x:f>
        <x:v>92555.350445</x:v>
      </x:c>
      <x:c r="G969" s="12" t="n">
        <x:f>MAX(G968,F969)</x:f>
        <x:v>102238.29443099999</x:v>
      </x:c>
      <x:c r="H969" s="14" t="n">
        <x:f>F969/G969-1</x:f>
        <x:v>-0.09470956102984429</x:v>
      </x:c>
      <x:c r="I969" s="14" t="n">
        <x:f>F969/F968-1</x:f>
        <x:v>0</x:v>
      </x:c>
      <x:c r="J969" s="12" t="n">
        <x:v>0</x:v>
      </x:c>
      <x:c r="K969" s="12" t="n">
        <x:v>0</x:v>
      </x:c>
      <x:c r="L969" s="12" t="n">
        <x:v>0</x:v>
      </x:c>
      <x:c r="M969" s="2" t="str">
        <x:v>空仓</x:v>
      </x:c>
    </x:row>
    <x:row r="970" ht="23" customHeight="1">
      <x:c r="A970" s="11" t="d">
        <x:v>2018-10-30T00:00:00.000Z</x:v>
      </x:c>
      <x:c r="B970" s="12" t="n">
        <x:v>92132.114925</x:v>
      </x:c>
      <x:c r="C970" s="13" t="n">
        <x:v>0</x:v>
      </x:c>
      <x:c r="D970" s="12" t="n">
        <x:v>0</x:v>
      </x:c>
      <x:c r="E970" s="12" t="n">
        <x:v>423.23552</x:v>
      </x:c>
      <x:c r="F970" s="12" t="n">
        <x:f>SUM(B970,D970:E970)</x:f>
        <x:v>92555.350445</x:v>
      </x:c>
      <x:c r="G970" s="12" t="n">
        <x:f>MAX(G969,F970)</x:f>
        <x:v>102238.29443099999</x:v>
      </x:c>
      <x:c r="H970" s="14" t="n">
        <x:f>F970/G970-1</x:f>
        <x:v>-0.09470956102984429</x:v>
      </x:c>
      <x:c r="I970" s="14" t="n">
        <x:f>F970/F969-1</x:f>
        <x:v>0</x:v>
      </x:c>
      <x:c r="J970" s="12" t="n">
        <x:v>0</x:v>
      </x:c>
      <x:c r="K970" s="12" t="n">
        <x:v>0</x:v>
      </x:c>
      <x:c r="L970" s="12" t="n">
        <x:v>0</x:v>
      </x:c>
      <x:c r="M970" s="2" t="str">
        <x:v>空仓</x:v>
      </x:c>
    </x:row>
    <x:row r="971" ht="23" customHeight="1">
      <x:c r="A971" s="11" t="d">
        <x:v>2018-10-31T00:00:00.000Z</x:v>
      </x:c>
      <x:c r="B971" s="12" t="n">
        <x:v>92555.350445</x:v>
      </x:c>
      <x:c r="C971" s="13" t="n">
        <x:v>0</x:v>
      </x:c>
      <x:c r="D971" s="12" t="n">
        <x:v>0</x:v>
      </x:c>
      <x:c r="E971" s="12" t="n">
        <x:v>0</x:v>
      </x:c>
      <x:c r="F971" s="12" t="n">
        <x:f>SUM(B971,D971:E971)</x:f>
        <x:v>92555.350445</x:v>
      </x:c>
      <x:c r="G971" s="12" t="n">
        <x:f>MAX(G970,F971)</x:f>
        <x:v>102238.29443099999</x:v>
      </x:c>
      <x:c r="H971" s="14" t="n">
        <x:f>F971/G971-1</x:f>
        <x:v>-0.09470956102984429</x:v>
      </x:c>
      <x:c r="I971" s="14" t="n">
        <x:f>F971/F970-1</x:f>
        <x:v>0</x:v>
      </x:c>
      <x:c r="J971" s="12" t="n">
        <x:v>0</x:v>
      </x:c>
      <x:c r="K971" s="12" t="n">
        <x:v>423.23552</x:v>
      </x:c>
      <x:c r="L971" s="12" t="n">
        <x:v>0</x:v>
      </x:c>
      <x:c r="M971" s="2" t="str">
        <x:v>空仓</x:v>
      </x:c>
    </x:row>
    <x:row r="972" ht="23" customHeight="1">
      <x:c r="A972" s="11" t="d">
        <x:v>2018-11-01T00:00:00.000Z</x:v>
      </x:c>
      <x:c r="B972" s="12" t="n">
        <x:v>92555.350445</x:v>
      </x:c>
      <x:c r="C972" s="13" t="n">
        <x:v>0</x:v>
      </x:c>
      <x:c r="D972" s="12" t="n">
        <x:v>0</x:v>
      </x:c>
      <x:c r="E972" s="12" t="n">
        <x:v>0</x:v>
      </x:c>
      <x:c r="F972" s="12" t="n">
        <x:f>SUM(B972,D972:E972)</x:f>
        <x:v>92555.350445</x:v>
      </x:c>
      <x:c r="G972" s="12" t="n">
        <x:f>MAX(G971,F972)</x:f>
        <x:v>102238.29443099999</x:v>
      </x:c>
      <x:c r="H972" s="14" t="n">
        <x:f>F972/G972-1</x:f>
        <x:v>-0.09470956102984429</x:v>
      </x:c>
      <x:c r="I972" s="14" t="n">
        <x:f>F972/F971-1</x:f>
        <x:v>0</x:v>
      </x:c>
      <x:c r="J972" s="12" t="n">
        <x:v>0</x:v>
      </x:c>
      <x:c r="K972" s="12" t="n">
        <x:v>0</x:v>
      </x:c>
      <x:c r="L972" s="12" t="n">
        <x:v>0</x:v>
      </x:c>
      <x:c r="M972" s="2" t="str">
        <x:v>空仓</x:v>
      </x:c>
    </x:row>
    <x:row r="973" ht="23" customHeight="1">
      <x:c r="A973" s="11" t="d">
        <x:v>2018-11-02T00:00:00.000Z</x:v>
      </x:c>
      <x:c r="B973" s="12" t="n">
        <x:v>92555.350445</x:v>
      </x:c>
      <x:c r="C973" s="13" t="n">
        <x:v>0</x:v>
      </x:c>
      <x:c r="D973" s="12" t="n">
        <x:v>0</x:v>
      </x:c>
      <x:c r="E973" s="12" t="n">
        <x:v>0</x:v>
      </x:c>
      <x:c r="F973" s="12" t="n">
        <x:f>SUM(B973,D973:E973)</x:f>
        <x:v>92555.350445</x:v>
      </x:c>
      <x:c r="G973" s="12" t="n">
        <x:f>MAX(G972,F973)</x:f>
        <x:v>102238.29443099999</x:v>
      </x:c>
      <x:c r="H973" s="14" t="n">
        <x:f>F973/G973-1</x:f>
        <x:v>-0.09470956102984429</x:v>
      </x:c>
      <x:c r="I973" s="14" t="n">
        <x:f>F973/F972-1</x:f>
        <x:v>0</x:v>
      </x:c>
      <x:c r="J973" s="12" t="n">
        <x:v>0</x:v>
      </x:c>
      <x:c r="K973" s="12" t="n">
        <x:v>0</x:v>
      </x:c>
      <x:c r="L973" s="12" t="n">
        <x:v>0</x:v>
      </x:c>
      <x:c r="M973" s="2" t="str">
        <x:v>空仓</x:v>
      </x:c>
    </x:row>
    <x:row r="974" ht="23" customHeight="1">
      <x:c r="A974" s="11" t="d">
        <x:v>2018-11-05T00:00:00.000Z</x:v>
      </x:c>
      <x:c r="B974" s="12" t="n">
        <x:v>92555.350445</x:v>
      </x:c>
      <x:c r="C974" s="13" t="n">
        <x:v>0</x:v>
      </x:c>
      <x:c r="D974" s="12" t="n">
        <x:v>0</x:v>
      </x:c>
      <x:c r="E974" s="12" t="n">
        <x:v>0</x:v>
      </x:c>
      <x:c r="F974" s="12" t="n">
        <x:f>SUM(B974,D974:E974)</x:f>
        <x:v>92555.350445</x:v>
      </x:c>
      <x:c r="G974" s="12" t="n">
        <x:f>MAX(G973,F974)</x:f>
        <x:v>102238.29443099999</x:v>
      </x:c>
      <x:c r="H974" s="14" t="n">
        <x:f>F974/G974-1</x:f>
        <x:v>-0.09470956102984429</x:v>
      </x:c>
      <x:c r="I974" s="14" t="n">
        <x:f>F974/F973-1</x:f>
        <x:v>0</x:v>
      </x:c>
      <x:c r="J974" s="12" t="n">
        <x:v>0</x:v>
      </x:c>
      <x:c r="K974" s="12" t="n">
        <x:v>0</x:v>
      </x:c>
      <x:c r="L974" s="12" t="n">
        <x:v>0</x:v>
      </x:c>
      <x:c r="M974" s="2" t="str">
        <x:v>空仓</x:v>
      </x:c>
    </x:row>
    <x:row r="975" ht="23" customHeight="1">
      <x:c r="A975" s="11" t="d">
        <x:v>2018-11-06T00:00:00.000Z</x:v>
      </x:c>
      <x:c r="B975" s="12" t="n">
        <x:v>92555.350445</x:v>
      </x:c>
      <x:c r="C975" s="13" t="n">
        <x:v>0</x:v>
      </x:c>
      <x:c r="D975" s="12" t="n">
        <x:v>0</x:v>
      </x:c>
      <x:c r="E975" s="12" t="n">
        <x:v>0</x:v>
      </x:c>
      <x:c r="F975" s="12" t="n">
        <x:f>SUM(B975,D975:E975)</x:f>
        <x:v>92555.350445</x:v>
      </x:c>
      <x:c r="G975" s="12" t="n">
        <x:f>MAX(G974,F975)</x:f>
        <x:v>102238.29443099999</x:v>
      </x:c>
      <x:c r="H975" s="14" t="n">
        <x:f>F975/G975-1</x:f>
        <x:v>-0.09470956102984429</x:v>
      </x:c>
      <x:c r="I975" s="14" t="n">
        <x:f>F975/F974-1</x:f>
        <x:v>0</x:v>
      </x:c>
      <x:c r="J975" s="12" t="n">
        <x:v>0</x:v>
      </x:c>
      <x:c r="K975" s="12" t="n">
        <x:v>0</x:v>
      </x:c>
      <x:c r="L975" s="12" t="n">
        <x:v>0</x:v>
      </x:c>
      <x:c r="M975" s="2" t="str">
        <x:v>空仓</x:v>
      </x:c>
    </x:row>
    <x:row r="976" ht="23" customHeight="1">
      <x:c r="A976" s="11" t="d">
        <x:v>2018-11-07T00:00:00.000Z</x:v>
      </x:c>
      <x:c r="B976" s="12" t="n">
        <x:v>92555.350445</x:v>
      </x:c>
      <x:c r="C976" s="13" t="n">
        <x:v>0</x:v>
      </x:c>
      <x:c r="D976" s="12" t="n">
        <x:v>0</x:v>
      </x:c>
      <x:c r="E976" s="12" t="n">
        <x:v>0</x:v>
      </x:c>
      <x:c r="F976" s="12" t="n">
        <x:f>SUM(B976,D976:E976)</x:f>
        <x:v>92555.350445</x:v>
      </x:c>
      <x:c r="G976" s="12" t="n">
        <x:f>MAX(G975,F976)</x:f>
        <x:v>102238.29443099999</x:v>
      </x:c>
      <x:c r="H976" s="14" t="n">
        <x:f>F976/G976-1</x:f>
        <x:v>-0.09470956102984429</x:v>
      </x:c>
      <x:c r="I976" s="14" t="n">
        <x:f>F976/F975-1</x:f>
        <x:v>0</x:v>
      </x:c>
      <x:c r="J976" s="12" t="n">
        <x:v>0</x:v>
      </x:c>
      <x:c r="K976" s="12" t="n">
        <x:v>0</x:v>
      </x:c>
      <x:c r="L976" s="12" t="n">
        <x:v>0</x:v>
      </x:c>
      <x:c r="M976" s="2" t="str">
        <x:v>空仓</x:v>
      </x:c>
    </x:row>
    <x:row r="977" ht="23" customHeight="1">
      <x:c r="A977" s="11" t="d">
        <x:v>2018-11-08T00:00:00.000Z</x:v>
      </x:c>
      <x:c r="B977" s="12" t="n">
        <x:v>92555.350445</x:v>
      </x:c>
      <x:c r="C977" s="13" t="n">
        <x:v>0</x:v>
      </x:c>
      <x:c r="D977" s="12" t="n">
        <x:v>0</x:v>
      </x:c>
      <x:c r="E977" s="12" t="n">
        <x:v>0</x:v>
      </x:c>
      <x:c r="F977" s="12" t="n">
        <x:f>SUM(B977,D977:E977)</x:f>
        <x:v>92555.350445</x:v>
      </x:c>
      <x:c r="G977" s="12" t="n">
        <x:f>MAX(G976,F977)</x:f>
        <x:v>102238.29443099999</x:v>
      </x:c>
      <x:c r="H977" s="14" t="n">
        <x:f>F977/G977-1</x:f>
        <x:v>-0.09470956102984429</x:v>
      </x:c>
      <x:c r="I977" s="14" t="n">
        <x:f>F977/F976-1</x:f>
        <x:v>0</x:v>
      </x:c>
      <x:c r="J977" s="12" t="n">
        <x:v>0</x:v>
      </x:c>
      <x:c r="K977" s="12" t="n">
        <x:v>0</x:v>
      </x:c>
      <x:c r="L977" s="12" t="n">
        <x:v>0</x:v>
      </x:c>
      <x:c r="M977" s="2" t="str">
        <x:v>空仓</x:v>
      </x:c>
    </x:row>
    <x:row r="978" ht="23" customHeight="1">
      <x:c r="A978" s="11" t="d">
        <x:v>2018-11-09T00:00:00.000Z</x:v>
      </x:c>
      <x:c r="B978" s="12" t="n">
        <x:v>92555.350445</x:v>
      </x:c>
      <x:c r="C978" s="13" t="n">
        <x:v>0</x:v>
      </x:c>
      <x:c r="D978" s="12" t="n">
        <x:v>0</x:v>
      </x:c>
      <x:c r="E978" s="12" t="n">
        <x:v>0</x:v>
      </x:c>
      <x:c r="F978" s="12" t="n">
        <x:f>SUM(B978,D978:E978)</x:f>
        <x:v>92555.350445</x:v>
      </x:c>
      <x:c r="G978" s="12" t="n">
        <x:f>MAX(G977,F978)</x:f>
        <x:v>102238.29443099999</x:v>
      </x:c>
      <x:c r="H978" s="14" t="n">
        <x:f>F978/G978-1</x:f>
        <x:v>-0.09470956102984429</x:v>
      </x:c>
      <x:c r="I978" s="14" t="n">
        <x:f>F978/F977-1</x:f>
        <x:v>0</x:v>
      </x:c>
      <x:c r="J978" s="12" t="n">
        <x:v>0</x:v>
      </x:c>
      <x:c r="K978" s="12" t="n">
        <x:v>0</x:v>
      </x:c>
      <x:c r="L978" s="12" t="n">
        <x:v>0</x:v>
      </x:c>
      <x:c r="M978" s="2" t="str">
        <x:v>空仓</x:v>
      </x:c>
    </x:row>
    <x:row r="979" ht="23" customHeight="1">
      <x:c r="A979" s="11" t="d">
        <x:v>2018-11-12T00:00:00.000Z</x:v>
      </x:c>
      <x:c r="B979" s="12" t="n">
        <x:v>92555.350445</x:v>
      </x:c>
      <x:c r="C979" s="13" t="n">
        <x:v>0</x:v>
      </x:c>
      <x:c r="D979" s="12" t="n">
        <x:v>0</x:v>
      </x:c>
      <x:c r="E979" s="12" t="n">
        <x:v>0</x:v>
      </x:c>
      <x:c r="F979" s="12" t="n">
        <x:f>SUM(B979,D979:E979)</x:f>
        <x:v>92555.350445</x:v>
      </x:c>
      <x:c r="G979" s="12" t="n">
        <x:f>MAX(G978,F979)</x:f>
        <x:v>102238.29443099999</x:v>
      </x:c>
      <x:c r="H979" s="14" t="n">
        <x:f>F979/G979-1</x:f>
        <x:v>-0.09470956102984429</x:v>
      </x:c>
      <x:c r="I979" s="14" t="n">
        <x:f>F979/F978-1</x:f>
        <x:v>0</x:v>
      </x:c>
      <x:c r="J979" s="12" t="n">
        <x:v>0</x:v>
      </x:c>
      <x:c r="K979" s="12" t="n">
        <x:v>0</x:v>
      </x:c>
      <x:c r="L979" s="12" t="n">
        <x:v>0</x:v>
      </x:c>
      <x:c r="M979" s="2" t="str">
        <x:v>空仓</x:v>
      </x:c>
    </x:row>
    <x:row r="980" ht="23" customHeight="1">
      <x:c r="A980" s="11" t="d">
        <x:v>2018-11-13T00:00:00.000Z</x:v>
      </x:c>
      <x:c r="B980" s="12" t="n">
        <x:v>92555.350445</x:v>
      </x:c>
      <x:c r="C980" s="13" t="n">
        <x:v>0</x:v>
      </x:c>
      <x:c r="D980" s="12" t="n">
        <x:v>0</x:v>
      </x:c>
      <x:c r="E980" s="12" t="n">
        <x:v>0</x:v>
      </x:c>
      <x:c r="F980" s="12" t="n">
        <x:f>SUM(B980,D980:E980)</x:f>
        <x:v>92555.350445</x:v>
      </x:c>
      <x:c r="G980" s="12" t="n">
        <x:f>MAX(G979,F980)</x:f>
        <x:v>102238.29443099999</x:v>
      </x:c>
      <x:c r="H980" s="14" t="n">
        <x:f>F980/G980-1</x:f>
        <x:v>-0.09470956102984429</x:v>
      </x:c>
      <x:c r="I980" s="14" t="n">
        <x:f>F980/F979-1</x:f>
        <x:v>0</x:v>
      </x:c>
      <x:c r="J980" s="12" t="n">
        <x:v>0</x:v>
      </x:c>
      <x:c r="K980" s="12" t="n">
        <x:v>0</x:v>
      </x:c>
      <x:c r="L980" s="12" t="n">
        <x:v>0</x:v>
      </x:c>
      <x:c r="M980" s="2" t="str">
        <x:v>空仓</x:v>
      </x:c>
    </x:row>
    <x:row r="981" ht="23" customHeight="1">
      <x:c r="A981" s="11" t="d">
        <x:v>2018-11-14T00:00:00.000Z</x:v>
      </x:c>
      <x:c r="B981" s="12" t="n">
        <x:v>92555.350445</x:v>
      </x:c>
      <x:c r="C981" s="13" t="n">
        <x:v>0</x:v>
      </x:c>
      <x:c r="D981" s="12" t="n">
        <x:v>0</x:v>
      </x:c>
      <x:c r="E981" s="12" t="n">
        <x:v>0</x:v>
      </x:c>
      <x:c r="F981" s="12" t="n">
        <x:f>SUM(B981,D981:E981)</x:f>
        <x:v>92555.350445</x:v>
      </x:c>
      <x:c r="G981" s="12" t="n">
        <x:f>MAX(G980,F981)</x:f>
        <x:v>102238.29443099999</x:v>
      </x:c>
      <x:c r="H981" s="14" t="n">
        <x:f>F981/G981-1</x:f>
        <x:v>-0.09470956102984429</x:v>
      </x:c>
      <x:c r="I981" s="14" t="n">
        <x:f>F981/F980-1</x:f>
        <x:v>0</x:v>
      </x:c>
      <x:c r="J981" s="12" t="n">
        <x:v>0</x:v>
      </x:c>
      <x:c r="K981" s="12" t="n">
        <x:v>0</x:v>
      </x:c>
      <x:c r="L981" s="12" t="n">
        <x:v>0</x:v>
      </x:c>
      <x:c r="M981" s="2" t="str">
        <x:v>空仓</x:v>
      </x:c>
    </x:row>
    <x:row r="982" ht="23" customHeight="1">
      <x:c r="A982" s="11" t="d">
        <x:v>2018-11-15T00:00:00.000Z</x:v>
      </x:c>
      <x:c r="B982" s="12" t="n">
        <x:v>92555.350445</x:v>
      </x:c>
      <x:c r="C982" s="13" t="n">
        <x:v>0</x:v>
      </x:c>
      <x:c r="D982" s="12" t="n">
        <x:v>0</x:v>
      </x:c>
      <x:c r="E982" s="12" t="n">
        <x:v>0</x:v>
      </x:c>
      <x:c r="F982" s="12" t="n">
        <x:f>SUM(B982,D982:E982)</x:f>
        <x:v>92555.350445</x:v>
      </x:c>
      <x:c r="G982" s="12" t="n">
        <x:f>MAX(G981,F982)</x:f>
        <x:v>102238.29443099999</x:v>
      </x:c>
      <x:c r="H982" s="14" t="n">
        <x:f>F982/G982-1</x:f>
        <x:v>-0.09470956102984429</x:v>
      </x:c>
      <x:c r="I982" s="14" t="n">
        <x:f>F982/F981-1</x:f>
        <x:v>0</x:v>
      </x:c>
      <x:c r="J982" s="12" t="n">
        <x:v>0</x:v>
      </x:c>
      <x:c r="K982" s="12" t="n">
        <x:v>0</x:v>
      </x:c>
      <x:c r="L982" s="12" t="n">
        <x:v>0</x:v>
      </x:c>
      <x:c r="M982" s="2" t="str">
        <x:v>空仓</x:v>
      </x:c>
    </x:row>
    <x:row r="983" ht="23" customHeight="1">
      <x:c r="A983" s="11" t="d">
        <x:v>2018-11-16T00:00:00.000Z</x:v>
      </x:c>
      <x:c r="B983" s="12" t="n">
        <x:v>92555.350445</x:v>
      </x:c>
      <x:c r="C983" s="13" t="n">
        <x:v>0</x:v>
      </x:c>
      <x:c r="D983" s="12" t="n">
        <x:v>0</x:v>
      </x:c>
      <x:c r="E983" s="12" t="n">
        <x:v>0</x:v>
      </x:c>
      <x:c r="F983" s="12" t="n">
        <x:f>SUM(B983,D983:E983)</x:f>
        <x:v>92555.350445</x:v>
      </x:c>
      <x:c r="G983" s="12" t="n">
        <x:f>MAX(G982,F983)</x:f>
        <x:v>102238.29443099999</x:v>
      </x:c>
      <x:c r="H983" s="14" t="n">
        <x:f>F983/G983-1</x:f>
        <x:v>-0.09470956102984429</x:v>
      </x:c>
      <x:c r="I983" s="14" t="n">
        <x:f>F983/F982-1</x:f>
        <x:v>0</x:v>
      </x:c>
      <x:c r="J983" s="12" t="n">
        <x:v>0</x:v>
      </x:c>
      <x:c r="K983" s="12" t="n">
        <x:v>0</x:v>
      </x:c>
      <x:c r="L983" s="12" t="n">
        <x:v>0</x:v>
      </x:c>
      <x:c r="M983" s="2" t="str">
        <x:v>空仓</x:v>
      </x:c>
    </x:row>
    <x:row r="984" ht="23" customHeight="1">
      <x:c r="A984" s="11" t="d">
        <x:v>2018-11-19T00:00:00.000Z</x:v>
      </x:c>
      <x:c r="B984" s="12" t="n">
        <x:v>92555.350445</x:v>
      </x:c>
      <x:c r="C984" s="13" t="n">
        <x:v>0</x:v>
      </x:c>
      <x:c r="D984" s="12" t="n">
        <x:v>0</x:v>
      </x:c>
      <x:c r="E984" s="12" t="n">
        <x:v>0</x:v>
      </x:c>
      <x:c r="F984" s="12" t="n">
        <x:f>SUM(B984,D984:E984)</x:f>
        <x:v>92555.350445</x:v>
      </x:c>
      <x:c r="G984" s="12" t="n">
        <x:f>MAX(G983,F984)</x:f>
        <x:v>102238.29443099999</x:v>
      </x:c>
      <x:c r="H984" s="14" t="n">
        <x:f>F984/G984-1</x:f>
        <x:v>-0.09470956102984429</x:v>
      </x:c>
      <x:c r="I984" s="14" t="n">
        <x:f>F984/F983-1</x:f>
        <x:v>0</x:v>
      </x:c>
      <x:c r="J984" s="12" t="n">
        <x:v>0</x:v>
      </x:c>
      <x:c r="K984" s="12" t="n">
        <x:v>0</x:v>
      </x:c>
      <x:c r="L984" s="12" t="n">
        <x:v>0</x:v>
      </x:c>
      <x:c r="M984" s="2" t="str">
        <x:v>空仓</x:v>
      </x:c>
    </x:row>
    <x:row r="985" ht="23" customHeight="1">
      <x:c r="A985" s="11" t="d">
        <x:v>2018-11-20T00:00:00.000Z</x:v>
      </x:c>
      <x:c r="B985" s="12" t="n">
        <x:v>92555.350445</x:v>
      </x:c>
      <x:c r="C985" s="13" t="n">
        <x:v>0</x:v>
      </x:c>
      <x:c r="D985" s="12" t="n">
        <x:v>0</x:v>
      </x:c>
      <x:c r="E985" s="12" t="n">
        <x:v>0</x:v>
      </x:c>
      <x:c r="F985" s="12" t="n">
        <x:f>SUM(B985,D985:E985)</x:f>
        <x:v>92555.350445</x:v>
      </x:c>
      <x:c r="G985" s="12" t="n">
        <x:f>MAX(G984,F985)</x:f>
        <x:v>102238.29443099999</x:v>
      </x:c>
      <x:c r="H985" s="14" t="n">
        <x:f>F985/G985-1</x:f>
        <x:v>-0.09470956102984429</x:v>
      </x:c>
      <x:c r="I985" s="14" t="n">
        <x:f>F985/F984-1</x:f>
        <x:v>0</x:v>
      </x:c>
      <x:c r="J985" s="12" t="n">
        <x:v>0</x:v>
      </x:c>
      <x:c r="K985" s="12" t="n">
        <x:v>0</x:v>
      </x:c>
      <x:c r="L985" s="12" t="n">
        <x:v>0</x:v>
      </x:c>
      <x:c r="M985" s="2" t="str">
        <x:v>空仓</x:v>
      </x:c>
    </x:row>
    <x:row r="986" ht="23" customHeight="1">
      <x:c r="A986" s="11" t="d">
        <x:v>2018-11-21T00:00:00.000Z</x:v>
      </x:c>
      <x:c r="B986" s="12" t="n">
        <x:v>92555.350445</x:v>
      </x:c>
      <x:c r="C986" s="13" t="n">
        <x:v>0</x:v>
      </x:c>
      <x:c r="D986" s="12" t="n">
        <x:v>0</x:v>
      </x:c>
      <x:c r="E986" s="12" t="n">
        <x:v>0</x:v>
      </x:c>
      <x:c r="F986" s="12" t="n">
        <x:f>SUM(B986,D986:E986)</x:f>
        <x:v>92555.350445</x:v>
      </x:c>
      <x:c r="G986" s="12" t="n">
        <x:f>MAX(G985,F986)</x:f>
        <x:v>102238.29443099999</x:v>
      </x:c>
      <x:c r="H986" s="14" t="n">
        <x:f>F986/G986-1</x:f>
        <x:v>-0.09470956102984429</x:v>
      </x:c>
      <x:c r="I986" s="14" t="n">
        <x:f>F986/F985-1</x:f>
        <x:v>0</x:v>
      </x:c>
      <x:c r="J986" s="12" t="n">
        <x:v>0</x:v>
      </x:c>
      <x:c r="K986" s="12" t="n">
        <x:v>0</x:v>
      </x:c>
      <x:c r="L986" s="12" t="n">
        <x:v>0</x:v>
      </x:c>
      <x:c r="M986" s="2" t="str">
        <x:v>空仓</x:v>
      </x:c>
    </x:row>
    <x:row r="987" ht="23" customHeight="1">
      <x:c r="A987" s="11" t="d">
        <x:v>2018-11-23T00:00:00.000Z</x:v>
      </x:c>
      <x:c r="B987" s="12" t="n">
        <x:v>92555.350445</x:v>
      </x:c>
      <x:c r="C987" s="13" t="n">
        <x:v>0</x:v>
      </x:c>
      <x:c r="D987" s="12" t="n">
        <x:v>0</x:v>
      </x:c>
      <x:c r="E987" s="12" t="n">
        <x:v>0</x:v>
      </x:c>
      <x:c r="F987" s="12" t="n">
        <x:f>SUM(B987,D987:E987)</x:f>
        <x:v>92555.350445</x:v>
      </x:c>
      <x:c r="G987" s="12" t="n">
        <x:f>MAX(G986,F987)</x:f>
        <x:v>102238.29443099999</x:v>
      </x:c>
      <x:c r="H987" s="14" t="n">
        <x:f>F987/G987-1</x:f>
        <x:v>-0.09470956102984429</x:v>
      </x:c>
      <x:c r="I987" s="14" t="n">
        <x:f>F987/F986-1</x:f>
        <x:v>0</x:v>
      </x:c>
      <x:c r="J987" s="12" t="n">
        <x:v>0</x:v>
      </x:c>
      <x:c r="K987" s="12" t="n">
        <x:v>0</x:v>
      </x:c>
      <x:c r="L987" s="12" t="n">
        <x:v>0</x:v>
      </x:c>
      <x:c r="M987" s="2" t="str">
        <x:v>空仓</x:v>
      </x:c>
    </x:row>
    <x:row r="988" ht="23" customHeight="1">
      <x:c r="A988" s="11" t="d">
        <x:v>2018-11-26T00:00:00.000Z</x:v>
      </x:c>
      <x:c r="B988" s="12" t="n">
        <x:v>92555.350445</x:v>
      </x:c>
      <x:c r="C988" s="13" t="n">
        <x:v>0</x:v>
      </x:c>
      <x:c r="D988" s="12" t="n">
        <x:v>0</x:v>
      </x:c>
      <x:c r="E988" s="12" t="n">
        <x:v>0</x:v>
      </x:c>
      <x:c r="F988" s="12" t="n">
        <x:f>SUM(B988,D988:E988)</x:f>
        <x:v>92555.350445</x:v>
      </x:c>
      <x:c r="G988" s="12" t="n">
        <x:f>MAX(G987,F988)</x:f>
        <x:v>102238.29443099999</x:v>
      </x:c>
      <x:c r="H988" s="14" t="n">
        <x:f>F988/G988-1</x:f>
        <x:v>-0.09470956102984429</x:v>
      </x:c>
      <x:c r="I988" s="14" t="n">
        <x:f>F988/F987-1</x:f>
        <x:v>0</x:v>
      </x:c>
      <x:c r="J988" s="12" t="n">
        <x:v>0</x:v>
      </x:c>
      <x:c r="K988" s="12" t="n">
        <x:v>0</x:v>
      </x:c>
      <x:c r="L988" s="12" t="n">
        <x:v>0</x:v>
      </x:c>
      <x:c r="M988" s="2" t="str">
        <x:v>空仓</x:v>
      </x:c>
    </x:row>
    <x:row r="989" ht="23" customHeight="1">
      <x:c r="A989" s="11" t="d">
        <x:v>2018-11-27T00:00:00.000Z</x:v>
      </x:c>
      <x:c r="B989" s="12" t="n">
        <x:v>92555.350445</x:v>
      </x:c>
      <x:c r="C989" s="13" t="n">
        <x:v>0</x:v>
      </x:c>
      <x:c r="D989" s="12" t="n">
        <x:v>0</x:v>
      </x:c>
      <x:c r="E989" s="12" t="n">
        <x:v>0</x:v>
      </x:c>
      <x:c r="F989" s="12" t="n">
        <x:f>SUM(B989,D989:E989)</x:f>
        <x:v>92555.350445</x:v>
      </x:c>
      <x:c r="G989" s="12" t="n">
        <x:f>MAX(G988,F989)</x:f>
        <x:v>102238.29443099999</x:v>
      </x:c>
      <x:c r="H989" s="14" t="n">
        <x:f>F989/G989-1</x:f>
        <x:v>-0.09470956102984429</x:v>
      </x:c>
      <x:c r="I989" s="14" t="n">
        <x:f>F989/F988-1</x:f>
        <x:v>0</x:v>
      </x:c>
      <x:c r="J989" s="12" t="n">
        <x:v>0</x:v>
      </x:c>
      <x:c r="K989" s="12" t="n">
        <x:v>0</x:v>
      </x:c>
      <x:c r="L989" s="12" t="n">
        <x:v>0</x:v>
      </x:c>
      <x:c r="M989" s="2" t="str">
        <x:v>空仓</x:v>
      </x:c>
    </x:row>
    <x:row r="990" ht="23" customHeight="1">
      <x:c r="A990" s="11" t="d">
        <x:v>2018-11-28T00:00:00.000Z</x:v>
      </x:c>
      <x:c r="B990" s="12" t="n">
        <x:v>92555.350445</x:v>
      </x:c>
      <x:c r="C990" s="13" t="n">
        <x:v>0</x:v>
      </x:c>
      <x:c r="D990" s="12" t="n">
        <x:v>0</x:v>
      </x:c>
      <x:c r="E990" s="12" t="n">
        <x:v>0</x:v>
      </x:c>
      <x:c r="F990" s="12" t="n">
        <x:f>SUM(B990,D990:E990)</x:f>
        <x:v>92555.350445</x:v>
      </x:c>
      <x:c r="G990" s="12" t="n">
        <x:f>MAX(G989,F990)</x:f>
        <x:v>102238.29443099999</x:v>
      </x:c>
      <x:c r="H990" s="14" t="n">
        <x:f>F990/G990-1</x:f>
        <x:v>-0.09470956102984429</x:v>
      </x:c>
      <x:c r="I990" s="14" t="n">
        <x:f>F990/F989-1</x:f>
        <x:v>0</x:v>
      </x:c>
      <x:c r="J990" s="12" t="n">
        <x:v>0</x:v>
      </x:c>
      <x:c r="K990" s="12" t="n">
        <x:v>0</x:v>
      </x:c>
      <x:c r="L990" s="12" t="n">
        <x:v>0</x:v>
      </x:c>
      <x:c r="M990" s="2" t="str">
        <x:v>空仓</x:v>
      </x:c>
    </x:row>
    <x:row r="991" ht="23" customHeight="1">
      <x:c r="A991" s="11" t="d">
        <x:v>2018-11-29T00:00:00.000Z</x:v>
      </x:c>
      <x:c r="B991" s="12" t="n">
        <x:v>92555.350445</x:v>
      </x:c>
      <x:c r="C991" s="13" t="n">
        <x:v>0</x:v>
      </x:c>
      <x:c r="D991" s="12" t="n">
        <x:v>0</x:v>
      </x:c>
      <x:c r="E991" s="12" t="n">
        <x:v>0</x:v>
      </x:c>
      <x:c r="F991" s="12" t="n">
        <x:f>SUM(B991,D991:E991)</x:f>
        <x:v>92555.350445</x:v>
      </x:c>
      <x:c r="G991" s="12" t="n">
        <x:f>MAX(G990,F991)</x:f>
        <x:v>102238.29443099999</x:v>
      </x:c>
      <x:c r="H991" s="14" t="n">
        <x:f>F991/G991-1</x:f>
        <x:v>-0.09470956102984429</x:v>
      </x:c>
      <x:c r="I991" s="14" t="n">
        <x:f>F991/F990-1</x:f>
        <x:v>0</x:v>
      </x:c>
      <x:c r="J991" s="12" t="n">
        <x:v>0</x:v>
      </x:c>
      <x:c r="K991" s="12" t="n">
        <x:v>0</x:v>
      </x:c>
      <x:c r="L991" s="12" t="n">
        <x:v>0</x:v>
      </x:c>
      <x:c r="M991" s="2" t="str">
        <x:v>空仓</x:v>
      </x:c>
    </x:row>
    <x:row r="992" ht="23" customHeight="1">
      <x:c r="A992" s="11" t="d">
        <x:v>2018-11-30T00:00:00.000Z</x:v>
      </x:c>
      <x:c r="B992" s="12" t="n">
        <x:v>92555.350445</x:v>
      </x:c>
      <x:c r="C992" s="13" t="n">
        <x:v>0</x:v>
      </x:c>
      <x:c r="D992" s="12" t="n">
        <x:v>0</x:v>
      </x:c>
      <x:c r="E992" s="12" t="n">
        <x:v>0</x:v>
      </x:c>
      <x:c r="F992" s="12" t="n">
        <x:f>SUM(B992,D992:E992)</x:f>
        <x:v>92555.350445</x:v>
      </x:c>
      <x:c r="G992" s="12" t="n">
        <x:f>MAX(G991,F992)</x:f>
        <x:v>102238.29443099999</x:v>
      </x:c>
      <x:c r="H992" s="14" t="n">
        <x:f>F992/G992-1</x:f>
        <x:v>-0.09470956102984429</x:v>
      </x:c>
      <x:c r="I992" s="14" t="n">
        <x:f>F992/F991-1</x:f>
        <x:v>0</x:v>
      </x:c>
      <x:c r="J992" s="12" t="n">
        <x:v>0</x:v>
      </x:c>
      <x:c r="K992" s="12" t="n">
        <x:v>0</x:v>
      </x:c>
      <x:c r="L992" s="12" t="n">
        <x:v>0</x:v>
      </x:c>
      <x:c r="M992" s="2" t="str">
        <x:v>空仓</x:v>
      </x:c>
    </x:row>
    <x:row r="993" ht="23" customHeight="1">
      <x:c r="A993" s="11" t="d">
        <x:v>2018-12-03T00:00:00.000Z</x:v>
      </x:c>
      <x:c r="B993" s="12" t="n">
        <x:v>92555.350445</x:v>
      </x:c>
      <x:c r="C993" s="13" t="n">
        <x:v>0</x:v>
      </x:c>
      <x:c r="D993" s="12" t="n">
        <x:v>0</x:v>
      </x:c>
      <x:c r="E993" s="12" t="n">
        <x:v>0</x:v>
      </x:c>
      <x:c r="F993" s="12" t="n">
        <x:f>SUM(B993,D993:E993)</x:f>
        <x:v>92555.350445</x:v>
      </x:c>
      <x:c r="G993" s="12" t="n">
        <x:f>MAX(G992,F993)</x:f>
        <x:v>102238.29443099999</x:v>
      </x:c>
      <x:c r="H993" s="14" t="n">
        <x:f>F993/G993-1</x:f>
        <x:v>-0.09470956102984429</x:v>
      </x:c>
      <x:c r="I993" s="14" t="n">
        <x:f>F993/F992-1</x:f>
        <x:v>0</x:v>
      </x:c>
      <x:c r="J993" s="12" t="n">
        <x:v>0</x:v>
      </x:c>
      <x:c r="K993" s="12" t="n">
        <x:v>0</x:v>
      </x:c>
      <x:c r="L993" s="12" t="n">
        <x:v>0</x:v>
      </x:c>
      <x:c r="M993" s="2" t="str">
        <x:v>空仓</x:v>
      </x:c>
    </x:row>
    <x:row r="994" ht="23" customHeight="1">
      <x:c r="A994" s="11" t="d">
        <x:v>2018-12-04T00:00:00.000Z</x:v>
      </x:c>
      <x:c r="B994" s="12" t="n">
        <x:v>44.091605</x:v>
      </x:c>
      <x:c r="C994" s="13" t="n">
        <x:v>332</x:v>
      </x:c>
      <x:c r="D994" s="12" t="n">
        <x:v>89723</x:v>
      </x:c>
      <x:c r="E994" s="12" t="n">
        <x:v>0</x:v>
      </x:c>
      <x:c r="F994" s="12" t="n">
        <x:f>SUM(B994,D994:E994)</x:f>
        <x:v>89767.091605</x:v>
      </x:c>
      <x:c r="G994" s="12" t="n">
        <x:f>MAX(G993,F994)</x:f>
        <x:v>102238.29443099999</x:v>
      </x:c>
      <x:c r="H994" s="14" t="n">
        <x:f>F994/G994-1</x:f>
        <x:v>-0.12198171825349391</x:v>
      </x:c>
      <x:c r="I994" s="14" t="n">
        <x:f>F994/F993-1</x:f>
        <x:v>-0.030125312330343323</x:v>
      </x:c>
      <x:c r="J994" s="12" t="n">
        <x:v>0</x:v>
      </x:c>
      <x:c r="K994" s="12" t="n">
        <x:v>0</x:v>
      </x:c>
      <x:c r="L994" s="12" t="n">
        <x:v>332</x:v>
      </x:c>
      <x:c r="M994" s="2" t="str">
        <x:v>买入</x:v>
      </x:c>
    </x:row>
    <x:row r="995" ht="23" customHeight="1">
      <x:c r="A995" s="11" t="d">
        <x:v>2018-12-06T00:00:00.000Z</x:v>
      </x:c>
      <x:c r="B995" s="12" t="n">
        <x:v>88241.246165</x:v>
      </x:c>
      <x:c r="C995" s="13" t="n">
        <x:v>0</x:v>
      </x:c>
      <x:c r="D995" s="12" t="n">
        <x:v>0</x:v>
      </x:c>
      <x:c r="E995" s="12" t="n">
        <x:v>0</x:v>
      </x:c>
      <x:c r="F995" s="12" t="n">
        <x:f>SUM(B995,D995:E995)</x:f>
        <x:v>88241.246165</x:v>
      </x:c>
      <x:c r="G995" s="12" t="n">
        <x:f>MAX(G994,F995)</x:f>
        <x:v>102238.29443099999</x:v>
      </x:c>
      <x:c r="H995" s="14" t="n">
        <x:f>F995/G995-1</x:f>
        <x:v>-0.13690612058719842</x:v>
      </x:c>
      <x:c r="I995" s="14" t="n">
        <x:f>F995/F994-1</x:f>
        <x:v>-0.016997826405183436</x:v>
      </x:c>
      <x:c r="J995" s="12" t="n">
        <x:v>0</x:v>
      </x:c>
      <x:c r="K995" s="12" t="n">
        <x:v>0</x:v>
      </x:c>
      <x:c r="L995" s="12" t="n">
        <x:v>-332</x:v>
      </x:c>
      <x:c r="M995" s="2" t="str">
        <x:v>卖出</x:v>
      </x:c>
    </x:row>
    <x:row r="996" ht="23" customHeight="1">
      <x:c r="A996" s="11" t="d">
        <x:v>2018-12-07T00:00:00.000Z</x:v>
      </x:c>
      <x:c r="B996" s="12" t="n">
        <x:v>88241.246165</x:v>
      </x:c>
      <x:c r="C996" s="13" t="n">
        <x:v>0</x:v>
      </x:c>
      <x:c r="D996" s="12" t="n">
        <x:v>0</x:v>
      </x:c>
      <x:c r="E996" s="12" t="n">
        <x:v>0</x:v>
      </x:c>
      <x:c r="F996" s="12" t="n">
        <x:f>SUM(B996,D996:E996)</x:f>
        <x:v>88241.246165</x:v>
      </x:c>
      <x:c r="G996" s="12" t="n">
        <x:f>MAX(G995,F996)</x:f>
        <x:v>102238.29443099999</x:v>
      </x:c>
      <x:c r="H996" s="14" t="n">
        <x:f>F996/G996-1</x:f>
        <x:v>-0.13690612058719842</x:v>
      </x:c>
      <x:c r="I996" s="14" t="n">
        <x:f>F996/F995-1</x:f>
        <x:v>0</x:v>
      </x:c>
      <x:c r="J996" s="12" t="n">
        <x:v>0</x:v>
      </x:c>
      <x:c r="K996" s="12" t="n">
        <x:v>0</x:v>
      </x:c>
      <x:c r="L996" s="12" t="n">
        <x:v>0</x:v>
      </x:c>
      <x:c r="M996" s="2" t="str">
        <x:v>空仓</x:v>
      </x:c>
    </x:row>
    <x:row r="997" ht="23" customHeight="1">
      <x:c r="A997" s="11" t="d">
        <x:v>2018-12-10T00:00:00.000Z</x:v>
      </x:c>
      <x:c r="B997" s="12" t="n">
        <x:v>88241.246165</x:v>
      </x:c>
      <x:c r="C997" s="13" t="n">
        <x:v>0</x:v>
      </x:c>
      <x:c r="D997" s="12" t="n">
        <x:v>0</x:v>
      </x:c>
      <x:c r="E997" s="12" t="n">
        <x:v>0</x:v>
      </x:c>
      <x:c r="F997" s="12" t="n">
        <x:f>SUM(B997,D997:E997)</x:f>
        <x:v>88241.246165</x:v>
      </x:c>
      <x:c r="G997" s="12" t="n">
        <x:f>MAX(G996,F997)</x:f>
        <x:v>102238.29443099999</x:v>
      </x:c>
      <x:c r="H997" s="14" t="n">
        <x:f>F997/G997-1</x:f>
        <x:v>-0.13690612058719842</x:v>
      </x:c>
      <x:c r="I997" s="14" t="n">
        <x:f>F997/F996-1</x:f>
        <x:v>0</x:v>
      </x:c>
      <x:c r="J997" s="12" t="n">
        <x:v>0</x:v>
      </x:c>
      <x:c r="K997" s="12" t="n">
        <x:v>0</x:v>
      </x:c>
      <x:c r="L997" s="12" t="n">
        <x:v>0</x:v>
      </x:c>
      <x:c r="M997" s="2" t="str">
        <x:v>空仓</x:v>
      </x:c>
    </x:row>
    <x:row r="998" ht="23" customHeight="1">
      <x:c r="A998" s="11" t="d">
        <x:v>2018-12-11T00:00:00.000Z</x:v>
      </x:c>
      <x:c r="B998" s="12" t="n">
        <x:v>88241.246165</x:v>
      </x:c>
      <x:c r="C998" s="13" t="n">
        <x:v>0</x:v>
      </x:c>
      <x:c r="D998" s="12" t="n">
        <x:v>0</x:v>
      </x:c>
      <x:c r="E998" s="12" t="n">
        <x:v>0</x:v>
      </x:c>
      <x:c r="F998" s="12" t="n">
        <x:f>SUM(B998,D998:E998)</x:f>
        <x:v>88241.246165</x:v>
      </x:c>
      <x:c r="G998" s="12" t="n">
        <x:f>MAX(G997,F998)</x:f>
        <x:v>102238.29443099999</x:v>
      </x:c>
      <x:c r="H998" s="14" t="n">
        <x:f>F998/G998-1</x:f>
        <x:v>-0.13690612058719842</x:v>
      </x:c>
      <x:c r="I998" s="14" t="n">
        <x:f>F998/F997-1</x:f>
        <x:v>0</x:v>
      </x:c>
      <x:c r="J998" s="12" t="n">
        <x:v>0</x:v>
      </x:c>
      <x:c r="K998" s="12" t="n">
        <x:v>0</x:v>
      </x:c>
      <x:c r="L998" s="12" t="n">
        <x:v>0</x:v>
      </x:c>
      <x:c r="M998" s="2" t="str">
        <x:v>空仓</x:v>
      </x:c>
    </x:row>
    <x:row r="999" ht="23" customHeight="1">
      <x:c r="A999" s="11" t="d">
        <x:v>2018-12-12T00:00:00.000Z</x:v>
      </x:c>
      <x:c r="B999" s="12" t="n">
        <x:v>88241.246165</x:v>
      </x:c>
      <x:c r="C999" s="13" t="n">
        <x:v>0</x:v>
      </x:c>
      <x:c r="D999" s="12" t="n">
        <x:v>0</x:v>
      </x:c>
      <x:c r="E999" s="12" t="n">
        <x:v>0</x:v>
      </x:c>
      <x:c r="F999" s="12" t="n">
        <x:f>SUM(B999,D999:E999)</x:f>
        <x:v>88241.246165</x:v>
      </x:c>
      <x:c r="G999" s="12" t="n">
        <x:f>MAX(G998,F999)</x:f>
        <x:v>102238.29443099999</x:v>
      </x:c>
      <x:c r="H999" s="14" t="n">
        <x:f>F999/G999-1</x:f>
        <x:v>-0.13690612058719842</x:v>
      </x:c>
      <x:c r="I999" s="14" t="n">
        <x:f>F999/F998-1</x:f>
        <x:v>0</x:v>
      </x:c>
      <x:c r="J999" s="12" t="n">
        <x:v>0</x:v>
      </x:c>
      <x:c r="K999" s="12" t="n">
        <x:v>0</x:v>
      </x:c>
      <x:c r="L999" s="12" t="n">
        <x:v>0</x:v>
      </x:c>
      <x:c r="M999" s="2" t="str">
        <x:v>空仓</x:v>
      </x:c>
    </x:row>
    <x:row r="1000" ht="23" customHeight="1">
      <x:c r="A1000" s="11" t="d">
        <x:v>2018-12-13T00:00:00.000Z</x:v>
      </x:c>
      <x:c r="B1000" s="12" t="n">
        <x:v>88241.246165</x:v>
      </x:c>
      <x:c r="C1000" s="13" t="n">
        <x:v>0</x:v>
      </x:c>
      <x:c r="D1000" s="12" t="n">
        <x:v>0</x:v>
      </x:c>
      <x:c r="E1000" s="12" t="n">
        <x:v>0</x:v>
      </x:c>
      <x:c r="F1000" s="12" t="n">
        <x:f>SUM(B1000,D1000:E1000)</x:f>
        <x:v>88241.246165</x:v>
      </x:c>
      <x:c r="G1000" s="12" t="n">
        <x:f>MAX(G999,F1000)</x:f>
        <x:v>102238.29443099999</x:v>
      </x:c>
      <x:c r="H1000" s="14" t="n">
        <x:f>F1000/G1000-1</x:f>
        <x:v>-0.13690612058719842</x:v>
      </x:c>
      <x:c r="I1000" s="14" t="n">
        <x:f>F1000/F999-1</x:f>
        <x:v>0</x:v>
      </x:c>
      <x:c r="J1000" s="12" t="n">
        <x:v>0</x:v>
      </x:c>
      <x:c r="K1000" s="12" t="n">
        <x:v>0</x:v>
      </x:c>
      <x:c r="L1000" s="12" t="n">
        <x:v>0</x:v>
      </x:c>
      <x:c r="M1000" s="2" t="str">
        <x:v>空仓</x:v>
      </x:c>
    </x:row>
    <x:row r="1001" ht="23" customHeight="1">
      <x:c r="A1001" s="11" t="d">
        <x:v>2018-12-14T00:00:00.000Z</x:v>
      </x:c>
      <x:c r="B1001" s="12" t="n">
        <x:v>88241.246165</x:v>
      </x:c>
      <x:c r="C1001" s="13" t="n">
        <x:v>0</x:v>
      </x:c>
      <x:c r="D1001" s="12" t="n">
        <x:v>0</x:v>
      </x:c>
      <x:c r="E1001" s="12" t="n">
        <x:v>0</x:v>
      </x:c>
      <x:c r="F1001" s="12" t="n">
        <x:f>SUM(B1001,D1001:E1001)</x:f>
        <x:v>88241.246165</x:v>
      </x:c>
      <x:c r="G1001" s="12" t="n">
        <x:f>MAX(G1000,F1001)</x:f>
        <x:v>102238.29443099999</x:v>
      </x:c>
      <x:c r="H1001" s="14" t="n">
        <x:f>F1001/G1001-1</x:f>
        <x:v>-0.13690612058719842</x:v>
      </x:c>
      <x:c r="I1001" s="14" t="n">
        <x:f>F1001/F1000-1</x:f>
        <x:v>0</x:v>
      </x:c>
      <x:c r="J1001" s="12" t="n">
        <x:v>0</x:v>
      </x:c>
      <x:c r="K1001" s="12" t="n">
        <x:v>0</x:v>
      </x:c>
      <x:c r="L1001" s="12" t="n">
        <x:v>0</x:v>
      </x:c>
      <x:c r="M1001" s="2" t="str">
        <x:v>空仓</x:v>
      </x:c>
    </x:row>
    <x:row r="1002" ht="23" customHeight="1">
      <x:c r="A1002" s="11" t="d">
        <x:v>2018-12-17T00:00:00.000Z</x:v>
      </x:c>
      <x:c r="B1002" s="12" t="n">
        <x:v>88241.246165</x:v>
      </x:c>
      <x:c r="C1002" s="13" t="n">
        <x:v>0</x:v>
      </x:c>
      <x:c r="D1002" s="12" t="n">
        <x:v>0</x:v>
      </x:c>
      <x:c r="E1002" s="12" t="n">
        <x:v>0</x:v>
      </x:c>
      <x:c r="F1002" s="12" t="n">
        <x:f>SUM(B1002,D1002:E1002)</x:f>
        <x:v>88241.246165</x:v>
      </x:c>
      <x:c r="G1002" s="12" t="n">
        <x:f>MAX(G1001,F1002)</x:f>
        <x:v>102238.29443099999</x:v>
      </x:c>
      <x:c r="H1002" s="14" t="n">
        <x:f>F1002/G1002-1</x:f>
        <x:v>-0.13690612058719842</x:v>
      </x:c>
      <x:c r="I1002" s="14" t="n">
        <x:f>F1002/F1001-1</x:f>
        <x:v>0</x:v>
      </x:c>
      <x:c r="J1002" s="12" t="n">
        <x:v>0</x:v>
      </x:c>
      <x:c r="K1002" s="12" t="n">
        <x:v>0</x:v>
      </x:c>
      <x:c r="L1002" s="12" t="n">
        <x:v>0</x:v>
      </x:c>
      <x:c r="M1002" s="2" t="str">
        <x:v>空仓</x:v>
      </x:c>
    </x:row>
    <x:row r="1003" ht="23" customHeight="1">
      <x:c r="A1003" s="11" t="d">
        <x:v>2018-12-18T00:00:00.000Z</x:v>
      </x:c>
      <x:c r="B1003" s="12" t="n">
        <x:v>88241.246165</x:v>
      </x:c>
      <x:c r="C1003" s="13" t="n">
        <x:v>0</x:v>
      </x:c>
      <x:c r="D1003" s="12" t="n">
        <x:v>0</x:v>
      </x:c>
      <x:c r="E1003" s="12" t="n">
        <x:v>0</x:v>
      </x:c>
      <x:c r="F1003" s="12" t="n">
        <x:f>SUM(B1003,D1003:E1003)</x:f>
        <x:v>88241.246165</x:v>
      </x:c>
      <x:c r="G1003" s="12" t="n">
        <x:f>MAX(G1002,F1003)</x:f>
        <x:v>102238.29443099999</x:v>
      </x:c>
      <x:c r="H1003" s="14" t="n">
        <x:f>F1003/G1003-1</x:f>
        <x:v>-0.13690612058719842</x:v>
      </x:c>
      <x:c r="I1003" s="14" t="n">
        <x:f>F1003/F1002-1</x:f>
        <x:v>0</x:v>
      </x:c>
      <x:c r="J1003" s="12" t="n">
        <x:v>0</x:v>
      </x:c>
      <x:c r="K1003" s="12" t="n">
        <x:v>0</x:v>
      </x:c>
      <x:c r="L1003" s="12" t="n">
        <x:v>0</x:v>
      </x:c>
      <x:c r="M1003" s="2" t="str">
        <x:v>空仓</x:v>
      </x:c>
    </x:row>
    <x:row r="1004" ht="23" customHeight="1">
      <x:c r="A1004" s="11" t="d">
        <x:v>2018-12-19T00:00:00.000Z</x:v>
      </x:c>
      <x:c r="B1004" s="12" t="n">
        <x:v>88241.246165</x:v>
      </x:c>
      <x:c r="C1004" s="13" t="n">
        <x:v>0</x:v>
      </x:c>
      <x:c r="D1004" s="12" t="n">
        <x:v>0</x:v>
      </x:c>
      <x:c r="E1004" s="12" t="n">
        <x:v>0</x:v>
      </x:c>
      <x:c r="F1004" s="12" t="n">
        <x:f>SUM(B1004,D1004:E1004)</x:f>
        <x:v>88241.246165</x:v>
      </x:c>
      <x:c r="G1004" s="12" t="n">
        <x:f>MAX(G1003,F1004)</x:f>
        <x:v>102238.29443099999</x:v>
      </x:c>
      <x:c r="H1004" s="14" t="n">
        <x:f>F1004/G1004-1</x:f>
        <x:v>-0.13690612058719842</x:v>
      </x:c>
      <x:c r="I1004" s="14" t="n">
        <x:f>F1004/F1003-1</x:f>
        <x:v>0</x:v>
      </x:c>
      <x:c r="J1004" s="12" t="n">
        <x:v>0</x:v>
      </x:c>
      <x:c r="K1004" s="12" t="n">
        <x:v>0</x:v>
      </x:c>
      <x:c r="L1004" s="12" t="n">
        <x:v>0</x:v>
      </x:c>
      <x:c r="M1004" s="2" t="str">
        <x:v>空仓</x:v>
      </x:c>
    </x:row>
    <x:row r="1005" ht="23" customHeight="1">
      <x:c r="A1005" s="11" t="d">
        <x:v>2018-12-20T00:00:00.000Z</x:v>
      </x:c>
      <x:c r="B1005" s="12" t="n">
        <x:v>88241.246165</x:v>
      </x:c>
      <x:c r="C1005" s="13" t="n">
        <x:v>0</x:v>
      </x:c>
      <x:c r="D1005" s="12" t="n">
        <x:v>0</x:v>
      </x:c>
      <x:c r="E1005" s="12" t="n">
        <x:v>0</x:v>
      </x:c>
      <x:c r="F1005" s="12" t="n">
        <x:f>SUM(B1005,D1005:E1005)</x:f>
        <x:v>88241.246165</x:v>
      </x:c>
      <x:c r="G1005" s="12" t="n">
        <x:f>MAX(G1004,F1005)</x:f>
        <x:v>102238.29443099999</x:v>
      </x:c>
      <x:c r="H1005" s="14" t="n">
        <x:f>F1005/G1005-1</x:f>
        <x:v>-0.13690612058719842</x:v>
      </x:c>
      <x:c r="I1005" s="14" t="n">
        <x:f>F1005/F1004-1</x:f>
        <x:v>0</x:v>
      </x:c>
      <x:c r="J1005" s="12" t="n">
        <x:v>0</x:v>
      </x:c>
      <x:c r="K1005" s="12" t="n">
        <x:v>0</x:v>
      </x:c>
      <x:c r="L1005" s="12" t="n">
        <x:v>0</x:v>
      </x:c>
      <x:c r="M1005" s="2" t="str">
        <x:v>空仓</x:v>
      </x:c>
    </x:row>
    <x:row r="1006" ht="23" customHeight="1">
      <x:c r="A1006" s="11" t="d">
        <x:v>2018-12-21T00:00:00.000Z</x:v>
      </x:c>
      <x:c r="B1006" s="12" t="n">
        <x:v>88241.246165</x:v>
      </x:c>
      <x:c r="C1006" s="13" t="n">
        <x:v>0</x:v>
      </x:c>
      <x:c r="D1006" s="12" t="n">
        <x:v>0</x:v>
      </x:c>
      <x:c r="E1006" s="12" t="n">
        <x:v>0</x:v>
      </x:c>
      <x:c r="F1006" s="12" t="n">
        <x:f>SUM(B1006,D1006:E1006)</x:f>
        <x:v>88241.246165</x:v>
      </x:c>
      <x:c r="G1006" s="12" t="n">
        <x:f>MAX(G1005,F1006)</x:f>
        <x:v>102238.29443099999</x:v>
      </x:c>
      <x:c r="H1006" s="14" t="n">
        <x:f>F1006/G1006-1</x:f>
        <x:v>-0.13690612058719842</x:v>
      </x:c>
      <x:c r="I1006" s="14" t="n">
        <x:f>F1006/F1005-1</x:f>
        <x:v>0</x:v>
      </x:c>
      <x:c r="J1006" s="12" t="n">
        <x:v>0</x:v>
      </x:c>
      <x:c r="K1006" s="12" t="n">
        <x:v>0</x:v>
      </x:c>
      <x:c r="L1006" s="12" t="n">
        <x:v>0</x:v>
      </x:c>
      <x:c r="M1006" s="2" t="str">
        <x:v>空仓</x:v>
      </x:c>
    </x:row>
    <x:row r="1007" ht="23" customHeight="1">
      <x:c r="A1007" s="11" t="d">
        <x:v>2018-12-24T00:00:00.000Z</x:v>
      </x:c>
      <x:c r="B1007" s="12" t="n">
        <x:v>88241.246165</x:v>
      </x:c>
      <x:c r="C1007" s="13" t="n">
        <x:v>0</x:v>
      </x:c>
      <x:c r="D1007" s="12" t="n">
        <x:v>0</x:v>
      </x:c>
      <x:c r="E1007" s="12" t="n">
        <x:v>0</x:v>
      </x:c>
      <x:c r="F1007" s="12" t="n">
        <x:f>SUM(B1007,D1007:E1007)</x:f>
        <x:v>88241.246165</x:v>
      </x:c>
      <x:c r="G1007" s="12" t="n">
        <x:f>MAX(G1006,F1007)</x:f>
        <x:v>102238.29443099999</x:v>
      </x:c>
      <x:c r="H1007" s="14" t="n">
        <x:f>F1007/G1007-1</x:f>
        <x:v>-0.13690612058719842</x:v>
      </x:c>
      <x:c r="I1007" s="14" t="n">
        <x:f>F1007/F1006-1</x:f>
        <x:v>0</x:v>
      </x:c>
      <x:c r="J1007" s="12" t="n">
        <x:v>0</x:v>
      </x:c>
      <x:c r="K1007" s="12" t="n">
        <x:v>0</x:v>
      </x:c>
      <x:c r="L1007" s="12" t="n">
        <x:v>0</x:v>
      </x:c>
      <x:c r="M1007" s="2" t="str">
        <x:v>空仓</x:v>
      </x:c>
    </x:row>
    <x:row r="1008" ht="23" customHeight="1">
      <x:c r="A1008" s="11" t="d">
        <x:v>2018-12-26T00:00:00.000Z</x:v>
      </x:c>
      <x:c r="B1008" s="12" t="n">
        <x:v>88241.246165</x:v>
      </x:c>
      <x:c r="C1008" s="13" t="n">
        <x:v>0</x:v>
      </x:c>
      <x:c r="D1008" s="12" t="n">
        <x:v>0</x:v>
      </x:c>
      <x:c r="E1008" s="12" t="n">
        <x:v>0</x:v>
      </x:c>
      <x:c r="F1008" s="12" t="n">
        <x:f>SUM(B1008,D1008:E1008)</x:f>
        <x:v>88241.246165</x:v>
      </x:c>
      <x:c r="G1008" s="12" t="n">
        <x:f>MAX(G1007,F1008)</x:f>
        <x:v>102238.29443099999</x:v>
      </x:c>
      <x:c r="H1008" s="14" t="n">
        <x:f>F1008/G1008-1</x:f>
        <x:v>-0.13690612058719842</x:v>
      </x:c>
      <x:c r="I1008" s="14" t="n">
        <x:f>F1008/F1007-1</x:f>
        <x:v>0</x:v>
      </x:c>
      <x:c r="J1008" s="12" t="n">
        <x:v>0</x:v>
      </x:c>
      <x:c r="K1008" s="12" t="n">
        <x:v>0</x:v>
      </x:c>
      <x:c r="L1008" s="12" t="n">
        <x:v>0</x:v>
      </x:c>
      <x:c r="M1008" s="2" t="str">
        <x:v>空仓</x:v>
      </x:c>
    </x:row>
    <x:row r="1009" ht="23" customHeight="1">
      <x:c r="A1009" s="11" t="d">
        <x:v>2018-12-27T00:00:00.000Z</x:v>
      </x:c>
      <x:c r="B1009" s="12" t="n">
        <x:v>88241.246165</x:v>
      </x:c>
      <x:c r="C1009" s="13" t="n">
        <x:v>0</x:v>
      </x:c>
      <x:c r="D1009" s="12" t="n">
        <x:v>0</x:v>
      </x:c>
      <x:c r="E1009" s="12" t="n">
        <x:v>0</x:v>
      </x:c>
      <x:c r="F1009" s="12" t="n">
        <x:f>SUM(B1009,D1009:E1009)</x:f>
        <x:v>88241.246165</x:v>
      </x:c>
      <x:c r="G1009" s="12" t="n">
        <x:f>MAX(G1008,F1009)</x:f>
        <x:v>102238.29443099999</x:v>
      </x:c>
      <x:c r="H1009" s="14" t="n">
        <x:f>F1009/G1009-1</x:f>
        <x:v>-0.13690612058719842</x:v>
      </x:c>
      <x:c r="I1009" s="14" t="n">
        <x:f>F1009/F1008-1</x:f>
        <x:v>0</x:v>
      </x:c>
      <x:c r="J1009" s="12" t="n">
        <x:v>0</x:v>
      </x:c>
      <x:c r="K1009" s="12" t="n">
        <x:v>0</x:v>
      </x:c>
      <x:c r="L1009" s="12" t="n">
        <x:v>0</x:v>
      </x:c>
      <x:c r="M1009" s="2" t="str">
        <x:v>空仓</x:v>
      </x:c>
    </x:row>
    <x:row r="1010" ht="23" customHeight="1">
      <x:c r="A1010" s="11" t="d">
        <x:v>2018-12-28T00:00:00.000Z</x:v>
      </x:c>
      <x:c r="B1010" s="12" t="n">
        <x:v>88241.246165</x:v>
      </x:c>
      <x:c r="C1010" s="13" t="n">
        <x:v>0</x:v>
      </x:c>
      <x:c r="D1010" s="12" t="n">
        <x:v>0</x:v>
      </x:c>
      <x:c r="E1010" s="12" t="n">
        <x:v>0</x:v>
      </x:c>
      <x:c r="F1010" s="12" t="n">
        <x:f>SUM(B1010,D1010:E1010)</x:f>
        <x:v>88241.246165</x:v>
      </x:c>
      <x:c r="G1010" s="12" t="n">
        <x:f>MAX(G1009,F1010)</x:f>
        <x:v>102238.29443099999</x:v>
      </x:c>
      <x:c r="H1010" s="14" t="n">
        <x:f>F1010/G1010-1</x:f>
        <x:v>-0.13690612058719842</x:v>
      </x:c>
      <x:c r="I1010" s="14" t="n">
        <x:f>F1010/F1009-1</x:f>
        <x:v>0</x:v>
      </x:c>
      <x:c r="J1010" s="12" t="n">
        <x:v>0</x:v>
      </x:c>
      <x:c r="K1010" s="12" t="n">
        <x:v>0</x:v>
      </x:c>
      <x:c r="L1010" s="12" t="n">
        <x:v>0</x:v>
      </x:c>
      <x:c r="M1010" s="2" t="str">
        <x:v>空仓</x:v>
      </x:c>
    </x:row>
    <x:row r="1011" ht="23" customHeight="1">
      <x:c r="A1011" s="11" t="d">
        <x:v>2018-12-31T00:00:00.000Z</x:v>
      </x:c>
      <x:c r="B1011" s="12" t="n">
        <x:v>88241.246165</x:v>
      </x:c>
      <x:c r="C1011" s="13" t="n">
        <x:v>0</x:v>
      </x:c>
      <x:c r="D1011" s="12" t="n">
        <x:v>0</x:v>
      </x:c>
      <x:c r="E1011" s="12" t="n">
        <x:v>0</x:v>
      </x:c>
      <x:c r="F1011" s="12" t="n">
        <x:f>SUM(B1011,D1011:E1011)</x:f>
        <x:v>88241.246165</x:v>
      </x:c>
      <x:c r="G1011" s="12" t="n">
        <x:f>MAX(G1010,F1011)</x:f>
        <x:v>102238.29443099999</x:v>
      </x:c>
      <x:c r="H1011" s="14" t="n">
        <x:f>F1011/G1011-1</x:f>
        <x:v>-0.13690612058719842</x:v>
      </x:c>
      <x:c r="I1011" s="14" t="n">
        <x:f>F1011/F1010-1</x:f>
        <x:v>0</x:v>
      </x:c>
      <x:c r="J1011" s="12" t="n">
        <x:v>0</x:v>
      </x:c>
      <x:c r="K1011" s="12" t="n">
        <x:v>0</x:v>
      </x:c>
      <x:c r="L1011" s="12" t="n">
        <x:v>0</x:v>
      </x:c>
      <x:c r="M1011" s="2" t="str">
        <x:v>空仓</x:v>
      </x:c>
    </x:row>
    <x:row r="1012" ht="23" customHeight="1">
      <x:c r="A1012" s="11" t="d">
        <x:v>2019-01-02T00:00:00.000Z</x:v>
      </x:c>
      <x:c r="B1012" s="12" t="n">
        <x:v>88241.246165</x:v>
      </x:c>
      <x:c r="C1012" s="13" t="n">
        <x:v>0</x:v>
      </x:c>
      <x:c r="D1012" s="12" t="n">
        <x:v>0</x:v>
      </x:c>
      <x:c r="E1012" s="12" t="n">
        <x:v>0</x:v>
      </x:c>
      <x:c r="F1012" s="12" t="n">
        <x:f>SUM(B1012,D1012:E1012)</x:f>
        <x:v>88241.246165</x:v>
      </x:c>
      <x:c r="G1012" s="12" t="n">
        <x:f>MAX(G1011,F1012)</x:f>
        <x:v>102238.29443099999</x:v>
      </x:c>
      <x:c r="H1012" s="14" t="n">
        <x:f>F1012/G1012-1</x:f>
        <x:v>-0.13690612058719842</x:v>
      </x:c>
      <x:c r="I1012" s="14" t="n">
        <x:f>F1012/F1011-1</x:f>
        <x:v>0</x:v>
      </x:c>
      <x:c r="J1012" s="12" t="n">
        <x:v>0</x:v>
      </x:c>
      <x:c r="K1012" s="12" t="n">
        <x:v>0</x:v>
      </x:c>
      <x:c r="L1012" s="12" t="n">
        <x:v>0</x:v>
      </x:c>
      <x:c r="M1012" s="2" t="str">
        <x:v>空仓</x:v>
      </x:c>
    </x:row>
    <x:row r="1013" ht="23" customHeight="1">
      <x:c r="A1013" s="11" t="d">
        <x:v>2019-01-03T00:00:00.000Z</x:v>
      </x:c>
      <x:c r="B1013" s="12" t="n">
        <x:v>88241.246165</x:v>
      </x:c>
      <x:c r="C1013" s="13" t="n">
        <x:v>0</x:v>
      </x:c>
      <x:c r="D1013" s="12" t="n">
        <x:v>0</x:v>
      </x:c>
      <x:c r="E1013" s="12" t="n">
        <x:v>0</x:v>
      </x:c>
      <x:c r="F1013" s="12" t="n">
        <x:f>SUM(B1013,D1013:E1013)</x:f>
        <x:v>88241.246165</x:v>
      </x:c>
      <x:c r="G1013" s="12" t="n">
        <x:f>MAX(G1012,F1013)</x:f>
        <x:v>102238.29443099999</x:v>
      </x:c>
      <x:c r="H1013" s="14" t="n">
        <x:f>F1013/G1013-1</x:f>
        <x:v>-0.13690612058719842</x:v>
      </x:c>
      <x:c r="I1013" s="14" t="n">
        <x:f>F1013/F1012-1</x:f>
        <x:v>0</x:v>
      </x:c>
      <x:c r="J1013" s="12" t="n">
        <x:v>0</x:v>
      </x:c>
      <x:c r="K1013" s="12" t="n">
        <x:v>0</x:v>
      </x:c>
      <x:c r="L1013" s="12" t="n">
        <x:v>0</x:v>
      </x:c>
      <x:c r="M1013" s="2" t="str">
        <x:v>空仓</x:v>
      </x:c>
    </x:row>
    <x:row r="1014" ht="23" customHeight="1">
      <x:c r="A1014" s="11" t="d">
        <x:v>2019-01-04T00:00:00.000Z</x:v>
      </x:c>
      <x:c r="B1014" s="12" t="n">
        <x:v>88241.246165</x:v>
      </x:c>
      <x:c r="C1014" s="13" t="n">
        <x:v>0</x:v>
      </x:c>
      <x:c r="D1014" s="12" t="n">
        <x:v>0</x:v>
      </x:c>
      <x:c r="E1014" s="12" t="n">
        <x:v>0</x:v>
      </x:c>
      <x:c r="F1014" s="12" t="n">
        <x:f>SUM(B1014,D1014:E1014)</x:f>
        <x:v>88241.246165</x:v>
      </x:c>
      <x:c r="G1014" s="12" t="n">
        <x:f>MAX(G1013,F1014)</x:f>
        <x:v>102238.29443099999</x:v>
      </x:c>
      <x:c r="H1014" s="14" t="n">
        <x:f>F1014/G1014-1</x:f>
        <x:v>-0.13690612058719842</x:v>
      </x:c>
      <x:c r="I1014" s="14" t="n">
        <x:f>F1014/F1013-1</x:f>
        <x:v>0</x:v>
      </x:c>
      <x:c r="J1014" s="12" t="n">
        <x:v>0</x:v>
      </x:c>
      <x:c r="K1014" s="12" t="n">
        <x:v>0</x:v>
      </x:c>
      <x:c r="L1014" s="12" t="n">
        <x:v>0</x:v>
      </x:c>
      <x:c r="M1014" s="2" t="str">
        <x:v>空仓</x:v>
      </x:c>
    </x:row>
    <x:row r="1015" ht="23" customHeight="1">
      <x:c r="A1015" s="11" t="d">
        <x:v>2019-01-07T00:00:00.000Z</x:v>
      </x:c>
      <x:c r="B1015" s="12" t="n">
        <x:v>88241.246165</x:v>
      </x:c>
      <x:c r="C1015" s="13" t="n">
        <x:v>0</x:v>
      </x:c>
      <x:c r="D1015" s="12" t="n">
        <x:v>0</x:v>
      </x:c>
      <x:c r="E1015" s="12" t="n">
        <x:v>0</x:v>
      </x:c>
      <x:c r="F1015" s="12" t="n">
        <x:f>SUM(B1015,D1015:E1015)</x:f>
        <x:v>88241.246165</x:v>
      </x:c>
      <x:c r="G1015" s="12" t="n">
        <x:f>MAX(G1014,F1015)</x:f>
        <x:v>102238.29443099999</x:v>
      </x:c>
      <x:c r="H1015" s="14" t="n">
        <x:f>F1015/G1015-1</x:f>
        <x:v>-0.13690612058719842</x:v>
      </x:c>
      <x:c r="I1015" s="14" t="n">
        <x:f>F1015/F1014-1</x:f>
        <x:v>0</x:v>
      </x:c>
      <x:c r="J1015" s="12" t="n">
        <x:v>0</x:v>
      </x:c>
      <x:c r="K1015" s="12" t="n">
        <x:v>0</x:v>
      </x:c>
      <x:c r="L1015" s="12" t="n">
        <x:v>0</x:v>
      </x:c>
      <x:c r="M1015" s="2" t="str">
        <x:v>空仓</x:v>
      </x:c>
    </x:row>
    <x:row r="1016" ht="23" customHeight="1">
      <x:c r="A1016" s="11" t="d">
        <x:v>2019-01-08T00:00:00.000Z</x:v>
      </x:c>
      <x:c r="B1016" s="12" t="n">
        <x:v>88241.246165</x:v>
      </x:c>
      <x:c r="C1016" s="13" t="n">
        <x:v>0</x:v>
      </x:c>
      <x:c r="D1016" s="12" t="n">
        <x:v>0</x:v>
      </x:c>
      <x:c r="E1016" s="12" t="n">
        <x:v>0</x:v>
      </x:c>
      <x:c r="F1016" s="12" t="n">
        <x:f>SUM(B1016,D1016:E1016)</x:f>
        <x:v>88241.246165</x:v>
      </x:c>
      <x:c r="G1016" s="12" t="n">
        <x:f>MAX(G1015,F1016)</x:f>
        <x:v>102238.29443099999</x:v>
      </x:c>
      <x:c r="H1016" s="14" t="n">
        <x:f>F1016/G1016-1</x:f>
        <x:v>-0.13690612058719842</x:v>
      </x:c>
      <x:c r="I1016" s="14" t="n">
        <x:f>F1016/F1015-1</x:f>
        <x:v>0</x:v>
      </x:c>
      <x:c r="J1016" s="12" t="n">
        <x:v>0</x:v>
      </x:c>
      <x:c r="K1016" s="12" t="n">
        <x:v>0</x:v>
      </x:c>
      <x:c r="L1016" s="12" t="n">
        <x:v>0</x:v>
      </x:c>
      <x:c r="M1016" s="2" t="str">
        <x:v>空仓</x:v>
      </x:c>
    </x:row>
    <x:row r="1017" ht="23" customHeight="1">
      <x:c r="A1017" s="11" t="d">
        <x:v>2019-01-09T00:00:00.000Z</x:v>
      </x:c>
      <x:c r="B1017" s="12" t="n">
        <x:v>88241.246165</x:v>
      </x:c>
      <x:c r="C1017" s="13" t="n">
        <x:v>0</x:v>
      </x:c>
      <x:c r="D1017" s="12" t="n">
        <x:v>0</x:v>
      </x:c>
      <x:c r="E1017" s="12" t="n">
        <x:v>0</x:v>
      </x:c>
      <x:c r="F1017" s="12" t="n">
        <x:f>SUM(B1017,D1017:E1017)</x:f>
        <x:v>88241.246165</x:v>
      </x:c>
      <x:c r="G1017" s="12" t="n">
        <x:f>MAX(G1016,F1017)</x:f>
        <x:v>102238.29443099999</x:v>
      </x:c>
      <x:c r="H1017" s="14" t="n">
        <x:f>F1017/G1017-1</x:f>
        <x:v>-0.13690612058719842</x:v>
      </x:c>
      <x:c r="I1017" s="14" t="n">
        <x:f>F1017/F1016-1</x:f>
        <x:v>0</x:v>
      </x:c>
      <x:c r="J1017" s="12" t="n">
        <x:v>0</x:v>
      </x:c>
      <x:c r="K1017" s="12" t="n">
        <x:v>0</x:v>
      </x:c>
      <x:c r="L1017" s="12" t="n">
        <x:v>0</x:v>
      </x:c>
      <x:c r="M1017" s="2" t="str">
        <x:v>空仓</x:v>
      </x:c>
    </x:row>
    <x:row r="1018" ht="23" customHeight="1">
      <x:c r="A1018" s="11" t="d">
        <x:v>2019-01-10T00:00:00.000Z</x:v>
      </x:c>
      <x:c r="B1018" s="12" t="n">
        <x:v>88241.246165</x:v>
      </x:c>
      <x:c r="C1018" s="13" t="n">
        <x:v>0</x:v>
      </x:c>
      <x:c r="D1018" s="12" t="n">
        <x:v>0</x:v>
      </x:c>
      <x:c r="E1018" s="12" t="n">
        <x:v>0</x:v>
      </x:c>
      <x:c r="F1018" s="12" t="n">
        <x:f>SUM(B1018,D1018:E1018)</x:f>
        <x:v>88241.246165</x:v>
      </x:c>
      <x:c r="G1018" s="12" t="n">
        <x:f>MAX(G1017,F1018)</x:f>
        <x:v>102238.29443099999</x:v>
      </x:c>
      <x:c r="H1018" s="14" t="n">
        <x:f>F1018/G1018-1</x:f>
        <x:v>-0.13690612058719842</x:v>
      </x:c>
      <x:c r="I1018" s="14" t="n">
        <x:f>F1018/F1017-1</x:f>
        <x:v>0</x:v>
      </x:c>
      <x:c r="J1018" s="12" t="n">
        <x:v>0</x:v>
      </x:c>
      <x:c r="K1018" s="12" t="n">
        <x:v>0</x:v>
      </x:c>
      <x:c r="L1018" s="12" t="n">
        <x:v>0</x:v>
      </x:c>
      <x:c r="M1018" s="2" t="str">
        <x:v>空仓</x:v>
      </x:c>
    </x:row>
    <x:row r="1019" ht="23" customHeight="1">
      <x:c r="A1019" s="11" t="d">
        <x:v>2019-01-11T00:00:00.000Z</x:v>
      </x:c>
      <x:c r="B1019" s="12" t="n">
        <x:v>88241.246165</x:v>
      </x:c>
      <x:c r="C1019" s="13" t="n">
        <x:v>0</x:v>
      </x:c>
      <x:c r="D1019" s="12" t="n">
        <x:v>0</x:v>
      </x:c>
      <x:c r="E1019" s="12" t="n">
        <x:v>0</x:v>
      </x:c>
      <x:c r="F1019" s="12" t="n">
        <x:f>SUM(B1019,D1019:E1019)</x:f>
        <x:v>88241.246165</x:v>
      </x:c>
      <x:c r="G1019" s="12" t="n">
        <x:f>MAX(G1018,F1019)</x:f>
        <x:v>102238.29443099999</x:v>
      </x:c>
      <x:c r="H1019" s="14" t="n">
        <x:f>F1019/G1019-1</x:f>
        <x:v>-0.13690612058719842</x:v>
      </x:c>
      <x:c r="I1019" s="14" t="n">
        <x:f>F1019/F1018-1</x:f>
        <x:v>0</x:v>
      </x:c>
      <x:c r="J1019" s="12" t="n">
        <x:v>0</x:v>
      </x:c>
      <x:c r="K1019" s="12" t="n">
        <x:v>0</x:v>
      </x:c>
      <x:c r="L1019" s="12" t="n">
        <x:v>0</x:v>
      </x:c>
      <x:c r="M1019" s="2" t="str">
        <x:v>空仓</x:v>
      </x:c>
    </x:row>
    <x:row r="1020" ht="23" customHeight="1">
      <x:c r="A1020" s="11" t="d">
        <x:v>2019-01-14T00:00:00.000Z</x:v>
      </x:c>
      <x:c r="B1020" s="12" t="n">
        <x:v>88241.246165</x:v>
      </x:c>
      <x:c r="C1020" s="13" t="n">
        <x:v>0</x:v>
      </x:c>
      <x:c r="D1020" s="12" t="n">
        <x:v>0</x:v>
      </x:c>
      <x:c r="E1020" s="12" t="n">
        <x:v>0</x:v>
      </x:c>
      <x:c r="F1020" s="12" t="n">
        <x:f>SUM(B1020,D1020:E1020)</x:f>
        <x:v>88241.246165</x:v>
      </x:c>
      <x:c r="G1020" s="12" t="n">
        <x:f>MAX(G1019,F1020)</x:f>
        <x:v>102238.29443099999</x:v>
      </x:c>
      <x:c r="H1020" s="14" t="n">
        <x:f>F1020/G1020-1</x:f>
        <x:v>-0.13690612058719842</x:v>
      </x:c>
      <x:c r="I1020" s="14" t="n">
        <x:f>F1020/F1019-1</x:f>
        <x:v>0</x:v>
      </x:c>
      <x:c r="J1020" s="12" t="n">
        <x:v>0</x:v>
      </x:c>
      <x:c r="K1020" s="12" t="n">
        <x:v>0</x:v>
      </x:c>
      <x:c r="L1020" s="12" t="n">
        <x:v>0</x:v>
      </x:c>
      <x:c r="M1020" s="2" t="str">
        <x:v>空仓</x:v>
      </x:c>
    </x:row>
    <x:row r="1021" ht="23" customHeight="1">
      <x:c r="A1021" s="11" t="d">
        <x:v>2019-01-15T00:00:00.000Z</x:v>
      </x:c>
      <x:c r="B1021" s="12" t="n">
        <x:v>88241.246165</x:v>
      </x:c>
      <x:c r="C1021" s="13" t="n">
        <x:v>0</x:v>
      </x:c>
      <x:c r="D1021" s="12" t="n">
        <x:v>0</x:v>
      </x:c>
      <x:c r="E1021" s="12" t="n">
        <x:v>0</x:v>
      </x:c>
      <x:c r="F1021" s="12" t="n">
        <x:f>SUM(B1021,D1021:E1021)</x:f>
        <x:v>88241.246165</x:v>
      </x:c>
      <x:c r="G1021" s="12" t="n">
        <x:f>MAX(G1020,F1021)</x:f>
        <x:v>102238.29443099999</x:v>
      </x:c>
      <x:c r="H1021" s="14" t="n">
        <x:f>F1021/G1021-1</x:f>
        <x:v>-0.13690612058719842</x:v>
      </x:c>
      <x:c r="I1021" s="14" t="n">
        <x:f>F1021/F1020-1</x:f>
        <x:v>0</x:v>
      </x:c>
      <x:c r="J1021" s="12" t="n">
        <x:v>0</x:v>
      </x:c>
      <x:c r="K1021" s="12" t="n">
        <x:v>0</x:v>
      </x:c>
      <x:c r="L1021" s="12" t="n">
        <x:v>0</x:v>
      </x:c>
      <x:c r="M1021" s="2" t="str">
        <x:v>空仓</x:v>
      </x:c>
    </x:row>
    <x:row r="1022" ht="23" customHeight="1">
      <x:c r="A1022" s="11" t="d">
        <x:v>2019-01-16T00:00:00.000Z</x:v>
      </x:c>
      <x:c r="B1022" s="12" t="n">
        <x:v>88241.246165</x:v>
      </x:c>
      <x:c r="C1022" s="13" t="n">
        <x:v>0</x:v>
      </x:c>
      <x:c r="D1022" s="12" t="n">
        <x:v>0</x:v>
      </x:c>
      <x:c r="E1022" s="12" t="n">
        <x:v>0</x:v>
      </x:c>
      <x:c r="F1022" s="12" t="n">
        <x:f>SUM(B1022,D1022:E1022)</x:f>
        <x:v>88241.246165</x:v>
      </x:c>
      <x:c r="G1022" s="12" t="n">
        <x:f>MAX(G1021,F1022)</x:f>
        <x:v>102238.29443099999</x:v>
      </x:c>
      <x:c r="H1022" s="14" t="n">
        <x:f>F1022/G1022-1</x:f>
        <x:v>-0.13690612058719842</x:v>
      </x:c>
      <x:c r="I1022" s="14" t="n">
        <x:f>F1022/F1021-1</x:f>
        <x:v>0</x:v>
      </x:c>
      <x:c r="J1022" s="12" t="n">
        <x:v>0</x:v>
      </x:c>
      <x:c r="K1022" s="12" t="n">
        <x:v>0</x:v>
      </x:c>
      <x:c r="L1022" s="12" t="n">
        <x:v>0</x:v>
      </x:c>
      <x:c r="M1022" s="2" t="str">
        <x:v>空仓</x:v>
      </x:c>
    </x:row>
    <x:row r="1023" ht="23" customHeight="1">
      <x:c r="A1023" s="11" t="d">
        <x:v>2019-01-17T00:00:00.000Z</x:v>
      </x:c>
      <x:c r="B1023" s="12" t="n">
        <x:v>88241.246165</x:v>
      </x:c>
      <x:c r="C1023" s="13" t="n">
        <x:v>0</x:v>
      </x:c>
      <x:c r="D1023" s="12" t="n">
        <x:v>0</x:v>
      </x:c>
      <x:c r="E1023" s="12" t="n">
        <x:v>0</x:v>
      </x:c>
      <x:c r="F1023" s="12" t="n">
        <x:f>SUM(B1023,D1023:E1023)</x:f>
        <x:v>88241.246165</x:v>
      </x:c>
      <x:c r="G1023" s="12" t="n">
        <x:f>MAX(G1022,F1023)</x:f>
        <x:v>102238.29443099999</x:v>
      </x:c>
      <x:c r="H1023" s="14" t="n">
        <x:f>F1023/G1023-1</x:f>
        <x:v>-0.13690612058719842</x:v>
      </x:c>
      <x:c r="I1023" s="14" t="n">
        <x:f>F1023/F1022-1</x:f>
        <x:v>0</x:v>
      </x:c>
      <x:c r="J1023" s="12" t="n">
        <x:v>0</x:v>
      </x:c>
      <x:c r="K1023" s="12" t="n">
        <x:v>0</x:v>
      </x:c>
      <x:c r="L1023" s="12" t="n">
        <x:v>0</x:v>
      </x:c>
      <x:c r="M1023" s="2" t="str">
        <x:v>空仓</x:v>
      </x:c>
    </x:row>
    <x:row r="1024" ht="23" customHeight="1">
      <x:c r="A1024" s="11" t="d">
        <x:v>2019-01-18T00:00:00.000Z</x:v>
      </x:c>
      <x:c r="B1024" s="12" t="n">
        <x:v>179.912805</x:v>
      </x:c>
      <x:c r="C1024" s="13" t="n">
        <x:v>332</x:v>
      </x:c>
      <x:c r="D1024" s="12" t="n">
        <x:v>88464.71999999999</x:v>
      </x:c>
      <x:c r="E1024" s="12" t="n">
        <x:v>0</x:v>
      </x:c>
      <x:c r="F1024" s="12" t="n">
        <x:f>SUM(B1024,D1024:E1024)</x:f>
        <x:v>88644.63280499999</x:v>
      </x:c>
      <x:c r="G1024" s="12" t="n">
        <x:f>MAX(G1023,F1024)</x:f>
        <x:v>102238.29443099999</x:v>
      </x:c>
      <x:c r="H1024" s="14" t="n">
        <x:f>F1024/G1024-1</x:f>
        <x:v>-0.13296056728698935</x:v>
      </x:c>
      <x:c r="I1024" s="14" t="n">
        <x:f>F1024/F1023-1</x:f>
        <x:v>0.004571406882057261</x:v>
      </x:c>
      <x:c r="J1024" s="12" t="n">
        <x:v>0</x:v>
      </x:c>
      <x:c r="K1024" s="12" t="n">
        <x:v>0</x:v>
      </x:c>
      <x:c r="L1024" s="12" t="n">
        <x:v>332</x:v>
      </x:c>
      <x:c r="M1024" s="2" t="str">
        <x:v>买入</x:v>
      </x:c>
    </x:row>
    <x:row r="1025" ht="23" customHeight="1">
      <x:c r="A1025" s="11" t="d">
        <x:v>2019-01-22T00:00:00.000Z</x:v>
      </x:c>
      <x:c r="B1025" s="12" t="n">
        <x:v>179.912805</x:v>
      </x:c>
      <x:c r="C1025" s="13" t="n">
        <x:v>332</x:v>
      </x:c>
      <x:c r="D1025" s="12" t="n">
        <x:v>87269.52</x:v>
      </x:c>
      <x:c r="E1025" s="12" t="n">
        <x:v>0</x:v>
      </x:c>
      <x:c r="F1025" s="12" t="n">
        <x:f>SUM(B1025,D1025:E1025)</x:f>
        <x:v>87449.432805</x:v>
      </x:c>
      <x:c r="G1025" s="12" t="n">
        <x:f>MAX(G1024,F1025)</x:f>
        <x:v>102238.29443099999</x:v>
      </x:c>
      <x:c r="H1025" s="14" t="n">
        <x:f>F1025/G1025-1</x:f>
        <x:v>-0.14465090315039342</x:v>
      </x:c>
      <x:c r="I1025" s="14" t="n">
        <x:f>F1025/F1024-1</x:f>
        <x:v>-0.013483049815651849</x:v>
      </x:c>
      <x:c r="J1025" s="12" t="n">
        <x:v>0</x:v>
      </x:c>
      <x:c r="K1025" s="12" t="n">
        <x:v>0</x:v>
      </x:c>
      <x:c r="L1025" s="12" t="n">
        <x:v>0</x:v>
      </x:c>
      <x:c r="M1025" s="2" t="str">
        <x:v>持有</x:v>
      </x:c>
    </x:row>
    <x:row r="1026" ht="23" customHeight="1">
      <x:c r="A1026" s="11" t="d">
        <x:v>2019-01-23T00:00:00.000Z</x:v>
      </x:c>
      <x:c r="B1026" s="12" t="n">
        <x:v>179.912805</x:v>
      </x:c>
      <x:c r="C1026" s="13" t="n">
        <x:v>332</x:v>
      </x:c>
      <x:c r="D1026" s="12" t="n">
        <x:v>87452.12000000001</x:v>
      </x:c>
      <x:c r="E1026" s="12" t="n">
        <x:v>0</x:v>
      </x:c>
      <x:c r="F1026" s="12" t="n">
        <x:f>SUM(B1026,D1026:E1026)</x:f>
        <x:v>87632.03280500001</x:v>
      </x:c>
      <x:c r="G1026" s="12" t="n">
        <x:f>MAX(G1025,F1026)</x:f>
        <x:v>102238.29443099999</x:v>
      </x:c>
      <x:c r="H1026" s="14" t="n">
        <x:f>F1026/G1026-1</x:f>
        <x:v>-0.1428648796157066</x:v>
      </x:c>
      <x:c r="I1026" s="14" t="n">
        <x:f>F1026/F1025-1</x:f>
        <x:v>0.0020880638575115906</x:v>
      </x:c>
      <x:c r="J1026" s="12" t="n">
        <x:v>0</x:v>
      </x:c>
      <x:c r="K1026" s="12" t="n">
        <x:v>0</x:v>
      </x:c>
      <x:c r="L1026" s="12" t="n">
        <x:v>0</x:v>
      </x:c>
      <x:c r="M1026" s="2" t="str">
        <x:v>持有</x:v>
      </x:c>
    </x:row>
    <x:row r="1027" ht="23" customHeight="1">
      <x:c r="A1027" s="11" t="d">
        <x:v>2019-01-24T00:00:00.000Z</x:v>
      </x:c>
      <x:c r="B1027" s="12" t="n">
        <x:v>179.912805</x:v>
      </x:c>
      <x:c r="C1027" s="13" t="n">
        <x:v>332</x:v>
      </x:c>
      <x:c r="D1027" s="12" t="n">
        <x:v>87498.6</x:v>
      </x:c>
      <x:c r="E1027" s="12" t="n">
        <x:v>0</x:v>
      </x:c>
      <x:c r="F1027" s="12" t="n">
        <x:f>SUM(B1027,D1027:E1027)</x:f>
        <x:v>87678.512805</x:v>
      </x:c>
      <x:c r="G1027" s="12" t="n">
        <x:f>MAX(G1026,F1027)</x:f>
        <x:v>102238.29443099999</x:v>
      </x:c>
      <x:c r="H1027" s="14" t="n">
        <x:f>F1027/G1027-1</x:f>
        <x:v>-0.14241025544324093</x:v>
      </x:c>
      <x:c r="I1027" s="14" t="n">
        <x:f>F1027/F1026-1</x:f>
        <x:v>0.0005303996553798207</x:v>
      </x:c>
      <x:c r="J1027" s="12" t="n">
        <x:v>0</x:v>
      </x:c>
      <x:c r="K1027" s="12" t="n">
        <x:v>0</x:v>
      </x:c>
      <x:c r="L1027" s="12" t="n">
        <x:v>0</x:v>
      </x:c>
      <x:c r="M1027" s="2" t="str">
        <x:v>持有</x:v>
      </x:c>
    </x:row>
    <x:row r="1028" ht="23" customHeight="1">
      <x:c r="A1028" s="11" t="d">
        <x:v>2019-01-25T00:00:00.000Z</x:v>
      </x:c>
      <x:c r="B1028" s="12" t="n">
        <x:v>179.912805</x:v>
      </x:c>
      <x:c r="C1028" s="13" t="n">
        <x:v>332</x:v>
      </x:c>
      <x:c r="D1028" s="12" t="n">
        <x:v>88238.95999999999</x:v>
      </x:c>
      <x:c r="E1028" s="12" t="n">
        <x:v>0</x:v>
      </x:c>
      <x:c r="F1028" s="12" t="n">
        <x:f>SUM(B1028,D1028:E1028)</x:f>
        <x:v>88418.87280499999</x:v>
      </x:c>
      <x:c r="G1028" s="12" t="n">
        <x:f>MAX(G1027,F1028)</x:f>
        <x:v>102238.29443099999</x:v>
      </x:c>
      <x:c r="H1028" s="14" t="n">
        <x:f>F1028/G1028-1</x:f>
        <x:v>-0.13516874183896566</x:v>
      </x:c>
      <x:c r="I1028" s="14" t="n">
        <x:f>F1028/F1027-1</x:f>
        <x:v>0.008444030085758447</x:v>
      </x:c>
      <x:c r="J1028" s="12" t="n">
        <x:v>0</x:v>
      </x:c>
      <x:c r="K1028" s="12" t="n">
        <x:v>0</x:v>
      </x:c>
      <x:c r="L1028" s="12" t="n">
        <x:v>0</x:v>
      </x:c>
      <x:c r="M1028" s="2" t="str">
        <x:v>持有</x:v>
      </x:c>
    </x:row>
    <x:row r="1029" ht="23" customHeight="1">
      <x:c r="A1029" s="11" t="d">
        <x:v>2019-01-28T00:00:00.000Z</x:v>
      </x:c>
      <x:c r="B1029" s="12" t="n">
        <x:v>179.912805</x:v>
      </x:c>
      <x:c r="C1029" s="13" t="n">
        <x:v>332</x:v>
      </x:c>
      <x:c r="D1029" s="12" t="n">
        <x:v>87568.31999999999</x:v>
      </x:c>
      <x:c r="E1029" s="12" t="n">
        <x:v>0</x:v>
      </x:c>
      <x:c r="F1029" s="12" t="n">
        <x:f>SUM(B1029,D1029:E1029)</x:f>
        <x:v>87748.23280499999</x:v>
      </x:c>
      <x:c r="G1029" s="12" t="n">
        <x:f>MAX(G1028,F1029)</x:f>
        <x:v>102238.29443099999</x:v>
      </x:c>
      <x:c r="H1029" s="14" t="n">
        <x:f>F1029/G1029-1</x:f>
        <x:v>-0.14172831918454243</x:v>
      </x:c>
      <x:c r="I1029" s="14" t="n">
        <x:f>F1029/F1028-1</x:f>
        <x:v>-0.007584806034329761</x:v>
      </x:c>
      <x:c r="J1029" s="12" t="n">
        <x:v>0</x:v>
      </x:c>
      <x:c r="K1029" s="12" t="n">
        <x:v>0</x:v>
      </x:c>
      <x:c r="L1029" s="12" t="n">
        <x:v>0</x:v>
      </x:c>
      <x:c r="M1029" s="2" t="str">
        <x:v>持有</x:v>
      </x:c>
    </x:row>
    <x:row r="1030" ht="23" customHeight="1">
      <x:c r="A1030" s="11" t="d">
        <x:v>2019-01-29T00:00:00.000Z</x:v>
      </x:c>
      <x:c r="B1030" s="12" t="n">
        <x:v>179.912805</x:v>
      </x:c>
      <x:c r="C1030" s="13" t="n">
        <x:v>332</x:v>
      </x:c>
      <x:c r="D1030" s="12" t="n">
        <x:v>87452.12000000001</x:v>
      </x:c>
      <x:c r="E1030" s="12" t="n">
        <x:v>0</x:v>
      </x:c>
      <x:c r="F1030" s="12" t="n">
        <x:f>SUM(B1030,D1030:E1030)</x:f>
        <x:v>87632.03280500001</x:v>
      </x:c>
      <x:c r="G1030" s="12" t="n">
        <x:f>MAX(G1029,F1030)</x:f>
        <x:v>102238.29443099999</x:v>
      </x:c>
      <x:c r="H1030" s="14" t="n">
        <x:f>F1030/G1030-1</x:f>
        <x:v>-0.1428648796157066</x:v>
      </x:c>
      <x:c r="I1030" s="14" t="n">
        <x:f>F1030/F1029-1</x:f>
        <x:v>-0.0013242431931160814</x:v>
      </x:c>
      <x:c r="J1030" s="12" t="n">
        <x:v>0</x:v>
      </x:c>
      <x:c r="K1030" s="12" t="n">
        <x:v>0</x:v>
      </x:c>
      <x:c r="L1030" s="12" t="n">
        <x:v>0</x:v>
      </x:c>
      <x:c r="M1030" s="2" t="str">
        <x:v>持有</x:v>
      </x:c>
    </x:row>
    <x:row r="1031" ht="23" customHeight="1">
      <x:c r="A1031" s="11" t="d">
        <x:v>2019-01-30T00:00:00.000Z</x:v>
      </x:c>
      <x:c r="B1031" s="12" t="n">
        <x:v>179.912805</x:v>
      </x:c>
      <x:c r="C1031" s="13" t="n">
        <x:v>332</x:v>
      </x:c>
      <x:c r="D1031" s="12" t="n">
        <x:v>88836.56</x:v>
      </x:c>
      <x:c r="E1031" s="12" t="n">
        <x:v>0</x:v>
      </x:c>
      <x:c r="F1031" s="12" t="n">
        <x:f>SUM(B1031,D1031:E1031)</x:f>
        <x:v>89016.472805</x:v>
      </x:c>
      <x:c r="G1031" s="12" t="n">
        <x:f>MAX(G1030,F1031)</x:f>
        <x:v>102238.29443099999</x:v>
      </x:c>
      <x:c r="H1031" s="14" t="n">
        <x:f>F1031/G1031-1</x:f>
        <x:v>-0.12932357390726346</x:v>
      </x:c>
      <x:c r="I1031" s="14" t="n">
        <x:f>F1031/F1030-1</x:f>
        <x:v>0.015798332592382724</x:v>
      </x:c>
      <x:c r="J1031" s="12" t="n">
        <x:v>0</x:v>
      </x:c>
      <x:c r="K1031" s="12" t="n">
        <x:v>0</x:v>
      </x:c>
      <x:c r="L1031" s="12" t="n">
        <x:v>0</x:v>
      </x:c>
      <x:c r="M1031" s="2" t="str">
        <x:v>持有</x:v>
      </x:c>
    </x:row>
    <x:row r="1032" ht="23" customHeight="1">
      <x:c r="A1032" s="11" t="d">
        <x:v>2019-01-31T00:00:00.000Z</x:v>
      </x:c>
      <x:c r="B1032" s="12" t="n">
        <x:v>179.912805</x:v>
      </x:c>
      <x:c r="C1032" s="13" t="n">
        <x:v>332</x:v>
      </x:c>
      <x:c r="D1032" s="12" t="n">
        <x:v>89616.76000000001</x:v>
      </x:c>
      <x:c r="E1032" s="12" t="n">
        <x:v>0</x:v>
      </x:c>
      <x:c r="F1032" s="12" t="n">
        <x:f>SUM(B1032,D1032:E1032)</x:f>
        <x:v>89796.67280500001</x:v>
      </x:c>
      <x:c r="G1032" s="12" t="n">
        <x:f>MAX(G1031,F1032)</x:f>
        <x:v>102238.29443099999</x:v>
      </x:c>
      <x:c r="H1032" s="14" t="n">
        <x:f>F1032/G1032-1</x:f>
        <x:v>-0.12169238244087444</x:v>
      </x:c>
      <x:c r="I1032" s="14" t="n">
        <x:f>F1032/F1031-1</x:f>
        <x:v>0.008764669902267652</x:v>
      </x:c>
      <x:c r="J1032" s="12" t="n">
        <x:v>0</x:v>
      </x:c>
      <x:c r="K1032" s="12" t="n">
        <x:v>0</x:v>
      </x:c>
      <x:c r="L1032" s="12" t="n">
        <x:v>0</x:v>
      </x:c>
      <x:c r="M1032" s="2" t="str">
        <x:v>持有</x:v>
      </x:c>
    </x:row>
    <x:row r="1033" ht="23" customHeight="1">
      <x:c r="A1033" s="11" t="d">
        <x:v>2019-02-01T00:00:00.000Z</x:v>
      </x:c>
      <x:c r="B1033" s="12" t="n">
        <x:v>179.912805</x:v>
      </x:c>
      <x:c r="C1033" s="13" t="n">
        <x:v>332</x:v>
      </x:c>
      <x:c r="D1033" s="12" t="n">
        <x:v>89659.92</x:v>
      </x:c>
      <x:c r="E1033" s="12" t="n">
        <x:v>0</x:v>
      </x:c>
      <x:c r="F1033" s="12" t="n">
        <x:f>SUM(B1033,D1033:E1033)</x:f>
        <x:v>89839.832805</x:v>
      </x:c>
      <x:c r="G1033" s="12" t="n">
        <x:f>MAX(G1032,F1033)</x:f>
        <x:v>102238.29443099999</x:v>
      </x:c>
      <x:c r="H1033" s="14" t="n">
        <x:f>F1033/G1033-1</x:f>
        <x:v>-0.12127023142358495</x:v>
      </x:c>
      <x:c r="I1033" s="14" t="n">
        <x:f>F1033/F1032-1</x:f>
        <x:v>0.0004806414163440742</x:v>
      </x:c>
      <x:c r="J1033" s="12" t="n">
        <x:v>0</x:v>
      </x:c>
      <x:c r="K1033" s="12" t="n">
        <x:v>0</x:v>
      </x:c>
      <x:c r="L1033" s="12" t="n">
        <x:v>0</x:v>
      </x:c>
      <x:c r="M1033" s="2" t="str">
        <x:v>持有</x:v>
      </x:c>
    </x:row>
    <x:row r="1034" ht="23" customHeight="1">
      <x:c r="A1034" s="11" t="d">
        <x:v>2019-02-04T00:00:00.000Z</x:v>
      </x:c>
      <x:c r="B1034" s="12" t="n">
        <x:v>179.912805</x:v>
      </x:c>
      <x:c r="C1034" s="13" t="n">
        <x:v>332</x:v>
      </x:c>
      <x:c r="D1034" s="12" t="n">
        <x:v>90290.71999999999</x:v>
      </x:c>
      <x:c r="E1034" s="12" t="n">
        <x:v>0</x:v>
      </x:c>
      <x:c r="F1034" s="12" t="n">
        <x:f>SUM(B1034,D1034:E1034)</x:f>
        <x:v>90470.63280499999</x:v>
      </x:c>
      <x:c r="G1034" s="12" t="n">
        <x:f>MAX(G1033,F1034)</x:f>
        <x:v>102238.29443099999</x:v>
      </x:c>
      <x:c r="H1034" s="14" t="n">
        <x:f>F1034/G1034-1</x:f>
        <x:v>-0.11510033194012181</x:v>
      </x:c>
      <x:c r="I1034" s="14" t="n">
        <x:f>F1034/F1033-1</x:f>
        <x:v>0.0070213843938151665</x:v>
      </x:c>
      <x:c r="J1034" s="12" t="n">
        <x:v>0</x:v>
      </x:c>
      <x:c r="K1034" s="12" t="n">
        <x:v>0</x:v>
      </x:c>
      <x:c r="L1034" s="12" t="n">
        <x:v>0</x:v>
      </x:c>
      <x:c r="M1034" s="2" t="str">
        <x:v>持有</x:v>
      </x:c>
    </x:row>
    <x:row r="1035" ht="23" customHeight="1">
      <x:c r="A1035" s="11" t="d">
        <x:v>2019-02-05T00:00:00.000Z</x:v>
      </x:c>
      <x:c r="B1035" s="12" t="n">
        <x:v>179.912805</x:v>
      </x:c>
      <x:c r="C1035" s="13" t="n">
        <x:v>332</x:v>
      </x:c>
      <x:c r="D1035" s="12" t="n">
        <x:v>90669.20000000001</x:v>
      </x:c>
      <x:c r="E1035" s="12" t="n">
        <x:v>0</x:v>
      </x:c>
      <x:c r="F1035" s="12" t="n">
        <x:f>SUM(B1035,D1035:E1035)</x:f>
        <x:v>90849.11280500001</x:v>
      </x:c>
      <x:c r="G1035" s="12" t="n">
        <x:f>MAX(G1034,F1035)</x:f>
        <x:v>102238.29443099999</x:v>
      </x:c>
      <x:c r="H1035" s="14" t="n">
        <x:f>F1035/G1035-1</x:f>
        <x:v>-0.11139839225004355</x:v>
      </x:c>
      <x:c r="I1035" s="14" t="n">
        <x:f>F1035/F1034-1</x:f>
        <x:v>0.004183456976760702</x:v>
      </x:c>
      <x:c r="J1035" s="12" t="n">
        <x:v>0</x:v>
      </x:c>
      <x:c r="K1035" s="12" t="n">
        <x:v>0</x:v>
      </x:c>
      <x:c r="L1035" s="12" t="n">
        <x:v>0</x:v>
      </x:c>
      <x:c r="M1035" s="2" t="str">
        <x:v>持有</x:v>
      </x:c>
    </x:row>
    <x:row r="1036" ht="23" customHeight="1">
      <x:c r="A1036" s="11" t="d">
        <x:v>2019-02-06T00:00:00.000Z</x:v>
      </x:c>
      <x:c r="B1036" s="12" t="n">
        <x:v>179.912805</x:v>
      </x:c>
      <x:c r="C1036" s="13" t="n">
        <x:v>332</x:v>
      </x:c>
      <x:c r="D1036" s="12" t="n">
        <x:v>90549.68000000001</x:v>
      </x:c>
      <x:c r="E1036" s="12" t="n">
        <x:v>0</x:v>
      </x:c>
      <x:c r="F1036" s="12" t="n">
        <x:f>SUM(B1036,D1036:E1036)</x:f>
        <x:v>90729.59280500001</x:v>
      </x:c>
      <x:c r="G1036" s="12" t="n">
        <x:f>MAX(G1035,F1036)</x:f>
        <x:v>102238.29443099999</x:v>
      </x:c>
      <x:c r="H1036" s="14" t="n">
        <x:f>F1036/G1036-1</x:f>
        <x:v>-0.11256742583638402</x:v>
      </x:c>
      <x:c r="I1036" s="14" t="n">
        <x:f>F1036/F1035-1</x:f>
        <x:v>-0.0013155879711951313</x:v>
      </x:c>
      <x:c r="J1036" s="12" t="n">
        <x:v>0</x:v>
      </x:c>
      <x:c r="K1036" s="12" t="n">
        <x:v>0</x:v>
      </x:c>
      <x:c r="L1036" s="12" t="n">
        <x:v>0</x:v>
      </x:c>
      <x:c r="M1036" s="2" t="str">
        <x:v>持有</x:v>
      </x:c>
    </x:row>
    <x:row r="1037" ht="23" customHeight="1">
      <x:c r="A1037" s="11" t="d">
        <x:v>2019-02-07T00:00:00.000Z</x:v>
      </x:c>
      <x:c r="B1037" s="12" t="n">
        <x:v>179.912805</x:v>
      </x:c>
      <x:c r="C1037" s="13" t="n">
        <x:v>332</x:v>
      </x:c>
      <x:c r="D1037" s="12" t="n">
        <x:v>89686.48</x:v>
      </x:c>
      <x:c r="E1037" s="12" t="n">
        <x:v>0</x:v>
      </x:c>
      <x:c r="F1037" s="12" t="n">
        <x:f>SUM(B1037,D1037:E1037)</x:f>
        <x:v>89866.392805</x:v>
      </x:c>
      <x:c r="G1037" s="12" t="n">
        <x:f>MAX(G1036,F1037)</x:f>
        <x:v>102238.29443099999</x:v>
      </x:c>
      <x:c r="H1037" s="14" t="n">
        <x:f>F1037/G1037-1</x:f>
        <x:v>-0.12101044618217605</x:v>
      </x:c>
      <x:c r="I1037" s="14" t="n">
        <x:f>F1037/F1036-1</x:f>
        <x:v>-0.009513985165294891</x:v>
      </x:c>
      <x:c r="J1037" s="12" t="n">
        <x:v>0</x:v>
      </x:c>
      <x:c r="K1037" s="12" t="n">
        <x:v>0</x:v>
      </x:c>
      <x:c r="L1037" s="12" t="n">
        <x:v>0</x:v>
      </x:c>
      <x:c r="M1037" s="2" t="str">
        <x:v>持有</x:v>
      </x:c>
    </x:row>
    <x:row r="1038" ht="23" customHeight="1">
      <x:c r="A1038" s="11" t="d">
        <x:v>2019-02-08T00:00:00.000Z</x:v>
      </x:c>
      <x:c r="B1038" s="12" t="n">
        <x:v>179.912805</x:v>
      </x:c>
      <x:c r="C1038" s="13" t="n">
        <x:v>332</x:v>
      </x:c>
      <x:c r="D1038" s="12" t="n">
        <x:v>89796.04000000001</x:v>
      </x:c>
      <x:c r="E1038" s="12" t="n">
        <x:v>0</x:v>
      </x:c>
      <x:c r="F1038" s="12" t="n">
        <x:f>SUM(B1038,D1038:E1038)</x:f>
        <x:v>89975.95280500001</x:v>
      </x:c>
      <x:c r="G1038" s="12" t="n">
        <x:f>MAX(G1037,F1038)</x:f>
        <x:v>102238.29443099999</x:v>
      </x:c>
      <x:c r="H1038" s="14" t="n">
        <x:f>F1038/G1038-1</x:f>
        <x:v>-0.11993883206136391</x:v>
      </x:c>
      <x:c r="I1038" s="14" t="n">
        <x:f>F1038/F1037-1</x:f>
        <x:v>0.0012191431811194864</x:v>
      </x:c>
      <x:c r="J1038" s="12" t="n">
        <x:v>0</x:v>
      </x:c>
      <x:c r="K1038" s="12" t="n">
        <x:v>0</x:v>
      </x:c>
      <x:c r="L1038" s="12" t="n">
        <x:v>0</x:v>
      </x:c>
      <x:c r="M1038" s="2" t="str">
        <x:v>持有</x:v>
      </x:c>
    </x:row>
    <x:row r="1039" ht="23" customHeight="1">
      <x:c r="A1039" s="11" t="d">
        <x:v>2019-02-11T00:00:00.000Z</x:v>
      </x:c>
      <x:c r="B1039" s="12" t="n">
        <x:v>179.912805</x:v>
      </x:c>
      <x:c r="C1039" s="13" t="n">
        <x:v>332</x:v>
      </x:c>
      <x:c r="D1039" s="12" t="n">
        <x:v>89845.84</x:v>
      </x:c>
      <x:c r="E1039" s="12" t="n">
        <x:v>0</x:v>
      </x:c>
      <x:c r="F1039" s="12" t="n">
        <x:f>SUM(B1039,D1039:E1039)</x:f>
        <x:v>90025.752805</x:v>
      </x:c>
      <x:c r="G1039" s="12" t="n">
        <x:f>MAX(G1038,F1039)</x:f>
        <x:v>102238.29443099999</x:v>
      </x:c>
      <x:c r="H1039" s="14" t="n">
        <x:f>F1039/G1039-1</x:f>
        <x:v>-0.11945173473372217</x:v>
      </x:c>
      <x:c r="I1039" s="14" t="n">
        <x:f>F1039/F1038-1</x:f>
        <x:v>0.0005534812185641336</x:v>
      </x:c>
      <x:c r="J1039" s="12" t="n">
        <x:v>0</x:v>
      </x:c>
      <x:c r="K1039" s="12" t="n">
        <x:v>0</x:v>
      </x:c>
      <x:c r="L1039" s="12" t="n">
        <x:v>0</x:v>
      </x:c>
      <x:c r="M1039" s="2" t="str">
        <x:v>持有</x:v>
      </x:c>
    </x:row>
    <x:row r="1040" ht="23" customHeight="1">
      <x:c r="A1040" s="11" t="d">
        <x:v>2019-02-12T00:00:00.000Z</x:v>
      </x:c>
      <x:c r="B1040" s="12" t="n">
        <x:v>179.912805</x:v>
      </x:c>
      <x:c r="C1040" s="13" t="n">
        <x:v>332</x:v>
      </x:c>
      <x:c r="D1040" s="12" t="n">
        <x:v>91001.20000000001</x:v>
      </x:c>
      <x:c r="E1040" s="12" t="n">
        <x:v>0</x:v>
      </x:c>
      <x:c r="F1040" s="12" t="n">
        <x:f>SUM(B1040,D1040:E1040)</x:f>
        <x:v>91181.11280500001</x:v>
      </x:c>
      <x:c r="G1040" s="12" t="n">
        <x:f>MAX(G1039,F1040)</x:f>
        <x:v>102238.29443099999</x:v>
      </x:c>
      <x:c r="H1040" s="14" t="n">
        <x:f>F1040/G1040-1</x:f>
        <x:v>-0.10815107673243118</x:v>
      </x:c>
      <x:c r="I1040" s="14" t="n">
        <x:f>F1040/F1039-1</x:f>
        <x:v>0.012833661080319692</x:v>
      </x:c>
      <x:c r="J1040" s="12" t="n">
        <x:v>0</x:v>
      </x:c>
      <x:c r="K1040" s="12" t="n">
        <x:v>0</x:v>
      </x:c>
      <x:c r="L1040" s="12" t="n">
        <x:v>0</x:v>
      </x:c>
      <x:c r="M1040" s="2" t="str">
        <x:v>持有</x:v>
      </x:c>
    </x:row>
    <x:row r="1041" ht="23" customHeight="1">
      <x:c r="A1041" s="11" t="d">
        <x:v>2019-02-13T00:00:00.000Z</x:v>
      </x:c>
      <x:c r="B1041" s="12" t="n">
        <x:v>179.912805</x:v>
      </x:c>
      <x:c r="C1041" s="13" t="n">
        <x:v>332</x:v>
      </x:c>
      <x:c r="D1041" s="12" t="n">
        <x:v>91296.68000000001</x:v>
      </x:c>
      <x:c r="E1041" s="12" t="n">
        <x:v>0</x:v>
      </x:c>
      <x:c r="F1041" s="12" t="n">
        <x:f>SUM(B1041,D1041:E1041)</x:f>
        <x:v>91476.59280500001</x:v>
      </x:c>
      <x:c r="G1041" s="12" t="n">
        <x:f>MAX(G1040,F1041)</x:f>
        <x:v>102238.29443099999</x:v>
      </x:c>
      <x:c r="H1041" s="14" t="n">
        <x:f>F1041/G1041-1</x:f>
        <x:v>-0.10526096592175638</x:v>
      </x:c>
      <x:c r="I1041" s="14" t="n">
        <x:f>F1041/F1040-1</x:f>
        <x:v>0.0032405833939743722</x:v>
      </x:c>
      <x:c r="J1041" s="12" t="n">
        <x:v>0</x:v>
      </x:c>
      <x:c r="K1041" s="12" t="n">
        <x:v>0</x:v>
      </x:c>
      <x:c r="L1041" s="12" t="n">
        <x:v>0</x:v>
      </x:c>
      <x:c r="M1041" s="2" t="str">
        <x:v>持有</x:v>
      </x:c>
    </x:row>
    <x:row r="1042" ht="23" customHeight="1">
      <x:c r="A1042" s="11" t="d">
        <x:v>2019-02-14T00:00:00.000Z</x:v>
      </x:c>
      <x:c r="B1042" s="12" t="n">
        <x:v>179.912805</x:v>
      </x:c>
      <x:c r="C1042" s="13" t="n">
        <x:v>332</x:v>
      </x:c>
      <x:c r="D1042" s="12" t="n">
        <x:v>91094.16</x:v>
      </x:c>
      <x:c r="E1042" s="12" t="n">
        <x:v>0</x:v>
      </x:c>
      <x:c r="F1042" s="12" t="n">
        <x:f>SUM(B1042,D1042:E1042)</x:f>
        <x:v>91274.072805</x:v>
      </x:c>
      <x:c r="G1042" s="12" t="n">
        <x:f>MAX(G1041,F1042)</x:f>
        <x:v>102238.29443099999</x:v>
      </x:c>
      <x:c r="H1042" s="14" t="n">
        <x:f>F1042/G1042-1</x:f>
        <x:v>-0.10724182838749985</x:v>
      </x:c>
      <x:c r="I1042" s="14" t="n">
        <x:f>F1042/F1041-1</x:f>
        <x:v>-0.002213899685045262</x:v>
      </x:c>
      <x:c r="J1042" s="12" t="n">
        <x:v>0</x:v>
      </x:c>
      <x:c r="K1042" s="12" t="n">
        <x:v>0</x:v>
      </x:c>
      <x:c r="L1042" s="12" t="n">
        <x:v>0</x:v>
      </x:c>
      <x:c r="M1042" s="2" t="str">
        <x:v>持有</x:v>
      </x:c>
    </x:row>
    <x:row r="1043" ht="23" customHeight="1">
      <x:c r="A1043" s="11" t="d">
        <x:v>2019-02-15T00:00:00.000Z</x:v>
      </x:c>
      <x:c r="B1043" s="12" t="n">
        <x:v>179.912805</x:v>
      </x:c>
      <x:c r="C1043" s="13" t="n">
        <x:v>332</x:v>
      </x:c>
      <x:c r="D1043" s="12" t="n">
        <x:v>92086.84</x:v>
      </x:c>
      <x:c r="E1043" s="12" t="n">
        <x:v>0</x:v>
      </x:c>
      <x:c r="F1043" s="12" t="n">
        <x:f>SUM(B1043,D1043:E1043)</x:f>
        <x:v>92266.752805</x:v>
      </x:c>
      <x:c r="G1043" s="12" t="n">
        <x:f>MAX(G1042,F1043)</x:f>
        <x:v>102238.29443099999</x:v>
      </x:c>
      <x:c r="H1043" s="14" t="n">
        <x:f>F1043/G1043-1</x:f>
        <x:v>-0.09753235498983925</x:v>
      </x:c>
      <x:c r="I1043" s="14" t="n">
        <x:f>F1043/F1042-1</x:f>
        <x:v>0.01087581576556551</x:v>
      </x:c>
      <x:c r="J1043" s="12" t="n">
        <x:v>0</x:v>
      </x:c>
      <x:c r="K1043" s="12" t="n">
        <x:v>0</x:v>
      </x:c>
      <x:c r="L1043" s="12" t="n">
        <x:v>0</x:v>
      </x:c>
      <x:c r="M1043" s="2" t="str">
        <x:v>持有</x:v>
      </x:c>
    </x:row>
    <x:row r="1044" ht="23" customHeight="1">
      <x:c r="A1044" s="11" t="d">
        <x:v>2019-02-19T00:00:00.000Z</x:v>
      </x:c>
      <x:c r="B1044" s="12" t="n">
        <x:v>179.912805</x:v>
      </x:c>
      <x:c r="C1044" s="13" t="n">
        <x:v>332</x:v>
      </x:c>
      <x:c r="D1044" s="12" t="n">
        <x:v>92246.20000000001</x:v>
      </x:c>
      <x:c r="E1044" s="12" t="n">
        <x:v>0</x:v>
      </x:c>
      <x:c r="F1044" s="12" t="n">
        <x:f>SUM(B1044,D1044:E1044)</x:f>
        <x:v>92426.11280500001</x:v>
      </x:c>
      <x:c r="G1044" s="12" t="n">
        <x:f>MAX(G1043,F1044)</x:f>
        <x:v>102238.29443099999</x:v>
      </x:c>
      <x:c r="H1044" s="14" t="n">
        <x:f>F1044/G1044-1</x:f>
        <x:v>-0.09597364354138516</x:v>
      </x:c>
      <x:c r="I1044" s="14" t="n">
        <x:f>F1044/F1043-1</x:f>
        <x:v>0.0017271660176099157</x:v>
      </x:c>
      <x:c r="J1044" s="12" t="n">
        <x:v>0</x:v>
      </x:c>
      <x:c r="K1044" s="12" t="n">
        <x:v>0</x:v>
      </x:c>
      <x:c r="L1044" s="12" t="n">
        <x:v>0</x:v>
      </x:c>
      <x:c r="M1044" s="2" t="str">
        <x:v>持有</x:v>
      </x:c>
    </x:row>
    <x:row r="1045" ht="23" customHeight="1">
      <x:c r="A1045" s="11" t="d">
        <x:v>2019-02-20T00:00:00.000Z</x:v>
      </x:c>
      <x:c r="B1045" s="12" t="n">
        <x:v>179.912805</x:v>
      </x:c>
      <x:c r="C1045" s="13" t="n">
        <x:v>332</x:v>
      </x:c>
      <x:c r="D1045" s="12" t="n">
        <x:v>92432.12000000001</x:v>
      </x:c>
      <x:c r="E1045" s="12" t="n">
        <x:v>0</x:v>
      </x:c>
      <x:c r="F1045" s="12" t="n">
        <x:f>SUM(B1045,D1045:E1045)</x:f>
        <x:v>92612.03280500001</x:v>
      </x:c>
      <x:c r="G1045" s="12" t="n">
        <x:f>MAX(G1044,F1045)</x:f>
        <x:v>102238.29443099999</x:v>
      </x:c>
      <x:c r="H1045" s="14" t="n">
        <x:f>F1045/G1045-1</x:f>
        <x:v>-0.09415514685152226</x:v>
      </x:c>
      <x:c r="I1045" s="14" t="n">
        <x:f>F1045/F1044-1</x:f>
        <x:v>0.002011552735018185</x:v>
      </x:c>
      <x:c r="J1045" s="12" t="n">
        <x:v>0</x:v>
      </x:c>
      <x:c r="K1045" s="12" t="n">
        <x:v>0</x:v>
      </x:c>
      <x:c r="L1045" s="12" t="n">
        <x:v>0</x:v>
      </x:c>
      <x:c r="M1045" s="2" t="str">
        <x:v>持有</x:v>
      </x:c>
    </x:row>
    <x:row r="1046" ht="23" customHeight="1">
      <x:c r="A1046" s="11" t="d">
        <x:v>2019-02-21T00:00:00.000Z</x:v>
      </x:c>
      <x:c r="B1046" s="12" t="n">
        <x:v>179.912805</x:v>
      </x:c>
      <x:c r="C1046" s="13" t="n">
        <x:v>332</x:v>
      </x:c>
      <x:c r="D1046" s="12" t="n">
        <x:v>92103.44</x:v>
      </x:c>
      <x:c r="E1046" s="12" t="n">
        <x:v>0</x:v>
      </x:c>
      <x:c r="F1046" s="12" t="n">
        <x:f>SUM(B1046,D1046:E1046)</x:f>
        <x:v>92283.352805</x:v>
      </x:c>
      <x:c r="G1046" s="12" t="n">
        <x:f>MAX(G1045,F1046)</x:f>
        <x:v>102238.29443099999</x:v>
      </x:c>
      <x:c r="H1046" s="14" t="n">
        <x:f>F1046/G1046-1</x:f>
        <x:v>-0.09736998921395856</x:v>
      </x:c>
      <x:c r="I1046" s="14" t="n">
        <x:f>F1046/F1045-1</x:f>
        <x:v>-0.0035489988724474175</x:v>
      </x:c>
      <x:c r="J1046" s="12" t="n">
        <x:v>0</x:v>
      </x:c>
      <x:c r="K1046" s="12" t="n">
        <x:v>0</x:v>
      </x:c>
      <x:c r="L1046" s="12" t="n">
        <x:v>0</x:v>
      </x:c>
      <x:c r="M1046" s="2" t="str">
        <x:v>持有</x:v>
      </x:c>
    </x:row>
    <x:row r="1047" ht="23" customHeight="1">
      <x:c r="A1047" s="11" t="d">
        <x:v>2019-02-22T00:00:00.000Z</x:v>
      </x:c>
      <x:c r="B1047" s="12" t="n">
        <x:v>179.912805</x:v>
      </x:c>
      <x:c r="C1047" s="13" t="n">
        <x:v>332</x:v>
      </x:c>
      <x:c r="D1047" s="12" t="n">
        <x:v>92674.48</x:v>
      </x:c>
      <x:c r="E1047" s="12" t="n">
        <x:v>0</x:v>
      </x:c>
      <x:c r="F1047" s="12" t="n">
        <x:f>SUM(B1047,D1047:E1047)</x:f>
        <x:v>92854.392805</x:v>
      </x:c>
      <x:c r="G1047" s="12" t="n">
        <x:f>MAX(G1046,F1047)</x:f>
        <x:v>102238.29443099999</x:v>
      </x:c>
      <x:c r="H1047" s="14" t="n">
        <x:f>F1047/G1047-1</x:f>
        <x:v>-0.09178460652366549</x:v>
      </x:c>
      <x:c r="I1047" s="14" t="n">
        <x:f>F1047/F1046-1</x:f>
        <x:v>0.0061878982789738135</x:v>
      </x:c>
      <x:c r="J1047" s="12" t="n">
        <x:v>0</x:v>
      </x:c>
      <x:c r="K1047" s="12" t="n">
        <x:v>0</x:v>
      </x:c>
      <x:c r="L1047" s="12" t="n">
        <x:v>0</x:v>
      </x:c>
      <x:c r="M1047" s="2" t="str">
        <x:v>持有</x:v>
      </x:c>
    </x:row>
    <x:row r="1048" ht="23" customHeight="1">
      <x:c r="A1048" s="11" t="d">
        <x:v>2019-02-25T00:00:00.000Z</x:v>
      </x:c>
      <x:c r="B1048" s="12" t="n">
        <x:v>179.912805</x:v>
      </x:c>
      <x:c r="C1048" s="13" t="n">
        <x:v>332</x:v>
      </x:c>
      <x:c r="D1048" s="12" t="n">
        <x:v>92800.64</x:v>
      </x:c>
      <x:c r="E1048" s="12" t="n">
        <x:v>0</x:v>
      </x:c>
      <x:c r="F1048" s="12" t="n">
        <x:f>SUM(B1048,D1048:E1048)</x:f>
        <x:v>92980.552805</x:v>
      </x:c>
      <x:c r="G1048" s="12" t="n">
        <x:f>MAX(G1047,F1048)</x:f>
        <x:v>102238.29443099999</x:v>
      </x:c>
      <x:c r="H1048" s="14" t="n">
        <x:f>F1048/G1048-1</x:f>
        <x:v>-0.09055062662697277</x:v>
      </x:c>
      <x:c r="I1048" s="14" t="n">
        <x:f>F1048/F1047-1</x:f>
        <x:v>0.0013586863926291493</x:v>
      </x:c>
      <x:c r="J1048" s="12" t="n">
        <x:v>0</x:v>
      </x:c>
      <x:c r="K1048" s="12" t="n">
        <x:v>0</x:v>
      </x:c>
      <x:c r="L1048" s="12" t="n">
        <x:v>0</x:v>
      </x:c>
      <x:c r="M1048" s="2" t="str">
        <x:v>持有</x:v>
      </x:c>
    </x:row>
    <x:row r="1049" ht="23" customHeight="1">
      <x:c r="A1049" s="11" t="d">
        <x:v>2019-02-26T00:00:00.000Z</x:v>
      </x:c>
      <x:c r="B1049" s="12" t="n">
        <x:v>179.912805</x:v>
      </x:c>
      <x:c r="C1049" s="13" t="n">
        <x:v>332</x:v>
      </x:c>
      <x:c r="D1049" s="12" t="n">
        <x:v>92734.23999999999</x:v>
      </x:c>
      <x:c r="E1049" s="12" t="n">
        <x:v>0</x:v>
      </x:c>
      <x:c r="F1049" s="12" t="n">
        <x:f>SUM(B1049,D1049:E1049)</x:f>
        <x:v>92914.15280499999</x:v>
      </x:c>
      <x:c r="G1049" s="12" t="n">
        <x:f>MAX(G1048,F1049)</x:f>
        <x:v>102238.29443099999</x:v>
      </x:c>
      <x:c r="H1049" s="14" t="n">
        <x:f>F1049/G1049-1</x:f>
        <x:v>-0.09120008973049532</x:v>
      </x:c>
      <x:c r="I1049" s="14" t="n">
        <x:f>F1049/F1048-1</x:f>
        <x:v>-0.0007141278256246331</x:v>
      </x:c>
      <x:c r="J1049" s="12" t="n">
        <x:v>0</x:v>
      </x:c>
      <x:c r="K1049" s="12" t="n">
        <x:v>0</x:v>
      </x:c>
      <x:c r="L1049" s="12" t="n">
        <x:v>0</x:v>
      </x:c>
      <x:c r="M1049" s="2" t="str">
        <x:v>持有</x:v>
      </x:c>
    </x:row>
    <x:row r="1050" ht="23" customHeight="1">
      <x:c r="A1050" s="11" t="d">
        <x:v>2019-02-27T00:00:00.000Z</x:v>
      </x:c>
      <x:c r="B1050" s="12" t="n">
        <x:v>179.912805</x:v>
      </x:c>
      <x:c r="C1050" s="13" t="n">
        <x:v>332</x:v>
      </x:c>
      <x:c r="D1050" s="12" t="n">
        <x:v>92694.4</x:v>
      </x:c>
      <x:c r="E1050" s="12" t="n">
        <x:v>0</x:v>
      </x:c>
      <x:c r="F1050" s="12" t="n">
        <x:f>SUM(B1050,D1050:E1050)</x:f>
        <x:v>92874.312805</x:v>
      </x:c>
      <x:c r="G1050" s="12" t="n">
        <x:f>MAX(G1049,F1050)</x:f>
        <x:v>102238.29443099999</x:v>
      </x:c>
      <x:c r="H1050" s="14" t="n">
        <x:f>F1050/G1050-1</x:f>
        <x:v>-0.09158976759260873</x:v>
      </x:c>
      <x:c r="I1050" s="14" t="n">
        <x:f>F1050/F1049-1</x:f>
        <x:v>-0.0004287829011755395</x:v>
      </x:c>
      <x:c r="J1050" s="12" t="n">
        <x:v>0</x:v>
      </x:c>
      <x:c r="K1050" s="12" t="n">
        <x:v>0</x:v>
      </x:c>
      <x:c r="L1050" s="12" t="n">
        <x:v>0</x:v>
      </x:c>
      <x:c r="M1050" s="2" t="str">
        <x:v>持有</x:v>
      </x:c>
    </x:row>
    <x:row r="1051" ht="23" customHeight="1">
      <x:c r="A1051" s="11" t="d">
        <x:v>2019-02-28T00:00:00.000Z</x:v>
      </x:c>
      <x:c r="B1051" s="12" t="n">
        <x:v>179.912805</x:v>
      </x:c>
      <x:c r="C1051" s="13" t="n">
        <x:v>332</x:v>
      </x:c>
      <x:c r="D1051" s="12" t="n">
        <x:v>92521.76000000001</x:v>
      </x:c>
      <x:c r="E1051" s="12" t="n">
        <x:v>0</x:v>
      </x:c>
      <x:c r="F1051" s="12" t="n">
        <x:f>SUM(B1051,D1051:E1051)</x:f>
        <x:v>92701.67280500001</x:v>
      </x:c>
      <x:c r="G1051" s="12" t="n">
        <x:f>MAX(G1050,F1051)</x:f>
        <x:v>102238.29443099999</x:v>
      </x:c>
      <x:c r="H1051" s="14" t="n">
        <x:f>F1051/G1051-1</x:f>
        <x:v>-0.093278371661767</x:v>
      </x:c>
      <x:c r="I1051" s="14" t="n">
        <x:f>F1051/F1050-1</x:f>
        <x:v>-0.0018588562842177803</x:v>
      </x:c>
      <x:c r="J1051" s="12" t="n">
        <x:v>0</x:v>
      </x:c>
      <x:c r="K1051" s="12" t="n">
        <x:v>0</x:v>
      </x:c>
      <x:c r="L1051" s="12" t="n">
        <x:v>0</x:v>
      </x:c>
      <x:c r="M1051" s="2" t="str">
        <x:v>持有</x:v>
      </x:c>
    </x:row>
    <x:row r="1052" ht="23" customHeight="1">
      <x:c r="A1052" s="11" t="d">
        <x:v>2019-03-01T00:00:00.000Z</x:v>
      </x:c>
      <x:c r="B1052" s="12" t="n">
        <x:v>179.912805</x:v>
      </x:c>
      <x:c r="C1052" s="13" t="n">
        <x:v>332</x:v>
      </x:c>
      <x:c r="D1052" s="12" t="n">
        <x:v>93099.44</x:v>
      </x:c>
      <x:c r="E1052" s="12" t="n">
        <x:v>0</x:v>
      </x:c>
      <x:c r="F1052" s="12" t="n">
        <x:f>SUM(B1052,D1052:E1052)</x:f>
        <x:v>93279.352805</x:v>
      </x:c>
      <x:c r="G1052" s="12" t="n">
        <x:f>MAX(G1051,F1052)</x:f>
        <x:v>102238.29443099999</x:v>
      </x:c>
      <x:c r="H1052" s="14" t="n">
        <x:f>F1052/G1052-1</x:f>
        <x:v>-0.08762804266112167</x:v>
      </x:c>
      <x:c r="I1052" s="14" t="n">
        <x:f>F1052/F1051-1</x:f>
        <x:v>0.0062316027588320555</x:v>
      </x:c>
      <x:c r="J1052" s="12" t="n">
        <x:v>0</x:v>
      </x:c>
      <x:c r="K1052" s="12" t="n">
        <x:v>0</x:v>
      </x:c>
      <x:c r="L1052" s="12" t="n">
        <x:v>0</x:v>
      </x:c>
      <x:c r="M1052" s="2" t="str">
        <x:v>持有</x:v>
      </x:c>
    </x:row>
    <x:row r="1053" ht="23" customHeight="1">
      <x:c r="A1053" s="11" t="d">
        <x:v>2019-03-04T00:00:00.000Z</x:v>
      </x:c>
      <x:c r="B1053" s="12" t="n">
        <x:v>179.912805</x:v>
      </x:c>
      <x:c r="C1053" s="13" t="n">
        <x:v>332</x:v>
      </x:c>
      <x:c r="D1053" s="12" t="n">
        <x:v>92760.79999999999</x:v>
      </x:c>
      <x:c r="E1053" s="12" t="n">
        <x:v>0</x:v>
      </x:c>
      <x:c r="F1053" s="12" t="n">
        <x:f>SUM(B1053,D1053:E1053)</x:f>
        <x:v>92940.71280499999</x:v>
      </x:c>
      <x:c r="G1053" s="12" t="n">
        <x:f>MAX(G1052,F1053)</x:f>
        <x:v>102238.29443099999</x:v>
      </x:c>
      <x:c r="H1053" s="14" t="n">
        <x:f>F1053/G1053-1</x:f>
        <x:v>-0.0909403044890863</x:v>
      </x:c>
      <x:c r="I1053" s="14" t="n">
        <x:f>F1053/F1052-1</x:f>
        <x:v>-0.0036303853941604958</x:v>
      </x:c>
      <x:c r="J1053" s="12" t="n">
        <x:v>0</x:v>
      </x:c>
      <x:c r="K1053" s="12" t="n">
        <x:v>0</x:v>
      </x:c>
      <x:c r="L1053" s="12" t="n">
        <x:v>0</x:v>
      </x:c>
      <x:c r="M1053" s="2" t="str">
        <x:v>持有</x:v>
      </x:c>
    </x:row>
    <x:row r="1054" ht="23" customHeight="1">
      <x:c r="A1054" s="11" t="d">
        <x:v>2019-03-05T00:00:00.000Z</x:v>
      </x:c>
      <x:c r="B1054" s="12" t="n">
        <x:v>179.912805</x:v>
      </x:c>
      <x:c r="C1054" s="13" t="n">
        <x:v>332</x:v>
      </x:c>
      <x:c r="D1054" s="12" t="n">
        <x:v>92634.64</x:v>
      </x:c>
      <x:c r="E1054" s="12" t="n">
        <x:v>0</x:v>
      </x:c>
      <x:c r="F1054" s="12" t="n">
        <x:f>SUM(B1054,D1054:E1054)</x:f>
        <x:v>92814.552805</x:v>
      </x:c>
      <x:c r="G1054" s="12" t="n">
        <x:f>MAX(G1053,F1054)</x:f>
        <x:v>102238.29443099999</x:v>
      </x:c>
      <x:c r="H1054" s="14" t="n">
        <x:f>F1054/G1054-1</x:f>
        <x:v>-0.0921742843857789</x:v>
      </x:c>
      <x:c r="I1054" s="14" t="n">
        <x:f>F1054/F1053-1</x:f>
        <x:v>-0.0013574244934476676</x:v>
      </x:c>
      <x:c r="J1054" s="12" t="n">
        <x:v>0</x:v>
      </x:c>
      <x:c r="K1054" s="12" t="n">
        <x:v>0</x:v>
      </x:c>
      <x:c r="L1054" s="12" t="n">
        <x:v>0</x:v>
      </x:c>
      <x:c r="M1054" s="2" t="str">
        <x:v>持有</x:v>
      </x:c>
    </x:row>
    <x:row r="1055" ht="23" customHeight="1">
      <x:c r="A1055" s="11" t="d">
        <x:v>2019-03-06T00:00:00.000Z</x:v>
      </x:c>
      <x:c r="B1055" s="12" t="n">
        <x:v>179.912805</x:v>
      </x:c>
      <x:c r="C1055" s="13" t="n">
        <x:v>332</x:v>
      </x:c>
      <x:c r="D1055" s="12" t="n">
        <x:v>92073.56</x:v>
      </x:c>
      <x:c r="E1055" s="12" t="n">
        <x:v>0</x:v>
      </x:c>
      <x:c r="F1055" s="12" t="n">
        <x:f>SUM(B1055,D1055:E1055)</x:f>
        <x:v>92253.472805</x:v>
      </x:c>
      <x:c r="G1055" s="12" t="n">
        <x:f>MAX(G1054,F1055)</x:f>
        <x:v>102238.29443099999</x:v>
      </x:c>
      <x:c r="H1055" s="14" t="n">
        <x:f>F1055/G1055-1</x:f>
        <x:v>-0.09766224761054365</x:v>
      </x:c>
      <x:c r="I1055" s="14" t="n">
        <x:f>F1055/F1054-1</x:f>
        <x:v>-0.006045172691601652</x:v>
      </x:c>
      <x:c r="J1055" s="12" t="n">
        <x:v>0</x:v>
      </x:c>
      <x:c r="K1055" s="12" t="n">
        <x:v>0</x:v>
      </x:c>
      <x:c r="L1055" s="12" t="n">
        <x:v>0</x:v>
      </x:c>
      <x:c r="M1055" s="2" t="str">
        <x:v>持有</x:v>
      </x:c>
    </x:row>
    <x:row r="1056" ht="23" customHeight="1">
      <x:c r="A1056" s="11" t="d">
        <x:v>2019-03-07T00:00:00.000Z</x:v>
      </x:c>
      <x:c r="B1056" s="12" t="n">
        <x:v>179.912805</x:v>
      </x:c>
      <x:c r="C1056" s="13" t="n">
        <x:v>332</x:v>
      </x:c>
      <x:c r="D1056" s="12" t="n">
        <x:v>91303.31999999999</x:v>
      </x:c>
      <x:c r="E1056" s="12" t="n">
        <x:v>0</x:v>
      </x:c>
      <x:c r="F1056" s="12" t="n">
        <x:f>SUM(B1056,D1056:E1056)</x:f>
        <x:v>91483.23280499999</x:v>
      </x:c>
      <x:c r="G1056" s="12" t="n">
        <x:f>MAX(G1055,F1056)</x:f>
        <x:v>102238.29443099999</x:v>
      </x:c>
      <x:c r="H1056" s="14" t="n">
        <x:f>F1056/G1056-1</x:f>
        <x:v>-0.10519601961140423</x:v>
      </x:c>
      <x:c r="I1056" s="14" t="n">
        <x:f>F1056/F1055-1</x:f>
        <x:v>-0.008349170785452054</x:v>
      </x:c>
      <x:c r="J1056" s="12" t="n">
        <x:v>0</x:v>
      </x:c>
      <x:c r="K1056" s="12" t="n">
        <x:v>0</x:v>
      </x:c>
      <x:c r="L1056" s="12" t="n">
        <x:v>0</x:v>
      </x:c>
      <x:c r="M1056" s="2" t="str">
        <x:v>持有</x:v>
      </x:c>
    </x:row>
    <x:row r="1057" ht="23" customHeight="1">
      <x:c r="A1057" s="11" t="d">
        <x:v>2019-03-08T00:00:00.000Z</x:v>
      </x:c>
      <x:c r="B1057" s="12" t="n">
        <x:v>179.912805</x:v>
      </x:c>
      <x:c r="C1057" s="13" t="n">
        <x:v>332</x:v>
      </x:c>
      <x:c r="D1057" s="12" t="n">
        <x:v>91120.71999999999</x:v>
      </x:c>
      <x:c r="E1057" s="12" t="n">
        <x:v>0</x:v>
      </x:c>
      <x:c r="F1057" s="12" t="n">
        <x:f>SUM(B1057,D1057:E1057)</x:f>
        <x:v>91300.63280499999</x:v>
      </x:c>
      <x:c r="G1057" s="12" t="n">
        <x:f>MAX(G1056,F1057)</x:f>
        <x:v>102238.29443099999</x:v>
      </x:c>
      <x:c r="H1057" s="14" t="n">
        <x:f>F1057/G1057-1</x:f>
        <x:v>-0.10698204314609105</x:v>
      </x:c>
      <x:c r="I1057" s="14" t="n">
        <x:f>F1057/F1056-1</x:f>
        <x:v>-0.0019959941773070033</x:v>
      </x:c>
      <x:c r="J1057" s="12" t="n">
        <x:v>0</x:v>
      </x:c>
      <x:c r="K1057" s="12" t="n">
        <x:v>0</x:v>
      </x:c>
      <x:c r="L1057" s="12" t="n">
        <x:v>0</x:v>
      </x:c>
      <x:c r="M1057" s="2" t="str">
        <x:v>持有</x:v>
      </x:c>
    </x:row>
    <x:row r="1058" ht="23" customHeight="1">
      <x:c r="A1058" s="11" t="d">
        <x:v>2019-03-11T00:00:00.000Z</x:v>
      </x:c>
      <x:c r="B1058" s="12" t="n">
        <x:v>179.912805</x:v>
      </x:c>
      <x:c r="C1058" s="13" t="n">
        <x:v>332</x:v>
      </x:c>
      <x:c r="D1058" s="12" t="n">
        <x:v>92442.08</x:v>
      </x:c>
      <x:c r="E1058" s="12" t="n">
        <x:v>0</x:v>
      </x:c>
      <x:c r="F1058" s="12" t="n">
        <x:f>SUM(B1058,D1058:E1058)</x:f>
        <x:v>92621.992805</x:v>
      </x:c>
      <x:c r="G1058" s="12" t="n">
        <x:f>MAX(G1057,F1058)</x:f>
        <x:v>102238.29443099999</x:v>
      </x:c>
      <x:c r="H1058" s="14" t="n">
        <x:f>F1058/G1058-1</x:f>
        <x:v>-0.09405772738599405</x:v>
      </x:c>
      <x:c r="I1058" s="14" t="n">
        <x:f>F1058/F1057-1</x:f>
        <x:v>0.01447262696220486</x:v>
      </x:c>
      <x:c r="J1058" s="12" t="n">
        <x:v>0</x:v>
      </x:c>
      <x:c r="K1058" s="12" t="n">
        <x:v>0</x:v>
      </x:c>
      <x:c r="L1058" s="12" t="n">
        <x:v>0</x:v>
      </x:c>
      <x:c r="M1058" s="2" t="str">
        <x:v>持有</x:v>
      </x:c>
    </x:row>
    <x:row r="1059" ht="23" customHeight="1">
      <x:c r="A1059" s="11" t="d">
        <x:v>2019-03-12T00:00:00.000Z</x:v>
      </x:c>
      <x:c r="B1059" s="12" t="n">
        <x:v>179.912805</x:v>
      </x:c>
      <x:c r="C1059" s="13" t="n">
        <x:v>332</x:v>
      </x:c>
      <x:c r="D1059" s="12" t="n">
        <x:v>92790.68000000001</x:v>
      </x:c>
      <x:c r="E1059" s="12" t="n">
        <x:v>0</x:v>
      </x:c>
      <x:c r="F1059" s="12" t="n">
        <x:f>SUM(B1059,D1059:E1059)</x:f>
        <x:v>92970.59280500001</x:v>
      </x:c>
      <x:c r="G1059" s="12" t="n">
        <x:f>MAX(G1058,F1059)</x:f>
        <x:v>102238.29443099999</x:v>
      </x:c>
      <x:c r="H1059" s="14" t="n">
        <x:f>F1059/G1059-1</x:f>
        <x:v>-0.0906480460925011</x:v>
      </x:c>
      <x:c r="I1059" s="14" t="n">
        <x:f>F1059/F1058-1</x:f>
        <x:v>0.0037636849461220034</x:v>
      </x:c>
      <x:c r="J1059" s="12" t="n">
        <x:v>0</x:v>
      </x:c>
      <x:c r="K1059" s="12" t="n">
        <x:v>0</x:v>
      </x:c>
      <x:c r="L1059" s="12" t="n">
        <x:v>0</x:v>
      </x:c>
      <x:c r="M1059" s="2" t="str">
        <x:v>持有</x:v>
      </x:c>
    </x:row>
    <x:row r="1060" ht="23" customHeight="1">
      <x:c r="A1060" s="11" t="d">
        <x:v>2019-03-13T00:00:00.000Z</x:v>
      </x:c>
      <x:c r="B1060" s="12" t="n">
        <x:v>179.912805</x:v>
      </x:c>
      <x:c r="C1060" s="13" t="n">
        <x:v>332</x:v>
      </x:c>
      <x:c r="D1060" s="12" t="n">
        <x:v>93404.87999999999</x:v>
      </x:c>
      <x:c r="E1060" s="12" t="n">
        <x:v>0</x:v>
      </x:c>
      <x:c r="F1060" s="12" t="n">
        <x:f>SUM(B1060,D1060:E1060)</x:f>
        <x:v>93584.79280499999</x:v>
      </x:c>
      <x:c r="G1060" s="12" t="n">
        <x:f>MAX(G1059,F1060)</x:f>
        <x:v>102238.29443099999</x:v>
      </x:c>
      <x:c r="H1060" s="14" t="n">
        <x:f>F1060/G1060-1</x:f>
        <x:v>-0.08464051238491854</x:v>
      </x:c>
      <x:c r="I1060" s="14" t="n">
        <x:f>F1060/F1059-1</x:f>
        <x:v>0.006606390058071732</x:v>
      </x:c>
      <x:c r="J1060" s="12" t="n">
        <x:v>0</x:v>
      </x:c>
      <x:c r="K1060" s="12" t="n">
        <x:v>0</x:v>
      </x:c>
      <x:c r="L1060" s="12" t="n">
        <x:v>0</x:v>
      </x:c>
      <x:c r="M1060" s="2" t="str">
        <x:v>持有</x:v>
      </x:c>
    </x:row>
    <x:row r="1061" ht="23" customHeight="1">
      <x:c r="A1061" s="11" t="d">
        <x:v>2019-03-14T00:00:00.000Z</x:v>
      </x:c>
      <x:c r="B1061" s="12" t="n">
        <x:v>179.912805</x:v>
      </x:c>
      <x:c r="C1061" s="13" t="n">
        <x:v>332</x:v>
      </x:c>
      <x:c r="D1061" s="12" t="n">
        <x:v>93345.12000000001</x:v>
      </x:c>
      <x:c r="E1061" s="12" t="n">
        <x:v>0</x:v>
      </x:c>
      <x:c r="F1061" s="12" t="n">
        <x:f>SUM(B1061,D1061:E1061)</x:f>
        <x:v>93525.03280500001</x:v>
      </x:c>
      <x:c r="G1061" s="12" t="n">
        <x:f>MAX(G1060,F1061)</x:f>
        <x:v>102238.29443099999</x:v>
      </x:c>
      <x:c r="H1061" s="14" t="n">
        <x:f>F1061/G1061-1</x:f>
        <x:v>-0.0852250291780885</x:v>
      </x:c>
      <x:c r="I1061" s="14" t="n">
        <x:f>F1061/F1060-1</x:f>
        <x:v>-0.0006385652861838897</x:v>
      </x:c>
      <x:c r="J1061" s="12" t="n">
        <x:v>0</x:v>
      </x:c>
      <x:c r="K1061" s="12" t="n">
        <x:v>0</x:v>
      </x:c>
      <x:c r="L1061" s="12" t="n">
        <x:v>0</x:v>
      </x:c>
      <x:c r="M1061" s="2" t="str">
        <x:v>持有</x:v>
      </x:c>
    </x:row>
    <x:row r="1062" ht="23" customHeight="1">
      <x:c r="A1062" s="11" t="d">
        <x:v>2019-03-15T00:00:00.000Z</x:v>
      </x:c>
      <x:c r="B1062" s="12" t="n">
        <x:v>179.912805</x:v>
      </x:c>
      <x:c r="C1062" s="13" t="n">
        <x:v>332</x:v>
      </x:c>
      <x:c r="D1062" s="12" t="n">
        <x:v>93394.92</x:v>
      </x:c>
      <x:c r="E1062" s="12" t="n">
        <x:v>409.395508</x:v>
      </x:c>
      <x:c r="F1062" s="12" t="n">
        <x:f>SUM(B1062,D1062:E1062)</x:f>
        <x:v>93984.228313</x:v>
      </x:c>
      <x:c r="G1062" s="12" t="n">
        <x:f>MAX(G1061,F1062)</x:f>
        <x:v>102238.29443099999</x:v>
      </x:c>
      <x:c r="H1062" s="14" t="n">
        <x:f>F1062/G1062-1</x:f>
        <x:v>-0.08073360538668417</x:v>
      </x:c>
      <x:c r="I1062" s="14" t="n">
        <x:f>F1062/F1061-1</x:f>
        <x:v>0.004909867382323352</x:v>
      </x:c>
      <x:c r="J1062" s="12" t="n">
        <x:v>409.395508</x:v>
      </x:c>
      <x:c r="K1062" s="12" t="n">
        <x:v>0</x:v>
      </x:c>
      <x:c r="L1062" s="12" t="n">
        <x:v>0</x:v>
      </x:c>
      <x:c r="M1062" s="2" t="str">
        <x:v>持有</x:v>
      </x:c>
    </x:row>
    <x:row r="1063" ht="23" customHeight="1">
      <x:c r="A1063" s="11" t="d">
        <x:v>2019-03-18T00:00:00.000Z</x:v>
      </x:c>
      <x:c r="B1063" s="12" t="n">
        <x:v>179.912805</x:v>
      </x:c>
      <x:c r="C1063" s="13" t="n">
        <x:v>332</x:v>
      </x:c>
      <x:c r="D1063" s="12" t="n">
        <x:v>93733.56</x:v>
      </x:c>
      <x:c r="E1063" s="12" t="n">
        <x:v>409.395508</x:v>
      </x:c>
      <x:c r="F1063" s="12" t="n">
        <x:f>SUM(B1063,D1063:E1063)</x:f>
        <x:v>94322.868313</x:v>
      </x:c>
      <x:c r="G1063" s="12" t="n">
        <x:f>MAX(G1062,F1063)</x:f>
        <x:v>102238.29443099999</x:v>
      </x:c>
      <x:c r="H1063" s="14" t="n">
        <x:f>F1063/G1063-1</x:f>
        <x:v>-0.07742134355871966</x:v>
      </x:c>
      <x:c r="I1063" s="14" t="n">
        <x:f>F1063/F1062-1</x:f>
        <x:v>0.0036031577433632833</x:v>
      </x:c>
      <x:c r="J1063" s="12" t="n">
        <x:v>0</x:v>
      </x:c>
      <x:c r="K1063" s="12" t="n">
        <x:v>0</x:v>
      </x:c>
      <x:c r="L1063" s="12" t="n">
        <x:v>0</x:v>
      </x:c>
      <x:c r="M1063" s="2" t="str">
        <x:v>持有</x:v>
      </x:c>
    </x:row>
    <x:row r="1064" ht="23" customHeight="1">
      <x:c r="A1064" s="11" t="d">
        <x:v>2019-03-19T00:00:00.000Z</x:v>
      </x:c>
      <x:c r="B1064" s="12" t="n">
        <x:v>179.912805</x:v>
      </x:c>
      <x:c r="C1064" s="13" t="n">
        <x:v>332</x:v>
      </x:c>
      <x:c r="D1064" s="12" t="n">
        <x:v>93756.79999999999</x:v>
      </x:c>
      <x:c r="E1064" s="12" t="n">
        <x:v>409.395508</x:v>
      </x:c>
      <x:c r="F1064" s="12" t="n">
        <x:f>SUM(B1064,D1064:E1064)</x:f>
        <x:v>94346.10831299999</x:v>
      </x:c>
      <x:c r="G1064" s="12" t="n">
        <x:f>MAX(G1063,F1064)</x:f>
        <x:v>102238.29443099999</x:v>
      </x:c>
      <x:c r="H1064" s="14" t="n">
        <x:f>F1064/G1064-1</x:f>
        <x:v>-0.07719403147248693</x:v>
      </x:c>
      <x:c r="I1064" s="14" t="n">
        <x:f>F1064/F1063-1</x:f>
        <x:v>0.0002463877574510054</x:v>
      </x:c>
      <x:c r="J1064" s="12" t="n">
        <x:v>0</x:v>
      </x:c>
      <x:c r="K1064" s="12" t="n">
        <x:v>0</x:v>
      </x:c>
      <x:c r="L1064" s="12" t="n">
        <x:v>0</x:v>
      </x:c>
      <x:c r="M1064" s="2" t="str">
        <x:v>持有</x:v>
      </x:c>
    </x:row>
    <x:row r="1065" ht="23" customHeight="1">
      <x:c r="A1065" s="11" t="d">
        <x:v>2019-03-20T00:00:00.000Z</x:v>
      </x:c>
      <x:c r="B1065" s="12" t="n">
        <x:v>179.912805</x:v>
      </x:c>
      <x:c r="C1065" s="13" t="n">
        <x:v>332</x:v>
      </x:c>
      <x:c r="D1065" s="12" t="n">
        <x:v>93474.6</x:v>
      </x:c>
      <x:c r="E1065" s="12" t="n">
        <x:v>409.395508</x:v>
      </x:c>
      <x:c r="F1065" s="12" t="n">
        <x:f>SUM(B1065,D1065:E1065)</x:f>
        <x:v>94063.908313</x:v>
      </x:c>
      <x:c r="G1065" s="12" t="n">
        <x:f>MAX(G1064,F1065)</x:f>
        <x:v>102238.29443099999</x:v>
      </x:c>
      <x:c r="H1065" s="14" t="n">
        <x:f>F1065/G1065-1</x:f>
        <x:v>-0.07995424966245723</x:v>
      </x:c>
      <x:c r="I1065" s="14" t="n">
        <x:f>F1065/F1064-1</x:f>
        <x:v>-0.0029911143665170004</x:v>
      </x:c>
      <x:c r="J1065" s="12" t="n">
        <x:v>0</x:v>
      </x:c>
      <x:c r="K1065" s="12" t="n">
        <x:v>0</x:v>
      </x:c>
      <x:c r="L1065" s="12" t="n">
        <x:v>0</x:v>
      </x:c>
      <x:c r="M1065" s="2" t="str">
        <x:v>持有</x:v>
      </x:c>
    </x:row>
    <x:row r="1066" ht="23" customHeight="1">
      <x:c r="A1066" s="11" t="d">
        <x:v>2019-03-21T00:00:00.000Z</x:v>
      </x:c>
      <x:c r="B1066" s="12" t="n">
        <x:v>179.912805</x:v>
      </x:c>
      <x:c r="C1066" s="13" t="n">
        <x:v>332</x:v>
      </x:c>
      <x:c r="D1066" s="12" t="n">
        <x:v>94530.36</x:v>
      </x:c>
      <x:c r="E1066" s="12" t="n">
        <x:v>409.395508</x:v>
      </x:c>
      <x:c r="F1066" s="12" t="n">
        <x:f>SUM(B1066,D1066:E1066)</x:f>
        <x:v>95119.668313</x:v>
      </x:c>
      <x:c r="G1066" s="12" t="n">
        <x:f>MAX(G1065,F1066)</x:f>
        <x:v>102238.29443099999</x:v>
      </x:c>
      <x:c r="H1066" s="14" t="n">
        <x:f>F1066/G1066-1</x:f>
        <x:v>-0.06962778631645017</x:v>
      </x:c>
      <x:c r="I1066" s="14" t="n">
        <x:f>F1066/F1065-1</x:f>
        <x:v>0.011223858533359277</x:v>
      </x:c>
      <x:c r="J1066" s="12" t="n">
        <x:v>0</x:v>
      </x:c>
      <x:c r="K1066" s="12" t="n">
        <x:v>0</x:v>
      </x:c>
      <x:c r="L1066" s="12" t="n">
        <x:v>0</x:v>
      </x:c>
      <x:c r="M1066" s="2" t="str">
        <x:v>持有</x:v>
      </x:c>
    </x:row>
    <x:row r="1067" ht="23" customHeight="1">
      <x:c r="A1067" s="11" t="d">
        <x:v>2019-03-22T00:00:00.000Z</x:v>
      </x:c>
      <x:c r="B1067" s="12" t="n">
        <x:v>179.912805</x:v>
      </x:c>
      <x:c r="C1067" s="13" t="n">
        <x:v>332</x:v>
      </x:c>
      <x:c r="D1067" s="12" t="n">
        <x:v>92711</x:v>
      </x:c>
      <x:c r="E1067" s="12" t="n">
        <x:v>409.395508</x:v>
      </x:c>
      <x:c r="F1067" s="12" t="n">
        <x:f>SUM(B1067,D1067:E1067)</x:f>
        <x:v>93300.308313</x:v>
      </x:c>
      <x:c r="G1067" s="12" t="n">
        <x:f>MAX(G1066,F1067)</x:f>
        <x:v>102238.29443099999</x:v>
      </x:c>
      <x:c r="H1067" s="14" t="n">
        <x:f>F1067/G1067-1</x:f>
        <x:v>-0.08742307535296556</x:v>
      </x:c>
      <x:c r="I1067" s="14" t="n">
        <x:f>F1067/F1066-1</x:f>
        <x:v>-0.019127064173659947</x:v>
      </x:c>
      <x:c r="J1067" s="12" t="n">
        <x:v>0</x:v>
      </x:c>
      <x:c r="K1067" s="12" t="n">
        <x:v>0</x:v>
      </x:c>
      <x:c r="L1067" s="12" t="n">
        <x:v>0</x:v>
      </x:c>
      <x:c r="M1067" s="2" t="str">
        <x:v>持有</x:v>
      </x:c>
    </x:row>
    <x:row r="1068" ht="23" customHeight="1">
      <x:c r="A1068" s="11" t="d">
        <x:v>2019-03-25T00:00:00.000Z</x:v>
      </x:c>
      <x:c r="B1068" s="12" t="n">
        <x:v>179.912805</x:v>
      </x:c>
      <x:c r="C1068" s="13" t="n">
        <x:v>332</x:v>
      </x:c>
      <x:c r="D1068" s="12" t="n">
        <x:v>92641.28000000001</x:v>
      </x:c>
      <x:c r="E1068" s="12" t="n">
        <x:v>409.395508</x:v>
      </x:c>
      <x:c r="F1068" s="12" t="n">
        <x:f>SUM(B1068,D1068:E1068)</x:f>
        <x:v>93230.58831300001</x:v>
      </x:c>
      <x:c r="G1068" s="12" t="n">
        <x:f>MAX(G1067,F1068)</x:f>
        <x:v>102238.29443099999</x:v>
      </x:c>
      <x:c r="H1068" s="14" t="n">
        <x:f>F1068/G1068-1</x:f>
        <x:v>-0.08810501161166395</x:v>
      </x:c>
      <x:c r="I1068" s="14" t="n">
        <x:f>F1068/F1067-1</x:f>
        <x:v>-0.0007472644116682803</x:v>
      </x:c>
      <x:c r="J1068" s="12" t="n">
        <x:v>0</x:v>
      </x:c>
      <x:c r="K1068" s="12" t="n">
        <x:v>0</x:v>
      </x:c>
      <x:c r="L1068" s="12" t="n">
        <x:v>0</x:v>
      </x:c>
      <x:c r="M1068" s="2" t="str">
        <x:v>持有</x:v>
      </x:c>
    </x:row>
    <x:row r="1069" ht="23" customHeight="1">
      <x:c r="A1069" s="11" t="d">
        <x:v>2019-03-26T00:00:00.000Z</x:v>
      </x:c>
      <x:c r="B1069" s="12" t="n">
        <x:v>179.912805</x:v>
      </x:c>
      <x:c r="C1069" s="13" t="n">
        <x:v>332</x:v>
      </x:c>
      <x:c r="D1069" s="12" t="n">
        <x:v>93331.84</x:v>
      </x:c>
      <x:c r="E1069" s="12" t="n">
        <x:v>409.395508</x:v>
      </x:c>
      <x:c r="F1069" s="12" t="n">
        <x:f>SUM(B1069,D1069:E1069)</x:f>
        <x:v>93921.148313</x:v>
      </x:c>
      <x:c r="G1069" s="12" t="n">
        <x:f>MAX(G1068,F1069)</x:f>
        <x:v>102238.29443099999</x:v>
      </x:c>
      <x:c r="H1069" s="14" t="n">
        <x:f>F1069/G1069-1</x:f>
        <x:v>-0.08135059533503053</x:v>
      </x:c>
      <x:c r="I1069" s="14" t="n">
        <x:f>F1069/F1068-1</x:f>
        <x:v>0.007407011073249814</x:v>
      </x:c>
      <x:c r="J1069" s="12" t="n">
        <x:v>0</x:v>
      </x:c>
      <x:c r="K1069" s="12" t="n">
        <x:v>0</x:v>
      </x:c>
      <x:c r="L1069" s="12" t="n">
        <x:v>0</x:v>
      </x:c>
      <x:c r="M1069" s="2" t="str">
        <x:v>持有</x:v>
      </x:c>
    </x:row>
    <x:row r="1070" ht="23" customHeight="1">
      <x:c r="A1070" s="11" t="d">
        <x:v>2019-03-27T00:00:00.000Z</x:v>
      </x:c>
      <x:c r="B1070" s="12" t="n">
        <x:v>179.912805</x:v>
      </x:c>
      <x:c r="C1070" s="13" t="n">
        <x:v>332</x:v>
      </x:c>
      <x:c r="D1070" s="12" t="n">
        <x:v>92843.79999999999</x:v>
      </x:c>
      <x:c r="E1070" s="12" t="n">
        <x:v>409.395508</x:v>
      </x:c>
      <x:c r="F1070" s="12" t="n">
        <x:f>SUM(B1070,D1070:E1070)</x:f>
        <x:v>93433.10831299999</x:v>
      </x:c>
      <x:c r="G1070" s="12" t="n">
        <x:f>MAX(G1069,F1070)</x:f>
        <x:v>102238.29443099999</x:v>
      </x:c>
      <x:c r="H1070" s="14" t="n">
        <x:f>F1070/G1070-1</x:f>
        <x:v>-0.0861241491459207</x:v>
      </x:c>
      <x:c r="I1070" s="14" t="n">
        <x:f>F1070/F1069-1</x:f>
        <x:v>-0.005196273776099658</x:v>
      </x:c>
      <x:c r="J1070" s="12" t="n">
        <x:v>0</x:v>
      </x:c>
      <x:c r="K1070" s="12" t="n">
        <x:v>0</x:v>
      </x:c>
      <x:c r="L1070" s="12" t="n">
        <x:v>0</x:v>
      </x:c>
      <x:c r="M1070" s="2" t="str">
        <x:v>持有</x:v>
      </x:c>
    </x:row>
    <x:row r="1071" ht="23" customHeight="1">
      <x:c r="A1071" s="11" t="d">
        <x:v>2019-03-28T00:00:00.000Z</x:v>
      </x:c>
      <x:c r="B1071" s="12" t="n">
        <x:v>179.912805</x:v>
      </x:c>
      <x:c r="C1071" s="13" t="n">
        <x:v>332</x:v>
      </x:c>
      <x:c r="D1071" s="12" t="n">
        <x:v>93195.71999999999</x:v>
      </x:c>
      <x:c r="E1071" s="12" t="n">
        <x:v>409.395508</x:v>
      </x:c>
      <x:c r="F1071" s="12" t="n">
        <x:f>SUM(B1071,D1071:E1071)</x:f>
        <x:v>93785.02831299999</x:v>
      </x:c>
      <x:c r="G1071" s="12" t="n">
        <x:f>MAX(G1070,F1071)</x:f>
        <x:v>102238.29443099999</x:v>
      </x:c>
      <x:c r="H1071" s="14" t="n">
        <x:f>F1071/G1071-1</x:f>
        <x:v>-0.08268199469725168</x:v>
      </x:c>
      <x:c r="I1071" s="14" t="n">
        <x:f>F1071/F1070-1</x:f>
        <x:v>0.003766544925606796</x:v>
      </x:c>
      <x:c r="J1071" s="12" t="n">
        <x:v>0</x:v>
      </x:c>
      <x:c r="K1071" s="12" t="n">
        <x:v>0</x:v>
      </x:c>
      <x:c r="L1071" s="12" t="n">
        <x:v>0</x:v>
      </x:c>
      <x:c r="M1071" s="2" t="str">
        <x:v>持有</x:v>
      </x:c>
    </x:row>
    <x:row r="1072" ht="23" customHeight="1">
      <x:c r="A1072" s="11" t="d">
        <x:v>2019-03-29T00:00:00.000Z</x:v>
      </x:c>
      <x:c r="B1072" s="12" t="n">
        <x:v>179.912805</x:v>
      </x:c>
      <x:c r="C1072" s="13" t="n">
        <x:v>332</x:v>
      </x:c>
      <x:c r="D1072" s="12" t="n">
        <x:v>93783.36</x:v>
      </x:c>
      <x:c r="E1072" s="12" t="n">
        <x:v>409.395508</x:v>
      </x:c>
      <x:c r="F1072" s="12" t="n">
        <x:f>SUM(B1072,D1072:E1072)</x:f>
        <x:v>94372.668313</x:v>
      </x:c>
      <x:c r="G1072" s="12" t="n">
        <x:f>MAX(G1071,F1072)</x:f>
        <x:v>102238.29443099999</x:v>
      </x:c>
      <x:c r="H1072" s="14" t="n">
        <x:f>F1072/G1072-1</x:f>
        <x:v>-0.07693424623107781</x:v>
      </x:c>
      <x:c r="I1072" s="14" t="n">
        <x:f>F1072/F1071-1</x:f>
        <x:v>0.006265818868645079</x:v>
      </x:c>
      <x:c r="J1072" s="12" t="n">
        <x:v>0</x:v>
      </x:c>
      <x:c r="K1072" s="12" t="n">
        <x:v>0</x:v>
      </x:c>
      <x:c r="L1072" s="12" t="n">
        <x:v>0</x:v>
      </x:c>
      <x:c r="M1072" s="2" t="str">
        <x:v>持有</x:v>
      </x:c>
    </x:row>
    <x:row r="1073" ht="23" customHeight="1">
      <x:c r="A1073" s="11" t="d">
        <x:v>2019-04-01T00:00:00.000Z</x:v>
      </x:c>
      <x:c r="B1073" s="12" t="n">
        <x:v>179.912805</x:v>
      </x:c>
      <x:c r="C1073" s="13" t="n">
        <x:v>332</x:v>
      </x:c>
      <x:c r="D1073" s="12" t="n">
        <x:v>94895.56</x:v>
      </x:c>
      <x:c r="E1073" s="12" t="n">
        <x:v>409.395508</x:v>
      </x:c>
      <x:c r="F1073" s="12" t="n">
        <x:f>SUM(B1073,D1073:E1073)</x:f>
        <x:v>95484.868313</x:v>
      </x:c>
      <x:c r="G1073" s="12" t="n">
        <x:f>MAX(G1072,F1073)</x:f>
        <x:v>102238.29443099999</x:v>
      </x:c>
      <x:c r="H1073" s="14" t="n">
        <x:f>F1073/G1073-1</x:f>
        <x:v>-0.06605573924707664</x:v>
      </x:c>
      <x:c r="I1073" s="14" t="n">
        <x:f>F1073/F1072-1</x:f>
        <x:v>0.011785191834475128</x:v>
      </x:c>
      <x:c r="J1073" s="12" t="n">
        <x:v>0</x:v>
      </x:c>
      <x:c r="K1073" s="12" t="n">
        <x:v>0</x:v>
      </x:c>
      <x:c r="L1073" s="12" t="n">
        <x:v>0</x:v>
      </x:c>
      <x:c r="M1073" s="2" t="str">
        <x:v>持有</x:v>
      </x:c>
    </x:row>
    <x:row r="1074" ht="23" customHeight="1">
      <x:c r="A1074" s="11" t="d">
        <x:v>2019-04-02T00:00:00.000Z</x:v>
      </x:c>
      <x:c r="B1074" s="12" t="n">
        <x:v>179.912805</x:v>
      </x:c>
      <x:c r="C1074" s="13" t="n">
        <x:v>332</x:v>
      </x:c>
      <x:c r="D1074" s="12" t="n">
        <x:v>94942.04000000001</x:v>
      </x:c>
      <x:c r="E1074" s="12" t="n">
        <x:v>409.395508</x:v>
      </x:c>
      <x:c r="F1074" s="12" t="n">
        <x:f>SUM(B1074,D1074:E1074)</x:f>
        <x:v>95531.34831300001</x:v>
      </x:c>
      <x:c r="G1074" s="12" t="n">
        <x:f>MAX(G1073,F1074)</x:f>
        <x:v>102238.29443099999</x:v>
      </x:c>
      <x:c r="H1074" s="14" t="n">
        <x:f>F1074/G1074-1</x:f>
        <x:v>-0.06560111507461086</x:v>
      </x:c>
      <x:c r="I1074" s="14" t="n">
        <x:f>F1074/F1073-1</x:f>
        <x:v>0.00048677869929769635</x:v>
      </x:c>
      <x:c r="J1074" s="12" t="n">
        <x:v>0</x:v>
      </x:c>
      <x:c r="K1074" s="12" t="n">
        <x:v>0</x:v>
      </x:c>
      <x:c r="L1074" s="12" t="n">
        <x:v>0</x:v>
      </x:c>
      <x:c r="M1074" s="2" t="str">
        <x:v>持有</x:v>
      </x:c>
    </x:row>
    <x:row r="1075" ht="23" customHeight="1">
      <x:c r="A1075" s="11" t="d">
        <x:v>2019-04-03T00:00:00.000Z</x:v>
      </x:c>
      <x:c r="B1075" s="12" t="n">
        <x:v>179.912805</x:v>
      </x:c>
      <x:c r="C1075" s="13" t="n">
        <x:v>332</x:v>
      </x:c>
      <x:c r="D1075" s="12" t="n">
        <x:v>95091.44</x:v>
      </x:c>
      <x:c r="E1075" s="12" t="n">
        <x:v>409.395508</x:v>
      </x:c>
      <x:c r="F1075" s="12" t="n">
        <x:f>SUM(B1075,D1075:E1075)</x:f>
        <x:v>95680.748313</x:v>
      </x:c>
      <x:c r="G1075" s="12" t="n">
        <x:f>MAX(G1074,F1075)</x:f>
        <x:v>102238.29443099999</x:v>
      </x:c>
      <x:c r="H1075" s="14" t="n">
        <x:f>F1075/G1075-1</x:f>
        <x:v>-0.06413982309168542</x:v>
      </x:c>
      <x:c r="I1075" s="14" t="n">
        <x:f>F1075/F1074-1</x:f>
        <x:v>0.0015638845534817758</x:v>
      </x:c>
      <x:c r="J1075" s="12" t="n">
        <x:v>0</x:v>
      </x:c>
      <x:c r="K1075" s="12" t="n">
        <x:v>0</x:v>
      </x:c>
      <x:c r="L1075" s="12" t="n">
        <x:v>0</x:v>
      </x:c>
      <x:c r="M1075" s="2" t="str">
        <x:v>持有</x:v>
      </x:c>
    </x:row>
    <x:row r="1076" ht="23" customHeight="1">
      <x:c r="A1076" s="11" t="d">
        <x:v>2019-04-04T00:00:00.000Z</x:v>
      </x:c>
      <x:c r="B1076" s="12" t="n">
        <x:v>179.912805</x:v>
      </x:c>
      <x:c r="C1076" s="13" t="n">
        <x:v>332</x:v>
      </x:c>
      <x:c r="D1076" s="12" t="n">
        <x:v>95343.76000000001</x:v>
      </x:c>
      <x:c r="E1076" s="12" t="n">
        <x:v>409.395508</x:v>
      </x:c>
      <x:c r="F1076" s="12" t="n">
        <x:f>SUM(B1076,D1076:E1076)</x:f>
        <x:v>95933.06831300001</x:v>
      </x:c>
      <x:c r="G1076" s="12" t="n">
        <x:f>MAX(G1075,F1076)</x:f>
        <x:v>102238.29443099999</x:v>
      </x:c>
      <x:c r="H1076" s="14" t="n">
        <x:f>F1076/G1076-1</x:f>
        <x:v>-0.06167186329829999</x:v>
      </x:c>
      <x:c r="I1076" s="14" t="n">
        <x:f>F1076/F1075-1</x:f>
        <x:v>0.0026371031210437046</x:v>
      </x:c>
      <x:c r="J1076" s="12" t="n">
        <x:v>0</x:v>
      </x:c>
      <x:c r="K1076" s="12" t="n">
        <x:v>0</x:v>
      </x:c>
      <x:c r="L1076" s="12" t="n">
        <x:v>0</x:v>
      </x:c>
      <x:c r="M1076" s="2" t="str">
        <x:v>持有</x:v>
      </x:c>
    </x:row>
    <x:row r="1077" ht="23" customHeight="1">
      <x:c r="A1077" s="11" t="d">
        <x:v>2019-04-05T00:00:00.000Z</x:v>
      </x:c>
      <x:c r="B1077" s="12" t="n">
        <x:v>179.912805</x:v>
      </x:c>
      <x:c r="C1077" s="13" t="n">
        <x:v>332</x:v>
      </x:c>
      <x:c r="D1077" s="12" t="n">
        <x:v>95805.23999999999</x:v>
      </x:c>
      <x:c r="E1077" s="12" t="n">
        <x:v>409.395508</x:v>
      </x:c>
      <x:c r="F1077" s="12" t="n">
        <x:f>SUM(B1077,D1077:E1077)</x:f>
        <x:v>96394.54831299999</x:v>
      </x:c>
      <x:c r="G1077" s="12" t="n">
        <x:f>MAX(G1076,F1077)</x:f>
        <x:v>102238.29443099999</x:v>
      </x:c>
      <x:c r="H1077" s="14" t="n">
        <x:f>F1077/G1077-1</x:f>
        <x:v>-0.05715809472881905</x:v>
      </x:c>
      <x:c r="I1077" s="14" t="n">
        <x:f>F1077/F1076-1</x:f>
        <x:v>0.004810437194548101</x:v>
      </x:c>
      <x:c r="J1077" s="12" t="n">
        <x:v>0</x:v>
      </x:c>
      <x:c r="K1077" s="12" t="n">
        <x:v>0</x:v>
      </x:c>
      <x:c r="L1077" s="12" t="n">
        <x:v>0</x:v>
      </x:c>
      <x:c r="M1077" s="2" t="str">
        <x:v>持有</x:v>
      </x:c>
    </x:row>
    <x:row r="1078" ht="23" customHeight="1">
      <x:c r="A1078" s="11" t="d">
        <x:v>2019-04-08T00:00:00.000Z</x:v>
      </x:c>
      <x:c r="B1078" s="12" t="n">
        <x:v>179.912805</x:v>
      </x:c>
      <x:c r="C1078" s="13" t="n">
        <x:v>332</x:v>
      </x:c>
      <x:c r="D1078" s="12" t="n">
        <x:v>95878.28000000001</x:v>
      </x:c>
      <x:c r="E1078" s="12" t="n">
        <x:v>409.395508</x:v>
      </x:c>
      <x:c r="F1078" s="12" t="n">
        <x:f>SUM(B1078,D1078:E1078)</x:f>
        <x:v>96467.58831300001</x:v>
      </x:c>
      <x:c r="G1078" s="12" t="n">
        <x:f>MAX(G1077,F1078)</x:f>
        <x:v>102238.29443099999</x:v>
      </x:c>
      <x:c r="H1078" s="14" t="n">
        <x:f>F1078/G1078-1</x:f>
        <x:v>-0.05644368531494415</x:v>
      </x:c>
      <x:c r="I1078" s="14" t="n">
        <x:f>F1078/F1077-1</x:f>
        <x:v>0.0007577191996672727</x:v>
      </x:c>
      <x:c r="J1078" s="12" t="n">
        <x:v>0</x:v>
      </x:c>
      <x:c r="K1078" s="12" t="n">
        <x:v>0</x:v>
      </x:c>
      <x:c r="L1078" s="12" t="n">
        <x:v>0</x:v>
      </x:c>
      <x:c r="M1078" s="2" t="str">
        <x:v>持有</x:v>
      </x:c>
    </x:row>
    <x:row r="1079" ht="23" customHeight="1">
      <x:c r="A1079" s="11" t="d">
        <x:v>2019-04-09T00:00:00.000Z</x:v>
      </x:c>
      <x:c r="B1079" s="12" t="n">
        <x:v>179.912805</x:v>
      </x:c>
      <x:c r="C1079" s="13" t="n">
        <x:v>332</x:v>
      </x:c>
      <x:c r="D1079" s="12" t="n">
        <x:v>95386.92</x:v>
      </x:c>
      <x:c r="E1079" s="12" t="n">
        <x:v>409.395508</x:v>
      </x:c>
      <x:c r="F1079" s="12" t="n">
        <x:f>SUM(B1079,D1079:E1079)</x:f>
        <x:v>95976.228313</x:v>
      </x:c>
      <x:c r="G1079" s="12" t="n">
        <x:f>MAX(G1078,F1079)</x:f>
        <x:v>102238.29443099999</x:v>
      </x:c>
      <x:c r="H1079" s="14" t="n">
        <x:f>F1079/G1079-1</x:f>
        <x:v>-0.061249712281010504</x:v>
      </x:c>
      <x:c r="I1079" s="14" t="n">
        <x:f>F1079/F1078-1</x:f>
        <x:v>-0.005093524245736725</x:v>
      </x:c>
      <x:c r="J1079" s="12" t="n">
        <x:v>0</x:v>
      </x:c>
      <x:c r="K1079" s="12" t="n">
        <x:v>0</x:v>
      </x:c>
      <x:c r="L1079" s="12" t="n">
        <x:v>0</x:v>
      </x:c>
      <x:c r="M1079" s="2" t="str">
        <x:v>持有</x:v>
      </x:c>
    </x:row>
    <x:row r="1080" ht="23" customHeight="1">
      <x:c r="A1080" s="11" t="d">
        <x:v>2019-04-10T00:00:00.000Z</x:v>
      </x:c>
      <x:c r="B1080" s="12" t="n">
        <x:v>179.912805</x:v>
      </x:c>
      <x:c r="C1080" s="13" t="n">
        <x:v>332</x:v>
      </x:c>
      <x:c r="D1080" s="12" t="n">
        <x:v>95712.28000000001</x:v>
      </x:c>
      <x:c r="E1080" s="12" t="n">
        <x:v>409.395508</x:v>
      </x:c>
      <x:c r="F1080" s="12" t="n">
        <x:f>SUM(B1080,D1080:E1080)</x:f>
        <x:v>96301.58831300001</x:v>
      </x:c>
      <x:c r="G1080" s="12" t="n">
        <x:f>MAX(G1079,F1080)</x:f>
        <x:v>102238.29443099999</x:v>
      </x:c>
      <x:c r="H1080" s="14" t="n">
        <x:f>F1080/G1080-1</x:f>
        <x:v>-0.05806734307375028</x:v>
      </x:c>
      <x:c r="I1080" s="14" t="n">
        <x:f>F1080/F1079-1</x:f>
        <x:v>0.003390006105876031</x:v>
      </x:c>
      <x:c r="J1080" s="12" t="n">
        <x:v>0</x:v>
      </x:c>
      <x:c r="K1080" s="12" t="n">
        <x:v>0</x:v>
      </x:c>
      <x:c r="L1080" s="12" t="n">
        <x:v>0</x:v>
      </x:c>
      <x:c r="M1080" s="2" t="str">
        <x:v>持有</x:v>
      </x:c>
    </x:row>
    <x:row r="1081" ht="23" customHeight="1">
      <x:c r="A1081" s="11" t="d">
        <x:v>2019-04-11T00:00:00.000Z</x:v>
      </x:c>
      <x:c r="B1081" s="12" t="n">
        <x:v>179.912805</x:v>
      </x:c>
      <x:c r="C1081" s="13" t="n">
        <x:v>332</x:v>
      </x:c>
      <x:c r="D1081" s="12" t="n">
        <x:v>95685.71999999999</x:v>
      </x:c>
      <x:c r="E1081" s="12" t="n">
        <x:v>409.395508</x:v>
      </x:c>
      <x:c r="F1081" s="12" t="n">
        <x:f>SUM(B1081,D1081:E1081)</x:f>
        <x:v>96275.02831299999</x:v>
      </x:c>
      <x:c r="G1081" s="12" t="n">
        <x:f>MAX(G1080,F1081)</x:f>
        <x:v>102238.29443099999</x:v>
      </x:c>
      <x:c r="H1081" s="14" t="n">
        <x:f>F1081/G1081-1</x:f>
        <x:v>-0.058327128315159515</x:v>
      </x:c>
      <x:c r="I1081" s="14" t="n">
        <x:f>F1081/F1080-1</x:f>
        <x:v>-0.0002758002278602234</x:v>
      </x:c>
      <x:c r="J1081" s="12" t="n">
        <x:v>0</x:v>
      </x:c>
      <x:c r="K1081" s="12" t="n">
        <x:v>0</x:v>
      </x:c>
      <x:c r="L1081" s="12" t="n">
        <x:v>0</x:v>
      </x:c>
      <x:c r="M1081" s="2" t="str">
        <x:v>持有</x:v>
      </x:c>
    </x:row>
    <x:row r="1082" ht="23" customHeight="1">
      <x:c r="A1082" s="11" t="d">
        <x:v>2019-04-12T00:00:00.000Z</x:v>
      </x:c>
      <x:c r="B1082" s="12" t="n">
        <x:v>179.912805</x:v>
      </x:c>
      <x:c r="C1082" s="13" t="n">
        <x:v>332</x:v>
      </x:c>
      <x:c r="D1082" s="12" t="n">
        <x:v>96333.12000000001</x:v>
      </x:c>
      <x:c r="E1082" s="12" t="n">
        <x:v>409.395508</x:v>
      </x:c>
      <x:c r="F1082" s="12" t="n">
        <x:f>SUM(B1082,D1082:E1082)</x:f>
        <x:v>96922.42831300001</x:v>
      </x:c>
      <x:c r="G1082" s="12" t="n">
        <x:f>MAX(G1081,F1082)</x:f>
        <x:v>102238.29443099999</x:v>
      </x:c>
      <x:c r="H1082" s="14" t="n">
        <x:f>F1082/G1082-1</x:f>
        <x:v>-0.051994863055815355</x:v>
      </x:c>
      <x:c r="I1082" s="14" t="n">
        <x:f>F1082/F1081-1</x:f>
        <x:v>0.006724485168628114</x:v>
      </x:c>
      <x:c r="J1082" s="12" t="n">
        <x:v>0</x:v>
      </x:c>
      <x:c r="K1082" s="12" t="n">
        <x:v>0</x:v>
      </x:c>
      <x:c r="L1082" s="12" t="n">
        <x:v>0</x:v>
      </x:c>
      <x:c r="M1082" s="2" t="str">
        <x:v>持有</x:v>
      </x:c>
    </x:row>
    <x:row r="1083" ht="23" customHeight="1">
      <x:c r="A1083" s="11" t="d">
        <x:v>2019-04-15T00:00:00.000Z</x:v>
      </x:c>
      <x:c r="B1083" s="12" t="n">
        <x:v>179.912805</x:v>
      </x:c>
      <x:c r="C1083" s="13" t="n">
        <x:v>332</x:v>
      </x:c>
      <x:c r="D1083" s="12" t="n">
        <x:v>96270.04000000001</x:v>
      </x:c>
      <x:c r="E1083" s="12" t="n">
        <x:v>409.395508</x:v>
      </x:c>
      <x:c r="F1083" s="12" t="n">
        <x:f>SUM(B1083,D1083:E1083)</x:f>
        <x:v>96859.34831300001</x:v>
      </x:c>
      <x:c r="G1083" s="12" t="n">
        <x:f>MAX(G1082,F1083)</x:f>
        <x:v>102238.29443099999</x:v>
      </x:c>
      <x:c r="H1083" s="14" t="n">
        <x:f>F1083/G1083-1</x:f>
        <x:v>-0.05261185300416171</x:v>
      </x:c>
      <x:c r="I1083" s="14" t="n">
        <x:f>F1083/F1082-1</x:f>
        <x:v>-0.0006508297521837791</x:v>
      </x:c>
      <x:c r="J1083" s="12" t="n">
        <x:v>0</x:v>
      </x:c>
      <x:c r="K1083" s="12" t="n">
        <x:v>0</x:v>
      </x:c>
      <x:c r="L1083" s="12" t="n">
        <x:v>0</x:v>
      </x:c>
      <x:c r="M1083" s="2" t="str">
        <x:v>持有</x:v>
      </x:c>
    </x:row>
    <x:row r="1084" ht="23" customHeight="1">
      <x:c r="A1084" s="11" t="d">
        <x:v>2019-04-16T00:00:00.000Z</x:v>
      </x:c>
      <x:c r="B1084" s="12" t="n">
        <x:v>179.912805</x:v>
      </x:c>
      <x:c r="C1084" s="13" t="n">
        <x:v>332</x:v>
      </x:c>
      <x:c r="D1084" s="12" t="n">
        <x:v>96333.12000000001</x:v>
      </x:c>
      <x:c r="E1084" s="12" t="n">
        <x:v>409.395508</x:v>
      </x:c>
      <x:c r="F1084" s="12" t="n">
        <x:f>SUM(B1084,D1084:E1084)</x:f>
        <x:v>96922.42831300001</x:v>
      </x:c>
      <x:c r="G1084" s="12" t="n">
        <x:f>MAX(G1083,F1084)</x:f>
        <x:v>102238.29443099999</x:v>
      </x:c>
      <x:c r="H1084" s="14" t="n">
        <x:f>F1084/G1084-1</x:f>
        <x:v>-0.051994863055815355</x:v>
      </x:c>
      <x:c r="I1084" s="14" t="n">
        <x:f>F1084/F1083-1</x:f>
        <x:v>0.000651253607407698</x:v>
      </x:c>
      <x:c r="J1084" s="12" t="n">
        <x:v>0</x:v>
      </x:c>
      <x:c r="K1084" s="12" t="n">
        <x:v>0</x:v>
      </x:c>
      <x:c r="L1084" s="12" t="n">
        <x:v>0</x:v>
      </x:c>
      <x:c r="M1084" s="2" t="str">
        <x:v>持有</x:v>
      </x:c>
    </x:row>
    <x:row r="1085" ht="23" customHeight="1">
      <x:c r="A1085" s="11" t="d">
        <x:v>2019-04-17T00:00:00.000Z</x:v>
      </x:c>
      <x:c r="B1085" s="12" t="n">
        <x:v>179.912805</x:v>
      </x:c>
      <x:c r="C1085" s="13" t="n">
        <x:v>332</x:v>
      </x:c>
      <x:c r="D1085" s="12" t="n">
        <x:v>96097.4</x:v>
      </x:c>
      <x:c r="E1085" s="12" t="n">
        <x:v>409.395508</x:v>
      </x:c>
      <x:c r="F1085" s="12" t="n">
        <x:f>SUM(B1085,D1085:E1085)</x:f>
        <x:v>96686.708313</x:v>
      </x:c>
      <x:c r="G1085" s="12" t="n">
        <x:f>MAX(G1084,F1085)</x:f>
        <x:v>102238.29443099999</x:v>
      </x:c>
      <x:c r="H1085" s="14" t="n">
        <x:f>F1085/G1085-1</x:f>
        <x:v>-0.05430045707332021</x:v>
      </x:c>
      <x:c r="I1085" s="14" t="n">
        <x:f>F1085/F1084-1</x:f>
        <x:v>-0.002432048021318467</x:v>
      </x:c>
      <x:c r="J1085" s="12" t="n">
        <x:v>0</x:v>
      </x:c>
      <x:c r="K1085" s="12" t="n">
        <x:v>0</x:v>
      </x:c>
      <x:c r="L1085" s="12" t="n">
        <x:v>0</x:v>
      </x:c>
      <x:c r="M1085" s="2" t="str">
        <x:v>持有</x:v>
      </x:c>
    </x:row>
    <x:row r="1086" ht="23" customHeight="1">
      <x:c r="A1086" s="11" t="d">
        <x:v>2019-04-18T00:00:00.000Z</x:v>
      </x:c>
      <x:c r="B1086" s="12" t="n">
        <x:v>179.912805</x:v>
      </x:c>
      <x:c r="C1086" s="13" t="n">
        <x:v>332</x:v>
      </x:c>
      <x:c r="D1086" s="12" t="n">
        <x:v>96286.64</x:v>
      </x:c>
      <x:c r="E1086" s="12" t="n">
        <x:v>409.395508</x:v>
      </x:c>
      <x:c r="F1086" s="12" t="n">
        <x:f>SUM(B1086,D1086:E1086)</x:f>
        <x:v>96875.948313</x:v>
      </x:c>
      <x:c r="G1086" s="12" t="n">
        <x:f>MAX(G1085,F1086)</x:f>
        <x:v>102238.29443099999</x:v>
      </x:c>
      <x:c r="H1086" s="14" t="n">
        <x:f>F1086/G1086-1</x:f>
        <x:v>-0.052449487228281244</x:v>
      </x:c>
      <x:c r="I1086" s="14" t="n">
        <x:f>F1086/F1085-1</x:f>
        <x:v>0.0019572493810358083</x:v>
      </x:c>
      <x:c r="J1086" s="12" t="n">
        <x:v>0</x:v>
      </x:c>
      <x:c r="K1086" s="12" t="n">
        <x:v>0</x:v>
      </x:c>
      <x:c r="L1086" s="12" t="n">
        <x:v>0</x:v>
      </x:c>
      <x:c r="M1086" s="2" t="str">
        <x:v>持有</x:v>
      </x:c>
    </x:row>
    <x:row r="1087" ht="23" customHeight="1">
      <x:c r="A1087" s="11" t="d">
        <x:v>2019-04-22T00:00:00.000Z</x:v>
      </x:c>
      <x:c r="B1087" s="12" t="n">
        <x:v>179.912805</x:v>
      </x:c>
      <x:c r="C1087" s="13" t="n">
        <x:v>332</x:v>
      </x:c>
      <x:c r="D1087" s="12" t="n">
        <x:v>96369.64</x:v>
      </x:c>
      <x:c r="E1087" s="12" t="n">
        <x:v>409.395508</x:v>
      </x:c>
      <x:c r="F1087" s="12" t="n">
        <x:f>SUM(B1087,D1087:E1087)</x:f>
        <x:v>96958.948313</x:v>
      </x:c>
      <x:c r="G1087" s="12" t="n">
        <x:f>MAX(G1086,F1087)</x:f>
        <x:v>102238.29443099999</x:v>
      </x:c>
      <x:c r="H1087" s="14" t="n">
        <x:f>F1087/G1087-1</x:f>
        <x:v>-0.051637658348878124</x:v>
      </x:c>
      <x:c r="I1087" s="14" t="n">
        <x:f>F1087/F1086-1</x:f>
        <x:v>0.0008567658066358508</x:v>
      </x:c>
      <x:c r="J1087" s="12" t="n">
        <x:v>0</x:v>
      </x:c>
      <x:c r="K1087" s="12" t="n">
        <x:v>0</x:v>
      </x:c>
      <x:c r="L1087" s="12" t="n">
        <x:v>0</x:v>
      </x:c>
      <x:c r="M1087" s="2" t="str">
        <x:v>持有</x:v>
      </x:c>
    </x:row>
    <x:row r="1088" ht="23" customHeight="1">
      <x:c r="A1088" s="11" t="d">
        <x:v>2019-04-23T00:00:00.000Z</x:v>
      </x:c>
      <x:c r="B1088" s="12" t="n">
        <x:v>179.912805</x:v>
      </x:c>
      <x:c r="C1088" s="13" t="n">
        <x:v>332</x:v>
      </x:c>
      <x:c r="D1088" s="12" t="n">
        <x:v>97236.16</x:v>
      </x:c>
      <x:c r="E1088" s="12" t="n">
        <x:v>409.395508</x:v>
      </x:c>
      <x:c r="F1088" s="12" t="n">
        <x:f>SUM(B1088,D1088:E1088)</x:f>
        <x:v>97825.468313</x:v>
      </x:c>
      <x:c r="G1088" s="12" t="n">
        <x:f>MAX(G1087,F1088)</x:f>
        <x:v>102238.29443099999</x:v>
      </x:c>
      <x:c r="H1088" s="14" t="n">
        <x:f>F1088/G1088-1</x:f>
        <x:v>-0.04316216484791002</x:v>
      </x:c>
      <x:c r="I1088" s="14" t="n">
        <x:f>F1088/F1087-1</x:f>
        <x:v>0.008936978124006956</x:v>
      </x:c>
      <x:c r="J1088" s="12" t="n">
        <x:v>0</x:v>
      </x:c>
      <x:c r="K1088" s="12" t="n">
        <x:v>0</x:v>
      </x:c>
      <x:c r="L1088" s="12" t="n">
        <x:v>0</x:v>
      </x:c>
      <x:c r="M1088" s="2" t="str">
        <x:v>持有</x:v>
      </x:c>
    </x:row>
    <x:row r="1089" ht="23" customHeight="1">
      <x:c r="A1089" s="11" t="d">
        <x:v>2019-04-24T00:00:00.000Z</x:v>
      </x:c>
      <x:c r="B1089" s="12" t="n">
        <x:v>179.912805</x:v>
      </x:c>
      <x:c r="C1089" s="13" t="n">
        <x:v>332</x:v>
      </x:c>
      <x:c r="D1089" s="12" t="n">
        <x:v>97020.36</x:v>
      </x:c>
      <x:c r="E1089" s="12" t="n">
        <x:v>409.395508</x:v>
      </x:c>
      <x:c r="F1089" s="12" t="n">
        <x:f>SUM(B1089,D1089:E1089)</x:f>
        <x:v>97609.668313</x:v>
      </x:c>
      <x:c r="G1089" s="12" t="n">
        <x:f>MAX(G1088,F1089)</x:f>
        <x:v>102238.29443099999</x:v>
      </x:c>
      <x:c r="H1089" s="14" t="n">
        <x:f>F1089/G1089-1</x:f>
        <x:v>-0.045272919934358</x:v>
      </x:c>
      <x:c r="I1089" s="14" t="n">
        <x:f>F1089/F1088-1</x:f>
        <x:v>-0.0022059695059116757</x:v>
      </x:c>
      <x:c r="J1089" s="12" t="n">
        <x:v>0</x:v>
      </x:c>
      <x:c r="K1089" s="12" t="n">
        <x:v>0</x:v>
      </x:c>
      <x:c r="L1089" s="12" t="n">
        <x:v>0</x:v>
      </x:c>
      <x:c r="M1089" s="2" t="str">
        <x:v>持有</x:v>
      </x:c>
    </x:row>
    <x:row r="1090" ht="23" customHeight="1">
      <x:c r="A1090" s="11" t="d">
        <x:v>2019-04-25T00:00:00.000Z</x:v>
      </x:c>
      <x:c r="B1090" s="12" t="n">
        <x:v>179.912805</x:v>
      </x:c>
      <x:c r="C1090" s="13" t="n">
        <x:v>332</x:v>
      </x:c>
      <x:c r="D1090" s="12" t="n">
        <x:v>96960.6</x:v>
      </x:c>
      <x:c r="E1090" s="12" t="n">
        <x:v>409.395508</x:v>
      </x:c>
      <x:c r="F1090" s="12" t="n">
        <x:f>SUM(B1090,D1090:E1090)</x:f>
        <x:v>97549.908313</x:v>
      </x:c>
      <x:c r="G1090" s="12" t="n">
        <x:f>MAX(G1089,F1090)</x:f>
        <x:v>102238.29443099999</x:v>
      </x:c>
      <x:c r="H1090" s="14" t="n">
        <x:f>F1090/G1090-1</x:f>
        <x:v>-0.04585743672752818</x:v>
      </x:c>
      <x:c r="I1090" s="14" t="n">
        <x:f>F1090/F1089-1</x:f>
        <x:v>-0.0006122344336666474</x:v>
      </x:c>
      <x:c r="J1090" s="12" t="n">
        <x:v>0</x:v>
      </x:c>
      <x:c r="K1090" s="12" t="n">
        <x:v>0</x:v>
      </x:c>
      <x:c r="L1090" s="12" t="n">
        <x:v>0</x:v>
      </x:c>
      <x:c r="M1090" s="2" t="str">
        <x:v>持有</x:v>
      </x:c>
    </x:row>
    <x:row r="1091" ht="23" customHeight="1">
      <x:c r="A1091" s="11" t="d">
        <x:v>2019-04-26T00:00:00.000Z</x:v>
      </x:c>
      <x:c r="B1091" s="12" t="n">
        <x:v>179.912805</x:v>
      </x:c>
      <x:c r="C1091" s="13" t="n">
        <x:v>332</x:v>
      </x:c>
      <x:c r="D1091" s="12" t="n">
        <x:v>97412.12000000001</x:v>
      </x:c>
      <x:c r="E1091" s="12" t="n">
        <x:v>409.395508</x:v>
      </x:c>
      <x:c r="F1091" s="12" t="n">
        <x:f>SUM(B1091,D1091:E1091)</x:f>
        <x:v>98001.42831300001</x:v>
      </x:c>
      <x:c r="G1091" s="12" t="n">
        <x:f>MAX(G1090,F1091)</x:f>
        <x:v>102238.29443099999</x:v>
      </x:c>
      <x:c r="H1091" s="14" t="n">
        <x:f>F1091/G1091-1</x:f>
        <x:v>-0.04144108762357546</x:v>
      </x:c>
      <x:c r="I1091" s="14" t="n">
        <x:f>F1091/F1090-1</x:f>
        <x:v>0.004628605067995117</x:v>
      </x:c>
      <x:c r="J1091" s="12" t="n">
        <x:v>0</x:v>
      </x:c>
      <x:c r="K1091" s="12" t="n">
        <x:v>0</x:v>
      </x:c>
      <x:c r="L1091" s="12" t="n">
        <x:v>0</x:v>
      </x:c>
      <x:c r="M1091" s="2" t="str">
        <x:v>持有</x:v>
      </x:c>
    </x:row>
    <x:row r="1092" ht="23" customHeight="1">
      <x:c r="A1092" s="11" t="d">
        <x:v>2019-04-29T00:00:00.000Z</x:v>
      </x:c>
      <x:c r="B1092" s="12" t="n">
        <x:v>179.912805</x:v>
      </x:c>
      <x:c r="C1092" s="13" t="n">
        <x:v>332</x:v>
      </x:c>
      <x:c r="D1092" s="12" t="n">
        <x:v>97564.84</x:v>
      </x:c>
      <x:c r="E1092" s="12" t="n">
        <x:v>409.395508</x:v>
      </x:c>
      <x:c r="F1092" s="12" t="n">
        <x:f>SUM(B1092,D1092:E1092)</x:f>
        <x:v>98154.148313</x:v>
      </x:c>
      <x:c r="G1092" s="12" t="n">
        <x:f>MAX(G1091,F1092)</x:f>
        <x:v>102238.29443099999</x:v>
      </x:c>
      <x:c r="H1092" s="14" t="n">
        <x:f>F1092/G1092-1</x:f>
        <x:v>-0.039947322485473946</x:v>
      </x:c>
      <x:c r="I1092" s="14" t="n">
        <x:f>F1092/F1091-1</x:f>
        <x:v>0.0015583446346538743</x:v>
      </x:c>
      <x:c r="J1092" s="12" t="n">
        <x:v>0</x:v>
      </x:c>
      <x:c r="K1092" s="12" t="n">
        <x:v>0</x:v>
      </x:c>
      <x:c r="L1092" s="12" t="n">
        <x:v>0</x:v>
      </x:c>
      <x:c r="M1092" s="2" t="str">
        <x:v>持有</x:v>
      </x:c>
    </x:row>
    <x:row r="1093" ht="23" customHeight="1">
      <x:c r="A1093" s="11" t="d">
        <x:v>2019-04-30T00:00:00.000Z</x:v>
      </x:c>
      <x:c r="B1093" s="12" t="n">
        <x:v>589.308313</x:v>
      </x:c>
      <x:c r="C1093" s="13" t="n">
        <x:v>332</x:v>
      </x:c>
      <x:c r="D1093" s="12" t="n">
        <x:v>97614.64</x:v>
      </x:c>
      <x:c r="E1093" s="12" t="n">
        <x:v>0</x:v>
      </x:c>
      <x:c r="F1093" s="12" t="n">
        <x:f>SUM(B1093,D1093:E1093)</x:f>
        <x:v>98203.948313</x:v>
      </x:c>
      <x:c r="G1093" s="12" t="n">
        <x:f>MAX(G1092,F1093)</x:f>
        <x:v>102238.29443099999</x:v>
      </x:c>
      <x:c r="H1093" s="14" t="n">
        <x:f>F1093/G1093-1</x:f>
        <x:v>-0.039460225157832096</x:v>
      </x:c>
      <x:c r="I1093" s="14" t="n">
        <x:f>F1093/F1092-1</x:f>
        <x:v>0.000507365209274635</x:v>
      </x:c>
      <x:c r="J1093" s="12" t="n">
        <x:v>0</x:v>
      </x:c>
      <x:c r="K1093" s="12" t="n">
        <x:v>409.395508</x:v>
      </x:c>
      <x:c r="L1093" s="12" t="n">
        <x:v>0</x:v>
      </x:c>
      <x:c r="M1093" s="2" t="str">
        <x:v>持有</x:v>
      </x:c>
    </x:row>
    <x:row r="1094" ht="23" customHeight="1">
      <x:c r="A1094" s="11" t="d">
        <x:v>2019-05-01T00:00:00.000Z</x:v>
      </x:c>
      <x:c r="B1094" s="12" t="n">
        <x:v>589.308313</x:v>
      </x:c>
      <x:c r="C1094" s="13" t="n">
        <x:v>332</x:v>
      </x:c>
      <x:c r="D1094" s="12" t="n">
        <x:v>96880.92</x:v>
      </x:c>
      <x:c r="E1094" s="12" t="n">
        <x:v>0</x:v>
      </x:c>
      <x:c r="F1094" s="12" t="n">
        <x:f>SUM(B1094,D1094:E1094)</x:f>
        <x:v>97470.228313</x:v>
      </x:c>
      <x:c r="G1094" s="12" t="n">
        <x:f>MAX(G1093,F1094)</x:f>
        <x:v>102238.29443099999</x:v>
      </x:c>
      <x:c r="H1094" s="14" t="n">
        <x:f>F1094/G1094-1</x:f>
        <x:v>-0.04663679245175523</x:v>
      </x:c>
      <x:c r="I1094" s="14" t="n">
        <x:f>F1094/F1093-1</x:f>
        <x:v>-0.007471390026615343</x:v>
      </x:c>
      <x:c r="J1094" s="12" t="n">
        <x:v>0</x:v>
      </x:c>
      <x:c r="K1094" s="12" t="n">
        <x:v>0</x:v>
      </x:c>
      <x:c r="L1094" s="12" t="n">
        <x:v>0</x:v>
      </x:c>
      <x:c r="M1094" s="2" t="str">
        <x:v>持有</x:v>
      </x:c>
    </x:row>
    <x:row r="1095" ht="23" customHeight="1">
      <x:c r="A1095" s="11" t="d">
        <x:v>2019-05-02T00:00:00.000Z</x:v>
      </x:c>
      <x:c r="B1095" s="12" t="n">
        <x:v>589.308313</x:v>
      </x:c>
      <x:c r="C1095" s="13" t="n">
        <x:v>332</x:v>
      </x:c>
      <x:c r="D1095" s="12" t="n">
        <x:v>96671.76000000001</x:v>
      </x:c>
      <x:c r="E1095" s="12" t="n">
        <x:v>0</x:v>
      </x:c>
      <x:c r="F1095" s="12" t="n">
        <x:f>SUM(B1095,D1095:E1095)</x:f>
        <x:v>97261.06831300001</x:v>
      </x:c>
      <x:c r="G1095" s="12" t="n">
        <x:f>MAX(G1094,F1095)</x:f>
        <x:v>102238.29443099999</x:v>
      </x:c>
      <x:c r="H1095" s="14" t="n">
        <x:f>F1095/G1095-1</x:f>
        <x:v>-0.04868260122785084</x:v>
      </x:c>
      <x:c r="I1095" s="14" t="n">
        <x:f>F1095/F1094-1</x:f>
        <x:v>-0.0021458860168904748</x:v>
      </x:c>
      <x:c r="J1095" s="12" t="n">
        <x:v>0</x:v>
      </x:c>
      <x:c r="K1095" s="12" t="n">
        <x:v>0</x:v>
      </x:c>
      <x:c r="L1095" s="12" t="n">
        <x:v>0</x:v>
      </x:c>
      <x:c r="M1095" s="2" t="str">
        <x:v>持有</x:v>
      </x:c>
    </x:row>
    <x:row r="1096" ht="23" customHeight="1">
      <x:c r="A1096" s="11" t="d">
        <x:v>2019-05-03T00:00:00.000Z</x:v>
      </x:c>
      <x:c r="B1096" s="12" t="n">
        <x:v>589.308313</x:v>
      </x:c>
      <x:c r="C1096" s="13" t="n">
        <x:v>332</x:v>
      </x:c>
      <x:c r="D1096" s="12" t="n">
        <x:v>97617.95999999999</x:v>
      </x:c>
      <x:c r="E1096" s="12" t="n">
        <x:v>0</x:v>
      </x:c>
      <x:c r="F1096" s="12" t="n">
        <x:f>SUM(B1096,D1096:E1096)</x:f>
        <x:v>98207.268313</x:v>
      </x:c>
      <x:c r="G1096" s="12" t="n">
        <x:f>MAX(G1095,F1096)</x:f>
        <x:v>102238.29443099999</x:v>
      </x:c>
      <x:c r="H1096" s="14" t="n">
        <x:f>F1096/G1096-1</x:f>
        <x:v>-0.039427752002656025</x:v>
      </x:c>
      <x:c r="I1096" s="14" t="n">
        <x:f>F1096/F1095-1</x:f>
        <x:v>0.009728455757394894</x:v>
      </x:c>
      <x:c r="J1096" s="12" t="n">
        <x:v>0</x:v>
      </x:c>
      <x:c r="K1096" s="12" t="n">
        <x:v>0</x:v>
      </x:c>
      <x:c r="L1096" s="12" t="n">
        <x:v>0</x:v>
      </x:c>
      <x:c r="M1096" s="2" t="str">
        <x:v>持有</x:v>
      </x:c>
    </x:row>
    <x:row r="1097" ht="23" customHeight="1">
      <x:c r="A1097" s="11" t="d">
        <x:v>2019-05-06T00:00:00.000Z</x:v>
      </x:c>
      <x:c r="B1097" s="12" t="n">
        <x:v>589.308313</x:v>
      </x:c>
      <x:c r="C1097" s="13" t="n">
        <x:v>332</x:v>
      </x:c>
      <x:c r="D1097" s="12" t="n">
        <x:v>97216.23999999999</x:v>
      </x:c>
      <x:c r="E1097" s="12" t="n">
        <x:v>0</x:v>
      </x:c>
      <x:c r="F1097" s="12" t="n">
        <x:f>SUM(B1097,D1097:E1097)</x:f>
        <x:v>97805.54831299999</x:v>
      </x:c>
      <x:c r="G1097" s="12" t="n">
        <x:f>MAX(G1096,F1097)</x:f>
        <x:v>102238.29443099999</x:v>
      </x:c>
      <x:c r="H1097" s="14" t="n">
        <x:f>F1097/G1097-1</x:f>
        <x:v>-0.043357003778966896</x:v>
      </x:c>
      <x:c r="I1097" s="14" t="n">
        <x:f>F1097/F1096-1</x:f>
        <x:v>-0.004090532268137825</x:v>
      </x:c>
      <x:c r="J1097" s="12" t="n">
        <x:v>0</x:v>
      </x:c>
      <x:c r="K1097" s="12" t="n">
        <x:v>0</x:v>
      </x:c>
      <x:c r="L1097" s="12" t="n">
        <x:v>0</x:v>
      </x:c>
      <x:c r="M1097" s="2" t="str">
        <x:v>持有</x:v>
      </x:c>
    </x:row>
    <x:row r="1098" ht="23" customHeight="1">
      <x:c r="A1098" s="11" t="d">
        <x:v>2019-05-07T00:00:00.000Z</x:v>
      </x:c>
      <x:c r="B1098" s="12" t="n">
        <x:v>589.308313</x:v>
      </x:c>
      <x:c r="C1098" s="13" t="n">
        <x:v>332</x:v>
      </x:c>
      <x:c r="D1098" s="12" t="n">
        <x:v>95592.76000000001</x:v>
      </x:c>
      <x:c r="E1098" s="12" t="n">
        <x:v>0</x:v>
      </x:c>
      <x:c r="F1098" s="12" t="n">
        <x:f>SUM(B1098,D1098:E1098)</x:f>
        <x:v>96182.06831300001</x:v>
      </x:c>
      <x:c r="G1098" s="12" t="n">
        <x:f>MAX(G1097,F1098)</x:f>
        <x:v>102238.29443099999</x:v>
      </x:c>
      <x:c r="H1098" s="14" t="n">
        <x:f>F1098/G1098-1</x:f>
        <x:v>-0.05923637666009074</x:v>
      </x:c>
      <x:c r="I1098" s="14" t="n">
        <x:f>F1098/F1097-1</x:f>
        <x:v>-0.016599058315224346</x:v>
      </x:c>
      <x:c r="J1098" s="12" t="n">
        <x:v>0</x:v>
      </x:c>
      <x:c r="K1098" s="12" t="n">
        <x:v>0</x:v>
      </x:c>
      <x:c r="L1098" s="12" t="n">
        <x:v>0</x:v>
      </x:c>
      <x:c r="M1098" s="2" t="str">
        <x:v>持有</x:v>
      </x:c>
    </x:row>
    <x:row r="1099" ht="23" customHeight="1">
      <x:c r="A1099" s="11" t="d">
        <x:v>2019-05-08T00:00:00.000Z</x:v>
      </x:c>
      <x:c r="B1099" s="12" t="n">
        <x:v>589.308313</x:v>
      </x:c>
      <x:c r="C1099" s="13" t="n">
        <x:v>332</x:v>
      </x:c>
      <x:c r="D1099" s="12" t="n">
        <x:v>95459.95999999999</x:v>
      </x:c>
      <x:c r="E1099" s="12" t="n">
        <x:v>0</x:v>
      </x:c>
      <x:c r="F1099" s="12" t="n">
        <x:f>SUM(B1099,D1099:E1099)</x:f>
        <x:v>96049.268313</x:v>
      </x:c>
      <x:c r="G1099" s="12" t="n">
        <x:f>MAX(G1098,F1099)</x:f>
        <x:v>102238.29443099999</x:v>
      </x:c>
      <x:c r="H1099" s="14" t="n">
        <x:f>F1099/G1099-1</x:f>
        <x:v>-0.06053530286713582</x:v>
      </x:c>
      <x:c r="I1099" s="14" t="n">
        <x:f>F1099/F1098-1</x:f>
        <x:v>-0.0013807147457866042</x:v>
      </x:c>
      <x:c r="J1099" s="12" t="n">
        <x:v>0</x:v>
      </x:c>
      <x:c r="K1099" s="12" t="n">
        <x:v>0</x:v>
      </x:c>
      <x:c r="L1099" s="12" t="n">
        <x:v>0</x:v>
      </x:c>
      <x:c r="M1099" s="2" t="str">
        <x:v>持有</x:v>
      </x:c>
    </x:row>
    <x:row r="1100" ht="23" customHeight="1">
      <x:c r="A1100" s="11" t="d">
        <x:v>2019-05-09T00:00:00.000Z</x:v>
      </x:c>
      <x:c r="B1100" s="12" t="n">
        <x:v>589.308313</x:v>
      </x:c>
      <x:c r="C1100" s="13" t="n">
        <x:v>332</x:v>
      </x:c>
      <x:c r="D1100" s="12" t="n">
        <x:v>95171.12000000001</x:v>
      </x:c>
      <x:c r="E1100" s="12" t="n">
        <x:v>0</x:v>
      </x:c>
      <x:c r="F1100" s="12" t="n">
        <x:f>SUM(B1100,D1100:E1100)</x:f>
        <x:v>95760.42831300001</x:v>
      </x:c>
      <x:c r="G1100" s="12" t="n">
        <x:f>MAX(G1099,F1100)</x:f>
        <x:v>102238.29443099999</x:v>
      </x:c>
      <x:c r="H1100" s="14" t="n">
        <x:f>F1100/G1100-1</x:f>
        <x:v>-0.06336046736745837</x:v>
      </x:c>
      <x:c r="I1100" s="14" t="n">
        <x:f>F1100/F1099-1</x:f>
        <x:v>-0.0030072066666736452</x:v>
      </x:c>
      <x:c r="J1100" s="12" t="n">
        <x:v>0</x:v>
      </x:c>
      <x:c r="K1100" s="12" t="n">
        <x:v>0</x:v>
      </x:c>
      <x:c r="L1100" s="12" t="n">
        <x:v>0</x:v>
      </x:c>
      <x:c r="M1100" s="2" t="str">
        <x:v>持有</x:v>
      </x:c>
    </x:row>
    <x:row r="1101" ht="23" customHeight="1">
      <x:c r="A1101" s="11" t="d">
        <x:v>2019-05-10T00:00:00.000Z</x:v>
      </x:c>
      <x:c r="B1101" s="12" t="n">
        <x:v>589.308313</x:v>
      </x:c>
      <x:c r="C1101" s="13" t="n">
        <x:v>332</x:v>
      </x:c>
      <x:c r="D1101" s="12" t="n">
        <x:v>95649.20000000001</x:v>
      </x:c>
      <x:c r="E1101" s="12" t="n">
        <x:v>0</x:v>
      </x:c>
      <x:c r="F1101" s="12" t="n">
        <x:f>SUM(B1101,D1101:E1101)</x:f>
        <x:v>96238.50831300001</x:v>
      </x:c>
      <x:c r="G1101" s="12" t="n">
        <x:f>MAX(G1100,F1101)</x:f>
        <x:v>102238.29443099999</x:v>
      </x:c>
      <x:c r="H1101" s="14" t="n">
        <x:f>F1101/G1101-1</x:f>
        <x:v>-0.058684333022096635</x:v>
      </x:c>
      <x:c r="I1101" s="14" t="n">
        <x:f>F1101/F1100-1</x:f>
        <x:v>0.004992458872858929</x:v>
      </x:c>
      <x:c r="J1101" s="12" t="n">
        <x:v>0</x:v>
      </x:c>
      <x:c r="K1101" s="12" t="n">
        <x:v>0</x:v>
      </x:c>
      <x:c r="L1101" s="12" t="n">
        <x:v>0</x:v>
      </x:c>
      <x:c r="M1101" s="2" t="str">
        <x:v>持有</x:v>
      </x:c>
    </x:row>
    <x:row r="1102" ht="23" customHeight="1">
      <x:c r="A1102" s="11" t="d">
        <x:v>2019-05-13T00:00:00.000Z</x:v>
      </x:c>
      <x:c r="B1102" s="12" t="n">
        <x:v>589.308313</x:v>
      </x:c>
      <x:c r="C1102" s="13" t="n">
        <x:v>332</x:v>
      </x:c>
      <x:c r="D1102" s="12" t="n">
        <x:v>93245.52</x:v>
      </x:c>
      <x:c r="E1102" s="12" t="n">
        <x:v>0</x:v>
      </x:c>
      <x:c r="F1102" s="12" t="n">
        <x:f>SUM(B1102,D1102:E1102)</x:f>
        <x:v>93834.828313</x:v>
      </x:c>
      <x:c r="G1102" s="12" t="n">
        <x:f>MAX(G1101,F1102)</x:f>
        <x:v>102238.29443099999</x:v>
      </x:c>
      <x:c r="H1102" s="14" t="n">
        <x:f>F1102/G1102-1</x:f>
        <x:v>-0.08219489736960972</x:v>
      </x:c>
      <x:c r="I1102" s="14" t="n">
        <x:f>F1102/F1101-1</x:f>
        <x:v>-0.02497628072312208</x:v>
      </x:c>
      <x:c r="J1102" s="12" t="n">
        <x:v>0</x:v>
      </x:c>
      <x:c r="K1102" s="12" t="n">
        <x:v>0</x:v>
      </x:c>
      <x:c r="L1102" s="12" t="n">
        <x:v>0</x:v>
      </x:c>
      <x:c r="M1102" s="2" t="str">
        <x:v>持有</x:v>
      </x:c>
    </x:row>
    <x:row r="1103" ht="23" customHeight="1">
      <x:c r="A1103" s="11" t="d">
        <x:v>2019-05-14T00:00:00.000Z</x:v>
      </x:c>
      <x:c r="B1103" s="12" t="n">
        <x:v>94116.367633</x:v>
      </x:c>
      <x:c r="C1103" s="13" t="n">
        <x:v>0</x:v>
      </x:c>
      <x:c r="D1103" s="12" t="n">
        <x:v>0</x:v>
      </x:c>
      <x:c r="E1103" s="12" t="n">
        <x:v>0</x:v>
      </x:c>
      <x:c r="F1103" s="12" t="n">
        <x:f>SUM(B1103,D1103:E1103)</x:f>
        <x:v>94116.367633</x:v>
      </x:c>
      <x:c r="G1103" s="12" t="n">
        <x:f>MAX(G1102,F1103)</x:f>
        <x:v>102238.29443099999</x:v>
      </x:c>
      <x:c r="H1103" s="14" t="n">
        <x:f>F1103/G1103-1</x:f>
        <x:v>-0.07944114133751934</x:v>
      </x:c>
      <x:c r="I1103" s="14" t="n">
        <x:f>F1103/F1102-1</x:f>
        <x:v>0.0030003712380746173</x:v>
      </x:c>
      <x:c r="J1103" s="12" t="n">
        <x:v>0</x:v>
      </x:c>
      <x:c r="K1103" s="12" t="n">
        <x:v>0</x:v>
      </x:c>
      <x:c r="L1103" s="12" t="n">
        <x:v>-332</x:v>
      </x:c>
      <x:c r="M1103" s="2" t="str">
        <x:v>卖出</x:v>
      </x:c>
    </x:row>
    <x:row r="1104" ht="23" customHeight="1">
      <x:c r="A1104" s="11" t="d">
        <x:v>2019-05-15T00:00:00.000Z</x:v>
      </x:c>
      <x:c r="B1104" s="12" t="n">
        <x:v>94116.367633</x:v>
      </x:c>
      <x:c r="C1104" s="13" t="n">
        <x:v>0</x:v>
      </x:c>
      <x:c r="D1104" s="12" t="n">
        <x:v>0</x:v>
      </x:c>
      <x:c r="E1104" s="12" t="n">
        <x:v>0</x:v>
      </x:c>
      <x:c r="F1104" s="12" t="n">
        <x:f>SUM(B1104,D1104:E1104)</x:f>
        <x:v>94116.367633</x:v>
      </x:c>
      <x:c r="G1104" s="12" t="n">
        <x:f>MAX(G1103,F1104)</x:f>
        <x:v>102238.29443099999</x:v>
      </x:c>
      <x:c r="H1104" s="14" t="n">
        <x:f>F1104/G1104-1</x:f>
        <x:v>-0.07944114133751934</x:v>
      </x:c>
      <x:c r="I1104" s="14" t="n">
        <x:f>F1104/F1103-1</x:f>
        <x:v>0</x:v>
      </x:c>
      <x:c r="J1104" s="12" t="n">
        <x:v>0</x:v>
      </x:c>
      <x:c r="K1104" s="12" t="n">
        <x:v>0</x:v>
      </x:c>
      <x:c r="L1104" s="12" t="n">
        <x:v>0</x:v>
      </x:c>
      <x:c r="M1104" s="2" t="str">
        <x:v>空仓</x:v>
      </x:c>
    </x:row>
    <x:row r="1105" ht="23" customHeight="1">
      <x:c r="A1105" s="11" t="d">
        <x:v>2019-05-16T00:00:00.000Z</x:v>
      </x:c>
      <x:c r="B1105" s="12" t="n">
        <x:v>94116.367633</x:v>
      </x:c>
      <x:c r="C1105" s="13" t="n">
        <x:v>0</x:v>
      </x:c>
      <x:c r="D1105" s="12" t="n">
        <x:v>0</x:v>
      </x:c>
      <x:c r="E1105" s="12" t="n">
        <x:v>0</x:v>
      </x:c>
      <x:c r="F1105" s="12" t="n">
        <x:f>SUM(B1105,D1105:E1105)</x:f>
        <x:v>94116.367633</x:v>
      </x:c>
      <x:c r="G1105" s="12" t="n">
        <x:f>MAX(G1104,F1105)</x:f>
        <x:v>102238.29443099999</x:v>
      </x:c>
      <x:c r="H1105" s="14" t="n">
        <x:f>F1105/G1105-1</x:f>
        <x:v>-0.07944114133751934</x:v>
      </x:c>
      <x:c r="I1105" s="14" t="n">
        <x:f>F1105/F1104-1</x:f>
        <x:v>0</x:v>
      </x:c>
      <x:c r="J1105" s="12" t="n">
        <x:v>0</x:v>
      </x:c>
      <x:c r="K1105" s="12" t="n">
        <x:v>0</x:v>
      </x:c>
      <x:c r="L1105" s="12" t="n">
        <x:v>0</x:v>
      </x:c>
      <x:c r="M1105" s="2" t="str">
        <x:v>空仓</x:v>
      </x:c>
    </x:row>
    <x:row r="1106" ht="23" customHeight="1">
      <x:c r="A1106" s="11" t="d">
        <x:v>2019-05-17T00:00:00.000Z</x:v>
      </x:c>
      <x:c r="B1106" s="12" t="n">
        <x:v>211.496573</x:v>
      </x:c>
      <x:c r="C1106" s="13" t="n">
        <x:v>329</x:v>
      </x:c>
      <x:c r="D1106" s="12" t="n">
        <x:v>94041.35999999999</x:v>
      </x:c>
      <x:c r="E1106" s="12" t="n">
        <x:v>0</x:v>
      </x:c>
      <x:c r="F1106" s="12" t="n">
        <x:f>SUM(B1106,D1106:E1106)</x:f>
        <x:v>94252.85657299998</x:v>
      </x:c>
      <x:c r="G1106" s="12" t="n">
        <x:f>MAX(G1105,F1106)</x:f>
        <x:v>102238.29443099999</x:v>
      </x:c>
      <x:c r="H1106" s="14" t="n">
        <x:f>F1106/G1106-1</x:f>
        <x:v>-0.07810613334702421</x:v>
      </x:c>
      <x:c r="I1106" s="14" t="n">
        <x:f>F1106/F1105-1</x:f>
        <x:v>0.001450214701572472</x:v>
      </x:c>
      <x:c r="J1106" s="12" t="n">
        <x:v>0</x:v>
      </x:c>
      <x:c r="K1106" s="12" t="n">
        <x:v>0</x:v>
      </x:c>
      <x:c r="L1106" s="12" t="n">
        <x:v>329</x:v>
      </x:c>
      <x:c r="M1106" s="2" t="str">
        <x:v>买入</x:v>
      </x:c>
    </x:row>
    <x:row r="1107" ht="23" customHeight="1">
      <x:c r="A1107" s="11" t="d">
        <x:v>2019-05-20T00:00:00.000Z</x:v>
      </x:c>
      <x:c r="B1107" s="12" t="n">
        <x:v>93573.780833</x:v>
      </x:c>
      <x:c r="C1107" s="13" t="n">
        <x:v>0</x:v>
      </x:c>
      <x:c r="D1107" s="12" t="n">
        <x:v>0</x:v>
      </x:c>
      <x:c r="E1107" s="12" t="n">
        <x:v>0</x:v>
      </x:c>
      <x:c r="F1107" s="12" t="n">
        <x:f>SUM(B1107,D1107:E1107)</x:f>
        <x:v>93573.780833</x:v>
      </x:c>
      <x:c r="G1107" s="12" t="n">
        <x:f>MAX(G1106,F1107)</x:f>
        <x:v>102238.29443099999</x:v>
      </x:c>
      <x:c r="H1107" s="14" t="n">
        <x:f>F1107/G1107-1</x:f>
        <x:v>-0.08474822126309645</x:v>
      </x:c>
      <x:c r="I1107" s="14" t="n">
        <x:f>F1107/F1106-1</x:f>
        <x:v>-0.007204829271928004</x:v>
      </x:c>
      <x:c r="J1107" s="12" t="n">
        <x:v>0</x:v>
      </x:c>
      <x:c r="K1107" s="12" t="n">
        <x:v>0</x:v>
      </x:c>
      <x:c r="L1107" s="12" t="n">
        <x:v>-329</x:v>
      </x:c>
      <x:c r="M1107" s="2" t="str">
        <x:v>卖出</x:v>
      </x:c>
    </x:row>
    <x:row r="1108" ht="23" customHeight="1">
      <x:c r="A1108" s="11" t="d">
        <x:v>2019-05-21T00:00:00.000Z</x:v>
      </x:c>
      <x:c r="B1108" s="12" t="n">
        <x:v>93573.780833</x:v>
      </x:c>
      <x:c r="C1108" s="13" t="n">
        <x:v>0</x:v>
      </x:c>
      <x:c r="D1108" s="12" t="n">
        <x:v>0</x:v>
      </x:c>
      <x:c r="E1108" s="12" t="n">
        <x:v>0</x:v>
      </x:c>
      <x:c r="F1108" s="12" t="n">
        <x:f>SUM(B1108,D1108:E1108)</x:f>
        <x:v>93573.780833</x:v>
      </x:c>
      <x:c r="G1108" s="12" t="n">
        <x:f>MAX(G1107,F1108)</x:f>
        <x:v>102238.29443099999</x:v>
      </x:c>
      <x:c r="H1108" s="14" t="n">
        <x:f>F1108/G1108-1</x:f>
        <x:v>-0.08474822126309645</x:v>
      </x:c>
      <x:c r="I1108" s="14" t="n">
        <x:f>F1108/F1107-1</x:f>
        <x:v>0</x:v>
      </x:c>
      <x:c r="J1108" s="12" t="n">
        <x:v>0</x:v>
      </x:c>
      <x:c r="K1108" s="12" t="n">
        <x:v>0</x:v>
      </x:c>
      <x:c r="L1108" s="12" t="n">
        <x:v>0</x:v>
      </x:c>
      <x:c r="M1108" s="2" t="str">
        <x:v>空仓</x:v>
      </x:c>
    </x:row>
    <x:row r="1109" ht="23" customHeight="1">
      <x:c r="A1109" s="11" t="d">
        <x:v>2019-05-22T00:00:00.000Z</x:v>
      </x:c>
      <x:c r="B1109" s="12" t="n">
        <x:v>93573.780833</x:v>
      </x:c>
      <x:c r="C1109" s="13" t="n">
        <x:v>0</x:v>
      </x:c>
      <x:c r="D1109" s="12" t="n">
        <x:v>0</x:v>
      </x:c>
      <x:c r="E1109" s="12" t="n">
        <x:v>0</x:v>
      </x:c>
      <x:c r="F1109" s="12" t="n">
        <x:f>SUM(B1109,D1109:E1109)</x:f>
        <x:v>93573.780833</x:v>
      </x:c>
      <x:c r="G1109" s="12" t="n">
        <x:f>MAX(G1108,F1109)</x:f>
        <x:v>102238.29443099999</x:v>
      </x:c>
      <x:c r="H1109" s="14" t="n">
        <x:f>F1109/G1109-1</x:f>
        <x:v>-0.08474822126309645</x:v>
      </x:c>
      <x:c r="I1109" s="14" t="n">
        <x:f>F1109/F1108-1</x:f>
        <x:v>0</x:v>
      </x:c>
      <x:c r="J1109" s="12" t="n">
        <x:v>0</x:v>
      </x:c>
      <x:c r="K1109" s="12" t="n">
        <x:v>0</x:v>
      </x:c>
      <x:c r="L1109" s="12" t="n">
        <x:v>0</x:v>
      </x:c>
      <x:c r="M1109" s="2" t="str">
        <x:v>空仓</x:v>
      </x:c>
    </x:row>
    <x:row r="1110" ht="23" customHeight="1">
      <x:c r="A1110" s="11" t="d">
        <x:v>2019-05-23T00:00:00.000Z</x:v>
      </x:c>
      <x:c r="B1110" s="12" t="n">
        <x:v>93573.780833</x:v>
      </x:c>
      <x:c r="C1110" s="13" t="n">
        <x:v>0</x:v>
      </x:c>
      <x:c r="D1110" s="12" t="n">
        <x:v>0</x:v>
      </x:c>
      <x:c r="E1110" s="12" t="n">
        <x:v>0</x:v>
      </x:c>
      <x:c r="F1110" s="12" t="n">
        <x:f>SUM(B1110,D1110:E1110)</x:f>
        <x:v>93573.780833</x:v>
      </x:c>
      <x:c r="G1110" s="12" t="n">
        <x:f>MAX(G1109,F1110)</x:f>
        <x:v>102238.29443099999</x:v>
      </x:c>
      <x:c r="H1110" s="14" t="n">
        <x:f>F1110/G1110-1</x:f>
        <x:v>-0.08474822126309645</x:v>
      </x:c>
      <x:c r="I1110" s="14" t="n">
        <x:f>F1110/F1109-1</x:f>
        <x:v>0</x:v>
      </x:c>
      <x:c r="J1110" s="12" t="n">
        <x:v>0</x:v>
      </x:c>
      <x:c r="K1110" s="12" t="n">
        <x:v>0</x:v>
      </x:c>
      <x:c r="L1110" s="12" t="n">
        <x:v>0</x:v>
      </x:c>
      <x:c r="M1110" s="2" t="str">
        <x:v>空仓</x:v>
      </x:c>
    </x:row>
    <x:row r="1111" ht="23" customHeight="1">
      <x:c r="A1111" s="11" t="d">
        <x:v>2019-05-24T00:00:00.000Z</x:v>
      </x:c>
      <x:c r="B1111" s="12" t="n">
        <x:v>93573.780833</x:v>
      </x:c>
      <x:c r="C1111" s="13" t="n">
        <x:v>0</x:v>
      </x:c>
      <x:c r="D1111" s="12" t="n">
        <x:v>0</x:v>
      </x:c>
      <x:c r="E1111" s="12" t="n">
        <x:v>0</x:v>
      </x:c>
      <x:c r="F1111" s="12" t="n">
        <x:f>SUM(B1111,D1111:E1111)</x:f>
        <x:v>93573.780833</x:v>
      </x:c>
      <x:c r="G1111" s="12" t="n">
        <x:f>MAX(G1110,F1111)</x:f>
        <x:v>102238.29443099999</x:v>
      </x:c>
      <x:c r="H1111" s="14" t="n">
        <x:f>F1111/G1111-1</x:f>
        <x:v>-0.08474822126309645</x:v>
      </x:c>
      <x:c r="I1111" s="14" t="n">
        <x:f>F1111/F1110-1</x:f>
        <x:v>0</x:v>
      </x:c>
      <x:c r="J1111" s="12" t="n">
        <x:v>0</x:v>
      </x:c>
      <x:c r="K1111" s="12" t="n">
        <x:v>0</x:v>
      </x:c>
      <x:c r="L1111" s="12" t="n">
        <x:v>0</x:v>
      </x:c>
      <x:c r="M1111" s="2" t="str">
        <x:v>空仓</x:v>
      </x:c>
    </x:row>
    <x:row r="1112" ht="23" customHeight="1">
      <x:c r="A1112" s="11" t="d">
        <x:v>2019-05-28T00:00:00.000Z</x:v>
      </x:c>
      <x:c r="B1112" s="12" t="n">
        <x:v>93573.780833</x:v>
      </x:c>
      <x:c r="C1112" s="13" t="n">
        <x:v>0</x:v>
      </x:c>
      <x:c r="D1112" s="12" t="n">
        <x:v>0</x:v>
      </x:c>
      <x:c r="E1112" s="12" t="n">
        <x:v>0</x:v>
      </x:c>
      <x:c r="F1112" s="12" t="n">
        <x:f>SUM(B1112,D1112:E1112)</x:f>
        <x:v>93573.780833</x:v>
      </x:c>
      <x:c r="G1112" s="12" t="n">
        <x:f>MAX(G1111,F1112)</x:f>
        <x:v>102238.29443099999</x:v>
      </x:c>
      <x:c r="H1112" s="14" t="n">
        <x:f>F1112/G1112-1</x:f>
        <x:v>-0.08474822126309645</x:v>
      </x:c>
      <x:c r="I1112" s="14" t="n">
        <x:f>F1112/F1111-1</x:f>
        <x:v>0</x:v>
      </x:c>
      <x:c r="J1112" s="12" t="n">
        <x:v>0</x:v>
      </x:c>
      <x:c r="K1112" s="12" t="n">
        <x:v>0</x:v>
      </x:c>
      <x:c r="L1112" s="12" t="n">
        <x:v>0</x:v>
      </x:c>
      <x:c r="M1112" s="2" t="str">
        <x:v>空仓</x:v>
      </x:c>
    </x:row>
    <x:row r="1113" ht="23" customHeight="1">
      <x:c r="A1113" s="11" t="d">
        <x:v>2019-05-29T00:00:00.000Z</x:v>
      </x:c>
      <x:c r="B1113" s="12" t="n">
        <x:v>93573.780833</x:v>
      </x:c>
      <x:c r="C1113" s="13" t="n">
        <x:v>0</x:v>
      </x:c>
      <x:c r="D1113" s="12" t="n">
        <x:v>0</x:v>
      </x:c>
      <x:c r="E1113" s="12" t="n">
        <x:v>0</x:v>
      </x:c>
      <x:c r="F1113" s="12" t="n">
        <x:f>SUM(B1113,D1113:E1113)</x:f>
        <x:v>93573.780833</x:v>
      </x:c>
      <x:c r="G1113" s="12" t="n">
        <x:f>MAX(G1112,F1113)</x:f>
        <x:v>102238.29443099999</x:v>
      </x:c>
      <x:c r="H1113" s="14" t="n">
        <x:f>F1113/G1113-1</x:f>
        <x:v>-0.08474822126309645</x:v>
      </x:c>
      <x:c r="I1113" s="14" t="n">
        <x:f>F1113/F1112-1</x:f>
        <x:v>0</x:v>
      </x:c>
      <x:c r="J1113" s="12" t="n">
        <x:v>0</x:v>
      </x:c>
      <x:c r="K1113" s="12" t="n">
        <x:v>0</x:v>
      </x:c>
      <x:c r="L1113" s="12" t="n">
        <x:v>0</x:v>
      </x:c>
      <x:c r="M1113" s="2" t="str">
        <x:v>空仓</x:v>
      </x:c>
    </x:row>
    <x:row r="1114" ht="23" customHeight="1">
      <x:c r="A1114" s="11" t="d">
        <x:v>2019-05-30T00:00:00.000Z</x:v>
      </x:c>
      <x:c r="B1114" s="12" t="n">
        <x:v>93573.780833</x:v>
      </x:c>
      <x:c r="C1114" s="13" t="n">
        <x:v>0</x:v>
      </x:c>
      <x:c r="D1114" s="12" t="n">
        <x:v>0</x:v>
      </x:c>
      <x:c r="E1114" s="12" t="n">
        <x:v>0</x:v>
      </x:c>
      <x:c r="F1114" s="12" t="n">
        <x:f>SUM(B1114,D1114:E1114)</x:f>
        <x:v>93573.780833</x:v>
      </x:c>
      <x:c r="G1114" s="12" t="n">
        <x:f>MAX(G1113,F1114)</x:f>
        <x:v>102238.29443099999</x:v>
      </x:c>
      <x:c r="H1114" s="14" t="n">
        <x:f>F1114/G1114-1</x:f>
        <x:v>-0.08474822126309645</x:v>
      </x:c>
      <x:c r="I1114" s="14" t="n">
        <x:f>F1114/F1113-1</x:f>
        <x:v>0</x:v>
      </x:c>
      <x:c r="J1114" s="12" t="n">
        <x:v>0</x:v>
      </x:c>
      <x:c r="K1114" s="12" t="n">
        <x:v>0</x:v>
      </x:c>
      <x:c r="L1114" s="12" t="n">
        <x:v>0</x:v>
      </x:c>
      <x:c r="M1114" s="2" t="str">
        <x:v>空仓</x:v>
      </x:c>
    </x:row>
    <x:row r="1115" ht="23" customHeight="1">
      <x:c r="A1115" s="11" t="d">
        <x:v>2019-05-31T00:00:00.000Z</x:v>
      </x:c>
      <x:c r="B1115" s="12" t="n">
        <x:v>93573.780833</x:v>
      </x:c>
      <x:c r="C1115" s="13" t="n">
        <x:v>0</x:v>
      </x:c>
      <x:c r="D1115" s="12" t="n">
        <x:v>0</x:v>
      </x:c>
      <x:c r="E1115" s="12" t="n">
        <x:v>0</x:v>
      </x:c>
      <x:c r="F1115" s="12" t="n">
        <x:f>SUM(B1115,D1115:E1115)</x:f>
        <x:v>93573.780833</x:v>
      </x:c>
      <x:c r="G1115" s="12" t="n">
        <x:f>MAX(G1114,F1115)</x:f>
        <x:v>102238.29443099999</x:v>
      </x:c>
      <x:c r="H1115" s="14" t="n">
        <x:f>F1115/G1115-1</x:f>
        <x:v>-0.08474822126309645</x:v>
      </x:c>
      <x:c r="I1115" s="14" t="n">
        <x:f>F1115/F1114-1</x:f>
        <x:v>0</x:v>
      </x:c>
      <x:c r="J1115" s="12" t="n">
        <x:v>0</x:v>
      </x:c>
      <x:c r="K1115" s="12" t="n">
        <x:v>0</x:v>
      </x:c>
      <x:c r="L1115" s="12" t="n">
        <x:v>0</x:v>
      </x:c>
      <x:c r="M1115" s="2" t="str">
        <x:v>空仓</x:v>
      </x:c>
    </x:row>
    <x:row r="1116" ht="23" customHeight="1">
      <x:c r="A1116" s="11" t="d">
        <x:v>2019-06-03T00:00:00.000Z</x:v>
      </x:c>
      <x:c r="B1116" s="12" t="n">
        <x:v>93573.780833</x:v>
      </x:c>
      <x:c r="C1116" s="13" t="n">
        <x:v>0</x:v>
      </x:c>
      <x:c r="D1116" s="12" t="n">
        <x:v>0</x:v>
      </x:c>
      <x:c r="E1116" s="12" t="n">
        <x:v>0</x:v>
      </x:c>
      <x:c r="F1116" s="12" t="n">
        <x:f>SUM(B1116,D1116:E1116)</x:f>
        <x:v>93573.780833</x:v>
      </x:c>
      <x:c r="G1116" s="12" t="n">
        <x:f>MAX(G1115,F1116)</x:f>
        <x:v>102238.29443099999</x:v>
      </x:c>
      <x:c r="H1116" s="14" t="n">
        <x:f>F1116/G1116-1</x:f>
        <x:v>-0.08474822126309645</x:v>
      </x:c>
      <x:c r="I1116" s="14" t="n">
        <x:f>F1116/F1115-1</x:f>
        <x:v>0</x:v>
      </x:c>
      <x:c r="J1116" s="12" t="n">
        <x:v>0</x:v>
      </x:c>
      <x:c r="K1116" s="12" t="n">
        <x:v>0</x:v>
      </x:c>
      <x:c r="L1116" s="12" t="n">
        <x:v>0</x:v>
      </x:c>
      <x:c r="M1116" s="2" t="str">
        <x:v>空仓</x:v>
      </x:c>
    </x:row>
    <x:row r="1117" ht="23" customHeight="1">
      <x:c r="A1117" s="11" t="d">
        <x:v>2019-06-04T00:00:00.000Z</x:v>
      </x:c>
      <x:c r="B1117" s="12" t="n">
        <x:v>93573.780833</x:v>
      </x:c>
      <x:c r="C1117" s="13" t="n">
        <x:v>0</x:v>
      </x:c>
      <x:c r="D1117" s="12" t="n">
        <x:v>0</x:v>
      </x:c>
      <x:c r="E1117" s="12" t="n">
        <x:v>0</x:v>
      </x:c>
      <x:c r="F1117" s="12" t="n">
        <x:f>SUM(B1117,D1117:E1117)</x:f>
        <x:v>93573.780833</x:v>
      </x:c>
      <x:c r="G1117" s="12" t="n">
        <x:f>MAX(G1116,F1117)</x:f>
        <x:v>102238.29443099999</x:v>
      </x:c>
      <x:c r="H1117" s="14" t="n">
        <x:f>F1117/G1117-1</x:f>
        <x:v>-0.08474822126309645</x:v>
      </x:c>
      <x:c r="I1117" s="14" t="n">
        <x:f>F1117/F1116-1</x:f>
        <x:v>0</x:v>
      </x:c>
      <x:c r="J1117" s="12" t="n">
        <x:v>0</x:v>
      </x:c>
      <x:c r="K1117" s="12" t="n">
        <x:v>0</x:v>
      </x:c>
      <x:c r="L1117" s="12" t="n">
        <x:v>0</x:v>
      </x:c>
      <x:c r="M1117" s="2" t="str">
        <x:v>空仓</x:v>
      </x:c>
    </x:row>
    <x:row r="1118" ht="23" customHeight="1">
      <x:c r="A1118" s="11" t="d">
        <x:v>2019-06-05T00:00:00.000Z</x:v>
      </x:c>
      <x:c r="B1118" s="12" t="n">
        <x:v>93573.780833</x:v>
      </x:c>
      <x:c r="C1118" s="13" t="n">
        <x:v>0</x:v>
      </x:c>
      <x:c r="D1118" s="12" t="n">
        <x:v>0</x:v>
      </x:c>
      <x:c r="E1118" s="12" t="n">
        <x:v>0</x:v>
      </x:c>
      <x:c r="F1118" s="12" t="n">
        <x:f>SUM(B1118,D1118:E1118)</x:f>
        <x:v>93573.780833</x:v>
      </x:c>
      <x:c r="G1118" s="12" t="n">
        <x:f>MAX(G1117,F1118)</x:f>
        <x:v>102238.29443099999</x:v>
      </x:c>
      <x:c r="H1118" s="14" t="n">
        <x:f>F1118/G1118-1</x:f>
        <x:v>-0.08474822126309645</x:v>
      </x:c>
      <x:c r="I1118" s="14" t="n">
        <x:f>F1118/F1117-1</x:f>
        <x:v>0</x:v>
      </x:c>
      <x:c r="J1118" s="12" t="n">
        <x:v>0</x:v>
      </x:c>
      <x:c r="K1118" s="12" t="n">
        <x:v>0</x:v>
      </x:c>
      <x:c r="L1118" s="12" t="n">
        <x:v>0</x:v>
      </x:c>
      <x:c r="M1118" s="2" t="str">
        <x:v>空仓</x:v>
      </x:c>
    </x:row>
    <x:row r="1119" ht="23" customHeight="1">
      <x:c r="A1119" s="11" t="d">
        <x:v>2019-06-06T00:00:00.000Z</x:v>
      </x:c>
      <x:c r="B1119" s="12" t="n">
        <x:v>93573.780833</x:v>
      </x:c>
      <x:c r="C1119" s="13" t="n">
        <x:v>0</x:v>
      </x:c>
      <x:c r="D1119" s="12" t="n">
        <x:v>0</x:v>
      </x:c>
      <x:c r="E1119" s="12" t="n">
        <x:v>0</x:v>
      </x:c>
      <x:c r="F1119" s="12" t="n">
        <x:f>SUM(B1119,D1119:E1119)</x:f>
        <x:v>93573.780833</x:v>
      </x:c>
      <x:c r="G1119" s="12" t="n">
        <x:f>MAX(G1118,F1119)</x:f>
        <x:v>102238.29443099999</x:v>
      </x:c>
      <x:c r="H1119" s="14" t="n">
        <x:f>F1119/G1119-1</x:f>
        <x:v>-0.08474822126309645</x:v>
      </x:c>
      <x:c r="I1119" s="14" t="n">
        <x:f>F1119/F1118-1</x:f>
        <x:v>0</x:v>
      </x:c>
      <x:c r="J1119" s="12" t="n">
        <x:v>0</x:v>
      </x:c>
      <x:c r="K1119" s="12" t="n">
        <x:v>0</x:v>
      </x:c>
      <x:c r="L1119" s="12" t="n">
        <x:v>0</x:v>
      </x:c>
      <x:c r="M1119" s="2" t="str">
        <x:v>空仓</x:v>
      </x:c>
    </x:row>
    <x:row r="1120" ht="23" customHeight="1">
      <x:c r="A1120" s="11" t="d">
        <x:v>2019-06-07T00:00:00.000Z</x:v>
      </x:c>
      <x:c r="B1120" s="12" t="n">
        <x:v>93573.780833</x:v>
      </x:c>
      <x:c r="C1120" s="13" t="n">
        <x:v>0</x:v>
      </x:c>
      <x:c r="D1120" s="12" t="n">
        <x:v>0</x:v>
      </x:c>
      <x:c r="E1120" s="12" t="n">
        <x:v>0</x:v>
      </x:c>
      <x:c r="F1120" s="12" t="n">
        <x:f>SUM(B1120,D1120:E1120)</x:f>
        <x:v>93573.780833</x:v>
      </x:c>
      <x:c r="G1120" s="12" t="n">
        <x:f>MAX(G1119,F1120)</x:f>
        <x:v>102238.29443099999</x:v>
      </x:c>
      <x:c r="H1120" s="14" t="n">
        <x:f>F1120/G1120-1</x:f>
        <x:v>-0.08474822126309645</x:v>
      </x:c>
      <x:c r="I1120" s="14" t="n">
        <x:f>F1120/F1119-1</x:f>
        <x:v>0</x:v>
      </x:c>
      <x:c r="J1120" s="12" t="n">
        <x:v>0</x:v>
      </x:c>
      <x:c r="K1120" s="12" t="n">
        <x:v>0</x:v>
      </x:c>
      <x:c r="L1120" s="12" t="n">
        <x:v>0</x:v>
      </x:c>
      <x:c r="M1120" s="2" t="str">
        <x:v>空仓</x:v>
      </x:c>
    </x:row>
    <x:row r="1121" ht="23" customHeight="1">
      <x:c r="A1121" s="11" t="d">
        <x:v>2019-06-10T00:00:00.000Z</x:v>
      </x:c>
      <x:c r="B1121" s="12" t="n">
        <x:v>13.804323</x:v>
      </x:c>
      <x:c r="C1121" s="13" t="n">
        <x:v>323</x:v>
      </x:c>
      <x:c r="D1121" s="12" t="n">
        <x:v>93337.31000000001</x:v>
      </x:c>
      <x:c r="E1121" s="12" t="n">
        <x:v>0</x:v>
      </x:c>
      <x:c r="F1121" s="12" t="n">
        <x:f>SUM(B1121,D1121:E1121)</x:f>
        <x:v>93351.11432300002</x:v>
      </x:c>
      <x:c r="G1121" s="12" t="n">
        <x:f>MAX(G1120,F1121)</x:f>
        <x:v>102238.29443099999</x:v>
      </x:c>
      <x:c r="H1121" s="14" t="n">
        <x:f>F1121/G1121-1</x:f>
        <x:v>-0.08692613817025163</x:v>
      </x:c>
      <x:c r="I1121" s="14" t="n">
        <x:f>F1121/F1120-1</x:f>
        <x:v>-0.0023795822720615867</x:v>
      </x:c>
      <x:c r="J1121" s="12" t="n">
        <x:v>0</x:v>
      </x:c>
      <x:c r="K1121" s="12" t="n">
        <x:v>0</x:v>
      </x:c>
      <x:c r="L1121" s="12" t="n">
        <x:v>323</x:v>
      </x:c>
      <x:c r="M1121" s="2" t="str">
        <x:v>买入</x:v>
      </x:c>
    </x:row>
    <x:row r="1122" ht="23" customHeight="1">
      <x:c r="A1122" s="11" t="d">
        <x:v>2019-06-11T00:00:00.000Z</x:v>
      </x:c>
      <x:c r="B1122" s="12" t="n">
        <x:v>13.804323</x:v>
      </x:c>
      <x:c r="C1122" s="13" t="n">
        <x:v>323</x:v>
      </x:c>
      <x:c r="D1122" s="12" t="n">
        <x:v>93314.7</x:v>
      </x:c>
      <x:c r="E1122" s="12" t="n">
        <x:v>0</x:v>
      </x:c>
      <x:c r="F1122" s="12" t="n">
        <x:f>SUM(B1122,D1122:E1122)</x:f>
        <x:v>93328.504323</x:v>
      </x:c>
      <x:c r="G1122" s="12" t="n">
        <x:f>MAX(G1121,F1122)</x:f>
        <x:v>102238.29443099999</x:v>
      </x:c>
      <x:c r="H1122" s="14" t="n">
        <x:f>F1122/G1122-1</x:f>
        <x:v>-0.0871472881818578</x:v>
      </x:c>
      <x:c r="I1122" s="14" t="n">
        <x:f>F1122/F1121-1</x:f>
        <x:v>-0.00024220385759710084</x:v>
      </x:c>
      <x:c r="J1122" s="12" t="n">
        <x:v>0</x:v>
      </x:c>
      <x:c r="K1122" s="12" t="n">
        <x:v>0</x:v>
      </x:c>
      <x:c r="L1122" s="12" t="n">
        <x:v>0</x:v>
      </x:c>
      <x:c r="M1122" s="2" t="str">
        <x:v>持有</x:v>
      </x:c>
    </x:row>
    <x:row r="1123" ht="23" customHeight="1">
      <x:c r="A1123" s="11" t="d">
        <x:v>2019-06-12T00:00:00.000Z</x:v>
      </x:c>
      <x:c r="B1123" s="12" t="n">
        <x:v>13.804323</x:v>
      </x:c>
      <x:c r="C1123" s="13" t="n">
        <x:v>323</x:v>
      </x:c>
      <x:c r="D1123" s="12" t="n">
        <x:v>93149.97</x:v>
      </x:c>
      <x:c r="E1123" s="12" t="n">
        <x:v>0</x:v>
      </x:c>
      <x:c r="F1123" s="12" t="n">
        <x:f>SUM(B1123,D1123:E1123)</x:f>
        <x:v>93163.774323</x:v>
      </x:c>
      <x:c r="G1123" s="12" t="n">
        <x:f>MAX(G1122,F1123)</x:f>
        <x:v>102238.29443099999</x:v>
      </x:c>
      <x:c r="H1123" s="14" t="n">
        <x:f>F1123/G1123-1</x:f>
        <x:v>-0.08875852398070194</x:v>
      </x:c>
      <x:c r="I1123" s="14" t="n">
        <x:f>F1123/F1122-1</x:f>
        <x:v>-0.0017650556086260538</x:v>
      </x:c>
      <x:c r="J1123" s="12" t="n">
        <x:v>0</x:v>
      </x:c>
      <x:c r="K1123" s="12" t="n">
        <x:v>0</x:v>
      </x:c>
      <x:c r="L1123" s="12" t="n">
        <x:v>0</x:v>
      </x:c>
      <x:c r="M1123" s="2" t="str">
        <x:v>持有</x:v>
      </x:c>
    </x:row>
    <x:row r="1124" ht="23" customHeight="1">
      <x:c r="A1124" s="11" t="d">
        <x:v>2019-06-13T00:00:00.000Z</x:v>
      </x:c>
      <x:c r="B1124" s="12" t="n">
        <x:v>13.804323</x:v>
      </x:c>
      <x:c r="C1124" s="13" t="n">
        <x:v>323</x:v>
      </x:c>
      <x:c r="D1124" s="12" t="n">
        <x:v>93534.34</x:v>
      </x:c>
      <x:c r="E1124" s="12" t="n">
        <x:v>0</x:v>
      </x:c>
      <x:c r="F1124" s="12" t="n">
        <x:f>SUM(B1124,D1124:E1124)</x:f>
        <x:v>93548.144323</x:v>
      </x:c>
      <x:c r="G1124" s="12" t="n">
        <x:f>MAX(G1123,F1124)</x:f>
        <x:v>102238.29443099999</x:v>
      </x:c>
      <x:c r="H1124" s="14" t="n">
        <x:f>F1124/G1124-1</x:f>
        <x:v>-0.08499897378339893</x:v>
      </x:c>
      <x:c r="I1124" s="14" t="n">
        <x:f>F1124/F1123-1</x:f>
        <x:v>0.004125745256599256</x:v>
      </x:c>
      <x:c r="J1124" s="12" t="n">
        <x:v>0</x:v>
      </x:c>
      <x:c r="K1124" s="12" t="n">
        <x:v>0</x:v>
      </x:c>
      <x:c r="L1124" s="12" t="n">
        <x:v>0</x:v>
      </x:c>
      <x:c r="M1124" s="2" t="str">
        <x:v>持有</x:v>
      </x:c>
    </x:row>
    <x:row r="1125" ht="23" customHeight="1">
      <x:c r="A1125" s="11" t="d">
        <x:v>2019-06-14T00:00:00.000Z</x:v>
      </x:c>
      <x:c r="B1125" s="12" t="n">
        <x:v>13.804323</x:v>
      </x:c>
      <x:c r="C1125" s="13" t="n">
        <x:v>323</x:v>
      </x:c>
      <x:c r="D1125" s="12" t="n">
        <x:v>93430.98</x:v>
      </x:c>
      <x:c r="E1125" s="12" t="n">
        <x:v>0</x:v>
      </x:c>
      <x:c r="F1125" s="12" t="n">
        <x:f>SUM(B1125,D1125:E1125)</x:f>
        <x:v>93444.784323</x:v>
      </x:c>
      <x:c r="G1125" s="12" t="n">
        <x:f>MAX(G1124,F1125)</x:f>
        <x:v>102238.29443099999</x:v>
      </x:c>
      <x:c r="H1125" s="14" t="n">
        <x:f>F1125/G1125-1</x:f>
        <x:v>-0.0860099452650267</x:v>
      </x:c>
      <x:c r="I1125" s="14" t="n">
        <x:f>F1125/F1124-1</x:f>
        <x:v>-0.0011048856259844309</x:v>
      </x:c>
      <x:c r="J1125" s="12" t="n">
        <x:v>0</x:v>
      </x:c>
      <x:c r="K1125" s="12" t="n">
        <x:v>0</x:v>
      </x:c>
      <x:c r="L1125" s="12" t="n">
        <x:v>0</x:v>
      </x:c>
      <x:c r="M1125" s="2" t="str">
        <x:v>持有</x:v>
      </x:c>
    </x:row>
    <x:row r="1126" ht="23" customHeight="1">
      <x:c r="A1126" s="11" t="d">
        <x:v>2019-06-17T00:00:00.000Z</x:v>
      </x:c>
      <x:c r="B1126" s="12" t="n">
        <x:v>13.804323</x:v>
      </x:c>
      <x:c r="C1126" s="13" t="n">
        <x:v>323</x:v>
      </x:c>
      <x:c r="D1126" s="12" t="n">
        <x:v>93466.51</x:v>
      </x:c>
      <x:c r="E1126" s="12" t="n">
        <x:v>0</x:v>
      </x:c>
      <x:c r="F1126" s="12" t="n">
        <x:f>SUM(B1126,D1126:E1126)</x:f>
        <x:v>93480.314323</x:v>
      </x:c>
      <x:c r="G1126" s="12" t="n">
        <x:f>MAX(G1125,F1126)</x:f>
        <x:v>102238.29443099999</x:v>
      </x:c>
      <x:c r="H1126" s="14" t="n">
        <x:f>F1126/G1126-1</x:f>
        <x:v>-0.08566242381821709</x:v>
      </x:c>
      <x:c r="I1126" s="14" t="n">
        <x:f>F1126/F1125-1</x:f>
        <x:v>0.00038022453855934835</x:v>
      </x:c>
      <x:c r="J1126" s="12" t="n">
        <x:v>0</x:v>
      </x:c>
      <x:c r="K1126" s="12" t="n">
        <x:v>0</x:v>
      </x:c>
      <x:c r="L1126" s="12" t="n">
        <x:v>0</x:v>
      </x:c>
      <x:c r="M1126" s="2" t="str">
        <x:v>持有</x:v>
      </x:c>
    </x:row>
    <x:row r="1127" ht="23" customHeight="1">
      <x:c r="A1127" s="11" t="d">
        <x:v>2019-06-18T00:00:00.000Z</x:v>
      </x:c>
      <x:c r="B1127" s="12" t="n">
        <x:v>13.804323</x:v>
      </x:c>
      <x:c r="C1127" s="13" t="n">
        <x:v>323</x:v>
      </x:c>
      <x:c r="D1127" s="12" t="n">
        <x:v>94445.2</x:v>
      </x:c>
      <x:c r="E1127" s="12" t="n">
        <x:v>0</x:v>
      </x:c>
      <x:c r="F1127" s="12" t="n">
        <x:f>SUM(B1127,D1127:E1127)</x:f>
        <x:v>94459.004323</x:v>
      </x:c>
      <x:c r="G1127" s="12" t="n">
        <x:f>MAX(G1126,F1127)</x:f>
        <x:v>102238.29443099999</x:v>
      </x:c>
      <x:c r="H1127" s="14" t="n">
        <x:f>F1127/G1127-1</x:f>
        <x:v>-0.0760897876015546</x:v>
      </x:c>
      <x:c r="I1127" s="14" t="n">
        <x:f>F1127/F1126-1</x:f>
        <x:v>0.010469476991897597</x:v>
      </x:c>
      <x:c r="J1127" s="12" t="n">
        <x:v>0</x:v>
      </x:c>
      <x:c r="K1127" s="12" t="n">
        <x:v>0</x:v>
      </x:c>
      <x:c r="L1127" s="12" t="n">
        <x:v>0</x:v>
      </x:c>
      <x:c r="M1127" s="2" t="str">
        <x:v>持有</x:v>
      </x:c>
    </x:row>
    <x:row r="1128" ht="23" customHeight="1">
      <x:c r="A1128" s="11" t="d">
        <x:v>2019-06-19T00:00:00.000Z</x:v>
      </x:c>
      <x:c r="B1128" s="12" t="n">
        <x:v>13.804323</x:v>
      </x:c>
      <x:c r="C1128" s="13" t="n">
        <x:v>323</x:v>
      </x:c>
      <x:c r="D1128" s="12" t="n">
        <x:v>94658.38</x:v>
      </x:c>
      <x:c r="E1128" s="12" t="n">
        <x:v>0</x:v>
      </x:c>
      <x:c r="F1128" s="12" t="n">
        <x:f>SUM(B1128,D1128:E1128)</x:f>
        <x:v>94672.18432300001</x:v>
      </x:c>
      <x:c r="G1128" s="12" t="n">
        <x:f>MAX(G1127,F1128)</x:f>
        <x:v>102238.29443099999</x:v>
      </x:c>
      <x:c r="H1128" s="14" t="n">
        <x:f>F1128/G1128-1</x:f>
        <x:v>-0.0740046589206973</x:v>
      </x:c>
      <x:c r="I1128" s="14" t="n">
        <x:f>F1128/F1127-1</x:f>
        <x:v>0.0022568520759655986</x:v>
      </x:c>
      <x:c r="J1128" s="12" t="n">
        <x:v>0</x:v>
      </x:c>
      <x:c r="K1128" s="12" t="n">
        <x:v>0</x:v>
      </x:c>
      <x:c r="L1128" s="12" t="n">
        <x:v>0</x:v>
      </x:c>
      <x:c r="M1128" s="2" t="str">
        <x:v>持有</x:v>
      </x:c>
    </x:row>
    <x:row r="1129" ht="23" customHeight="1">
      <x:c r="A1129" s="11" t="d">
        <x:v>2019-06-20T00:00:00.000Z</x:v>
      </x:c>
      <x:c r="B1129" s="12" t="n">
        <x:v>13.804323</x:v>
      </x:c>
      <x:c r="C1129" s="13" t="n">
        <x:v>323</x:v>
      </x:c>
      <x:c r="D1129" s="12" t="n">
        <x:v>95562.78</x:v>
      </x:c>
      <x:c r="E1129" s="12" t="n">
        <x:v>0</x:v>
      </x:c>
      <x:c r="F1129" s="12" t="n">
        <x:f>SUM(B1129,D1129:E1129)</x:f>
        <x:v>95576.584323</x:v>
      </x:c>
      <x:c r="G1129" s="12" t="n">
        <x:f>MAX(G1128,F1129)</x:f>
        <x:v>102238.29443099999</x:v>
      </x:c>
      <x:c r="H1129" s="14" t="n">
        <x:f>F1129/G1129-1</x:f>
        <x:v>-0.06515865845645474</x:v>
      </x:c>
      <x:c r="I1129" s="14" t="n">
        <x:f>F1129/F1128-1</x:f>
        <x:v>0.009552964331259073</x:v>
      </x:c>
      <x:c r="J1129" s="12" t="n">
        <x:v>0</x:v>
      </x:c>
      <x:c r="K1129" s="12" t="n">
        <x:v>0</x:v>
      </x:c>
      <x:c r="L1129" s="12" t="n">
        <x:v>0</x:v>
      </x:c>
      <x:c r="M1129" s="2" t="str">
        <x:v>持有</x:v>
      </x:c>
    </x:row>
    <x:row r="1130" ht="23" customHeight="1">
      <x:c r="A1130" s="11" t="d">
        <x:v>2019-06-21T00:00:00.000Z</x:v>
      </x:c>
      <x:c r="B1130" s="12" t="n">
        <x:v>13.804323</x:v>
      </x:c>
      <x:c r="C1130" s="13" t="n">
        <x:v>323</x:v>
      </x:c>
      <x:c r="D1130" s="12" t="n">
        <x:v>94962</x:v>
      </x:c>
      <x:c r="E1130" s="12" t="n">
        <x:v>462.41972</x:v>
      </x:c>
      <x:c r="F1130" s="12" t="n">
        <x:f>SUM(B1130,D1130:E1130)</x:f>
        <x:v>95438.22404300001</x:v>
      </x:c>
      <x:c r="G1130" s="12" t="n">
        <x:f>MAX(G1129,F1130)</x:f>
        <x:v>102238.29443099999</x:v>
      </x:c>
      <x:c r="H1130" s="14" t="n">
        <x:f>F1130/G1130-1</x:f>
        <x:v>-0.0665119701560486</x:v>
      </x:c>
      <x:c r="I1130" s="14" t="n">
        <x:f>F1130/F1129-1</x:f>
        <x:v>-0.0014476378391218292</x:v>
      </x:c>
      <x:c r="J1130" s="12" t="n">
        <x:v>462.41972</x:v>
      </x:c>
      <x:c r="K1130" s="12" t="n">
        <x:v>0</x:v>
      </x:c>
      <x:c r="L1130" s="12" t="n">
        <x:v>0</x:v>
      </x:c>
      <x:c r="M1130" s="2" t="str">
        <x:v>持有</x:v>
      </x:c>
    </x:row>
    <x:row r="1131" ht="23" customHeight="1">
      <x:c r="A1131" s="11" t="d">
        <x:v>2019-06-24T00:00:00.000Z</x:v>
      </x:c>
      <x:c r="B1131" s="12" t="n">
        <x:v>13.804323</x:v>
      </x:c>
      <x:c r="C1131" s="13" t="n">
        <x:v>323</x:v>
      </x:c>
      <x:c r="D1131" s="12" t="n">
        <x:v>94845.72</x:v>
      </x:c>
      <x:c r="E1131" s="12" t="n">
        <x:v>462.41972</x:v>
      </x:c>
      <x:c r="F1131" s="12" t="n">
        <x:f>SUM(B1131,D1131:E1131)</x:f>
        <x:v>95321.94404300001</x:v>
      </x:c>
      <x:c r="G1131" s="12" t="n">
        <x:f>MAX(G1130,F1131)</x:f>
        <x:v>102238.29443099999</x:v>
      </x:c>
      <x:c r="H1131" s="14" t="n">
        <x:f>F1131/G1131-1</x:f>
        <x:v>-0.0676493130728798</x:v>
      </x:c>
      <x:c r="I1131" s="14" t="n">
        <x:f>F1131/F1130-1</x:f>
        <x:v>-0.001218379754715504</x:v>
      </x:c>
      <x:c r="J1131" s="12" t="n">
        <x:v>0</x:v>
      </x:c>
      <x:c r="K1131" s="12" t="n">
        <x:v>0</x:v>
      </x:c>
      <x:c r="L1131" s="12" t="n">
        <x:v>0</x:v>
      </x:c>
      <x:c r="M1131" s="2" t="str">
        <x:v>持有</x:v>
      </x:c>
    </x:row>
    <x:row r="1132" ht="23" customHeight="1">
      <x:c r="A1132" s="11" t="d">
        <x:v>2019-06-25T00:00:00.000Z</x:v>
      </x:c>
      <x:c r="B1132" s="12" t="n">
        <x:v>13.804323</x:v>
      </x:c>
      <x:c r="C1132" s="13" t="n">
        <x:v>323</x:v>
      </x:c>
      <x:c r="D1132" s="12" t="n">
        <x:v>93915.48</x:v>
      </x:c>
      <x:c r="E1132" s="12" t="n">
        <x:v>462.41972</x:v>
      </x:c>
      <x:c r="F1132" s="12" t="n">
        <x:f>SUM(B1132,D1132:E1132)</x:f>
        <x:v>94391.704043</x:v>
      </x:c>
      <x:c r="G1132" s="12" t="n">
        <x:f>MAX(G1131,F1132)</x:f>
        <x:v>102238.29443099999</x:v>
      </x:c>
      <x:c r="H1132" s="14" t="n">
        <x:f>F1132/G1132-1</x:f>
        <x:v>-0.07674805640752935</x:v>
      </x:c>
      <x:c r="I1132" s="14" t="n">
        <x:f>F1132/F1131-1</x:f>
        <x:v>-0.009758928118171473</x:v>
      </x:c>
      <x:c r="J1132" s="12" t="n">
        <x:v>0</x:v>
      </x:c>
      <x:c r="K1132" s="12" t="n">
        <x:v>0</x:v>
      </x:c>
      <x:c r="L1132" s="12" t="n">
        <x:v>0</x:v>
      </x:c>
      <x:c r="M1132" s="2" t="str">
        <x:v>持有</x:v>
      </x:c>
    </x:row>
    <x:row r="1133" ht="23" customHeight="1">
      <x:c r="A1133" s="11" t="d">
        <x:v>2019-06-26T00:00:00.000Z</x:v>
      </x:c>
      <x:c r="B1133" s="12" t="n">
        <x:v>13.804323</x:v>
      </x:c>
      <x:c r="C1133" s="13" t="n">
        <x:v>323</x:v>
      </x:c>
      <x:c r="D1133" s="12" t="n">
        <x:v>93821.81000000001</x:v>
      </x:c>
      <x:c r="E1133" s="12" t="n">
        <x:v>462.41972</x:v>
      </x:c>
      <x:c r="F1133" s="12" t="n">
        <x:f>SUM(B1133,D1133:E1133)</x:f>
        <x:v>94298.03404300002</x:v>
      </x:c>
      <x:c r="G1133" s="12" t="n">
        <x:f>MAX(G1132,F1133)</x:f>
        <x:v>102238.29443099999</x:v>
      </x:c>
      <x:c r="H1133" s="14" t="n">
        <x:f>F1133/G1133-1</x:f>
        <x:v>-0.07766424931275429</x:v>
      </x:c>
      <x:c r="I1133" s="14" t="n">
        <x:f>F1133/F1132-1</x:f>
        <x:v>-0.0009923541581293716</x:v>
      </x:c>
      <x:c r="J1133" s="12" t="n">
        <x:v>0</x:v>
      </x:c>
      <x:c r="K1133" s="12" t="n">
        <x:v>0</x:v>
      </x:c>
      <x:c r="L1133" s="12" t="n">
        <x:v>0</x:v>
      </x:c>
      <x:c r="M1133" s="2" t="str">
        <x:v>持有</x:v>
      </x:c>
    </x:row>
    <x:row r="1134" ht="23" customHeight="1">
      <x:c r="A1134" s="11" t="d">
        <x:v>2019-06-27T00:00:00.000Z</x:v>
      </x:c>
      <x:c r="B1134" s="12" t="n">
        <x:v>13.804323</x:v>
      </x:c>
      <x:c r="C1134" s="13" t="n">
        <x:v>323</x:v>
      </x:c>
      <x:c r="D1134" s="12" t="n">
        <x:v>94154.5</x:v>
      </x:c>
      <x:c r="E1134" s="12" t="n">
        <x:v>462.41972</x:v>
      </x:c>
      <x:c r="F1134" s="12" t="n">
        <x:f>SUM(B1134,D1134:E1134)</x:f>
        <x:v>94630.72404300001</x:v>
      </x:c>
      <x:c r="G1134" s="12" t="n">
        <x:f>MAX(G1133,F1134)</x:f>
        <x:v>102238.29443099999</x:v>
      </x:c>
      <x:c r="H1134" s="14" t="n">
        <x:f>F1134/G1134-1</x:f>
        <x:v>-0.07441018485626516</x:v>
      </x:c>
      <x:c r="I1134" s="14" t="n">
        <x:f>F1134/F1133-1</x:f>
        <x:v>0.0035280693110555372</x:v>
      </x:c>
      <x:c r="J1134" s="12" t="n">
        <x:v>0</x:v>
      </x:c>
      <x:c r="K1134" s="12" t="n">
        <x:v>0</x:v>
      </x:c>
      <x:c r="L1134" s="12" t="n">
        <x:v>0</x:v>
      </x:c>
      <x:c r="M1134" s="2" t="str">
        <x:v>持有</x:v>
      </x:c>
    </x:row>
    <x:row r="1135" ht="23" customHeight="1">
      <x:c r="A1135" s="11" t="d">
        <x:v>2019-06-28T00:00:00.000Z</x:v>
      </x:c>
      <x:c r="B1135" s="12" t="n">
        <x:v>13.804323</x:v>
      </x:c>
      <x:c r="C1135" s="13" t="n">
        <x:v>323</x:v>
      </x:c>
      <x:c r="D1135" s="12" t="n">
        <x:v>94639</x:v>
      </x:c>
      <x:c r="E1135" s="12" t="n">
        <x:v>462.41972</x:v>
      </x:c>
      <x:c r="F1135" s="12" t="n">
        <x:f>SUM(B1135,D1135:E1135)</x:f>
        <x:v>95115.22404300001</x:v>
      </x:c>
      <x:c r="G1135" s="12" t="n">
        <x:f>MAX(G1134,F1135)</x:f>
        <x:v>102238.29443099999</x:v>
      </x:c>
      <x:c r="H1135" s="14" t="n">
        <x:f>F1135/G1135-1</x:f>
        <x:v>-0.06967125603613522</x:v>
      </x:c>
      <x:c r="I1135" s="14" t="n">
        <x:f>F1135/F1134-1</x:f>
        <x:v>0.00511990164821996</x:v>
      </x:c>
      <x:c r="J1135" s="12" t="n">
        <x:v>0</x:v>
      </x:c>
      <x:c r="K1135" s="12" t="n">
        <x:v>0</x:v>
      </x:c>
      <x:c r="L1135" s="12" t="n">
        <x:v>0</x:v>
      </x:c>
      <x:c r="M1135" s="2" t="str">
        <x:v>持有</x:v>
      </x:c>
    </x:row>
    <x:row r="1136" ht="23" customHeight="1">
      <x:c r="A1136" s="11" t="d">
        <x:v>2019-07-01T00:00:00.000Z</x:v>
      </x:c>
      <x:c r="B1136" s="12" t="n">
        <x:v>13.804323</x:v>
      </x:c>
      <x:c r="C1136" s="13" t="n">
        <x:v>323</x:v>
      </x:c>
      <x:c r="D1136" s="12" t="n">
        <x:v>95498.18000000001</x:v>
      </x:c>
      <x:c r="E1136" s="12" t="n">
        <x:v>462.41972</x:v>
      </x:c>
      <x:c r="F1136" s="12" t="n">
        <x:f>SUM(B1136,D1136:E1136)</x:f>
        <x:v>95974.40404300002</x:v>
      </x:c>
      <x:c r="G1136" s="12" t="n">
        <x:f>MAX(G1135,F1136)</x:f>
        <x:v>102238.29443099999</x:v>
      </x:c>
      <x:c r="H1136" s="14" t="n">
        <x:f>F1136/G1136-1</x:f>
        <x:v>-0.06126755559510466</x:v>
      </x:c>
      <x:c r="I1136" s="14" t="n">
        <x:f>F1136/F1135-1</x:f>
        <x:v>0.00903304395951987</x:v>
      </x:c>
      <x:c r="J1136" s="12" t="n">
        <x:v>0</x:v>
      </x:c>
      <x:c r="K1136" s="12" t="n">
        <x:v>0</x:v>
      </x:c>
      <x:c r="L1136" s="12" t="n">
        <x:v>0</x:v>
      </x:c>
      <x:c r="M1136" s="2" t="str">
        <x:v>持有</x:v>
      </x:c>
    </x:row>
    <x:row r="1137" ht="23" customHeight="1">
      <x:c r="A1137" s="11" t="d">
        <x:v>2019-07-02T00:00:00.000Z</x:v>
      </x:c>
      <x:c r="B1137" s="12" t="n">
        <x:v>13.804323</x:v>
      </x:c>
      <x:c r="C1137" s="13" t="n">
        <x:v>323</x:v>
      </x:c>
      <x:c r="D1137" s="12" t="n">
        <x:v>95746.89</x:v>
      </x:c>
      <x:c r="E1137" s="12" t="n">
        <x:v>462.41972</x:v>
      </x:c>
      <x:c r="F1137" s="12" t="n">
        <x:f>SUM(B1137,D1137:E1137)</x:f>
        <x:v>96223.11404300001</x:v>
      </x:c>
      <x:c r="G1137" s="12" t="n">
        <x:f>MAX(G1136,F1137)</x:f>
        <x:v>102238.29443099999</x:v>
      </x:c>
      <x:c r="H1137" s="14" t="n">
        <x:f>F1137/G1137-1</x:f>
        <x:v>-0.05883490546743797</x:v>
      </x:c>
      <x:c r="I1137" s="14" t="n">
        <x:f>F1137/F1136-1</x:f>
        <x:v>0.002591420102890707</x:v>
      </x:c>
      <x:c r="J1137" s="12" t="n">
        <x:v>0</x:v>
      </x:c>
      <x:c r="K1137" s="12" t="n">
        <x:v>0</x:v>
      </x:c>
      <x:c r="L1137" s="12" t="n">
        <x:v>0</x:v>
      </x:c>
      <x:c r="M1137" s="2" t="str">
        <x:v>持有</x:v>
      </x:c>
    </x:row>
    <x:row r="1138" ht="23" customHeight="1">
      <x:c r="A1138" s="11" t="d">
        <x:v>2019-07-03T00:00:00.000Z</x:v>
      </x:c>
      <x:c r="B1138" s="12" t="n">
        <x:v>13.804323</x:v>
      </x:c>
      <x:c r="C1138" s="13" t="n">
        <x:v>323</x:v>
      </x:c>
      <x:c r="D1138" s="12" t="n">
        <x:v>96512.40000000001</x:v>
      </x:c>
      <x:c r="E1138" s="12" t="n">
        <x:v>462.41972</x:v>
      </x:c>
      <x:c r="F1138" s="12" t="n">
        <x:f>SUM(B1138,D1138:E1138)</x:f>
        <x:v>96988.62404300002</x:v>
      </x:c>
      <x:c r="G1138" s="12" t="n">
        <x:f>MAX(G1137,F1138)</x:f>
        <x:v>102238.29443099999</x:v>
      </x:c>
      <x:c r="H1138" s="14" t="n">
        <x:f>F1138/G1138-1</x:f>
        <x:v>-0.051347397931632566</x:v>
      </x:c>
      <x:c r="I1138" s="14" t="n">
        <x:f>F1138/F1137-1</x:f>
        <x:v>0.00795557291627369</x:v>
      </x:c>
      <x:c r="J1138" s="12" t="n">
        <x:v>0</x:v>
      </x:c>
      <x:c r="K1138" s="12" t="n">
        <x:v>0</x:v>
      </x:c>
      <x:c r="L1138" s="12" t="n">
        <x:v>0</x:v>
      </x:c>
      <x:c r="M1138" s="2" t="str">
        <x:v>持有</x:v>
      </x:c>
    </x:row>
    <x:row r="1139" ht="23" customHeight="1">
      <x:c r="A1139" s="11" t="d">
        <x:v>2019-07-05T00:00:00.000Z</x:v>
      </x:c>
      <x:c r="B1139" s="12" t="n">
        <x:v>13.804323</x:v>
      </x:c>
      <x:c r="C1139" s="13" t="n">
        <x:v>323</x:v>
      </x:c>
      <x:c r="D1139" s="12" t="n">
        <x:v>96402.57999999999</x:v>
      </x:c>
      <x:c r="E1139" s="12" t="n">
        <x:v>462.41972</x:v>
      </x:c>
      <x:c r="F1139" s="12" t="n">
        <x:f>SUM(B1139,D1139:E1139)</x:f>
        <x:v>96878.804043</x:v>
      </x:c>
      <x:c r="G1139" s="12" t="n">
        <x:f>MAX(G1138,F1139)</x:f>
        <x:v>102238.29443099999</x:v>
      </x:c>
      <x:c r="H1139" s="14" t="n">
        <x:f>F1139/G1139-1</x:f>
        <x:v>-0.05242155513086222</x:v>
      </x:c>
      <x:c r="I1139" s="14" t="n">
        <x:f>F1139/F1138-1</x:f>
        <x:v>-0.0011322977419633284</x:v>
      </x:c>
      <x:c r="J1139" s="12" t="n">
        <x:v>0</x:v>
      </x:c>
      <x:c r="K1139" s="12" t="n">
        <x:v>0</x:v>
      </x:c>
      <x:c r="L1139" s="12" t="n">
        <x:v>0</x:v>
      </x:c>
      <x:c r="M1139" s="2" t="str">
        <x:v>持有</x:v>
      </x:c>
    </x:row>
    <x:row r="1140" ht="23" customHeight="1">
      <x:c r="A1140" s="11" t="d">
        <x:v>2019-07-08T00:00:00.000Z</x:v>
      </x:c>
      <x:c r="B1140" s="12" t="n">
        <x:v>13.804323</x:v>
      </x:c>
      <x:c r="C1140" s="13" t="n">
        <x:v>323</x:v>
      </x:c>
      <x:c r="D1140" s="12" t="n">
        <x:v>95872.86</x:v>
      </x:c>
      <x:c r="E1140" s="12" t="n">
        <x:v>462.41972</x:v>
      </x:c>
      <x:c r="F1140" s="12" t="n">
        <x:f>SUM(B1140,D1140:E1140)</x:f>
        <x:v>96349.08404300001</x:v>
      </x:c>
      <x:c r="G1140" s="12" t="n">
        <x:f>MAX(G1139,F1140)</x:f>
        <x:v>102238.29443099999</x:v>
      </x:c>
      <x:c r="H1140" s="14" t="n">
        <x:f>F1140/G1140-1</x:f>
        <x:v>-0.057602783974204264</x:v>
      </x:c>
      <x:c r="I1140" s="14" t="n">
        <x:f>F1140/F1139-1</x:f>
        <x:v>-0.00546786270983346</x:v>
      </x:c>
      <x:c r="J1140" s="12" t="n">
        <x:v>0</x:v>
      </x:c>
      <x:c r="K1140" s="12" t="n">
        <x:v>0</x:v>
      </x:c>
      <x:c r="L1140" s="12" t="n">
        <x:v>0</x:v>
      </x:c>
      <x:c r="M1140" s="2" t="str">
        <x:v>持有</x:v>
      </x:c>
    </x:row>
    <x:row r="1141" ht="23" customHeight="1">
      <x:c r="A1141" s="11" t="d">
        <x:v>2019-07-09T00:00:00.000Z</x:v>
      </x:c>
      <x:c r="B1141" s="12" t="n">
        <x:v>13.804323</x:v>
      </x:c>
      <x:c r="C1141" s="13" t="n">
        <x:v>323</x:v>
      </x:c>
      <x:c r="D1141" s="12" t="n">
        <x:v>95992.37</x:v>
      </x:c>
      <x:c r="E1141" s="12" t="n">
        <x:v>462.41972</x:v>
      </x:c>
      <x:c r="F1141" s="12" t="n">
        <x:f>SUM(B1141,D1141:E1141)</x:f>
        <x:v>96468.594043</x:v>
      </x:c>
      <x:c r="G1141" s="12" t="n">
        <x:f>MAX(G1140,F1141)</x:f>
        <x:v>102238.29443099999</x:v>
      </x:c>
      <x:c r="H1141" s="14" t="n">
        <x:f>F1141/G1141-1</x:f>
        <x:v>-0.05643384819857222</x:v>
      </x:c>
      <x:c r="I1141" s="14" t="n">
        <x:f>F1141/F1140-1</x:f>
        <x:v>0.001240385429576607</x:v>
      </x:c>
      <x:c r="J1141" s="12" t="n">
        <x:v>0</x:v>
      </x:c>
      <x:c r="K1141" s="12" t="n">
        <x:v>0</x:v>
      </x:c>
      <x:c r="L1141" s="12" t="n">
        <x:v>0</x:v>
      </x:c>
      <x:c r="M1141" s="2" t="str">
        <x:v>持有</x:v>
      </x:c>
    </x:row>
    <x:row r="1142" ht="23" customHeight="1">
      <x:c r="A1142" s="11" t="d">
        <x:v>2019-07-10T00:00:00.000Z</x:v>
      </x:c>
      <x:c r="B1142" s="12" t="n">
        <x:v>13.804323</x:v>
      </x:c>
      <x:c r="C1142" s="13" t="n">
        <x:v>323</x:v>
      </x:c>
      <x:c r="D1142" s="12" t="n">
        <x:v>96451.03</x:v>
      </x:c>
      <x:c r="E1142" s="12" t="n">
        <x:v>462.41972</x:v>
      </x:c>
      <x:c r="F1142" s="12" t="n">
        <x:f>SUM(B1142,D1142:E1142)</x:f>
        <x:v>96927.25404300001</x:v>
      </x:c>
      <x:c r="G1142" s="12" t="n">
        <x:f>MAX(G1141,F1142)</x:f>
        <x:v>102238.29443099999</x:v>
      </x:c>
      <x:c r="H1142" s="14" t="n">
        <x:f>F1142/G1142-1</x:f>
        <x:v>-0.05194766224884917</x:v>
      </x:c>
      <x:c r="I1142" s="14" t="n">
        <x:f>F1142/F1141-1</x:f>
        <x:v>0.00475450072171224</x:v>
      </x:c>
      <x:c r="J1142" s="12" t="n">
        <x:v>0</x:v>
      </x:c>
      <x:c r="K1142" s="12" t="n">
        <x:v>0</x:v>
      </x:c>
      <x:c r="L1142" s="12" t="n">
        <x:v>0</x:v>
      </x:c>
      <x:c r="M1142" s="2" t="str">
        <x:v>持有</x:v>
      </x:c>
    </x:row>
    <x:row r="1143" ht="23" customHeight="1">
      <x:c r="A1143" s="11" t="d">
        <x:v>2019-07-11T00:00:00.000Z</x:v>
      </x:c>
      <x:c r="B1143" s="12" t="n">
        <x:v>13.804323</x:v>
      </x:c>
      <x:c r="C1143" s="13" t="n">
        <x:v>323</x:v>
      </x:c>
      <x:c r="D1143" s="12" t="n">
        <x:v>96677.13</x:v>
      </x:c>
      <x:c r="E1143" s="12" t="n">
        <x:v>462.41972</x:v>
      </x:c>
      <x:c r="F1143" s="12" t="n">
        <x:f>SUM(B1143,D1143:E1143)</x:f>
        <x:v>97153.35404300001</x:v>
      </x:c>
      <x:c r="G1143" s="12" t="n">
        <x:f>MAX(G1142,F1143)</x:f>
        <x:v>102238.29443099999</x:v>
      </x:c>
      <x:c r="H1143" s="14" t="n">
        <x:f>F1143/G1143-1</x:f>
        <x:v>-0.04973616213278842</x:v>
      </x:c>
      <x:c r="I1143" s="14" t="n">
        <x:f>F1143/F1142-1</x:f>
        <x:v>0.0023326772457590295</x:v>
      </x:c>
      <x:c r="J1143" s="12" t="n">
        <x:v>0</x:v>
      </x:c>
      <x:c r="K1143" s="12" t="n">
        <x:v>0</x:v>
      </x:c>
      <x:c r="L1143" s="12" t="n">
        <x:v>0</x:v>
      </x:c>
      <x:c r="M1143" s="2" t="str">
        <x:v>持有</x:v>
      </x:c>
    </x:row>
    <x:row r="1144" ht="23" customHeight="1">
      <x:c r="A1144" s="11" t="d">
        <x:v>2019-07-12T00:00:00.000Z</x:v>
      </x:c>
      <x:c r="B1144" s="12" t="n">
        <x:v>13.804323</x:v>
      </x:c>
      <x:c r="C1144" s="13" t="n">
        <x:v>323</x:v>
      </x:c>
      <x:c r="D1144" s="12" t="n">
        <x:v>97109.95</x:v>
      </x:c>
      <x:c r="E1144" s="12" t="n">
        <x:v>462.41972</x:v>
      </x:c>
      <x:c r="F1144" s="12" t="n">
        <x:f>SUM(B1144,D1144:E1144)</x:f>
        <x:v>97586.174043</x:v>
      </x:c>
      <x:c r="G1144" s="12" t="n">
        <x:f>MAX(G1143,F1144)</x:f>
        <x:v>102238.29443099999</x:v>
      </x:c>
      <x:c r="H1144" s="14" t="n">
        <x:f>F1144/G1144-1</x:f>
        <x:v>-0.04550271905347236</x:v>
      </x:c>
      <x:c r="I1144" s="14" t="n">
        <x:f>F1144/F1143-1</x:f>
        <x:v>0.004455018607061545</x:v>
      </x:c>
      <x:c r="J1144" s="12" t="n">
        <x:v>0</x:v>
      </x:c>
      <x:c r="K1144" s="12" t="n">
        <x:v>0</x:v>
      </x:c>
      <x:c r="L1144" s="12" t="n">
        <x:v>0</x:v>
      </x:c>
      <x:c r="M1144" s="2" t="str">
        <x:v>持有</x:v>
      </x:c>
    </x:row>
    <x:row r="1145" ht="23" customHeight="1">
      <x:c r="A1145" s="11" t="d">
        <x:v>2019-07-15T00:00:00.000Z</x:v>
      </x:c>
      <x:c r="B1145" s="12" t="n">
        <x:v>13.804323</x:v>
      </x:c>
      <x:c r="C1145" s="13" t="n">
        <x:v>323</x:v>
      </x:c>
      <x:c r="D1145" s="12" t="n">
        <x:v>97142.25</x:v>
      </x:c>
      <x:c r="E1145" s="12" t="n">
        <x:v>462.41972</x:v>
      </x:c>
      <x:c r="F1145" s="12" t="n">
        <x:f>SUM(B1145,D1145:E1145)</x:f>
        <x:v>97618.47404300001</x:v>
      </x:c>
      <x:c r="G1145" s="12" t="n">
        <x:f>MAX(G1144,F1145)</x:f>
        <x:v>102238.29443099999</x:v>
      </x:c>
      <x:c r="H1145" s="14" t="n">
        <x:f>F1145/G1145-1</x:f>
        <x:v>-0.0451867904654637</x:v>
      </x:c>
      <x:c r="I1145" s="14" t="n">
        <x:f>F1145/F1144-1</x:f>
        <x:v>0.00033098951072485505</x:v>
      </x:c>
      <x:c r="J1145" s="12" t="n">
        <x:v>0</x:v>
      </x:c>
      <x:c r="K1145" s="12" t="n">
        <x:v>0</x:v>
      </x:c>
      <x:c r="L1145" s="12" t="n">
        <x:v>0</x:v>
      </x:c>
      <x:c r="M1145" s="2" t="str">
        <x:v>持有</x:v>
      </x:c>
    </x:row>
    <x:row r="1146" ht="23" customHeight="1">
      <x:c r="A1146" s="11" t="d">
        <x:v>2019-07-16T00:00:00.000Z</x:v>
      </x:c>
      <x:c r="B1146" s="12" t="n">
        <x:v>13.804323</x:v>
      </x:c>
      <x:c r="C1146" s="13" t="n">
        <x:v>323</x:v>
      </x:c>
      <x:c r="D1146" s="12" t="n">
        <x:v>96828.93999999999</x:v>
      </x:c>
      <x:c r="E1146" s="12" t="n">
        <x:v>462.41972</x:v>
      </x:c>
      <x:c r="F1146" s="12" t="n">
        <x:f>SUM(B1146,D1146:E1146)</x:f>
        <x:v>97305.164043</x:v>
      </x:c>
      <x:c r="G1146" s="12" t="n">
        <x:f>MAX(G1145,F1146)</x:f>
        <x:v>102238.29443099999</x:v>
      </x:c>
      <x:c r="H1146" s="14" t="n">
        <x:f>F1146/G1146-1</x:f>
        <x:v>-0.04825129776914783</x:v>
      </x:c>
      <x:c r="I1146" s="14" t="n">
        <x:f>F1146/F1145-1</x:f>
        <x:v>-0.0032095359313033534</x:v>
      </x:c>
      <x:c r="J1146" s="12" t="n">
        <x:v>0</x:v>
      </x:c>
      <x:c r="K1146" s="12" t="n">
        <x:v>0</x:v>
      </x:c>
      <x:c r="L1146" s="12" t="n">
        <x:v>0</x:v>
      </x:c>
      <x:c r="M1146" s="2" t="str">
        <x:v>持有</x:v>
      </x:c>
    </x:row>
    <x:row r="1147" ht="23" customHeight="1">
      <x:c r="A1147" s="11" t="d">
        <x:v>2019-07-17T00:00:00.000Z</x:v>
      </x:c>
      <x:c r="B1147" s="12" t="n">
        <x:v>13.804323</x:v>
      </x:c>
      <x:c r="C1147" s="13" t="n">
        <x:v>323</x:v>
      </x:c>
      <x:c r="D1147" s="12" t="n">
        <x:v>96170.02</x:v>
      </x:c>
      <x:c r="E1147" s="12" t="n">
        <x:v>462.41972</x:v>
      </x:c>
      <x:c r="F1147" s="12" t="n">
        <x:f>SUM(B1147,D1147:E1147)</x:f>
        <x:v>96646.24404300001</x:v>
      </x:c>
      <x:c r="G1147" s="12" t="n">
        <x:f>MAX(G1146,F1147)</x:f>
        <x:v>102238.29443099999</x:v>
      </x:c>
      <x:c r="H1147" s="14" t="n">
        <x:f>F1147/G1147-1</x:f>
        <x:v>-0.05469624096452441</x:v>
      </x:c>
      <x:c r="I1147" s="14" t="n">
        <x:f>F1147/F1146-1</x:f>
        <x:v>-0.00677168582449339</x:v>
      </x:c>
      <x:c r="J1147" s="12" t="n">
        <x:v>0</x:v>
      </x:c>
      <x:c r="K1147" s="12" t="n">
        <x:v>0</x:v>
      </x:c>
      <x:c r="L1147" s="12" t="n">
        <x:v>0</x:v>
      </x:c>
      <x:c r="M1147" s="2" t="str">
        <x:v>持有</x:v>
      </x:c>
    </x:row>
    <x:row r="1148" ht="23" customHeight="1">
      <x:c r="A1148" s="11" t="d">
        <x:v>2019-07-18T00:00:00.000Z</x:v>
      </x:c>
      <x:c r="B1148" s="12" t="n">
        <x:v>13.804323</x:v>
      </x:c>
      <x:c r="C1148" s="13" t="n">
        <x:v>323</x:v>
      </x:c>
      <x:c r="D1148" s="12" t="n">
        <x:v>96522.09</x:v>
      </x:c>
      <x:c r="E1148" s="12" t="n">
        <x:v>462.41972</x:v>
      </x:c>
      <x:c r="F1148" s="12" t="n">
        <x:f>SUM(B1148,D1148:E1148)</x:f>
        <x:v>96998.314043</x:v>
      </x:c>
      <x:c r="G1148" s="12" t="n">
        <x:f>MAX(G1147,F1148)</x:f>
        <x:v>102238.29443099999</x:v>
      </x:c>
      <x:c r="H1148" s="14" t="n">
        <x:f>F1148/G1148-1</x:f>
        <x:v>-0.05125261935523007</x:v>
      </x:c>
      <x:c r="I1148" s="14" t="n">
        <x:f>F1148/F1147-1</x:f>
        <x:v>0.0036428730726809633</x:v>
      </x:c>
      <x:c r="J1148" s="12" t="n">
        <x:v>0</x:v>
      </x:c>
      <x:c r="K1148" s="12" t="n">
        <x:v>0</x:v>
      </x:c>
      <x:c r="L1148" s="12" t="n">
        <x:v>0</x:v>
      </x:c>
      <x:c r="M1148" s="2" t="str">
        <x:v>持有</x:v>
      </x:c>
    </x:row>
    <x:row r="1149" ht="23" customHeight="1">
      <x:c r="A1149" s="11" t="d">
        <x:v>2019-07-19T00:00:00.000Z</x:v>
      </x:c>
      <x:c r="B1149" s="12" t="n">
        <x:v>13.804323</x:v>
      </x:c>
      <x:c r="C1149" s="13" t="n">
        <x:v>323</x:v>
      </x:c>
      <x:c r="D1149" s="12" t="n">
        <x:v>95985.91</x:v>
      </x:c>
      <x:c r="E1149" s="12" t="n">
        <x:v>462.41972</x:v>
      </x:c>
      <x:c r="F1149" s="12" t="n">
        <x:f>SUM(B1149,D1149:E1149)</x:f>
        <x:v>96462.13404300001</x:v>
      </x:c>
      <x:c r="G1149" s="12" t="n">
        <x:f>MAX(G1148,F1149)</x:f>
        <x:v>102238.29443099999</x:v>
      </x:c>
      <x:c r="H1149" s="14" t="n">
        <x:f>F1149/G1149-1</x:f>
        <x:v>-0.05649703391617389</x:v>
      </x:c>
      <x:c r="I1149" s="14" t="n">
        <x:f>F1149/F1148-1</x:f>
        <x:v>-0.005527724943366508</x:v>
      </x:c>
      <x:c r="J1149" s="12" t="n">
        <x:v>0</x:v>
      </x:c>
      <x:c r="K1149" s="12" t="n">
        <x:v>0</x:v>
      </x:c>
      <x:c r="L1149" s="12" t="n">
        <x:v>0</x:v>
      </x:c>
      <x:c r="M1149" s="2" t="str">
        <x:v>持有</x:v>
      </x:c>
    </x:row>
    <x:row r="1150" ht="23" customHeight="1">
      <x:c r="A1150" s="11" t="d">
        <x:v>2019-07-22T00:00:00.000Z</x:v>
      </x:c>
      <x:c r="B1150" s="12" t="n">
        <x:v>13.804323</x:v>
      </x:c>
      <x:c r="C1150" s="13" t="n">
        <x:v>323</x:v>
      </x:c>
      <x:c r="D1150" s="12" t="n">
        <x:v>96221.7</x:v>
      </x:c>
      <x:c r="E1150" s="12" t="n">
        <x:v>462.41972</x:v>
      </x:c>
      <x:c r="F1150" s="12" t="n">
        <x:f>SUM(B1150,D1150:E1150)</x:f>
        <x:v>96697.924043</x:v>
      </x:c>
      <x:c r="G1150" s="12" t="n">
        <x:f>MAX(G1149,F1150)</x:f>
        <x:v>102238.29443099999</x:v>
      </x:c>
      <x:c r="H1150" s="14" t="n">
        <x:f>F1150/G1150-1</x:f>
        <x:v>-0.05419075522371064</x:v>
      </x:c>
      <x:c r="I1150" s="14" t="n">
        <x:f>F1150/F1149-1</x:f>
        <x:v>0.0024443788470913663</x:v>
      </x:c>
      <x:c r="J1150" s="12" t="n">
        <x:v>0</x:v>
      </x:c>
      <x:c r="K1150" s="12" t="n">
        <x:v>0</x:v>
      </x:c>
      <x:c r="L1150" s="12" t="n">
        <x:v>0</x:v>
      </x:c>
      <x:c r="M1150" s="2" t="str">
        <x:v>持有</x:v>
      </x:c>
    </x:row>
    <x:row r="1151" ht="23" customHeight="1">
      <x:c r="A1151" s="11" t="d">
        <x:v>2019-07-23T00:00:00.000Z</x:v>
      </x:c>
      <x:c r="B1151" s="12" t="n">
        <x:v>13.804323</x:v>
      </x:c>
      <x:c r="C1151" s="13" t="n">
        <x:v>323</x:v>
      </x:c>
      <x:c r="D1151" s="12" t="n">
        <x:v>96909.68999999999</x:v>
      </x:c>
      <x:c r="E1151" s="12" t="n">
        <x:v>462.41972</x:v>
      </x:c>
      <x:c r="F1151" s="12" t="n">
        <x:f>SUM(B1151,D1151:E1151)</x:f>
        <x:v>97385.914043</x:v>
      </x:c>
      <x:c r="G1151" s="12" t="n">
        <x:f>MAX(G1150,F1151)</x:f>
        <x:v>102238.29443099999</x:v>
      </x:c>
      <x:c r="H1151" s="14" t="n">
        <x:f>F1151/G1151-1</x:f>
        <x:v>-0.047461476299126226</x:v>
      </x:c>
      <x:c r="I1151" s="14" t="n">
        <x:f>F1151/F1150-1</x:f>
        <x:v>0.007114837332951041</x:v>
      </x:c>
      <x:c r="J1151" s="12" t="n">
        <x:v>0</x:v>
      </x:c>
      <x:c r="K1151" s="12" t="n">
        <x:v>0</x:v>
      </x:c>
      <x:c r="L1151" s="12" t="n">
        <x:v>0</x:v>
      </x:c>
      <x:c r="M1151" s="2" t="str">
        <x:v>持有</x:v>
      </x:c>
    </x:row>
    <x:row r="1152" ht="23" customHeight="1">
      <x:c r="A1152" s="11" t="d">
        <x:v>2019-07-24T00:00:00.000Z</x:v>
      </x:c>
      <x:c r="B1152" s="12" t="n">
        <x:v>13.804323</x:v>
      </x:c>
      <x:c r="C1152" s="13" t="n">
        <x:v>323</x:v>
      </x:c>
      <x:c r="D1152" s="12" t="n">
        <x:v>97365.12</x:v>
      </x:c>
      <x:c r="E1152" s="12" t="n">
        <x:v>462.41972</x:v>
      </x:c>
      <x:c r="F1152" s="12" t="n">
        <x:f>SUM(B1152,D1152:E1152)</x:f>
        <x:v>97841.344043</x:v>
      </x:c>
      <x:c r="G1152" s="12" t="n">
        <x:f>MAX(G1151,F1152)</x:f>
        <x:v>102238.29443099999</x:v>
      </x:c>
      <x:c r="H1152" s="14" t="n">
        <x:f>F1152/G1152-1</x:f>
        <x:v>-0.043006883208203894</x:v>
      </x:c>
      <x:c r="I1152" s="14" t="n">
        <x:f>F1152/F1151-1</x:f>
        <x:v>0.004676549010967923</x:v>
      </x:c>
      <x:c r="J1152" s="12" t="n">
        <x:v>0</x:v>
      </x:c>
      <x:c r="K1152" s="12" t="n">
        <x:v>0</x:v>
      </x:c>
      <x:c r="L1152" s="12" t="n">
        <x:v>0</x:v>
      </x:c>
      <x:c r="M1152" s="2" t="str">
        <x:v>持有</x:v>
      </x:c>
    </x:row>
    <x:row r="1153" ht="23" customHeight="1">
      <x:c r="A1153" s="11" t="d">
        <x:v>2019-07-25T00:00:00.000Z</x:v>
      </x:c>
      <x:c r="B1153" s="12" t="n">
        <x:v>13.804323</x:v>
      </x:c>
      <x:c r="C1153" s="13" t="n">
        <x:v>323</x:v>
      </x:c>
      <x:c r="D1153" s="12" t="n">
        <x:v>96900</x:v>
      </x:c>
      <x:c r="E1153" s="12" t="n">
        <x:v>462.41972</x:v>
      </x:c>
      <x:c r="F1153" s="12" t="n">
        <x:f>SUM(B1153,D1153:E1153)</x:f>
        <x:v>97376.22404300001</x:v>
      </x:c>
      <x:c r="G1153" s="12" t="n">
        <x:f>MAX(G1152,F1153)</x:f>
        <x:v>102238.29443099999</x:v>
      </x:c>
      <x:c r="H1153" s="14" t="n">
        <x:f>F1153/G1153-1</x:f>
        <x:v>-0.047556254875528614</x:v>
      </x:c>
      <x:c r="I1153" s="14" t="n">
        <x:f>F1153/F1152-1</x:f>
        <x:v>-0.004753818588137726</x:v>
      </x:c>
      <x:c r="J1153" s="12" t="n">
        <x:v>0</x:v>
      </x:c>
      <x:c r="K1153" s="12" t="n">
        <x:v>0</x:v>
      </x:c>
      <x:c r="L1153" s="12" t="n">
        <x:v>0</x:v>
      </x:c>
      <x:c r="M1153" s="2" t="str">
        <x:v>持有</x:v>
      </x:c>
    </x:row>
    <x:row r="1154" ht="23" customHeight="1">
      <x:c r="A1154" s="11" t="d">
        <x:v>2019-07-26T00:00:00.000Z</x:v>
      </x:c>
      <x:c r="B1154" s="12" t="n">
        <x:v>13.804323</x:v>
      </x:c>
      <x:c r="C1154" s="13" t="n">
        <x:v>323</x:v>
      </x:c>
      <x:c r="D1154" s="12" t="n">
        <x:v>97549.23</x:v>
      </x:c>
      <x:c r="E1154" s="12" t="n">
        <x:v>462.41972</x:v>
      </x:c>
      <x:c r="F1154" s="12" t="n">
        <x:f>SUM(B1154,D1154:E1154)</x:f>
        <x:v>98025.454043</x:v>
      </x:c>
      <x:c r="G1154" s="12" t="n">
        <x:f>MAX(G1153,F1154)</x:f>
        <x:v>102238.29443099999</x:v>
      </x:c>
      <x:c r="H1154" s="14" t="n">
        <x:f>F1154/G1154-1</x:f>
        <x:v>-0.04120609025655453</x:v>
      </x:c>
      <x:c r="I1154" s="14" t="n">
        <x:f>F1154/F1153-1</x:f>
        <x:v>0.00666723326336105</x:v>
      </x:c>
      <x:c r="J1154" s="12" t="n">
        <x:v>0</x:v>
      </x:c>
      <x:c r="K1154" s="12" t="n">
        <x:v>0</x:v>
      </x:c>
      <x:c r="L1154" s="12" t="n">
        <x:v>0</x:v>
      </x:c>
      <x:c r="M1154" s="2" t="str">
        <x:v>持有</x:v>
      </x:c>
    </x:row>
    <x:row r="1155" ht="23" customHeight="1">
      <x:c r="A1155" s="11" t="d">
        <x:v>2019-07-29T00:00:00.000Z</x:v>
      </x:c>
      <x:c r="B1155" s="12" t="n">
        <x:v>13.804323</x:v>
      </x:c>
      <x:c r="C1155" s="13" t="n">
        <x:v>323</x:v>
      </x:c>
      <x:c r="D1155" s="12" t="n">
        <x:v>97371.57999999999</x:v>
      </x:c>
      <x:c r="E1155" s="12" t="n">
        <x:v>462.41972</x:v>
      </x:c>
      <x:c r="F1155" s="12" t="n">
        <x:f>SUM(B1155,D1155:E1155)</x:f>
        <x:v>97847.804043</x:v>
      </x:c>
      <x:c r="G1155" s="12" t="n">
        <x:f>MAX(G1154,F1155)</x:f>
        <x:v>102238.29443099999</x:v>
      </x:c>
      <x:c r="H1155" s="14" t="n">
        <x:f>F1155/G1155-1</x:f>
        <x:v>-0.04294369749060223</x:v>
      </x:c>
      <x:c r="I1155" s="14" t="n">
        <x:f>F1155/F1154-1</x:f>
        <x:v>-0.001812284388114982</x:v>
      </x:c>
      <x:c r="J1155" s="12" t="n">
        <x:v>0</x:v>
      </x:c>
      <x:c r="K1155" s="12" t="n">
        <x:v>0</x:v>
      </x:c>
      <x:c r="L1155" s="12" t="n">
        <x:v>0</x:v>
      </x:c>
      <x:c r="M1155" s="2" t="str">
        <x:v>持有</x:v>
      </x:c>
    </x:row>
    <x:row r="1156" ht="23" customHeight="1">
      <x:c r="A1156" s="11" t="d">
        <x:v>2019-07-30T00:00:00.000Z</x:v>
      </x:c>
      <x:c r="B1156" s="12" t="n">
        <x:v>13.804323</x:v>
      </x:c>
      <x:c r="C1156" s="13" t="n">
        <x:v>323</x:v>
      </x:c>
      <x:c r="D1156" s="12" t="n">
        <x:v>97132.56000000001</x:v>
      </x:c>
      <x:c r="E1156" s="12" t="n">
        <x:v>462.41972</x:v>
      </x:c>
      <x:c r="F1156" s="12" t="n">
        <x:f>SUM(B1156,D1156:E1156)</x:f>
        <x:v>97608.78404300002</x:v>
      </x:c>
      <x:c r="G1156" s="12" t="n">
        <x:f>MAX(G1155,F1156)</x:f>
        <x:v>102238.29443099999</x:v>
      </x:c>
      <x:c r="H1156" s="14" t="n">
        <x:f>F1156/G1156-1</x:f>
        <x:v>-0.0452815690418662</x:v>
      </x:c>
      <x:c r="I1156" s="14" t="n">
        <x:f>F1156/F1155-1</x:f>
        <x:v>-0.002442773267501641</x:v>
      </x:c>
      <x:c r="J1156" s="12" t="n">
        <x:v>0</x:v>
      </x:c>
      <x:c r="K1156" s="12" t="n">
        <x:v>0</x:v>
      </x:c>
      <x:c r="L1156" s="12" t="n">
        <x:v>0</x:v>
      </x:c>
      <x:c r="M1156" s="2" t="str">
        <x:v>持有</x:v>
      </x:c>
    </x:row>
    <x:row r="1157" ht="23" customHeight="1">
      <x:c r="A1157" s="11" t="d">
        <x:v>2019-07-31T00:00:00.000Z</x:v>
      </x:c>
      <x:c r="B1157" s="12" t="n">
        <x:v>476.224043</x:v>
      </x:c>
      <x:c r="C1157" s="13" t="n">
        <x:v>323</x:v>
      </x:c>
      <x:c r="D1157" s="12" t="n">
        <x:v>96069.89</x:v>
      </x:c>
      <x:c r="E1157" s="12" t="n">
        <x:v>0</x:v>
      </x:c>
      <x:c r="F1157" s="12" t="n">
        <x:f>SUM(B1157,D1157:E1157)</x:f>
        <x:v>96546.114043</x:v>
      </x:c>
      <x:c r="G1157" s="12" t="n">
        <x:f>MAX(G1156,F1157)</x:f>
        <x:v>102238.29443099999</x:v>
      </x:c>
      <x:c r="H1157" s="14" t="n">
        <x:f>F1157/G1157-1</x:f>
        <x:v>-0.055675619587351455</x:v>
      </x:c>
      <x:c r="I1157" s="14" t="n">
        <x:f>F1157/F1156-1</x:f>
        <x:v>-0.010887032457364554</x:v>
      </x:c>
      <x:c r="J1157" s="12" t="n">
        <x:v>0</x:v>
      </x:c>
      <x:c r="K1157" s="12" t="n">
        <x:v>462.41972</x:v>
      </x:c>
      <x:c r="L1157" s="12" t="n">
        <x:v>0</x:v>
      </x:c>
      <x:c r="M1157" s="2" t="str">
        <x:v>持有</x:v>
      </x:c>
    </x:row>
    <x:row r="1158" ht="23" customHeight="1">
      <x:c r="A1158" s="11" t="d">
        <x:v>2019-08-01T00:00:00.000Z</x:v>
      </x:c>
      <x:c r="B1158" s="12" t="n">
        <x:v>476.224043</x:v>
      </x:c>
      <x:c r="C1158" s="13" t="n">
        <x:v>323</x:v>
      </x:c>
      <x:c r="D1158" s="12" t="n">
        <x:v>95233.31999999999</x:v>
      </x:c>
      <x:c r="E1158" s="12" t="n">
        <x:v>0</x:v>
      </x:c>
      <x:c r="F1158" s="12" t="n">
        <x:f>SUM(B1158,D1158:E1158)</x:f>
        <x:v>95709.54404299999</x:v>
      </x:c>
      <x:c r="G1158" s="12" t="n">
        <x:f>MAX(G1157,F1158)</x:f>
        <x:v>102238.29443099999</x:v>
      </x:c>
      <x:c r="H1158" s="14" t="n">
        <x:f>F1158/G1158-1</x:f>
        <x:v>-0.06385817001677596</x:v>
      </x:c>
      <x:c r="I1158" s="14" t="n">
        <x:f>F1158/F1157-1</x:f>
        <x:v>-0.008664978474715368</x:v>
      </x:c>
      <x:c r="J1158" s="12" t="n">
        <x:v>0</x:v>
      </x:c>
      <x:c r="K1158" s="12" t="n">
        <x:v>0</x:v>
      </x:c>
      <x:c r="L1158" s="12" t="n">
        <x:v>0</x:v>
      </x:c>
      <x:c r="M1158" s="2" t="str">
        <x:v>持有</x:v>
      </x:c>
    </x:row>
    <x:row r="1159" ht="23" customHeight="1">
      <x:c r="A1159" s="11" t="d">
        <x:v>2019-08-02T00:00:00.000Z</x:v>
      </x:c>
      <x:c r="B1159" s="12" t="n">
        <x:v>476.224043</x:v>
      </x:c>
      <x:c r="C1159" s="13" t="n">
        <x:v>323</x:v>
      </x:c>
      <x:c r="D1159" s="12" t="n">
        <x:v>94516.26</x:v>
      </x:c>
      <x:c r="E1159" s="12" t="n">
        <x:v>0</x:v>
      </x:c>
      <x:c r="F1159" s="12" t="n">
        <x:f>SUM(B1159,D1159:E1159)</x:f>
        <x:v>94992.48404299999</x:v>
      </x:c>
      <x:c r="G1159" s="12" t="n">
        <x:f>MAX(G1158,F1159)</x:f>
        <x:v>102238.29443099999</x:v>
      </x:c>
      <x:c r="H1159" s="14" t="n">
        <x:f>F1159/G1159-1</x:f>
        <x:v>-0.07087178467056832</x:v>
      </x:c>
      <x:c r="I1159" s="14" t="n">
        <x:f>F1159/F1158-1</x:f>
        <x:v>-0.007492042796461762</x:v>
      </x:c>
      <x:c r="J1159" s="12" t="n">
        <x:v>0</x:v>
      </x:c>
      <x:c r="K1159" s="12" t="n">
        <x:v>0</x:v>
      </x:c>
      <x:c r="L1159" s="12" t="n">
        <x:v>0</x:v>
      </x:c>
      <x:c r="M1159" s="2" t="str">
        <x:v>持有</x:v>
      </x:c>
    </x:row>
    <x:row r="1160" ht="23" customHeight="1">
      <x:c r="A1160" s="11" t="d">
        <x:v>2019-08-05T00:00:00.000Z</x:v>
      </x:c>
      <x:c r="B1160" s="12" t="n">
        <x:v>476.224043</x:v>
      </x:c>
      <x:c r="C1160" s="13" t="n">
        <x:v>323</x:v>
      </x:c>
      <x:c r="D1160" s="12" t="n">
        <x:v>91673.86</x:v>
      </x:c>
      <x:c r="E1160" s="12" t="n">
        <x:v>0</x:v>
      </x:c>
      <x:c r="F1160" s="12" t="n">
        <x:f>SUM(B1160,D1160:E1160)</x:f>
        <x:v>92150.084043</x:v>
      </x:c>
      <x:c r="G1160" s="12" t="n">
        <x:f>MAX(G1159,F1160)</x:f>
        <x:v>102238.29443099999</x:v>
      </x:c>
      <x:c r="H1160" s="14" t="n">
        <x:f>F1160/G1160-1</x:f>
        <x:v>-0.09867350041533085</x:v>
      </x:c>
      <x:c r="I1160" s="14" t="n">
        <x:f>F1160/F1159-1</x:f>
        <x:v>-0.02992236731816944</x:v>
      </x:c>
      <x:c r="J1160" s="12" t="n">
        <x:v>0</x:v>
      </x:c>
      <x:c r="K1160" s="12" t="n">
        <x:v>0</x:v>
      </x:c>
      <x:c r="L1160" s="12" t="n">
        <x:v>0</x:v>
      </x:c>
      <x:c r="M1160" s="2" t="str">
        <x:v>持有</x:v>
      </x:c>
    </x:row>
    <x:row r="1161" ht="23" customHeight="1">
      <x:c r="A1161" s="11" t="d">
        <x:v>2019-08-06T00:00:00.000Z</x:v>
      </x:c>
      <x:c r="B1161" s="12" t="n">
        <x:v>92732.805113</x:v>
      </x:c>
      <x:c r="C1161" s="13" t="n">
        <x:v>0</x:v>
      </x:c>
      <x:c r="D1161" s="12" t="n">
        <x:v>0</x:v>
      </x:c>
      <x:c r="E1161" s="12" t="n">
        <x:v>0</x:v>
      </x:c>
      <x:c r="F1161" s="12" t="n">
        <x:f>SUM(B1161,D1161:E1161)</x:f>
        <x:v>92732.805113</x:v>
      </x:c>
      <x:c r="G1161" s="12" t="n">
        <x:f>MAX(G1160,F1161)</x:f>
        <x:v>102238.29443099999</x:v>
      </x:c>
      <x:c r="H1161" s="14" t="n">
        <x:f>F1161/G1161-1</x:f>
        <x:v>-0.09297386435192534</x:v>
      </x:c>
      <x:c r="I1161" s="14" t="n">
        <x:f>F1161/F1160-1</x:f>
        <x:v>0.006323608665707692</x:v>
      </x:c>
      <x:c r="J1161" s="12" t="n">
        <x:v>0</x:v>
      </x:c>
      <x:c r="K1161" s="12" t="n">
        <x:v>0</x:v>
      </x:c>
      <x:c r="L1161" s="12" t="n">
        <x:v>-323</x:v>
      </x:c>
      <x:c r="M1161" s="2" t="str">
        <x:v>卖出</x:v>
      </x:c>
    </x:row>
    <x:row r="1162" ht="23" customHeight="1">
      <x:c r="A1162" s="11" t="d">
        <x:v>2019-08-07T00:00:00.000Z</x:v>
      </x:c>
      <x:c r="B1162" s="12" t="n">
        <x:v>92732.805113</x:v>
      </x:c>
      <x:c r="C1162" s="13" t="n">
        <x:v>0</x:v>
      </x:c>
      <x:c r="D1162" s="12" t="n">
        <x:v>0</x:v>
      </x:c>
      <x:c r="E1162" s="12" t="n">
        <x:v>0</x:v>
      </x:c>
      <x:c r="F1162" s="12" t="n">
        <x:f>SUM(B1162,D1162:E1162)</x:f>
        <x:v>92732.805113</x:v>
      </x:c>
      <x:c r="G1162" s="12" t="n">
        <x:f>MAX(G1161,F1162)</x:f>
        <x:v>102238.29443099999</x:v>
      </x:c>
      <x:c r="H1162" s="14" t="n">
        <x:f>F1162/G1162-1</x:f>
        <x:v>-0.09297386435192534</x:v>
      </x:c>
      <x:c r="I1162" s="14" t="n">
        <x:f>F1162/F1161-1</x:f>
        <x:v>0</x:v>
      </x:c>
      <x:c r="J1162" s="12" t="n">
        <x:v>0</x:v>
      </x:c>
      <x:c r="K1162" s="12" t="n">
        <x:v>0</x:v>
      </x:c>
      <x:c r="L1162" s="12" t="n">
        <x:v>0</x:v>
      </x:c>
      <x:c r="M1162" s="2" t="str">
        <x:v>空仓</x:v>
      </x:c>
    </x:row>
    <x:row r="1163" ht="23" customHeight="1">
      <x:c r="A1163" s="11" t="d">
        <x:v>2019-08-08T00:00:00.000Z</x:v>
      </x:c>
      <x:c r="B1163" s="12" t="n">
        <x:v>92732.805113</x:v>
      </x:c>
      <x:c r="C1163" s="13" t="n">
        <x:v>0</x:v>
      </x:c>
      <x:c r="D1163" s="12" t="n">
        <x:v>0</x:v>
      </x:c>
      <x:c r="E1163" s="12" t="n">
        <x:v>0</x:v>
      </x:c>
      <x:c r="F1163" s="12" t="n">
        <x:f>SUM(B1163,D1163:E1163)</x:f>
        <x:v>92732.805113</x:v>
      </x:c>
      <x:c r="G1163" s="12" t="n">
        <x:f>MAX(G1162,F1163)</x:f>
        <x:v>102238.29443099999</x:v>
      </x:c>
      <x:c r="H1163" s="14" t="n">
        <x:f>F1163/G1163-1</x:f>
        <x:v>-0.09297386435192534</x:v>
      </x:c>
      <x:c r="I1163" s="14" t="n">
        <x:f>F1163/F1162-1</x:f>
        <x:v>0</x:v>
      </x:c>
      <x:c r="J1163" s="12" t="n">
        <x:v>0</x:v>
      </x:c>
      <x:c r="K1163" s="12" t="n">
        <x:v>0</x:v>
      </x:c>
      <x:c r="L1163" s="12" t="n">
        <x:v>0</x:v>
      </x:c>
      <x:c r="M1163" s="2" t="str">
        <x:v>空仓</x:v>
      </x:c>
    </x:row>
    <x:row r="1164" ht="23" customHeight="1">
      <x:c r="A1164" s="11" t="d">
        <x:v>2019-08-09T00:00:00.000Z</x:v>
      </x:c>
      <x:c r="B1164" s="12" t="n">
        <x:v>185.069833</x:v>
      </x:c>
      <x:c r="C1164" s="13" t="n">
        <x:v>316</x:v>
      </x:c>
      <x:c r="D1164" s="12" t="n">
        <x:v>92151.92</x:v>
      </x:c>
      <x:c r="E1164" s="12" t="n">
        <x:v>0</x:v>
      </x:c>
      <x:c r="F1164" s="12" t="n">
        <x:f>SUM(B1164,D1164:E1164)</x:f>
        <x:v>92336.989833</x:v>
      </x:c>
      <x:c r="G1164" s="12" t="n">
        <x:f>MAX(G1163,F1164)</x:f>
        <x:v>102238.29443099999</x:v>
      </x:c>
      <x:c r="H1164" s="14" t="n">
        <x:f>F1164/G1164-1</x:f>
        <x:v>-0.09684536164364832</x:v>
      </x:c>
      <x:c r="I1164" s="14" t="n">
        <x:f>F1164/F1163-1</x:f>
        <x:v>-0.004268341494875205</x:v>
      </x:c>
      <x:c r="J1164" s="12" t="n">
        <x:v>0</x:v>
      </x:c>
      <x:c r="K1164" s="12" t="n">
        <x:v>0</x:v>
      </x:c>
      <x:c r="L1164" s="12" t="n">
        <x:v>316</x:v>
      </x:c>
      <x:c r="M1164" s="2" t="str">
        <x:v>买入</x:v>
      </x:c>
    </x:row>
    <x:row r="1165" ht="23" customHeight="1">
      <x:c r="A1165" s="11" t="d">
        <x:v>2019-08-12T00:00:00.000Z</x:v>
      </x:c>
      <x:c r="B1165" s="12" t="n">
        <x:v>91720.802473</x:v>
      </x:c>
      <x:c r="C1165" s="13" t="n">
        <x:v>0</x:v>
      </x:c>
      <x:c r="D1165" s="12" t="n">
        <x:v>0</x:v>
      </x:c>
      <x:c r="E1165" s="12" t="n">
        <x:v>0</x:v>
      </x:c>
      <x:c r="F1165" s="12" t="n">
        <x:f>SUM(B1165,D1165:E1165)</x:f>
        <x:v>91720.802473</x:v>
      </x:c>
      <x:c r="G1165" s="12" t="n">
        <x:f>MAX(G1164,F1165)</x:f>
        <x:v>102238.29443099999</x:v>
      </x:c>
      <x:c r="H1165" s="14" t="n">
        <x:f>F1165/G1165-1</x:f>
        <x:v>-0.10287233386016803</x:v>
      </x:c>
      <x:c r="I1165" s="14" t="n">
        <x:f>F1165/F1164-1</x:f>
        <x:v>-0.006673245046372345</x:v>
      </x:c>
      <x:c r="J1165" s="12" t="n">
        <x:v>0</x:v>
      </x:c>
      <x:c r="K1165" s="12" t="n">
        <x:v>0</x:v>
      </x:c>
      <x:c r="L1165" s="12" t="n">
        <x:v>-316</x:v>
      </x:c>
      <x:c r="M1165" s="2" t="str">
        <x:v>卖出</x:v>
      </x:c>
    </x:row>
    <x:row r="1166" ht="23" customHeight="1">
      <x:c r="A1166" s="11" t="d">
        <x:v>2019-08-13T00:00:00.000Z</x:v>
      </x:c>
      <x:c r="B1166" s="12" t="n">
        <x:v>91720.802473</x:v>
      </x:c>
      <x:c r="C1166" s="13" t="n">
        <x:v>0</x:v>
      </x:c>
      <x:c r="D1166" s="12" t="n">
        <x:v>0</x:v>
      </x:c>
      <x:c r="E1166" s="12" t="n">
        <x:v>0</x:v>
      </x:c>
      <x:c r="F1166" s="12" t="n">
        <x:f>SUM(B1166,D1166:E1166)</x:f>
        <x:v>91720.802473</x:v>
      </x:c>
      <x:c r="G1166" s="12" t="n">
        <x:f>MAX(G1165,F1166)</x:f>
        <x:v>102238.29443099999</x:v>
      </x:c>
      <x:c r="H1166" s="14" t="n">
        <x:f>F1166/G1166-1</x:f>
        <x:v>-0.10287233386016803</x:v>
      </x:c>
      <x:c r="I1166" s="14" t="n">
        <x:f>F1166/F1165-1</x:f>
        <x:v>0</x:v>
      </x:c>
      <x:c r="J1166" s="12" t="n">
        <x:v>0</x:v>
      </x:c>
      <x:c r="K1166" s="12" t="n">
        <x:v>0</x:v>
      </x:c>
      <x:c r="L1166" s="12" t="n">
        <x:v>0</x:v>
      </x:c>
      <x:c r="M1166" s="2" t="str">
        <x:v>空仓</x:v>
      </x:c>
    </x:row>
    <x:row r="1167" ht="23" customHeight="1">
      <x:c r="A1167" s="11" t="d">
        <x:v>2019-08-14T00:00:00.000Z</x:v>
      </x:c>
      <x:c r="B1167" s="12" t="n">
        <x:v>91720.802473</x:v>
      </x:c>
      <x:c r="C1167" s="13" t="n">
        <x:v>0</x:v>
      </x:c>
      <x:c r="D1167" s="12" t="n">
        <x:v>0</x:v>
      </x:c>
      <x:c r="E1167" s="12" t="n">
        <x:v>0</x:v>
      </x:c>
      <x:c r="F1167" s="12" t="n">
        <x:f>SUM(B1167,D1167:E1167)</x:f>
        <x:v>91720.802473</x:v>
      </x:c>
      <x:c r="G1167" s="12" t="n">
        <x:f>MAX(G1166,F1167)</x:f>
        <x:v>102238.29443099999</x:v>
      </x:c>
      <x:c r="H1167" s="14" t="n">
        <x:f>F1167/G1167-1</x:f>
        <x:v>-0.10287233386016803</x:v>
      </x:c>
      <x:c r="I1167" s="14" t="n">
        <x:f>F1167/F1166-1</x:f>
        <x:v>0</x:v>
      </x:c>
      <x:c r="J1167" s="12" t="n">
        <x:v>0</x:v>
      </x:c>
      <x:c r="K1167" s="12" t="n">
        <x:v>0</x:v>
      </x:c>
      <x:c r="L1167" s="12" t="n">
        <x:v>0</x:v>
      </x:c>
      <x:c r="M1167" s="2" t="str">
        <x:v>空仓</x:v>
      </x:c>
    </x:row>
    <x:row r="1168" ht="23" customHeight="1">
      <x:c r="A1168" s="11" t="d">
        <x:v>2019-08-15T00:00:00.000Z</x:v>
      </x:c>
      <x:c r="B1168" s="12" t="n">
        <x:v>91720.802473</x:v>
      </x:c>
      <x:c r="C1168" s="13" t="n">
        <x:v>0</x:v>
      </x:c>
      <x:c r="D1168" s="12" t="n">
        <x:v>0</x:v>
      </x:c>
      <x:c r="E1168" s="12" t="n">
        <x:v>0</x:v>
      </x:c>
      <x:c r="F1168" s="12" t="n">
        <x:f>SUM(B1168,D1168:E1168)</x:f>
        <x:v>91720.802473</x:v>
      </x:c>
      <x:c r="G1168" s="12" t="n">
        <x:f>MAX(G1167,F1168)</x:f>
        <x:v>102238.29443099999</x:v>
      </x:c>
      <x:c r="H1168" s="14" t="n">
        <x:f>F1168/G1168-1</x:f>
        <x:v>-0.10287233386016803</x:v>
      </x:c>
      <x:c r="I1168" s="14" t="n">
        <x:f>F1168/F1167-1</x:f>
        <x:v>0</x:v>
      </x:c>
      <x:c r="J1168" s="12" t="n">
        <x:v>0</x:v>
      </x:c>
      <x:c r="K1168" s="12" t="n">
        <x:v>0</x:v>
      </x:c>
      <x:c r="L1168" s="12" t="n">
        <x:v>0</x:v>
      </x:c>
      <x:c r="M1168" s="2" t="str">
        <x:v>空仓</x:v>
      </x:c>
    </x:row>
    <x:row r="1169" ht="23" customHeight="1">
      <x:c r="A1169" s="11" t="d">
        <x:v>2019-08-16T00:00:00.000Z</x:v>
      </x:c>
      <x:c r="B1169" s="12" t="n">
        <x:v>91720.802473</x:v>
      </x:c>
      <x:c r="C1169" s="13" t="n">
        <x:v>0</x:v>
      </x:c>
      <x:c r="D1169" s="12" t="n">
        <x:v>0</x:v>
      </x:c>
      <x:c r="E1169" s="12" t="n">
        <x:v>0</x:v>
      </x:c>
      <x:c r="F1169" s="12" t="n">
        <x:f>SUM(B1169,D1169:E1169)</x:f>
        <x:v>91720.802473</x:v>
      </x:c>
      <x:c r="G1169" s="12" t="n">
        <x:f>MAX(G1168,F1169)</x:f>
        <x:v>102238.29443099999</x:v>
      </x:c>
      <x:c r="H1169" s="14" t="n">
        <x:f>F1169/G1169-1</x:f>
        <x:v>-0.10287233386016803</x:v>
      </x:c>
      <x:c r="I1169" s="14" t="n">
        <x:f>F1169/F1168-1</x:f>
        <x:v>0</x:v>
      </x:c>
      <x:c r="J1169" s="12" t="n">
        <x:v>0</x:v>
      </x:c>
      <x:c r="K1169" s="12" t="n">
        <x:v>0</x:v>
      </x:c>
      <x:c r="L1169" s="12" t="n">
        <x:v>0</x:v>
      </x:c>
      <x:c r="M1169" s="2" t="str">
        <x:v>空仓</x:v>
      </x:c>
    </x:row>
    <x:row r="1170" ht="23" customHeight="1">
      <x:c r="A1170" s="11" t="d">
        <x:v>2019-08-19T00:00:00.000Z</x:v>
      </x:c>
      <x:c r="B1170" s="12" t="n">
        <x:v>91720.802473</x:v>
      </x:c>
      <x:c r="C1170" s="13" t="n">
        <x:v>0</x:v>
      </x:c>
      <x:c r="D1170" s="12" t="n">
        <x:v>0</x:v>
      </x:c>
      <x:c r="E1170" s="12" t="n">
        <x:v>0</x:v>
      </x:c>
      <x:c r="F1170" s="12" t="n">
        <x:f>SUM(B1170,D1170:E1170)</x:f>
        <x:v>91720.802473</x:v>
      </x:c>
      <x:c r="G1170" s="12" t="n">
        <x:f>MAX(G1169,F1170)</x:f>
        <x:v>102238.29443099999</x:v>
      </x:c>
      <x:c r="H1170" s="14" t="n">
        <x:f>F1170/G1170-1</x:f>
        <x:v>-0.10287233386016803</x:v>
      </x:c>
      <x:c r="I1170" s="14" t="n">
        <x:f>F1170/F1169-1</x:f>
        <x:v>0</x:v>
      </x:c>
      <x:c r="J1170" s="12" t="n">
        <x:v>0</x:v>
      </x:c>
      <x:c r="K1170" s="12" t="n">
        <x:v>0</x:v>
      </x:c>
      <x:c r="L1170" s="12" t="n">
        <x:v>0</x:v>
      </x:c>
      <x:c r="M1170" s="2" t="str">
        <x:v>空仓</x:v>
      </x:c>
    </x:row>
    <x:row r="1171" ht="23" customHeight="1">
      <x:c r="A1171" s="11" t="d">
        <x:v>2019-08-20T00:00:00.000Z</x:v>
      </x:c>
      <x:c r="B1171" s="12" t="n">
        <x:v>91720.802473</x:v>
      </x:c>
      <x:c r="C1171" s="13" t="n">
        <x:v>0</x:v>
      </x:c>
      <x:c r="D1171" s="12" t="n">
        <x:v>0</x:v>
      </x:c>
      <x:c r="E1171" s="12" t="n">
        <x:v>0</x:v>
      </x:c>
      <x:c r="F1171" s="12" t="n">
        <x:f>SUM(B1171,D1171:E1171)</x:f>
        <x:v>91720.802473</x:v>
      </x:c>
      <x:c r="G1171" s="12" t="n">
        <x:f>MAX(G1170,F1171)</x:f>
        <x:v>102238.29443099999</x:v>
      </x:c>
      <x:c r="H1171" s="14" t="n">
        <x:f>F1171/G1171-1</x:f>
        <x:v>-0.10287233386016803</x:v>
      </x:c>
      <x:c r="I1171" s="14" t="n">
        <x:f>F1171/F1170-1</x:f>
        <x:v>0</x:v>
      </x:c>
      <x:c r="J1171" s="12" t="n">
        <x:v>0</x:v>
      </x:c>
      <x:c r="K1171" s="12" t="n">
        <x:v>0</x:v>
      </x:c>
      <x:c r="L1171" s="12" t="n">
        <x:v>0</x:v>
      </x:c>
      <x:c r="M1171" s="2" t="str">
        <x:v>空仓</x:v>
      </x:c>
    </x:row>
    <x:row r="1172" ht="23" customHeight="1">
      <x:c r="A1172" s="11" t="d">
        <x:v>2019-08-21T00:00:00.000Z</x:v>
      </x:c>
      <x:c r="B1172" s="12" t="n">
        <x:v>91720.802473</x:v>
      </x:c>
      <x:c r="C1172" s="13" t="n">
        <x:v>0</x:v>
      </x:c>
      <x:c r="D1172" s="12" t="n">
        <x:v>0</x:v>
      </x:c>
      <x:c r="E1172" s="12" t="n">
        <x:v>0</x:v>
      </x:c>
      <x:c r="F1172" s="12" t="n">
        <x:f>SUM(B1172,D1172:E1172)</x:f>
        <x:v>91720.802473</x:v>
      </x:c>
      <x:c r="G1172" s="12" t="n">
        <x:f>MAX(G1171,F1172)</x:f>
        <x:v>102238.29443099999</x:v>
      </x:c>
      <x:c r="H1172" s="14" t="n">
        <x:f>F1172/G1172-1</x:f>
        <x:v>-0.10287233386016803</x:v>
      </x:c>
      <x:c r="I1172" s="14" t="n">
        <x:f>F1172/F1171-1</x:f>
        <x:v>0</x:v>
      </x:c>
      <x:c r="J1172" s="12" t="n">
        <x:v>0</x:v>
      </x:c>
      <x:c r="K1172" s="12" t="n">
        <x:v>0</x:v>
      </x:c>
      <x:c r="L1172" s="12" t="n">
        <x:v>0</x:v>
      </x:c>
      <x:c r="M1172" s="2" t="str">
        <x:v>空仓</x:v>
      </x:c>
    </x:row>
    <x:row r="1173" ht="23" customHeight="1">
      <x:c r="A1173" s="11" t="d">
        <x:v>2019-08-22T00:00:00.000Z</x:v>
      </x:c>
      <x:c r="B1173" s="12" t="n">
        <x:v>91720.802473</x:v>
      </x:c>
      <x:c r="C1173" s="13" t="n">
        <x:v>0</x:v>
      </x:c>
      <x:c r="D1173" s="12" t="n">
        <x:v>0</x:v>
      </x:c>
      <x:c r="E1173" s="12" t="n">
        <x:v>0</x:v>
      </x:c>
      <x:c r="F1173" s="12" t="n">
        <x:f>SUM(B1173,D1173:E1173)</x:f>
        <x:v>91720.802473</x:v>
      </x:c>
      <x:c r="G1173" s="12" t="n">
        <x:f>MAX(G1172,F1173)</x:f>
        <x:v>102238.29443099999</x:v>
      </x:c>
      <x:c r="H1173" s="14" t="n">
        <x:f>F1173/G1173-1</x:f>
        <x:v>-0.10287233386016803</x:v>
      </x:c>
      <x:c r="I1173" s="14" t="n">
        <x:f>F1173/F1172-1</x:f>
        <x:v>0</x:v>
      </x:c>
      <x:c r="J1173" s="12" t="n">
        <x:v>0</x:v>
      </x:c>
      <x:c r="K1173" s="12" t="n">
        <x:v>0</x:v>
      </x:c>
      <x:c r="L1173" s="12" t="n">
        <x:v>0</x:v>
      </x:c>
      <x:c r="M1173" s="2" t="str">
        <x:v>空仓</x:v>
      </x:c>
    </x:row>
    <x:row r="1174" ht="23" customHeight="1">
      <x:c r="A1174" s="11" t="d">
        <x:v>2019-08-23T00:00:00.000Z</x:v>
      </x:c>
      <x:c r="B1174" s="12" t="n">
        <x:v>91720.802473</x:v>
      </x:c>
      <x:c r="C1174" s="13" t="n">
        <x:v>0</x:v>
      </x:c>
      <x:c r="D1174" s="12" t="n">
        <x:v>0</x:v>
      </x:c>
      <x:c r="E1174" s="12" t="n">
        <x:v>0</x:v>
      </x:c>
      <x:c r="F1174" s="12" t="n">
        <x:f>SUM(B1174,D1174:E1174)</x:f>
        <x:v>91720.802473</x:v>
      </x:c>
      <x:c r="G1174" s="12" t="n">
        <x:f>MAX(G1173,F1174)</x:f>
        <x:v>102238.29443099999</x:v>
      </x:c>
      <x:c r="H1174" s="14" t="n">
        <x:f>F1174/G1174-1</x:f>
        <x:v>-0.10287233386016803</x:v>
      </x:c>
      <x:c r="I1174" s="14" t="n">
        <x:f>F1174/F1173-1</x:f>
        <x:v>0</x:v>
      </x:c>
      <x:c r="J1174" s="12" t="n">
        <x:v>0</x:v>
      </x:c>
      <x:c r="K1174" s="12" t="n">
        <x:v>0</x:v>
      </x:c>
      <x:c r="L1174" s="12" t="n">
        <x:v>0</x:v>
      </x:c>
      <x:c r="M1174" s="2" t="str">
        <x:v>空仓</x:v>
      </x:c>
    </x:row>
    <x:row r="1175" ht="23" customHeight="1">
      <x:c r="A1175" s="11" t="d">
        <x:v>2019-08-26T00:00:00.000Z</x:v>
      </x:c>
      <x:c r="B1175" s="12" t="n">
        <x:v>91720.802473</x:v>
      </x:c>
      <x:c r="C1175" s="13" t="n">
        <x:v>0</x:v>
      </x:c>
      <x:c r="D1175" s="12" t="n">
        <x:v>0</x:v>
      </x:c>
      <x:c r="E1175" s="12" t="n">
        <x:v>0</x:v>
      </x:c>
      <x:c r="F1175" s="12" t="n">
        <x:f>SUM(B1175,D1175:E1175)</x:f>
        <x:v>91720.802473</x:v>
      </x:c>
      <x:c r="G1175" s="12" t="n">
        <x:f>MAX(G1174,F1175)</x:f>
        <x:v>102238.29443099999</x:v>
      </x:c>
      <x:c r="H1175" s="14" t="n">
        <x:f>F1175/G1175-1</x:f>
        <x:v>-0.10287233386016803</x:v>
      </x:c>
      <x:c r="I1175" s="14" t="n">
        <x:f>F1175/F1174-1</x:f>
        <x:v>0</x:v>
      </x:c>
      <x:c r="J1175" s="12" t="n">
        <x:v>0</x:v>
      </x:c>
      <x:c r="K1175" s="12" t="n">
        <x:v>0</x:v>
      </x:c>
      <x:c r="L1175" s="12" t="n">
        <x:v>0</x:v>
      </x:c>
      <x:c r="M1175" s="2" t="str">
        <x:v>空仓</x:v>
      </x:c>
    </x:row>
    <x:row r="1176" ht="23" customHeight="1">
      <x:c r="A1176" s="11" t="d">
        <x:v>2019-08-27T00:00:00.000Z</x:v>
      </x:c>
      <x:c r="B1176" s="12" t="n">
        <x:v>91720.802473</x:v>
      </x:c>
      <x:c r="C1176" s="13" t="n">
        <x:v>0</x:v>
      </x:c>
      <x:c r="D1176" s="12" t="n">
        <x:v>0</x:v>
      </x:c>
      <x:c r="E1176" s="12" t="n">
        <x:v>0</x:v>
      </x:c>
      <x:c r="F1176" s="12" t="n">
        <x:f>SUM(B1176,D1176:E1176)</x:f>
        <x:v>91720.802473</x:v>
      </x:c>
      <x:c r="G1176" s="12" t="n">
        <x:f>MAX(G1175,F1176)</x:f>
        <x:v>102238.29443099999</x:v>
      </x:c>
      <x:c r="H1176" s="14" t="n">
        <x:f>F1176/G1176-1</x:f>
        <x:v>-0.10287233386016803</x:v>
      </x:c>
      <x:c r="I1176" s="14" t="n">
        <x:f>F1176/F1175-1</x:f>
        <x:v>0</x:v>
      </x:c>
      <x:c r="J1176" s="12" t="n">
        <x:v>0</x:v>
      </x:c>
      <x:c r="K1176" s="12" t="n">
        <x:v>0</x:v>
      </x:c>
      <x:c r="L1176" s="12" t="n">
        <x:v>0</x:v>
      </x:c>
      <x:c r="M1176" s="2" t="str">
        <x:v>空仓</x:v>
      </x:c>
    </x:row>
    <x:row r="1177" ht="23" customHeight="1">
      <x:c r="A1177" s="11" t="d">
        <x:v>2019-08-28T00:00:00.000Z</x:v>
      </x:c>
      <x:c r="B1177" s="12" t="n">
        <x:v>91720.802473</x:v>
      </x:c>
      <x:c r="C1177" s="13" t="n">
        <x:v>0</x:v>
      </x:c>
      <x:c r="D1177" s="12" t="n">
        <x:v>0</x:v>
      </x:c>
      <x:c r="E1177" s="12" t="n">
        <x:v>0</x:v>
      </x:c>
      <x:c r="F1177" s="12" t="n">
        <x:f>SUM(B1177,D1177:E1177)</x:f>
        <x:v>91720.802473</x:v>
      </x:c>
      <x:c r="G1177" s="12" t="n">
        <x:f>MAX(G1176,F1177)</x:f>
        <x:v>102238.29443099999</x:v>
      </x:c>
      <x:c r="H1177" s="14" t="n">
        <x:f>F1177/G1177-1</x:f>
        <x:v>-0.10287233386016803</x:v>
      </x:c>
      <x:c r="I1177" s="14" t="n">
        <x:f>F1177/F1176-1</x:f>
        <x:v>0</x:v>
      </x:c>
      <x:c r="J1177" s="12" t="n">
        <x:v>0</x:v>
      </x:c>
      <x:c r="K1177" s="12" t="n">
        <x:v>0</x:v>
      </x:c>
      <x:c r="L1177" s="12" t="n">
        <x:v>0</x:v>
      </x:c>
      <x:c r="M1177" s="2" t="str">
        <x:v>空仓</x:v>
      </x:c>
    </x:row>
    <x:row r="1178" ht="23" customHeight="1">
      <x:c r="A1178" s="11" t="d">
        <x:v>2019-08-29T00:00:00.000Z</x:v>
      </x:c>
      <x:c r="B1178" s="12" t="n">
        <x:v>91720.802473</x:v>
      </x:c>
      <x:c r="C1178" s="13" t="n">
        <x:v>0</x:v>
      </x:c>
      <x:c r="D1178" s="12" t="n">
        <x:v>0</x:v>
      </x:c>
      <x:c r="E1178" s="12" t="n">
        <x:v>0</x:v>
      </x:c>
      <x:c r="F1178" s="12" t="n">
        <x:f>SUM(B1178,D1178:E1178)</x:f>
        <x:v>91720.802473</x:v>
      </x:c>
      <x:c r="G1178" s="12" t="n">
        <x:f>MAX(G1177,F1178)</x:f>
        <x:v>102238.29443099999</x:v>
      </x:c>
      <x:c r="H1178" s="14" t="n">
        <x:f>F1178/G1178-1</x:f>
        <x:v>-0.10287233386016803</x:v>
      </x:c>
      <x:c r="I1178" s="14" t="n">
        <x:f>F1178/F1177-1</x:f>
        <x:v>0</x:v>
      </x:c>
      <x:c r="J1178" s="12" t="n">
        <x:v>0</x:v>
      </x:c>
      <x:c r="K1178" s="12" t="n">
        <x:v>0</x:v>
      </x:c>
      <x:c r="L1178" s="12" t="n">
        <x:v>0</x:v>
      </x:c>
      <x:c r="M1178" s="2" t="str">
        <x:v>空仓</x:v>
      </x:c>
    </x:row>
    <x:row r="1179" ht="23" customHeight="1">
      <x:c r="A1179" s="11" t="d">
        <x:v>2019-08-30T00:00:00.000Z</x:v>
      </x:c>
      <x:c r="B1179" s="12" t="n">
        <x:v>91720.802473</x:v>
      </x:c>
      <x:c r="C1179" s="13" t="n">
        <x:v>0</x:v>
      </x:c>
      <x:c r="D1179" s="12" t="n">
        <x:v>0</x:v>
      </x:c>
      <x:c r="E1179" s="12" t="n">
        <x:v>0</x:v>
      </x:c>
      <x:c r="F1179" s="12" t="n">
        <x:f>SUM(B1179,D1179:E1179)</x:f>
        <x:v>91720.802473</x:v>
      </x:c>
      <x:c r="G1179" s="12" t="n">
        <x:f>MAX(G1178,F1179)</x:f>
        <x:v>102238.29443099999</x:v>
      </x:c>
      <x:c r="H1179" s="14" t="n">
        <x:f>F1179/G1179-1</x:f>
        <x:v>-0.10287233386016803</x:v>
      </x:c>
      <x:c r="I1179" s="14" t="n">
        <x:f>F1179/F1178-1</x:f>
        <x:v>0</x:v>
      </x:c>
      <x:c r="J1179" s="12" t="n">
        <x:v>0</x:v>
      </x:c>
      <x:c r="K1179" s="12" t="n">
        <x:v>0</x:v>
      </x:c>
      <x:c r="L1179" s="12" t="n">
        <x:v>0</x:v>
      </x:c>
      <x:c r="M1179" s="2" t="str">
        <x:v>空仓</x:v>
      </x:c>
    </x:row>
    <x:row r="1180" ht="23" customHeight="1">
      <x:c r="A1180" s="11" t="d">
        <x:v>2019-09-03T00:00:00.000Z</x:v>
      </x:c>
      <x:c r="B1180" s="12" t="n">
        <x:v>91720.802473</x:v>
      </x:c>
      <x:c r="C1180" s="13" t="n">
        <x:v>0</x:v>
      </x:c>
      <x:c r="D1180" s="12" t="n">
        <x:v>0</x:v>
      </x:c>
      <x:c r="E1180" s="12" t="n">
        <x:v>0</x:v>
      </x:c>
      <x:c r="F1180" s="12" t="n">
        <x:f>SUM(B1180,D1180:E1180)</x:f>
        <x:v>91720.802473</x:v>
      </x:c>
      <x:c r="G1180" s="12" t="n">
        <x:f>MAX(G1179,F1180)</x:f>
        <x:v>102238.29443099999</x:v>
      </x:c>
      <x:c r="H1180" s="14" t="n">
        <x:f>F1180/G1180-1</x:f>
        <x:v>-0.10287233386016803</x:v>
      </x:c>
      <x:c r="I1180" s="14" t="n">
        <x:f>F1180/F1179-1</x:f>
        <x:v>0</x:v>
      </x:c>
      <x:c r="J1180" s="12" t="n">
        <x:v>0</x:v>
      </x:c>
      <x:c r="K1180" s="12" t="n">
        <x:v>0</x:v>
      </x:c>
      <x:c r="L1180" s="12" t="n">
        <x:v>0</x:v>
      </x:c>
      <x:c r="M1180" s="2" t="str">
        <x:v>空仓</x:v>
      </x:c>
    </x:row>
    <x:row r="1181" ht="23" customHeight="1">
      <x:c r="A1181" s="11" t="d">
        <x:v>2019-09-04T00:00:00.000Z</x:v>
      </x:c>
      <x:c r="B1181" s="12" t="n">
        <x:v>91720.802473</x:v>
      </x:c>
      <x:c r="C1181" s="13" t="n">
        <x:v>0</x:v>
      </x:c>
      <x:c r="D1181" s="12" t="n">
        <x:v>0</x:v>
      </x:c>
      <x:c r="E1181" s="12" t="n">
        <x:v>0</x:v>
      </x:c>
      <x:c r="F1181" s="12" t="n">
        <x:f>SUM(B1181,D1181:E1181)</x:f>
        <x:v>91720.802473</x:v>
      </x:c>
      <x:c r="G1181" s="12" t="n">
        <x:f>MAX(G1180,F1181)</x:f>
        <x:v>102238.29443099999</x:v>
      </x:c>
      <x:c r="H1181" s="14" t="n">
        <x:f>F1181/G1181-1</x:f>
        <x:v>-0.10287233386016803</x:v>
      </x:c>
      <x:c r="I1181" s="14" t="n">
        <x:f>F1181/F1180-1</x:f>
        <x:v>0</x:v>
      </x:c>
      <x:c r="J1181" s="12" t="n">
        <x:v>0</x:v>
      </x:c>
      <x:c r="K1181" s="12" t="n">
        <x:v>0</x:v>
      </x:c>
      <x:c r="L1181" s="12" t="n">
        <x:v>0</x:v>
      </x:c>
      <x:c r="M1181" s="2" t="str">
        <x:v>空仓</x:v>
      </x:c>
    </x:row>
    <x:row r="1182" ht="23" customHeight="1">
      <x:c r="A1182" s="11" t="d">
        <x:v>2019-09-05T00:00:00.000Z</x:v>
      </x:c>
      <x:c r="B1182" s="12" t="n">
        <x:v>218.071153</x:v>
      </x:c>
      <x:c r="C1182" s="13" t="n">
        <x:v>308</x:v>
      </x:c>
      <x:c r="D1182" s="12" t="n">
        <x:v>91728.56</x:v>
      </x:c>
      <x:c r="E1182" s="12" t="n">
        <x:v>0</x:v>
      </x:c>
      <x:c r="F1182" s="12" t="n">
        <x:f>SUM(B1182,D1182:E1182)</x:f>
        <x:v>91946.631153</x:v>
      </x:c>
      <x:c r="G1182" s="12" t="n">
        <x:f>MAX(G1181,F1182)</x:f>
        <x:v>102238.29443099999</x:v>
      </x:c>
      <x:c r="H1182" s="14" t="n">
        <x:f>F1182/G1182-1</x:f>
        <x:v>-0.1006634875442467</x:v>
      </x:c>
      <x:c r="I1182" s="14" t="n">
        <x:f>F1182/F1181-1</x:f>
        <x:v>0.0024621315329906857</x:v>
      </x:c>
      <x:c r="J1182" s="12" t="n">
        <x:v>0</x:v>
      </x:c>
      <x:c r="K1182" s="12" t="n">
        <x:v>0</x:v>
      </x:c>
      <x:c r="L1182" s="12" t="n">
        <x:v>308</x:v>
      </x:c>
      <x:c r="M1182" s="2" t="str">
        <x:v>买入</x:v>
      </x:c>
    </x:row>
    <x:row r="1183" ht="23" customHeight="1">
      <x:c r="A1183" s="11" t="d">
        <x:v>2019-09-06T00:00:00.000Z</x:v>
      </x:c>
      <x:c r="B1183" s="12" t="n">
        <x:v>218.071153</x:v>
      </x:c>
      <x:c r="C1183" s="13" t="n">
        <x:v>308</x:v>
      </x:c>
      <x:c r="D1183" s="12" t="n">
        <x:v>91799.40000000001</x:v>
      </x:c>
      <x:c r="E1183" s="12" t="n">
        <x:v>0</x:v>
      </x:c>
      <x:c r="F1183" s="12" t="n">
        <x:f>SUM(B1183,D1183:E1183)</x:f>
        <x:v>92017.471153</x:v>
      </x:c>
      <x:c r="G1183" s="12" t="n">
        <x:f>MAX(G1182,F1183)</x:f>
        <x:v>102238.29443099999</x:v>
      </x:c>
      <x:c r="H1183" s="14" t="n">
        <x:f>F1183/G1183-1</x:f>
        <x:v>-0.09997059648621143</x:v>
      </x:c>
      <x:c r="I1183" s="14" t="n">
        <x:f>F1183/F1182-1</x:f>
        <x:v>0.000770446933309854</x:v>
      </x:c>
      <x:c r="J1183" s="12" t="n">
        <x:v>0</x:v>
      </x:c>
      <x:c r="K1183" s="12" t="n">
        <x:v>0</x:v>
      </x:c>
      <x:c r="L1183" s="12" t="n">
        <x:v>0</x:v>
      </x:c>
      <x:c r="M1183" s="2" t="str">
        <x:v>持有</x:v>
      </x:c>
    </x:row>
    <x:row r="1184" ht="23" customHeight="1">
      <x:c r="A1184" s="11" t="d">
        <x:v>2019-09-09T00:00:00.000Z</x:v>
      </x:c>
      <x:c r="B1184" s="12" t="n">
        <x:v>218.071153</x:v>
      </x:c>
      <x:c r="C1184" s="13" t="n">
        <x:v>308</x:v>
      </x:c>
      <x:c r="D1184" s="12" t="n">
        <x:v>91845.59999999999</x:v>
      </x:c>
      <x:c r="E1184" s="12" t="n">
        <x:v>0</x:v>
      </x:c>
      <x:c r="F1184" s="12" t="n">
        <x:f>SUM(B1184,D1184:E1184)</x:f>
        <x:v>92063.67115299999</x:v>
      </x:c>
      <x:c r="G1184" s="12" t="n">
        <x:f>MAX(G1183,F1184)</x:f>
        <x:v>102238.29443099999</x:v>
      </x:c>
      <x:c r="H1184" s="14" t="n">
        <x:f>F1184/G1184-1</x:f>
        <x:v>-0.09951871101358001</x:v>
      </x:c>
      <x:c r="I1184" s="14" t="n">
        <x:f>F1184/F1183-1</x:f>
        <x:v>0.0005020785663971683</x:v>
      </x:c>
      <x:c r="J1184" s="12" t="n">
        <x:v>0</x:v>
      </x:c>
      <x:c r="K1184" s="12" t="n">
        <x:v>0</x:v>
      </x:c>
      <x:c r="L1184" s="12" t="n">
        <x:v>0</x:v>
      </x:c>
      <x:c r="M1184" s="2" t="str">
        <x:v>持有</x:v>
      </x:c>
    </x:row>
    <x:row r="1185" ht="23" customHeight="1">
      <x:c r="A1185" s="11" t="d">
        <x:v>2019-09-10T00:00:00.000Z</x:v>
      </x:c>
      <x:c r="B1185" s="12" t="n">
        <x:v>218.071153</x:v>
      </x:c>
      <x:c r="C1185" s="13" t="n">
        <x:v>308</x:v>
      </x:c>
      <x:c r="D1185" s="12" t="n">
        <x:v>91824.04</x:v>
      </x:c>
      <x:c r="E1185" s="12" t="n">
        <x:v>0</x:v>
      </x:c>
      <x:c r="F1185" s="12" t="n">
        <x:f>SUM(B1185,D1185:E1185)</x:f>
        <x:v>92042.11115299999</x:v>
      </x:c>
      <x:c r="G1185" s="12" t="n">
        <x:f>MAX(G1184,F1185)</x:f>
        <x:v>102238.29443099999</x:v>
      </x:c>
      <x:c r="H1185" s="14" t="n">
        <x:f>F1185/G1185-1</x:f>
        <x:v>-0.09972959090080813</x:v>
      </x:c>
      <x:c r="I1185" s="14" t="n">
        <x:f>F1185/F1184-1</x:f>
        <x:v>-0.0002341857513390444</x:v>
      </x:c>
      <x:c r="J1185" s="12" t="n">
        <x:v>0</x:v>
      </x:c>
      <x:c r="K1185" s="12" t="n">
        <x:v>0</x:v>
      </x:c>
      <x:c r="L1185" s="12" t="n">
        <x:v>0</x:v>
      </x:c>
      <x:c r="M1185" s="2" t="str">
        <x:v>持有</x:v>
      </x:c>
    </x:row>
    <x:row r="1186" ht="23" customHeight="1">
      <x:c r="A1186" s="11" t="d">
        <x:v>2019-09-11T00:00:00.000Z</x:v>
      </x:c>
      <x:c r="B1186" s="12" t="n">
        <x:v>218.071153</x:v>
      </x:c>
      <x:c r="C1186" s="13" t="n">
        <x:v>308</x:v>
      </x:c>
      <x:c r="D1186" s="12" t="n">
        <x:v>92477</x:v>
      </x:c>
      <x:c r="E1186" s="12" t="n">
        <x:v>0</x:v>
      </x:c>
      <x:c r="F1186" s="12" t="n">
        <x:f>SUM(B1186,D1186:E1186)</x:f>
        <x:v>92695.071153</x:v>
      </x:c>
      <x:c r="G1186" s="12" t="n">
        <x:f>MAX(G1185,F1186)</x:f>
        <x:v>102238.29443099999</x:v>
      </x:c>
      <x:c r="H1186" s="14" t="n">
        <x:f>F1186/G1186-1</x:f>
        <x:v>-0.09334294288761491</x:v>
      </x:c>
      <x:c r="I1186" s="14" t="n">
        <x:f>F1186/F1185-1</x:f>
        <x:v>0.007094144102307798</x:v>
      </x:c>
      <x:c r="J1186" s="12" t="n">
        <x:v>0</x:v>
      </x:c>
      <x:c r="K1186" s="12" t="n">
        <x:v>0</x:v>
      </x:c>
      <x:c r="L1186" s="12" t="n">
        <x:v>0</x:v>
      </x:c>
      <x:c r="M1186" s="2" t="str">
        <x:v>持有</x:v>
      </x:c>
    </x:row>
    <x:row r="1187" ht="23" customHeight="1">
      <x:c r="A1187" s="11" t="d">
        <x:v>2019-09-12T00:00:00.000Z</x:v>
      </x:c>
      <x:c r="B1187" s="12" t="n">
        <x:v>218.071153</x:v>
      </x:c>
      <x:c r="C1187" s="13" t="n">
        <x:v>308</x:v>
      </x:c>
      <x:c r="D1187" s="12" t="n">
        <x:v>92797.32</x:v>
      </x:c>
      <x:c r="E1187" s="12" t="n">
        <x:v>0</x:v>
      </x:c>
      <x:c r="F1187" s="12" t="n">
        <x:f>SUM(B1187,D1187:E1187)</x:f>
        <x:v>93015.391153</x:v>
      </x:c>
      <x:c r="G1187" s="12" t="n">
        <x:f>MAX(G1186,F1187)</x:f>
        <x:v>102238.29443099999</x:v>
      </x:c>
      <x:c r="H1187" s="14" t="n">
        <x:f>F1187/G1187-1</x:f>
        <x:v>-0.09020987027736915</x:v>
      </x:c>
      <x:c r="I1187" s="14" t="n">
        <x:f>F1187/F1186-1</x:f>
        <x:v>0.003455631416165561</x:v>
      </x:c>
      <x:c r="J1187" s="12" t="n">
        <x:v>0</x:v>
      </x:c>
      <x:c r="K1187" s="12" t="n">
        <x:v>0</x:v>
      </x:c>
      <x:c r="L1187" s="12" t="n">
        <x:v>0</x:v>
      </x:c>
      <x:c r="M1187" s="2" t="str">
        <x:v>持有</x:v>
      </x:c>
    </x:row>
    <x:row r="1188" ht="23" customHeight="1">
      <x:c r="A1188" s="11" t="d">
        <x:v>2019-09-13T00:00:00.000Z</x:v>
      </x:c>
      <x:c r="B1188" s="12" t="n">
        <x:v>218.071153</x:v>
      </x:c>
      <x:c r="C1188" s="13" t="n">
        <x:v>308</x:v>
      </x:c>
      <x:c r="D1188" s="12" t="n">
        <x:v>92735.71999999999</x:v>
      </x:c>
      <x:c r="E1188" s="12" t="n">
        <x:v>0</x:v>
      </x:c>
      <x:c r="F1188" s="12" t="n">
        <x:f>SUM(B1188,D1188:E1188)</x:f>
        <x:v>92953.79115299998</x:v>
      </x:c>
      <x:c r="G1188" s="12" t="n">
        <x:f>MAX(G1187,F1188)</x:f>
        <x:v>102238.29443099999</x:v>
      </x:c>
      <x:c r="H1188" s="14" t="n">
        <x:f>F1188/G1188-1</x:f>
        <x:v>-0.09081238424087812</x:v>
      </x:c>
      <x:c r="I1188" s="14" t="n">
        <x:f>F1188/F1187-1</x:f>
        <x:v>-0.0006622559905026248</x:v>
      </x:c>
      <x:c r="J1188" s="12" t="n">
        <x:v>0</x:v>
      </x:c>
      <x:c r="K1188" s="12" t="n">
        <x:v>0</x:v>
      </x:c>
      <x:c r="L1188" s="12" t="n">
        <x:v>0</x:v>
      </x:c>
      <x:c r="M1188" s="2" t="str">
        <x:v>持有</x:v>
      </x:c>
    </x:row>
    <x:row r="1189" ht="23" customHeight="1">
      <x:c r="A1189" s="11" t="d">
        <x:v>2019-09-16T00:00:00.000Z</x:v>
      </x:c>
      <x:c r="B1189" s="12" t="n">
        <x:v>218.071153</x:v>
      </x:c>
      <x:c r="C1189" s="13" t="n">
        <x:v>308</x:v>
      </x:c>
      <x:c r="D1189" s="12" t="n">
        <x:v>92449.28000000001</x:v>
      </x:c>
      <x:c r="E1189" s="12" t="n">
        <x:v>0</x:v>
      </x:c>
      <x:c r="F1189" s="12" t="n">
        <x:f>SUM(B1189,D1189:E1189)</x:f>
        <x:v>92667.35115300001</x:v>
      </x:c>
      <x:c r="G1189" s="12" t="n">
        <x:f>MAX(G1188,F1189)</x:f>
        <x:v>102238.29443099999</x:v>
      </x:c>
      <x:c r="H1189" s="14" t="n">
        <x:f>F1189/G1189-1</x:f>
        <x:v>-0.09361407417119372</x:v>
      </x:c>
      <x:c r="I1189" s="14" t="n">
        <x:f>F1189/F1188-1</x:f>
        <x:v>-0.003081531118278913</x:v>
      </x:c>
      <x:c r="J1189" s="12" t="n">
        <x:v>0</x:v>
      </x:c>
      <x:c r="K1189" s="12" t="n">
        <x:v>0</x:v>
      </x:c>
      <x:c r="L1189" s="12" t="n">
        <x:v>0</x:v>
      </x:c>
      <x:c r="M1189" s="2" t="str">
        <x:v>持有</x:v>
      </x:c>
    </x:row>
    <x:row r="1190" ht="23" customHeight="1">
      <x:c r="A1190" s="11" t="d">
        <x:v>2019-09-17T00:00:00.000Z</x:v>
      </x:c>
      <x:c r="B1190" s="12" t="n">
        <x:v>218.071153</x:v>
      </x:c>
      <x:c r="C1190" s="13" t="n">
        <x:v>308</x:v>
      </x:c>
      <x:c r="D1190" s="12" t="n">
        <x:v>92683.36</x:v>
      </x:c>
      <x:c r="E1190" s="12" t="n">
        <x:v>0</x:v>
      </x:c>
      <x:c r="F1190" s="12" t="n">
        <x:f>SUM(B1190,D1190:E1190)</x:f>
        <x:v>92901.431153</x:v>
      </x:c>
      <x:c r="G1190" s="12" t="n">
        <x:f>MAX(G1189,F1190)</x:f>
        <x:v>102238.29443099999</x:v>
      </x:c>
      <x:c r="H1190" s="14" t="n">
        <x:f>F1190/G1190-1</x:f>
        <x:v>-0.09132452110986045</x:v>
      </x:c>
      <x:c r="I1190" s="14" t="n">
        <x:f>F1190/F1189-1</x:f>
        <x:v>0.0025260245068783327</x:v>
      </x:c>
      <x:c r="J1190" s="12" t="n">
        <x:v>0</x:v>
      </x:c>
      <x:c r="K1190" s="12" t="n">
        <x:v>0</x:v>
      </x:c>
      <x:c r="L1190" s="12" t="n">
        <x:v>0</x:v>
      </x:c>
      <x:c r="M1190" s="2" t="str">
        <x:v>持有</x:v>
      </x:c>
    </x:row>
    <x:row r="1191" ht="23" customHeight="1">
      <x:c r="A1191" s="11" t="d">
        <x:v>2019-09-18T00:00:00.000Z</x:v>
      </x:c>
      <x:c r="B1191" s="12" t="n">
        <x:v>218.071153</x:v>
      </x:c>
      <x:c r="C1191" s="13" t="n">
        <x:v>308</x:v>
      </x:c>
      <x:c r="D1191" s="12" t="n">
        <x:v>92738.8</x:v>
      </x:c>
      <x:c r="E1191" s="12" t="n">
        <x:v>0</x:v>
      </x:c>
      <x:c r="F1191" s="12" t="n">
        <x:f>SUM(B1191,D1191:E1191)</x:f>
        <x:v>92956.871153</x:v>
      </x:c>
      <x:c r="G1191" s="12" t="n">
        <x:f>MAX(G1190,F1191)</x:f>
        <x:v>102238.29443099999</x:v>
      </x:c>
      <x:c r="H1191" s="14" t="n">
        <x:f>F1191/G1191-1</x:f>
        <x:v>-0.0907822585427025</x:v>
      </x:c>
      <x:c r="I1191" s="14" t="n">
        <x:f>F1191/F1190-1</x:f>
        <x:v>0.000596761527911216</x:v>
      </x:c>
      <x:c r="J1191" s="12" t="n">
        <x:v>0</x:v>
      </x:c>
      <x:c r="K1191" s="12" t="n">
        <x:v>0</x:v>
      </x:c>
      <x:c r="L1191" s="12" t="n">
        <x:v>0</x:v>
      </x:c>
      <x:c r="M1191" s="2" t="str">
        <x:v>持有</x:v>
      </x:c>
    </x:row>
    <x:row r="1192" ht="23" customHeight="1">
      <x:c r="A1192" s="11" t="d">
        <x:v>2019-09-19T00:00:00.000Z</x:v>
      </x:c>
      <x:c r="B1192" s="12" t="n">
        <x:v>218.071153</x:v>
      </x:c>
      <x:c r="C1192" s="13" t="n">
        <x:v>308</x:v>
      </x:c>
      <x:c r="D1192" s="12" t="n">
        <x:v>92732.64</x:v>
      </x:c>
      <x:c r="E1192" s="12" t="n">
        <x:v>0</x:v>
      </x:c>
      <x:c r="F1192" s="12" t="n">
        <x:f>SUM(B1192,D1192:E1192)</x:f>
        <x:v>92950.711153</x:v>
      </x:c>
      <x:c r="G1192" s="12" t="n">
        <x:f>MAX(G1191,F1192)</x:f>
        <x:v>102238.29443099999</x:v>
      </x:c>
      <x:c r="H1192" s="14" t="n">
        <x:f>F1192/G1192-1</x:f>
        <x:v>-0.09084250993905352</x:v>
      </x:c>
      <x:c r="I1192" s="14" t="n">
        <x:f>F1192/F1191-1</x:f>
        <x:v>-0.0000662672906649453</x:v>
      </x:c>
      <x:c r="J1192" s="12" t="n">
        <x:v>0</x:v>
      </x:c>
      <x:c r="K1192" s="12" t="n">
        <x:v>0</x:v>
      </x:c>
      <x:c r="L1192" s="12" t="n">
        <x:v>0</x:v>
      </x:c>
      <x:c r="M1192" s="2" t="str">
        <x:v>持有</x:v>
      </x:c>
    </x:row>
    <x:row r="1193" ht="23" customHeight="1">
      <x:c r="A1193" s="11" t="d">
        <x:v>2019-09-20T00:00:00.000Z</x:v>
      </x:c>
      <x:c r="B1193" s="12" t="n">
        <x:v>218.071153</x:v>
      </x:c>
      <x:c r="C1193" s="13" t="n">
        <x:v>308</x:v>
      </x:c>
      <x:c r="D1193" s="12" t="n">
        <x:v>91870.23999999999</x:v>
      </x:c>
      <x:c r="E1193" s="12" t="n">
        <x:v>426.154652</x:v>
      </x:c>
      <x:c r="F1193" s="12" t="n">
        <x:f>SUM(B1193,D1193:E1193)</x:f>
        <x:v>92514.46580499999</x:v>
      </x:c>
      <x:c r="G1193" s="12" t="n">
        <x:f>MAX(G1192,F1193)</x:f>
        <x:v>102238.29443099999</x:v>
      </x:c>
      <x:c r="H1193" s="14" t="n">
        <x:f>F1193/G1193-1</x:f>
        <x:v>-0.0951094565897963</x:v>
      </x:c>
      <x:c r="I1193" s="14" t="n">
        <x:f>F1193/F1192-1</x:f>
        <x:v>-0.004693297583080791</x:v>
      </x:c>
      <x:c r="J1193" s="12" t="n">
        <x:v>426.154652</x:v>
      </x:c>
      <x:c r="K1193" s="12" t="n">
        <x:v>0</x:v>
      </x:c>
      <x:c r="L1193" s="12" t="n">
        <x:v>0</x:v>
      </x:c>
      <x:c r="M1193" s="2" t="str">
        <x:v>持有</x:v>
      </x:c>
    </x:row>
    <x:row r="1194" ht="23" customHeight="1">
      <x:c r="A1194" s="11" t="d">
        <x:v>2019-09-23T00:00:00.000Z</x:v>
      </x:c>
      <x:c r="B1194" s="12" t="n">
        <x:v>218.071153</x:v>
      </x:c>
      <x:c r="C1194" s="13" t="n">
        <x:v>308</x:v>
      </x:c>
      <x:c r="D1194" s="12" t="n">
        <x:v>91848.68</x:v>
      </x:c>
      <x:c r="E1194" s="12" t="n">
        <x:v>426.154652</x:v>
      </x:c>
      <x:c r="F1194" s="12" t="n">
        <x:f>SUM(B1194,D1194:E1194)</x:f>
        <x:v>92492.90580499999</x:v>
      </x:c>
      <x:c r="G1194" s="12" t="n">
        <x:f>MAX(G1193,F1194)</x:f>
        <x:v>102238.29443099999</x:v>
      </x:c>
      <x:c r="H1194" s="14" t="n">
        <x:f>F1194/G1194-1</x:f>
        <x:v>-0.09532033647702431</x:v>
      </x:c>
      <x:c r="I1194" s="14" t="n">
        <x:f>F1194/F1193-1</x:f>
        <x:v>-0.00023304463591067304</x:v>
      </x:c>
      <x:c r="J1194" s="12" t="n">
        <x:v>0</x:v>
      </x:c>
      <x:c r="K1194" s="12" t="n">
        <x:v>0</x:v>
      </x:c>
      <x:c r="L1194" s="12" t="n">
        <x:v>0</x:v>
      </x:c>
      <x:c r="M1194" s="2" t="str">
        <x:v>持有</x:v>
      </x:c>
    </x:row>
    <x:row r="1195" ht="23" customHeight="1">
      <x:c r="A1195" s="11" t="d">
        <x:v>2019-09-24T00:00:00.000Z</x:v>
      </x:c>
      <x:c r="B1195" s="12" t="n">
        <x:v>218.071153</x:v>
      </x:c>
      <x:c r="C1195" s="13" t="n">
        <x:v>308</x:v>
      </x:c>
      <x:c r="D1195" s="12" t="n">
        <x:v>91127.96</x:v>
      </x:c>
      <x:c r="E1195" s="12" t="n">
        <x:v>426.154652</x:v>
      </x:c>
      <x:c r="F1195" s="12" t="n">
        <x:f>SUM(B1195,D1195:E1195)</x:f>
        <x:v>91772.185805</x:v>
      </x:c>
      <x:c r="G1195" s="12" t="n">
        <x:f>MAX(G1194,F1195)</x:f>
        <x:v>102238.29443099999</x:v>
      </x:c>
      <x:c r="H1195" s="14" t="n">
        <x:f>F1195/G1195-1</x:f>
        <x:v>-0.10236974985007696</x:v>
      </x:c>
      <x:c r="I1195" s="14" t="n">
        <x:f>F1195/F1194-1</x:f>
        <x:v>-0.007792165179883681</x:v>
      </x:c>
      <x:c r="J1195" s="12" t="n">
        <x:v>0</x:v>
      </x:c>
      <x:c r="K1195" s="12" t="n">
        <x:v>0</x:v>
      </x:c>
      <x:c r="L1195" s="12" t="n">
        <x:v>0</x:v>
      </x:c>
      <x:c r="M1195" s="2" t="str">
        <x:v>持有</x:v>
      </x:c>
    </x:row>
    <x:row r="1196" ht="23" customHeight="1">
      <x:c r="A1196" s="11" t="d">
        <x:v>2019-09-25T00:00:00.000Z</x:v>
      </x:c>
      <x:c r="B1196" s="12" t="n">
        <x:v>218.071153</x:v>
      </x:c>
      <x:c r="C1196" s="13" t="n">
        <x:v>308</x:v>
      </x:c>
      <x:c r="D1196" s="12" t="n">
        <x:v>91666.96</x:v>
      </x:c>
      <x:c r="E1196" s="12" t="n">
        <x:v>426.154652</x:v>
      </x:c>
      <x:c r="F1196" s="12" t="n">
        <x:f>SUM(B1196,D1196:E1196)</x:f>
        <x:v>92311.185805</x:v>
      </x:c>
      <x:c r="G1196" s="12" t="n">
        <x:f>MAX(G1195,F1196)</x:f>
        <x:v>102238.29443099999</x:v>
      </x:c>
      <x:c r="H1196" s="14" t="n">
        <x:f>F1196/G1196-1</x:f>
        <x:v>-0.09709775266937515</x:v>
      </x:c>
      <x:c r="I1196" s="14" t="n">
        <x:f>F1196/F1195-1</x:f>
        <x:v>0.005873239209375214</x:v>
      </x:c>
      <x:c r="J1196" s="12" t="n">
        <x:v>0</x:v>
      </x:c>
      <x:c r="K1196" s="12" t="n">
        <x:v>0</x:v>
      </x:c>
      <x:c r="L1196" s="12" t="n">
        <x:v>0</x:v>
      </x:c>
      <x:c r="M1196" s="2" t="str">
        <x:v>持有</x:v>
      </x:c>
    </x:row>
    <x:row r="1197" ht="23" customHeight="1">
      <x:c r="A1197" s="11" t="d">
        <x:v>2019-09-26T00:00:00.000Z</x:v>
      </x:c>
      <x:c r="B1197" s="12" t="n">
        <x:v>218.071153</x:v>
      </x:c>
      <x:c r="C1197" s="13" t="n">
        <x:v>308</x:v>
      </x:c>
      <x:c r="D1197" s="12" t="n">
        <x:v>91476</x:v>
      </x:c>
      <x:c r="E1197" s="12" t="n">
        <x:v>426.154652</x:v>
      </x:c>
      <x:c r="F1197" s="12" t="n">
        <x:f>SUM(B1197,D1197:E1197)</x:f>
        <x:v>92120.225805</x:v>
      </x:c>
      <x:c r="G1197" s="12" t="n">
        <x:f>MAX(G1196,F1197)</x:f>
        <x:v>102238.29443099999</x:v>
      </x:c>
      <x:c r="H1197" s="14" t="n">
        <x:f>F1197/G1197-1</x:f>
        <x:v>-0.0989655459562524</x:v>
      </x:c>
      <x:c r="I1197" s="14" t="n">
        <x:f>F1197/F1196-1</x:f>
        <x:v>-0.002068655042557821</x:v>
      </x:c>
      <x:c r="J1197" s="12" t="n">
        <x:v>0</x:v>
      </x:c>
      <x:c r="K1197" s="12" t="n">
        <x:v>0</x:v>
      </x:c>
      <x:c r="L1197" s="12" t="n">
        <x:v>0</x:v>
      </x:c>
      <x:c r="M1197" s="2" t="str">
        <x:v>持有</x:v>
      </x:c>
    </x:row>
    <x:row r="1198" ht="23" customHeight="1">
      <x:c r="A1198" s="11" t="d">
        <x:v>2019-09-27T00:00:00.000Z</x:v>
      </x:c>
      <x:c r="B1198" s="12" t="n">
        <x:v>218.071153</x:v>
      </x:c>
      <x:c r="C1198" s="13" t="n">
        <x:v>308</x:v>
      </x:c>
      <x:c r="D1198" s="12" t="n">
        <x:v>90983.2</x:v>
      </x:c>
      <x:c r="E1198" s="12" t="n">
        <x:v>426.154652</x:v>
      </x:c>
      <x:c r="F1198" s="12" t="n">
        <x:f>SUM(B1198,D1198:E1198)</x:f>
        <x:v>91627.42580499999</x:v>
      </x:c>
      <x:c r="G1198" s="12" t="n">
        <x:f>MAX(G1197,F1198)</x:f>
        <x:v>102238.29443099999</x:v>
      </x:c>
      <x:c r="H1198" s="14" t="n">
        <x:f>F1198/G1198-1</x:f>
        <x:v>-0.10378565766432268</x:v>
      </x:c>
      <x:c r="I1198" s="14" t="n">
        <x:f>F1198/F1197-1</x:f>
        <x:v>-0.005349530960151561</x:v>
      </x:c>
      <x:c r="J1198" s="12" t="n">
        <x:v>0</x:v>
      </x:c>
      <x:c r="K1198" s="12" t="n">
        <x:v>0</x:v>
      </x:c>
      <x:c r="L1198" s="12" t="n">
        <x:v>0</x:v>
      </x:c>
      <x:c r="M1198" s="2" t="str">
        <x:v>持有</x:v>
      </x:c>
    </x:row>
    <x:row r="1199" ht="23" customHeight="1">
      <x:c r="A1199" s="11" t="d">
        <x:v>2019-09-30T00:00:00.000Z</x:v>
      </x:c>
      <x:c r="B1199" s="12" t="n">
        <x:v>218.071153</x:v>
      </x:c>
      <x:c r="C1199" s="13" t="n">
        <x:v>308</x:v>
      </x:c>
      <x:c r="D1199" s="12" t="n">
        <x:v>91405.15999999999</x:v>
      </x:c>
      <x:c r="E1199" s="12" t="n">
        <x:v>426.154652</x:v>
      </x:c>
      <x:c r="F1199" s="12" t="n">
        <x:f>SUM(B1199,D1199:E1199)</x:f>
        <x:v>92049.38580499998</x:v>
      </x:c>
      <x:c r="G1199" s="12" t="n">
        <x:f>MAX(G1198,F1199)</x:f>
        <x:v>102238.29443099999</x:v>
      </x:c>
      <x:c r="H1199" s="14" t="n">
        <x:f>F1199/G1199-1</x:f>
        <x:v>-0.09965843701428756</x:v>
      </x:c>
      <x:c r="I1199" s="14" t="n">
        <x:f>F1199/F1198-1</x:f>
        <x:v>0.004605171391565577</x:v>
      </x:c>
      <x:c r="J1199" s="12" t="n">
        <x:v>0</x:v>
      </x:c>
      <x:c r="K1199" s="12" t="n">
        <x:v>0</x:v>
      </x:c>
      <x:c r="L1199" s="12" t="n">
        <x:v>0</x:v>
      </x:c>
      <x:c r="M1199" s="2" t="str">
        <x:v>持有</x:v>
      </x:c>
    </x:row>
    <x:row r="1200" ht="23" customHeight="1">
      <x:c r="A1200" s="11" t="d">
        <x:v>2019-10-01T00:00:00.000Z</x:v>
      </x:c>
      <x:c r="B1200" s="12" t="n">
        <x:v>218.071153</x:v>
      </x:c>
      <x:c r="C1200" s="13" t="n">
        <x:v>308</x:v>
      </x:c>
      <x:c r="D1200" s="12" t="n">
        <x:v>90317.92</x:v>
      </x:c>
      <x:c r="E1200" s="12" t="n">
        <x:v>426.154652</x:v>
      </x:c>
      <x:c r="F1200" s="12" t="n">
        <x:f>SUM(B1200,D1200:E1200)</x:f>
        <x:v>90962.145805</x:v>
      </x:c>
      <x:c r="G1200" s="12" t="n">
        <x:f>MAX(G1199,F1200)</x:f>
        <x:v>102238.29443099999</x:v>
      </x:c>
      <x:c r="H1200" s="14" t="n">
        <x:f>F1200/G1200-1</x:f>
        <x:v>-0.11029280847021761</x:v>
      </x:c>
      <x:c r="I1200" s="14" t="n">
        <x:f>F1200/F1199-1</x:f>
        <x:v>-0.011811485655137677</x:v>
      </x:c>
      <x:c r="J1200" s="12" t="n">
        <x:v>0</x:v>
      </x:c>
      <x:c r="K1200" s="12" t="n">
        <x:v>0</x:v>
      </x:c>
      <x:c r="L1200" s="12" t="n">
        <x:v>0</x:v>
      </x:c>
      <x:c r="M1200" s="2" t="str">
        <x:v>持有</x:v>
      </x:c>
    </x:row>
    <x:row r="1201" ht="23" customHeight="1">
      <x:c r="A1201" s="11" t="d">
        <x:v>2019-10-02T00:00:00.000Z</x:v>
      </x:c>
      <x:c r="B1201" s="12" t="n">
        <x:v>89910.289153</x:v>
      </x:c>
      <x:c r="C1201" s="13" t="n">
        <x:v>0</x:v>
      </x:c>
      <x:c r="D1201" s="12" t="n">
        <x:v>0</x:v>
      </x:c>
      <x:c r="E1201" s="12" t="n">
        <x:v>426.154652</x:v>
      </x:c>
      <x:c r="F1201" s="12" t="n">
        <x:f>SUM(B1201,D1201:E1201)</x:f>
        <x:v>90336.443805</x:v>
      </x:c>
      <x:c r="G1201" s="12" t="n">
        <x:f>MAX(G1200,F1201)</x:f>
        <x:v>102238.29443099999</x:v>
      </x:c>
      <x:c r="H1201" s="14" t="n">
        <x:f>F1201/G1201-1</x:f>
        <x:v>-0.11641284405455798</x:v>
      </x:c>
      <x:c r="I1201" s="14" t="n">
        <x:f>F1201/F1200-1</x:f>
        <x:v>-0.006878707559750619</x:v>
      </x:c>
      <x:c r="J1201" s="12" t="n">
        <x:v>0</x:v>
      </x:c>
      <x:c r="K1201" s="12" t="n">
        <x:v>0</x:v>
      </x:c>
      <x:c r="L1201" s="12" t="n">
        <x:v>-308</x:v>
      </x:c>
      <x:c r="M1201" s="2" t="str">
        <x:v>卖出</x:v>
      </x:c>
    </x:row>
    <x:row r="1202" ht="23" customHeight="1">
      <x:c r="A1202" s="11" t="d">
        <x:v>2019-10-03T00:00:00.000Z</x:v>
      </x:c>
      <x:c r="B1202" s="12" t="n">
        <x:v>89910.289153</x:v>
      </x:c>
      <x:c r="C1202" s="13" t="n">
        <x:v>0</x:v>
      </x:c>
      <x:c r="D1202" s="12" t="n">
        <x:v>0</x:v>
      </x:c>
      <x:c r="E1202" s="12" t="n">
        <x:v>426.154652</x:v>
      </x:c>
      <x:c r="F1202" s="12" t="n">
        <x:f>SUM(B1202,D1202:E1202)</x:f>
        <x:v>90336.443805</x:v>
      </x:c>
      <x:c r="G1202" s="12" t="n">
        <x:f>MAX(G1201,F1202)</x:f>
        <x:v>102238.29443099999</x:v>
      </x:c>
      <x:c r="H1202" s="14" t="n">
        <x:f>F1202/G1202-1</x:f>
        <x:v>-0.11641284405455798</x:v>
      </x:c>
      <x:c r="I1202" s="14" t="n">
        <x:f>F1202/F1201-1</x:f>
        <x:v>0</x:v>
      </x:c>
      <x:c r="J1202" s="12" t="n">
        <x:v>0</x:v>
      </x:c>
      <x:c r="K1202" s="12" t="n">
        <x:v>0</x:v>
      </x:c>
      <x:c r="L1202" s="12" t="n">
        <x:v>0</x:v>
      </x:c>
      <x:c r="M1202" s="2" t="str">
        <x:v>空仓</x:v>
      </x:c>
    </x:row>
    <x:row r="1203" ht="23" customHeight="1">
      <x:c r="A1203" s="11" t="d">
        <x:v>2019-10-04T00:00:00.000Z</x:v>
      </x:c>
      <x:c r="B1203" s="12" t="n">
        <x:v>89910.289153</x:v>
      </x:c>
      <x:c r="C1203" s="13" t="n">
        <x:v>0</x:v>
      </x:c>
      <x:c r="D1203" s="12" t="n">
        <x:v>0</x:v>
      </x:c>
      <x:c r="E1203" s="12" t="n">
        <x:v>426.154652</x:v>
      </x:c>
      <x:c r="F1203" s="12" t="n">
        <x:f>SUM(B1203,D1203:E1203)</x:f>
        <x:v>90336.443805</x:v>
      </x:c>
      <x:c r="G1203" s="12" t="n">
        <x:f>MAX(G1202,F1203)</x:f>
        <x:v>102238.29443099999</x:v>
      </x:c>
      <x:c r="H1203" s="14" t="n">
        <x:f>F1203/G1203-1</x:f>
        <x:v>-0.11641284405455798</x:v>
      </x:c>
      <x:c r="I1203" s="14" t="n">
        <x:f>F1203/F1202-1</x:f>
        <x:v>0</x:v>
      </x:c>
      <x:c r="J1203" s="12" t="n">
        <x:v>0</x:v>
      </x:c>
      <x:c r="K1203" s="12" t="n">
        <x:v>0</x:v>
      </x:c>
      <x:c r="L1203" s="12" t="n">
        <x:v>0</x:v>
      </x:c>
      <x:c r="M1203" s="2" t="str">
        <x:v>空仓</x:v>
      </x:c>
    </x:row>
    <x:row r="1204" ht="23" customHeight="1">
      <x:c r="A1204" s="11" t="d">
        <x:v>2019-10-07T00:00:00.000Z</x:v>
      </x:c>
      <x:c r="B1204" s="12" t="n">
        <x:v>18.667333</x:v>
      </x:c>
      <x:c r="C1204" s="13" t="n">
        <x:v>306</x:v>
      </x:c>
      <x:c r="D1204" s="12" t="n">
        <x:v>89682.48</x:v>
      </x:c>
      <x:c r="E1204" s="12" t="n">
        <x:v>426.154652</x:v>
      </x:c>
      <x:c r="F1204" s="12" t="n">
        <x:f>SUM(B1204,D1204:E1204)</x:f>
        <x:v>90127.301985</x:v>
      </x:c>
      <x:c r="G1204" s="12" t="n">
        <x:f>MAX(G1203,F1204)</x:f>
        <x:v>102238.29443099999</x:v>
      </x:c>
      <x:c r="H1204" s="14" t="n">
        <x:f>F1204/G1204-1</x:f>
        <x:v>-0.11845847501078599</x:v>
      </x:c>
      <x:c r="I1204" s="14" t="n">
        <x:f>F1204/F1203-1</x:f>
        <x:v>-0.002315143381683926</x:v>
      </x:c>
      <x:c r="J1204" s="12" t="n">
        <x:v>0</x:v>
      </x:c>
      <x:c r="K1204" s="12" t="n">
        <x:v>0</x:v>
      </x:c>
      <x:c r="L1204" s="12" t="n">
        <x:v>306</x:v>
      </x:c>
      <x:c r="M1204" s="2" t="str">
        <x:v>买入</x:v>
      </x:c>
    </x:row>
    <x:row r="1205" ht="23" customHeight="1">
      <x:c r="A1205" s="11" t="d">
        <x:v>2019-10-08T00:00:00.000Z</x:v>
      </x:c>
      <x:c r="B1205" s="12" t="n">
        <x:v>88987.849093</x:v>
      </x:c>
      <x:c r="C1205" s="13" t="n">
        <x:v>0</x:v>
      </x:c>
      <x:c r="D1205" s="12" t="n">
        <x:v>0</x:v>
      </x:c>
      <x:c r="E1205" s="12" t="n">
        <x:v>426.154652</x:v>
      </x:c>
      <x:c r="F1205" s="12" t="n">
        <x:f>SUM(B1205,D1205:E1205)</x:f>
        <x:v>89414.003745</x:v>
      </x:c>
      <x:c r="G1205" s="12" t="n">
        <x:f>MAX(G1204,F1205)</x:f>
        <x:v>102238.29443099999</x:v>
      </x:c>
      <x:c r="H1205" s="14" t="n">
        <x:f>F1205/G1205-1</x:f>
        <x:v>-0.1254352956235496</x:v>
      </x:c>
      <x:c r="I1205" s="14" t="n">
        <x:f>F1205/F1204-1</x:f>
        <x:v>-0.007914341429178906</x:v>
      </x:c>
      <x:c r="J1205" s="12" t="n">
        <x:v>0</x:v>
      </x:c>
      <x:c r="K1205" s="12" t="n">
        <x:v>0</x:v>
      </x:c>
      <x:c r="L1205" s="12" t="n">
        <x:v>-306</x:v>
      </x:c>
      <x:c r="M1205" s="2" t="str">
        <x:v>卖出</x:v>
      </x:c>
    </x:row>
    <x:row r="1206" ht="23" customHeight="1">
      <x:c r="A1206" s="11" t="d">
        <x:v>2019-10-09T00:00:00.000Z</x:v>
      </x:c>
      <x:c r="B1206" s="12" t="n">
        <x:v>88987.849093</x:v>
      </x:c>
      <x:c r="C1206" s="13" t="n">
        <x:v>0</x:v>
      </x:c>
      <x:c r="D1206" s="12" t="n">
        <x:v>0</x:v>
      </x:c>
      <x:c r="E1206" s="12" t="n">
        <x:v>426.154652</x:v>
      </x:c>
      <x:c r="F1206" s="12" t="n">
        <x:f>SUM(B1206,D1206:E1206)</x:f>
        <x:v>89414.003745</x:v>
      </x:c>
      <x:c r="G1206" s="12" t="n">
        <x:f>MAX(G1205,F1206)</x:f>
        <x:v>102238.29443099999</x:v>
      </x:c>
      <x:c r="H1206" s="14" t="n">
        <x:f>F1206/G1206-1</x:f>
        <x:v>-0.1254352956235496</x:v>
      </x:c>
      <x:c r="I1206" s="14" t="n">
        <x:f>F1206/F1205-1</x:f>
        <x:v>0</x:v>
      </x:c>
      <x:c r="J1206" s="12" t="n">
        <x:v>0</x:v>
      </x:c>
      <x:c r="K1206" s="12" t="n">
        <x:v>0</x:v>
      </x:c>
      <x:c r="L1206" s="12" t="n">
        <x:v>0</x:v>
      </x:c>
      <x:c r="M1206" s="2" t="str">
        <x:v>空仓</x:v>
      </x:c>
    </x:row>
    <x:row r="1207" ht="23" customHeight="1">
      <x:c r="A1207" s="11" t="d">
        <x:v>2019-10-10T00:00:00.000Z</x:v>
      </x:c>
      <x:c r="B1207" s="12" t="n">
        <x:v>88987.849093</x:v>
      </x:c>
      <x:c r="C1207" s="13" t="n">
        <x:v>0</x:v>
      </x:c>
      <x:c r="D1207" s="12" t="n">
        <x:v>0</x:v>
      </x:c>
      <x:c r="E1207" s="12" t="n">
        <x:v>426.154652</x:v>
      </x:c>
      <x:c r="F1207" s="12" t="n">
        <x:f>SUM(B1207,D1207:E1207)</x:f>
        <x:v>89414.003745</x:v>
      </x:c>
      <x:c r="G1207" s="12" t="n">
        <x:f>MAX(G1206,F1207)</x:f>
        <x:v>102238.29443099999</x:v>
      </x:c>
      <x:c r="H1207" s="14" t="n">
        <x:f>F1207/G1207-1</x:f>
        <x:v>-0.1254352956235496</x:v>
      </x:c>
      <x:c r="I1207" s="14" t="n">
        <x:f>F1207/F1206-1</x:f>
        <x:v>0</x:v>
      </x:c>
      <x:c r="J1207" s="12" t="n">
        <x:v>0</x:v>
      </x:c>
      <x:c r="K1207" s="12" t="n">
        <x:v>0</x:v>
      </x:c>
      <x:c r="L1207" s="12" t="n">
        <x:v>0</x:v>
      </x:c>
      <x:c r="M1207" s="2" t="str">
        <x:v>空仓</x:v>
      </x:c>
    </x:row>
    <x:row r="1208" ht="23" customHeight="1">
      <x:c r="A1208" s="11" t="d">
        <x:v>2019-10-11T00:00:00.000Z</x:v>
      </x:c>
      <x:c r="B1208" s="12" t="n">
        <x:v>88987.849093</x:v>
      </x:c>
      <x:c r="C1208" s="13" t="n">
        <x:v>0</x:v>
      </x:c>
      <x:c r="D1208" s="12" t="n">
        <x:v>0</x:v>
      </x:c>
      <x:c r="E1208" s="12" t="n">
        <x:v>426.154652</x:v>
      </x:c>
      <x:c r="F1208" s="12" t="n">
        <x:f>SUM(B1208,D1208:E1208)</x:f>
        <x:v>89414.003745</x:v>
      </x:c>
      <x:c r="G1208" s="12" t="n">
        <x:f>MAX(G1207,F1208)</x:f>
        <x:v>102238.29443099999</x:v>
      </x:c>
      <x:c r="H1208" s="14" t="n">
        <x:f>F1208/G1208-1</x:f>
        <x:v>-0.1254352956235496</x:v>
      </x:c>
      <x:c r="I1208" s="14" t="n">
        <x:f>F1208/F1207-1</x:f>
        <x:v>0</x:v>
      </x:c>
      <x:c r="J1208" s="12" t="n">
        <x:v>0</x:v>
      </x:c>
      <x:c r="K1208" s="12" t="n">
        <x:v>0</x:v>
      </x:c>
      <x:c r="L1208" s="12" t="n">
        <x:v>0</x:v>
      </x:c>
      <x:c r="M1208" s="2" t="str">
        <x:v>空仓</x:v>
      </x:c>
    </x:row>
    <x:row r="1209" ht="23" customHeight="1">
      <x:c r="A1209" s="11" t="d">
        <x:v>2019-10-14T00:00:00.000Z</x:v>
      </x:c>
      <x:c r="B1209" s="12" t="n">
        <x:v>120.070093</x:v>
      </x:c>
      <x:c r="C1209" s="13" t="n">
        <x:v>300</x:v>
      </x:c>
      <x:c r="D1209" s="12" t="n">
        <x:v>88785</x:v>
      </x:c>
      <x:c r="E1209" s="12" t="n">
        <x:v>426.154652</x:v>
      </x:c>
      <x:c r="F1209" s="12" t="n">
        <x:f>SUM(B1209,D1209:E1209)</x:f>
        <x:v>89331.224745</x:v>
      </x:c>
      <x:c r="G1209" s="12" t="n">
        <x:f>MAX(G1208,F1209)</x:f>
        <x:v>102238.29443099999</x:v>
      </x:c>
      <x:c r="H1209" s="14" t="n">
        <x:f>F1209/G1209-1</x:f>
        <x:v>-0.12624496288629783</x:v>
      </x:c>
      <x:c r="I1209" s="14" t="n">
        <x:f>F1209/F1208-1</x:f>
        <x:v>-0.0009257945795165812</x:v>
      </x:c>
      <x:c r="J1209" s="12" t="n">
        <x:v>0</x:v>
      </x:c>
      <x:c r="K1209" s="12" t="n">
        <x:v>0</x:v>
      </x:c>
      <x:c r="L1209" s="12" t="n">
        <x:v>300</x:v>
      </x:c>
      <x:c r="M1209" s="2" t="str">
        <x:v>买入</x:v>
      </x:c>
    </x:row>
    <x:row r="1210" ht="23" customHeight="1">
      <x:c r="A1210" s="11" t="d">
        <x:v>2019-10-15T00:00:00.000Z</x:v>
      </x:c>
      <x:c r="B1210" s="12" t="n">
        <x:v>120.070093</x:v>
      </x:c>
      <x:c r="C1210" s="13" t="n">
        <x:v>300</x:v>
      </x:c>
      <x:c r="D1210" s="12" t="n">
        <x:v>89664</x:v>
      </x:c>
      <x:c r="E1210" s="12" t="n">
        <x:v>426.154652</x:v>
      </x:c>
      <x:c r="F1210" s="12" t="n">
        <x:f>SUM(B1210,D1210:E1210)</x:f>
        <x:v>90210.224745</x:v>
      </x:c>
      <x:c r="G1210" s="12" t="n">
        <x:f>MAX(G1209,F1210)</x:f>
        <x:v>102238.29443099999</x:v>
      </x:c>
      <x:c r="H1210" s="14" t="n">
        <x:f>F1210/G1210-1</x:f>
        <x:v>-0.11764740162129428</x:v>
      </x:c>
      <x:c r="I1210" s="14" t="n">
        <x:f>F1210/F1209-1</x:f>
        <x:v>0.009839784493150594</x:v>
      </x:c>
      <x:c r="J1210" s="12" t="n">
        <x:v>0</x:v>
      </x:c>
      <x:c r="K1210" s="12" t="n">
        <x:v>0</x:v>
      </x:c>
      <x:c r="L1210" s="12" t="n">
        <x:v>0</x:v>
      </x:c>
      <x:c r="M1210" s="2" t="str">
        <x:v>持有</x:v>
      </x:c>
    </x:row>
    <x:row r="1211" ht="23" customHeight="1">
      <x:c r="A1211" s="11" t="d">
        <x:v>2019-10-16T00:00:00.000Z</x:v>
      </x:c>
      <x:c r="B1211" s="12" t="n">
        <x:v>120.070093</x:v>
      </x:c>
      <x:c r="C1211" s="13" t="n">
        <x:v>300</x:v>
      </x:c>
      <x:c r="D1211" s="12" t="n">
        <x:v>89520</x:v>
      </x:c>
      <x:c r="E1211" s="12" t="n">
        <x:v>426.154652</x:v>
      </x:c>
      <x:c r="F1211" s="12" t="n">
        <x:f>SUM(B1211,D1211:E1211)</x:f>
        <x:v>90066.224745</x:v>
      </x:c>
      <x:c r="G1211" s="12" t="n">
        <x:f>MAX(G1210,F1211)</x:f>
        <x:v>102238.29443099999</x:v>
      </x:c>
      <x:c r="H1211" s="14" t="n">
        <x:f>F1211/G1211-1</x:f>
        <x:v>-0.1190558758217044</x:v>
      </x:c>
      <x:c r="I1211" s="14" t="n">
        <x:f>F1211/F1210-1</x:f>
        <x:v>-0.0015962713806229045</x:v>
      </x:c>
      <x:c r="J1211" s="12" t="n">
        <x:v>0</x:v>
      </x:c>
      <x:c r="K1211" s="12" t="n">
        <x:v>0</x:v>
      </x:c>
      <x:c r="L1211" s="12" t="n">
        <x:v>0</x:v>
      </x:c>
      <x:c r="M1211" s="2" t="str">
        <x:v>持有</x:v>
      </x:c>
    </x:row>
    <x:row r="1212" ht="23" customHeight="1">
      <x:c r="A1212" s="11" t="d">
        <x:v>2019-10-17T00:00:00.000Z</x:v>
      </x:c>
      <x:c r="B1212" s="12" t="n">
        <x:v>120.070093</x:v>
      </x:c>
      <x:c r="C1212" s="13" t="n">
        <x:v>300</x:v>
      </x:c>
      <x:c r="D1212" s="12" t="n">
        <x:v>89783.99999999999</x:v>
      </x:c>
      <x:c r="E1212" s="12" t="n">
        <x:v>426.154652</x:v>
      </x:c>
      <x:c r="F1212" s="12" t="n">
        <x:f>SUM(B1212,D1212:E1212)</x:f>
        <x:v>90330.22474499998</x:v>
      </x:c>
      <x:c r="G1212" s="12" t="n">
        <x:f>MAX(G1211,F1212)</x:f>
        <x:v>102238.29443099999</x:v>
      </x:c>
      <x:c r="H1212" s="14" t="n">
        <x:f>F1212/G1212-1</x:f>
        <x:v>-0.11647367312095258</x:v>
      </x:c>
      <x:c r="I1212" s="14" t="n">
        <x:f>F1212/F1211-1</x:f>
        <x:v>0.002931176484275211</x:v>
      </x:c>
      <x:c r="J1212" s="12" t="n">
        <x:v>0</x:v>
      </x:c>
      <x:c r="K1212" s="12" t="n">
        <x:v>0</x:v>
      </x:c>
      <x:c r="L1212" s="12" t="n">
        <x:v>0</x:v>
      </x:c>
      <x:c r="M1212" s="2" t="str">
        <x:v>持有</x:v>
      </x:c>
    </x:row>
    <x:row r="1213" ht="23" customHeight="1">
      <x:c r="A1213" s="11" t="d">
        <x:v>2019-10-18T00:00:00.000Z</x:v>
      </x:c>
      <x:c r="B1213" s="12" t="n">
        <x:v>120.070093</x:v>
      </x:c>
      <x:c r="C1213" s="13" t="n">
        <x:v>300</x:v>
      </x:c>
      <x:c r="D1213" s="12" t="n">
        <x:v>89391.00000000001</x:v>
      </x:c>
      <x:c r="E1213" s="12" t="n">
        <x:v>426.154652</x:v>
      </x:c>
      <x:c r="F1213" s="12" t="n">
        <x:f>SUM(B1213,D1213:E1213)</x:f>
        <x:v>89937.22474500001</x:v>
      </x:c>
      <x:c r="G1213" s="12" t="n">
        <x:f>MAX(G1212,F1213)</x:f>
        <x:v>102238.29443099999</x:v>
      </x:c>
      <x:c r="H1213" s="14" t="n">
        <x:f>F1213/G1213-1</x:f>
        <x:v>-0.12031763395957173</x:v>
      </x:c>
      <x:c r="I1213" s="14" t="n">
        <x:f>F1213/F1212-1</x:f>
        <x:v>-0.004350703223748198</x:v>
      </x:c>
      <x:c r="J1213" s="12" t="n">
        <x:v>0</x:v>
      </x:c>
      <x:c r="K1213" s="12" t="n">
        <x:v>0</x:v>
      </x:c>
      <x:c r="L1213" s="12" t="n">
        <x:v>0</x:v>
      </x:c>
      <x:c r="M1213" s="2" t="str">
        <x:v>持有</x:v>
      </x:c>
    </x:row>
    <x:row r="1214" ht="23" customHeight="1">
      <x:c r="A1214" s="11" t="d">
        <x:v>2019-10-21T00:00:00.000Z</x:v>
      </x:c>
      <x:c r="B1214" s="12" t="n">
        <x:v>120.070093</x:v>
      </x:c>
      <x:c r="C1214" s="13" t="n">
        <x:v>300</x:v>
      </x:c>
      <x:c r="D1214" s="12" t="n">
        <x:v>89997</x:v>
      </x:c>
      <x:c r="E1214" s="12" t="n">
        <x:v>426.154652</x:v>
      </x:c>
      <x:c r="F1214" s="12" t="n">
        <x:f>SUM(B1214,D1214:E1214)</x:f>
        <x:v>90543.224745</x:v>
      </x:c>
      <x:c r="G1214" s="12" t="n">
        <x:f>MAX(G1213,F1214)</x:f>
        <x:v>102238.29443099999</x:v>
      </x:c>
      <x:c r="H1214" s="14" t="n">
        <x:f>F1214/G1214-1</x:f>
        <x:v>-0.11439030503284575</x:v>
      </x:c>
      <x:c r="I1214" s="14" t="n">
        <x:f>F1214/F1213-1</x:f>
        <x:v>0.006738033130532894</x:v>
      </x:c>
      <x:c r="J1214" s="12" t="n">
        <x:v>0</x:v>
      </x:c>
      <x:c r="K1214" s="12" t="n">
        <x:v>0</x:v>
      </x:c>
      <x:c r="L1214" s="12" t="n">
        <x:v>0</x:v>
      </x:c>
      <x:c r="M1214" s="2" t="str">
        <x:v>持有</x:v>
      </x:c>
    </x:row>
    <x:row r="1215" ht="23" customHeight="1">
      <x:c r="A1215" s="11" t="d">
        <x:v>2019-10-22T00:00:00.000Z</x:v>
      </x:c>
      <x:c r="B1215" s="12" t="n">
        <x:v>120.070093</x:v>
      </x:c>
      <x:c r="C1215" s="13" t="n">
        <x:v>300</x:v>
      </x:c>
      <x:c r="D1215" s="12" t="n">
        <x:v>89703</x:v>
      </x:c>
      <x:c r="E1215" s="12" t="n">
        <x:v>426.154652</x:v>
      </x:c>
      <x:c r="F1215" s="12" t="n">
        <x:f>SUM(B1215,D1215:E1215)</x:f>
        <x:v>90249.224745</x:v>
      </x:c>
      <x:c r="G1215" s="12" t="n">
        <x:f>MAX(G1214,F1215)</x:f>
        <x:v>102238.29443099999</x:v>
      </x:c>
      <x:c r="H1215" s="14" t="n">
        <x:f>F1215/G1215-1</x:f>
        <x:v>-0.11726593985868317</x:v>
      </x:c>
      <x:c r="I1215" s="14" t="n">
        <x:f>F1215/F1214-1</x:f>
        <x:v>-0.003247067915109092</x:v>
      </x:c>
      <x:c r="J1215" s="12" t="n">
        <x:v>0</x:v>
      </x:c>
      <x:c r="K1215" s="12" t="n">
        <x:v>0</x:v>
      </x:c>
      <x:c r="L1215" s="12" t="n">
        <x:v>0</x:v>
      </x:c>
      <x:c r="M1215" s="2" t="str">
        <x:v>持有</x:v>
      </x:c>
    </x:row>
    <x:row r="1216" ht="23" customHeight="1">
      <x:c r="A1216" s="11" t="d">
        <x:v>2019-10-23T00:00:00.000Z</x:v>
      </x:c>
      <x:c r="B1216" s="12" t="n">
        <x:v>120.070093</x:v>
      </x:c>
      <x:c r="C1216" s="13" t="n">
        <x:v>300</x:v>
      </x:c>
      <x:c r="D1216" s="12" t="n">
        <x:v>89964</x:v>
      </x:c>
      <x:c r="E1216" s="12" t="n">
        <x:v>426.154652</x:v>
      </x:c>
      <x:c r="F1216" s="12" t="n">
        <x:f>SUM(B1216,D1216:E1216)</x:f>
        <x:v>90510.224745</x:v>
      </x:c>
      <x:c r="G1216" s="12" t="n">
        <x:f>MAX(G1215,F1216)</x:f>
        <x:v>102238.29443099999</x:v>
      </x:c>
      <x:c r="H1216" s="14" t="n">
        <x:f>F1216/G1216-1</x:f>
        <x:v>-0.11471308037043981</x:v>
      </x:c>
      <x:c r="I1216" s="14" t="n">
        <x:f>F1216/F1215-1</x:f>
        <x:v>0.0028919916014509273</x:v>
      </x:c>
      <x:c r="J1216" s="12" t="n">
        <x:v>0</x:v>
      </x:c>
      <x:c r="K1216" s="12" t="n">
        <x:v>0</x:v>
      </x:c>
      <x:c r="L1216" s="12" t="n">
        <x:v>0</x:v>
      </x:c>
      <x:c r="M1216" s="2" t="str">
        <x:v>持有</x:v>
      </x:c>
    </x:row>
    <x:row r="1217" ht="23" customHeight="1">
      <x:c r="A1217" s="11" t="d">
        <x:v>2019-10-24T00:00:00.000Z</x:v>
      </x:c>
      <x:c r="B1217" s="12" t="n">
        <x:v>120.070093</x:v>
      </x:c>
      <x:c r="C1217" s="13" t="n">
        <x:v>300</x:v>
      </x:c>
      <x:c r="D1217" s="12" t="n">
        <x:v>90111</x:v>
      </x:c>
      <x:c r="E1217" s="12" t="n">
        <x:v>426.154652</x:v>
      </x:c>
      <x:c r="F1217" s="12" t="n">
        <x:f>SUM(B1217,D1217:E1217)</x:f>
        <x:v>90657.224745</x:v>
      </x:c>
      <x:c r="G1217" s="12" t="n">
        <x:f>MAX(G1216,F1217)</x:f>
        <x:v>102238.29443099999</x:v>
      </x:c>
      <x:c r="H1217" s="14" t="n">
        <x:f>F1217/G1217-1</x:f>
        <x:v>-0.1132752629575211</x:v>
      </x:c>
      <x:c r="I1217" s="14" t="n">
        <x:f>F1217/F1216-1</x:f>
        <x:v>0.0016241258975342454</x:v>
      </x:c>
      <x:c r="J1217" s="12" t="n">
        <x:v>0</x:v>
      </x:c>
      <x:c r="K1217" s="12" t="n">
        <x:v>0</x:v>
      </x:c>
      <x:c r="L1217" s="12" t="n">
        <x:v>0</x:v>
      </x:c>
      <x:c r="M1217" s="2" t="str">
        <x:v>持有</x:v>
      </x:c>
    </x:row>
    <x:row r="1218" ht="23" customHeight="1">
      <x:c r="A1218" s="11" t="d">
        <x:v>2019-10-25T00:00:00.000Z</x:v>
      </x:c>
      <x:c r="B1218" s="12" t="n">
        <x:v>120.070093</x:v>
      </x:c>
      <x:c r="C1218" s="13" t="n">
        <x:v>300</x:v>
      </x:c>
      <x:c r="D1218" s="12" t="n">
        <x:v>90480</x:v>
      </x:c>
      <x:c r="E1218" s="12" t="n">
        <x:v>426.154652</x:v>
      </x:c>
      <x:c r="F1218" s="12" t="n">
        <x:f>SUM(B1218,D1218:E1218)</x:f>
        <x:v>91026.224745</x:v>
      </x:c>
      <x:c r="G1218" s="12" t="n">
        <x:f>MAX(G1217,F1218)</x:f>
        <x:v>102238.29443099999</x:v>
      </x:c>
      <x:c r="H1218" s="14" t="n">
        <x:f>F1218/G1218-1</x:f>
        <x:v>-0.10966604781897005</x:v>
      </x:c>
      <x:c r="I1218" s="14" t="n">
        <x:f>F1218/F1217-1</x:f>
        <x:v>0.004070276815090201</x:v>
      </x:c>
      <x:c r="J1218" s="12" t="n">
        <x:v>0</x:v>
      </x:c>
      <x:c r="K1218" s="12" t="n">
        <x:v>0</x:v>
      </x:c>
      <x:c r="L1218" s="12" t="n">
        <x:v>0</x:v>
      </x:c>
      <x:c r="M1218" s="2" t="str">
        <x:v>持有</x:v>
      </x:c>
    </x:row>
    <x:row r="1219" ht="23" customHeight="1">
      <x:c r="A1219" s="11" t="d">
        <x:v>2019-10-28T00:00:00.000Z</x:v>
      </x:c>
      <x:c r="B1219" s="12" t="n">
        <x:v>120.070093</x:v>
      </x:c>
      <x:c r="C1219" s="13" t="n">
        <x:v>300</x:v>
      </x:c>
      <x:c r="D1219" s="12" t="n">
        <x:v>90990</x:v>
      </x:c>
      <x:c r="E1219" s="12" t="n">
        <x:v>426.154652</x:v>
      </x:c>
      <x:c r="F1219" s="12" t="n">
        <x:f>SUM(B1219,D1219:E1219)</x:f>
        <x:v>91536.224745</x:v>
      </x:c>
      <x:c r="G1219" s="12" t="n">
        <x:f>MAX(G1218,F1219)</x:f>
        <x:v>102238.29443099999</x:v>
      </x:c>
      <x:c r="H1219" s="14" t="n">
        <x:f>F1219/G1219-1</x:f>
        <x:v>-0.10467770169251744</x:v>
      </x:c>
      <x:c r="I1219" s="14" t="n">
        <x:f>F1219/F1218-1</x:f>
        <x:v>0.00560278097250233</x:v>
      </x:c>
      <x:c r="J1219" s="12" t="n">
        <x:v>0</x:v>
      </x:c>
      <x:c r="K1219" s="12" t="n">
        <x:v>0</x:v>
      </x:c>
      <x:c r="L1219" s="12" t="n">
        <x:v>0</x:v>
      </x:c>
      <x:c r="M1219" s="2" t="str">
        <x:v>持有</x:v>
      </x:c>
    </x:row>
    <x:row r="1220" ht="23" customHeight="1">
      <x:c r="A1220" s="11" t="d">
        <x:v>2019-10-29T00:00:00.000Z</x:v>
      </x:c>
      <x:c r="B1220" s="12" t="n">
        <x:v>120.070093</x:v>
      </x:c>
      <x:c r="C1220" s="13" t="n">
        <x:v>300</x:v>
      </x:c>
      <x:c r="D1220" s="12" t="n">
        <x:v>90963</x:v>
      </x:c>
      <x:c r="E1220" s="12" t="n">
        <x:v>426.154652</x:v>
      </x:c>
      <x:c r="F1220" s="12" t="n">
        <x:f>SUM(B1220,D1220:E1220)</x:f>
        <x:v>91509.224745</x:v>
      </x:c>
      <x:c r="G1220" s="12" t="n">
        <x:f>MAX(G1219,F1220)</x:f>
        <x:v>102238.29443099999</x:v>
      </x:c>
      <x:c r="H1220" s="14" t="n">
        <x:f>F1220/G1220-1</x:f>
        <x:v>-0.10494179060509434</x:v>
      </x:c>
      <x:c r="I1220" s="14" t="n">
        <x:f>F1220/F1219-1</x:f>
        <x:v>-0.00029496519083249684</x:v>
      </x:c>
      <x:c r="J1220" s="12" t="n">
        <x:v>0</x:v>
      </x:c>
      <x:c r="K1220" s="12" t="n">
        <x:v>0</x:v>
      </x:c>
      <x:c r="L1220" s="12" t="n">
        <x:v>0</x:v>
      </x:c>
      <x:c r="M1220" s="2" t="str">
        <x:v>持有</x:v>
      </x:c>
    </x:row>
    <x:row r="1221" ht="23" customHeight="1">
      <x:c r="A1221" s="11" t="d">
        <x:v>2019-10-30T00:00:00.000Z</x:v>
      </x:c>
      <x:c r="B1221" s="12" t="n">
        <x:v>120.070093</x:v>
      </x:c>
      <x:c r="C1221" s="13" t="n">
        <x:v>300</x:v>
      </x:c>
      <x:c r="D1221" s="12" t="n">
        <x:v>91242</x:v>
      </x:c>
      <x:c r="E1221" s="12" t="n">
        <x:v>426.154652</x:v>
      </x:c>
      <x:c r="F1221" s="12" t="n">
        <x:f>SUM(B1221,D1221:E1221)</x:f>
        <x:v>91788.224745</x:v>
      </x:c>
      <x:c r="G1221" s="12" t="n">
        <x:f>MAX(G1220,F1221)</x:f>
        <x:v>102238.29443099999</x:v>
      </x:c>
      <x:c r="H1221" s="14" t="n">
        <x:f>F1221/G1221-1</x:f>
        <x:v>-0.10221287184179972</x:v>
      </x:c>
      <x:c r="I1221" s="14" t="n">
        <x:f>F1221/F1220-1</x:f>
        <x:v>0.0030488729499944522</x:v>
      </x:c>
      <x:c r="J1221" s="12" t="n">
        <x:v>0</x:v>
      </x:c>
      <x:c r="K1221" s="12" t="n">
        <x:v>0</x:v>
      </x:c>
      <x:c r="L1221" s="12" t="n">
        <x:v>0</x:v>
      </x:c>
      <x:c r="M1221" s="2" t="str">
        <x:v>持有</x:v>
      </x:c>
    </x:row>
    <x:row r="1222" ht="23" customHeight="1">
      <x:c r="A1222" s="11" t="d">
        <x:v>2019-10-31T00:00:00.000Z</x:v>
      </x:c>
      <x:c r="B1222" s="12" t="n">
        <x:v>546.224745</x:v>
      </x:c>
      <x:c r="C1222" s="13" t="n">
        <x:v>300</x:v>
      </x:c>
      <x:c r="D1222" s="12" t="n">
        <x:v>90999</x:v>
      </x:c>
      <x:c r="E1222" s="12" t="n">
        <x:v>0</x:v>
      </x:c>
      <x:c r="F1222" s="12" t="n">
        <x:f>SUM(B1222,D1222:E1222)</x:f>
        <x:v>91545.224745</x:v>
      </x:c>
      <x:c r="G1222" s="12" t="n">
        <x:f>MAX(G1221,F1222)</x:f>
        <x:v>102238.29443099999</x:v>
      </x:c>
      <x:c r="H1222" s="14" t="n">
        <x:f>F1222/G1222-1</x:f>
        <x:v>-0.10458967205499181</x:v>
      </x:c>
      <x:c r="I1222" s="14" t="n">
        <x:f>F1222/F1221-1</x:f>
        <x:v>-0.002647398407312984</x:v>
      </x:c>
      <x:c r="J1222" s="12" t="n">
        <x:v>0</x:v>
      </x:c>
      <x:c r="K1222" s="12" t="n">
        <x:v>426.154652</x:v>
      </x:c>
      <x:c r="L1222" s="12" t="n">
        <x:v>0</x:v>
      </x:c>
      <x:c r="M1222" s="2" t="str">
        <x:v>持有</x:v>
      </x:c>
    </x:row>
    <x:row r="1223" ht="23" customHeight="1">
      <x:c r="A1223" s="11" t="d">
        <x:v>2019-11-01T00:00:00.000Z</x:v>
      </x:c>
      <x:c r="B1223" s="12" t="n">
        <x:v>546.224745</x:v>
      </x:c>
      <x:c r="C1223" s="13" t="n">
        <x:v>300</x:v>
      </x:c>
      <x:c r="D1223" s="12" t="n">
        <x:v>91842</x:v>
      </x:c>
      <x:c r="E1223" s="12" t="n">
        <x:v>0</x:v>
      </x:c>
      <x:c r="F1223" s="12" t="n">
        <x:f>SUM(B1223,D1223:E1223)</x:f>
        <x:v>92388.224745</x:v>
      </x:c>
      <x:c r="G1223" s="12" t="n">
        <x:f>MAX(G1222,F1223)</x:f>
        <x:v>102238.29443099999</x:v>
      </x:c>
      <x:c r="H1223" s="14" t="n">
        <x:f>F1223/G1223-1</x:f>
        <x:v>-0.09634422934009079</x:v>
      </x:c>
      <x:c r="I1223" s="14" t="n">
        <x:f>F1223/F1222-1</x:f>
        <x:v>0.009208563334113684</x:v>
      </x:c>
      <x:c r="J1223" s="12" t="n">
        <x:v>0</x:v>
      </x:c>
      <x:c r="K1223" s="12" t="n">
        <x:v>0</x:v>
      </x:c>
      <x:c r="L1223" s="12" t="n">
        <x:v>0</x:v>
      </x:c>
      <x:c r="M1223" s="2" t="str">
        <x:v>持有</x:v>
      </x:c>
    </x:row>
    <x:row r="1224" ht="23" customHeight="1">
      <x:c r="A1224" s="11" t="d">
        <x:v>2019-11-04T00:00:00.000Z</x:v>
      </x:c>
      <x:c r="B1224" s="12" t="n">
        <x:v>546.224745</x:v>
      </x:c>
      <x:c r="C1224" s="13" t="n">
        <x:v>300</x:v>
      </x:c>
      <x:c r="D1224" s="12" t="n">
        <x:v>92211</x:v>
      </x:c>
      <x:c r="E1224" s="12" t="n">
        <x:v>0</x:v>
      </x:c>
      <x:c r="F1224" s="12" t="n">
        <x:f>SUM(B1224,D1224:E1224)</x:f>
        <x:v>92757.224745</x:v>
      </x:c>
      <x:c r="G1224" s="12" t="n">
        <x:f>MAX(G1223,F1224)</x:f>
        <x:v>102238.29443099999</x:v>
      </x:c>
      <x:c r="H1224" s="14" t="n">
        <x:f>F1224/G1224-1</x:f>
        <x:v>-0.09273501420153973</x:v>
      </x:c>
      <x:c r="I1224" s="14" t="n">
        <x:f>F1224/F1223-1</x:f>
        <x:v>0.00399401548215117</x:v>
      </x:c>
      <x:c r="J1224" s="12" t="n">
        <x:v>0</x:v>
      </x:c>
      <x:c r="K1224" s="12" t="n">
        <x:v>0</x:v>
      </x:c>
      <x:c r="L1224" s="12" t="n">
        <x:v>0</x:v>
      </x:c>
      <x:c r="M1224" s="2" t="str">
        <x:v>持有</x:v>
      </x:c>
    </x:row>
    <x:row r="1225" ht="23" customHeight="1">
      <x:c r="A1225" s="11" t="d">
        <x:v>2019-11-05T00:00:00.000Z</x:v>
      </x:c>
      <x:c r="B1225" s="12" t="n">
        <x:v>546.224745</x:v>
      </x:c>
      <x:c r="C1225" s="13" t="n">
        <x:v>300</x:v>
      </x:c>
      <x:c r="D1225" s="12" t="n">
        <x:v>92108.99999999999</x:v>
      </x:c>
      <x:c r="E1225" s="12" t="n">
        <x:v>0</x:v>
      </x:c>
      <x:c r="F1225" s="12" t="n">
        <x:f>SUM(B1225,D1225:E1225)</x:f>
        <x:v>92655.22474499998</x:v>
      </x:c>
      <x:c r="G1225" s="12" t="n">
        <x:f>MAX(G1224,F1225)</x:f>
        <x:v>102238.29443099999</x:v>
      </x:c>
      <x:c r="H1225" s="14" t="n">
        <x:f>F1225/G1225-1</x:f>
        <x:v>-0.09373268342683039</x:v>
      </x:c>
      <x:c r="I1225" s="14" t="n">
        <x:f>F1225/F1224-1</x:f>
        <x:v>-0.0010996448015819782</x:v>
      </x:c>
      <x:c r="J1225" s="12" t="n">
        <x:v>0</x:v>
      </x:c>
      <x:c r="K1225" s="12" t="n">
        <x:v>0</x:v>
      </x:c>
      <x:c r="L1225" s="12" t="n">
        <x:v>0</x:v>
      </x:c>
      <x:c r="M1225" s="2" t="str">
        <x:v>持有</x:v>
      </x:c>
    </x:row>
    <x:row r="1226" ht="23" customHeight="1">
      <x:c r="A1226" s="11" t="d">
        <x:v>2019-11-06T00:00:00.000Z</x:v>
      </x:c>
      <x:c r="B1226" s="12" t="n">
        <x:v>546.224745</x:v>
      </x:c>
      <x:c r="C1226" s="13" t="n">
        <x:v>300</x:v>
      </x:c>
      <x:c r="D1226" s="12" t="n">
        <x:v>92130</x:v>
      </x:c>
      <x:c r="E1226" s="12" t="n">
        <x:v>0</x:v>
      </x:c>
      <x:c r="F1226" s="12" t="n">
        <x:f>SUM(B1226,D1226:E1226)</x:f>
        <x:v>92676.224745</x:v>
      </x:c>
      <x:c r="G1226" s="12" t="n">
        <x:f>MAX(G1225,F1226)</x:f>
        <x:v>102238.29443099999</x:v>
      </x:c>
      <x:c r="H1226" s="14" t="n">
        <x:f>F1226/G1226-1</x:f>
        <x:v>-0.09352728093927043</x:v>
      </x:c>
      <x:c r="I1226" s="14" t="n">
        <x:f>F1226/F1225-1</x:f>
        <x:v>0.00022664669000382887</x:v>
      </x:c>
      <x:c r="J1226" s="12" t="n">
        <x:v>0</x:v>
      </x:c>
      <x:c r="K1226" s="12" t="n">
        <x:v>0</x:v>
      </x:c>
      <x:c r="L1226" s="12" t="n">
        <x:v>0</x:v>
      </x:c>
      <x:c r="M1226" s="2" t="str">
        <x:v>持有</x:v>
      </x:c>
    </x:row>
    <x:row r="1227" ht="23" customHeight="1">
      <x:c r="A1227" s="11" t="d">
        <x:v>2019-11-07T00:00:00.000Z</x:v>
      </x:c>
      <x:c r="B1227" s="12" t="n">
        <x:v>546.224745</x:v>
      </x:c>
      <x:c r="C1227" s="13" t="n">
        <x:v>300</x:v>
      </x:c>
      <x:c r="D1227" s="12" t="n">
        <x:v>92454</x:v>
      </x:c>
      <x:c r="E1227" s="12" t="n">
        <x:v>0</x:v>
      </x:c>
      <x:c r="F1227" s="12" t="n">
        <x:f>SUM(B1227,D1227:E1227)</x:f>
        <x:v>93000.224745</x:v>
      </x:c>
      <x:c r="G1227" s="12" t="n">
        <x:f>MAX(G1226,F1227)</x:f>
        <x:v>102238.29443099999</x:v>
      </x:c>
      <x:c r="H1227" s="14" t="n">
        <x:f>F1227/G1227-1</x:f>
        <x:v>-0.09035821398834765</x:v>
      </x:c>
      <x:c r="I1227" s="14" t="n">
        <x:f>F1227/F1226-1</x:f>
        <x:v>0.0034960422793601786</x:v>
      </x:c>
      <x:c r="J1227" s="12" t="n">
        <x:v>0</x:v>
      </x:c>
      <x:c r="K1227" s="12" t="n">
        <x:v>0</x:v>
      </x:c>
      <x:c r="L1227" s="12" t="n">
        <x:v>0</x:v>
      </x:c>
      <x:c r="M1227" s="2" t="str">
        <x:v>持有</x:v>
      </x:c>
    </x:row>
    <x:row r="1228" ht="23" customHeight="1">
      <x:c r="A1228" s="11" t="d">
        <x:v>2019-11-08T00:00:00.000Z</x:v>
      </x:c>
      <x:c r="B1228" s="12" t="n">
        <x:v>546.224745</x:v>
      </x:c>
      <x:c r="C1228" s="13" t="n">
        <x:v>300</x:v>
      </x:c>
      <x:c r="D1228" s="12" t="n">
        <x:v>92682</x:v>
      </x:c>
      <x:c r="E1228" s="12" t="n">
        <x:v>0</x:v>
      </x:c>
      <x:c r="F1228" s="12" t="n">
        <x:f>SUM(B1228,D1228:E1228)</x:f>
        <x:v>93228.224745</x:v>
      </x:c>
      <x:c r="G1228" s="12" t="n">
        <x:f>MAX(G1227,F1228)</x:f>
        <x:v>102238.29443099999</x:v>
      </x:c>
      <x:c r="H1228" s="14" t="n">
        <x:f>F1228/G1228-1</x:f>
        <x:v>-0.08812812983769824</x:v>
      </x:c>
      <x:c r="I1228" s="14" t="n">
        <x:f>F1228/F1227-1</x:f>
        <x:v>0.0024516069786406636</x:v>
      </x:c>
      <x:c r="J1228" s="12" t="n">
        <x:v>0</x:v>
      </x:c>
      <x:c r="K1228" s="12" t="n">
        <x:v>0</x:v>
      </x:c>
      <x:c r="L1228" s="12" t="n">
        <x:v>0</x:v>
      </x:c>
      <x:c r="M1228" s="2" t="str">
        <x:v>持有</x:v>
      </x:c>
    </x:row>
    <x:row r="1229" ht="23" customHeight="1">
      <x:c r="A1229" s="11" t="d">
        <x:v>2019-11-11T00:00:00.000Z</x:v>
      </x:c>
      <x:c r="B1229" s="12" t="n">
        <x:v>546.224745</x:v>
      </x:c>
      <x:c r="C1229" s="13" t="n">
        <x:v>300</x:v>
      </x:c>
      <x:c r="D1229" s="12" t="n">
        <x:v>92505</x:v>
      </x:c>
      <x:c r="E1229" s="12" t="n">
        <x:v>0</x:v>
      </x:c>
      <x:c r="F1229" s="12" t="n">
        <x:f>SUM(B1229,D1229:E1229)</x:f>
        <x:v>93051.224745</x:v>
      </x:c>
      <x:c r="G1229" s="12" t="n">
        <x:f>MAX(G1228,F1229)</x:f>
        <x:v>102238.29443099999</x:v>
      </x:c>
      <x:c r="H1229" s="14" t="n">
        <x:f>F1229/G1229-1</x:f>
        <x:v>-0.08985937937570243</x:v>
      </x:c>
      <x:c r="I1229" s="14" t="n">
        <x:f>F1229/F1228-1</x:f>
        <x:v>-0.0018985666678105195</x:v>
      </x:c>
      <x:c r="J1229" s="12" t="n">
        <x:v>0</x:v>
      </x:c>
      <x:c r="K1229" s="12" t="n">
        <x:v>0</x:v>
      </x:c>
      <x:c r="L1229" s="12" t="n">
        <x:v>0</x:v>
      </x:c>
      <x:c r="M1229" s="2" t="str">
        <x:v>持有</x:v>
      </x:c>
    </x:row>
    <x:row r="1230" ht="23" customHeight="1">
      <x:c r="A1230" s="11" t="d">
        <x:v>2019-11-12T00:00:00.000Z</x:v>
      </x:c>
      <x:c r="B1230" s="12" t="n">
        <x:v>546.224745</x:v>
      </x:c>
      <x:c r="C1230" s="13" t="n">
        <x:v>300</x:v>
      </x:c>
      <x:c r="D1230" s="12" t="n">
        <x:v>92700</x:v>
      </x:c>
      <x:c r="E1230" s="12" t="n">
        <x:v>0</x:v>
      </x:c>
      <x:c r="F1230" s="12" t="n">
        <x:f>SUM(B1230,D1230:E1230)</x:f>
        <x:v>93246.224745</x:v>
      </x:c>
      <x:c r="G1230" s="12" t="n">
        <x:f>MAX(G1229,F1230)</x:f>
        <x:v>102238.29443099999</x:v>
      </x:c>
      <x:c r="H1230" s="14" t="n">
        <x:f>F1230/G1230-1</x:f>
        <x:v>-0.08795207056264698</x:v>
      </x:c>
      <x:c r="I1230" s="14" t="n">
        <x:f>F1230/F1229-1</x:f>
        <x:v>0.0020956199183232993</x:v>
      </x:c>
      <x:c r="J1230" s="12" t="n">
        <x:v>0</x:v>
      </x:c>
      <x:c r="K1230" s="12" t="n">
        <x:v>0</x:v>
      </x:c>
      <x:c r="L1230" s="12" t="n">
        <x:v>0</x:v>
      </x:c>
      <x:c r="M1230" s="2" t="str">
        <x:v>持有</x:v>
      </x:c>
    </x:row>
    <x:row r="1231" ht="23" customHeight="1">
      <x:c r="A1231" s="11" t="d">
        <x:v>2019-11-13T00:00:00.000Z</x:v>
      </x:c>
      <x:c r="B1231" s="12" t="n">
        <x:v>546.224745</x:v>
      </x:c>
      <x:c r="C1231" s="13" t="n">
        <x:v>300</x:v>
      </x:c>
      <x:c r="D1231" s="12" t="n">
        <x:v>92730</x:v>
      </x:c>
      <x:c r="E1231" s="12" t="n">
        <x:v>0</x:v>
      </x:c>
      <x:c r="F1231" s="12" t="n">
        <x:f>SUM(B1231,D1231:E1231)</x:f>
        <x:v>93276.224745</x:v>
      </x:c>
      <x:c r="G1231" s="12" t="n">
        <x:f>MAX(G1230,F1231)</x:f>
        <x:v>102238.29443099999</x:v>
      </x:c>
      <x:c r="H1231" s="14" t="n">
        <x:f>F1231/G1231-1</x:f>
        <x:v>-0.0876586384375615</x:v>
      </x:c>
      <x:c r="I1231" s="14" t="n">
        <x:f>F1231/F1230-1</x:f>
        <x:v>0.0003217288429857579</x:v>
      </x:c>
      <x:c r="J1231" s="12" t="n">
        <x:v>0</x:v>
      </x:c>
      <x:c r="K1231" s="12" t="n">
        <x:v>0</x:v>
      </x:c>
      <x:c r="L1231" s="12" t="n">
        <x:v>0</x:v>
      </x:c>
      <x:c r="M1231" s="2" t="str">
        <x:v>持有</x:v>
      </x:c>
    </x:row>
    <x:row r="1232" ht="23" customHeight="1">
      <x:c r="A1232" s="11" t="d">
        <x:v>2019-11-14T00:00:00.000Z</x:v>
      </x:c>
      <x:c r="B1232" s="12" t="n">
        <x:v>546.224745</x:v>
      </x:c>
      <x:c r="C1232" s="13" t="n">
        <x:v>300</x:v>
      </x:c>
      <x:c r="D1232" s="12" t="n">
        <x:v>92865</x:v>
      </x:c>
      <x:c r="E1232" s="12" t="n">
        <x:v>0</x:v>
      </x:c>
      <x:c r="F1232" s="12" t="n">
        <x:f>SUM(B1232,D1232:E1232)</x:f>
        <x:v>93411.224745</x:v>
      </x:c>
      <x:c r="G1232" s="12" t="n">
        <x:f>MAX(G1231,F1232)</x:f>
        <x:v>102238.29443099999</x:v>
      </x:c>
      <x:c r="H1232" s="14" t="n">
        <x:f>F1232/G1232-1</x:f>
        <x:v>-0.086338193874677</x:v>
      </x:c>
      <x:c r="I1232" s="14" t="n">
        <x:f>F1232/F1231-1</x:f>
        <x:v>0.0014473141507287401</x:v>
      </x:c>
      <x:c r="J1232" s="12" t="n">
        <x:v>0</x:v>
      </x:c>
      <x:c r="K1232" s="12" t="n">
        <x:v>0</x:v>
      </x:c>
      <x:c r="L1232" s="12" t="n">
        <x:v>0</x:v>
      </x:c>
      <x:c r="M1232" s="2" t="str">
        <x:v>持有</x:v>
      </x:c>
    </x:row>
    <x:row r="1233" ht="23" customHeight="1">
      <x:c r="A1233" s="11" t="d">
        <x:v>2019-11-15T00:00:00.000Z</x:v>
      </x:c>
      <x:c r="B1233" s="12" t="n">
        <x:v>546.224745</x:v>
      </x:c>
      <x:c r="C1233" s="13" t="n">
        <x:v>300</x:v>
      </x:c>
      <x:c r="D1233" s="12" t="n">
        <x:v>93537</x:v>
      </x:c>
      <x:c r="E1233" s="12" t="n">
        <x:v>0</x:v>
      </x:c>
      <x:c r="F1233" s="12" t="n">
        <x:f>SUM(B1233,D1233:E1233)</x:f>
        <x:v>94083.224745</x:v>
      </x:c>
      <x:c r="G1233" s="12" t="n">
        <x:f>MAX(G1232,F1233)</x:f>
        <x:v>102238.29443099999</x:v>
      </x:c>
      <x:c r="H1233" s="14" t="n">
        <x:f>F1233/G1233-1</x:f>
        <x:v>-0.07976531427276301</x:v>
      </x:c>
      <x:c r="I1233" s="14" t="n">
        <x:f>F1233/F1232-1</x:f>
        <x:v>0.007193996244396317</x:v>
      </x:c>
      <x:c r="J1233" s="12" t="n">
        <x:v>0</x:v>
      </x:c>
      <x:c r="K1233" s="12" t="n">
        <x:v>0</x:v>
      </x:c>
      <x:c r="L1233" s="12" t="n">
        <x:v>0</x:v>
      </x:c>
      <x:c r="M1233" s="2" t="str">
        <x:v>持有</x:v>
      </x:c>
    </x:row>
    <x:row r="1234" ht="23" customHeight="1">
      <x:c r="A1234" s="11" t="d">
        <x:v>2019-11-18T00:00:00.000Z</x:v>
      </x:c>
      <x:c r="B1234" s="12" t="n">
        <x:v>546.224745</x:v>
      </x:c>
      <x:c r="C1234" s="13" t="n">
        <x:v>300</x:v>
      </x:c>
      <x:c r="D1234" s="12" t="n">
        <x:v>93606</x:v>
      </x:c>
      <x:c r="E1234" s="12" t="n">
        <x:v>0</x:v>
      </x:c>
      <x:c r="F1234" s="12" t="n">
        <x:f>SUM(B1234,D1234:E1234)</x:f>
        <x:v>94152.224745</x:v>
      </x:c>
      <x:c r="G1234" s="12" t="n">
        <x:f>MAX(G1233,F1234)</x:f>
        <x:v>102238.29443099999</x:v>
      </x:c>
      <x:c r="H1234" s="14" t="n">
        <x:f>F1234/G1234-1</x:f>
        <x:v>-0.07909042038506642</x:v>
      </x:c>
      <x:c r="I1234" s="14" t="n">
        <x:f>F1234/F1233-1</x:f>
        <x:v>0.0007333932291013756</x:v>
      </x:c>
      <x:c r="J1234" s="12" t="n">
        <x:v>0</x:v>
      </x:c>
      <x:c r="K1234" s="12" t="n">
        <x:v>0</x:v>
      </x:c>
      <x:c r="L1234" s="12" t="n">
        <x:v>0</x:v>
      </x:c>
      <x:c r="M1234" s="2" t="str">
        <x:v>持有</x:v>
      </x:c>
    </x:row>
    <x:row r="1235" ht="23" customHeight="1">
      <x:c r="A1235" s="11" t="d">
        <x:v>2019-11-19T00:00:00.000Z</x:v>
      </x:c>
      <x:c r="B1235" s="12" t="n">
        <x:v>546.224745</x:v>
      </x:c>
      <x:c r="C1235" s="13" t="n">
        <x:v>300</x:v>
      </x:c>
      <x:c r="D1235" s="12" t="n">
        <x:v>93579</x:v>
      </x:c>
      <x:c r="E1235" s="12" t="n">
        <x:v>0</x:v>
      </x:c>
      <x:c r="F1235" s="12" t="n">
        <x:f>SUM(B1235,D1235:E1235)</x:f>
        <x:v>94125.224745</x:v>
      </x:c>
      <x:c r="G1235" s="12" t="n">
        <x:f>MAX(G1234,F1235)</x:f>
        <x:v>102238.29443099999</x:v>
      </x:c>
      <x:c r="H1235" s="14" t="n">
        <x:f>F1235/G1235-1</x:f>
        <x:v>-0.07935450929764332</x:v>
      </x:c>
      <x:c r="I1235" s="14" t="n">
        <x:f>F1235/F1234-1</x:f>
        <x:v>-0.0002867696442980794</x:v>
      </x:c>
      <x:c r="J1235" s="12" t="n">
        <x:v>0</x:v>
      </x:c>
      <x:c r="K1235" s="12" t="n">
        <x:v>0</x:v>
      </x:c>
      <x:c r="L1235" s="12" t="n">
        <x:v>0</x:v>
      </x:c>
      <x:c r="M1235" s="2" t="str">
        <x:v>持有</x:v>
      </x:c>
    </x:row>
    <x:row r="1236" ht="23" customHeight="1">
      <x:c r="A1236" s="11" t="d">
        <x:v>2019-11-20T00:00:00.000Z</x:v>
      </x:c>
      <x:c r="B1236" s="12" t="n">
        <x:v>546.224745</x:v>
      </x:c>
      <x:c r="C1236" s="13" t="n">
        <x:v>300</x:v>
      </x:c>
      <x:c r="D1236" s="12" t="n">
        <x:v>93231</x:v>
      </x:c>
      <x:c r="E1236" s="12" t="n">
        <x:v>0</x:v>
      </x:c>
      <x:c r="F1236" s="12" t="n">
        <x:f>SUM(B1236,D1236:E1236)</x:f>
        <x:v>93777.224745</x:v>
      </x:c>
      <x:c r="G1236" s="12" t="n">
        <x:f>MAX(G1235,F1236)</x:f>
        <x:v>102238.29443099999</x:v>
      </x:c>
      <x:c r="H1236" s="14" t="n">
        <x:f>F1236/G1236-1</x:f>
        <x:v>-0.08275832194863453</x:v>
      </x:c>
      <x:c r="I1236" s="14" t="n">
        <x:f>F1236/F1235-1</x:f>
        <x:v>-0.0036972023274609578</x:v>
      </x:c>
      <x:c r="J1236" s="12" t="n">
        <x:v>0</x:v>
      </x:c>
      <x:c r="K1236" s="12" t="n">
        <x:v>0</x:v>
      </x:c>
      <x:c r="L1236" s="12" t="n">
        <x:v>0</x:v>
      </x:c>
      <x:c r="M1236" s="2" t="str">
        <x:v>持有</x:v>
      </x:c>
    </x:row>
    <x:row r="1237" ht="23" customHeight="1">
      <x:c r="A1237" s="11" t="d">
        <x:v>2019-11-21T00:00:00.000Z</x:v>
      </x:c>
      <x:c r="B1237" s="12" t="n">
        <x:v>546.224745</x:v>
      </x:c>
      <x:c r="C1237" s="13" t="n">
        <x:v>300</x:v>
      </x:c>
      <x:c r="D1237" s="12" t="n">
        <x:v>93081</x:v>
      </x:c>
      <x:c r="E1237" s="12" t="n">
        <x:v>0</x:v>
      </x:c>
      <x:c r="F1237" s="12" t="n">
        <x:f>SUM(B1237,D1237:E1237)</x:f>
        <x:v>93627.224745</x:v>
      </x:c>
      <x:c r="G1237" s="12" t="n">
        <x:f>MAX(G1236,F1237)</x:f>
        <x:v>102238.29443099999</x:v>
      </x:c>
      <x:c r="H1237" s="14" t="n">
        <x:f>F1237/G1237-1</x:f>
        <x:v>-0.08422548257406182</x:v>
      </x:c>
      <x:c r="I1237" s="14" t="n">
        <x:f>F1237/F1236-1</x:f>
        <x:v>-0.0015995354992417443</x:v>
      </x:c>
      <x:c r="J1237" s="12" t="n">
        <x:v>0</x:v>
      </x:c>
      <x:c r="K1237" s="12" t="n">
        <x:v>0</x:v>
      </x:c>
      <x:c r="L1237" s="12" t="n">
        <x:v>0</x:v>
      </x:c>
      <x:c r="M1237" s="2" t="str">
        <x:v>持有</x:v>
      </x:c>
    </x:row>
    <x:row r="1238" ht="23" customHeight="1">
      <x:c r="A1238" s="11" t="d">
        <x:v>2019-11-22T00:00:00.000Z</x:v>
      </x:c>
      <x:c r="B1238" s="12" t="n">
        <x:v>546.224745</x:v>
      </x:c>
      <x:c r="C1238" s="13" t="n">
        <x:v>300</x:v>
      </x:c>
      <x:c r="D1238" s="12" t="n">
        <x:v>93288</x:v>
      </x:c>
      <x:c r="E1238" s="12" t="n">
        <x:v>0</x:v>
      </x:c>
      <x:c r="F1238" s="12" t="n">
        <x:f>SUM(B1238,D1238:E1238)</x:f>
        <x:v>93834.224745</x:v>
      </x:c>
      <x:c r="G1238" s="12" t="n">
        <x:f>MAX(G1237,F1238)</x:f>
        <x:v>102238.29443099999</x:v>
      </x:c>
      <x:c r="H1238" s="14" t="n">
        <x:f>F1238/G1238-1</x:f>
        <x:v>-0.08220080091097215</x:v>
      </x:c>
      <x:c r="I1238" s="14" t="n">
        <x:f>F1238/F1237-1</x:f>
        <x:v>0.002210895394622492</x:v>
      </x:c>
      <x:c r="J1238" s="12" t="n">
        <x:v>0</x:v>
      </x:c>
      <x:c r="K1238" s="12" t="n">
        <x:v>0</x:v>
      </x:c>
      <x:c r="L1238" s="12" t="n">
        <x:v>0</x:v>
      </x:c>
      <x:c r="M1238" s="2" t="str">
        <x:v>持有</x:v>
      </x:c>
    </x:row>
    <x:row r="1239" ht="23" customHeight="1">
      <x:c r="A1239" s="11" t="d">
        <x:v>2019-11-25T00:00:00.000Z</x:v>
      </x:c>
      <x:c r="B1239" s="12" t="n">
        <x:v>546.224745</x:v>
      </x:c>
      <x:c r="C1239" s="13" t="n">
        <x:v>300</x:v>
      </x:c>
      <x:c r="D1239" s="12" t="n">
        <x:v>94011</x:v>
      </x:c>
      <x:c r="E1239" s="12" t="n">
        <x:v>0</x:v>
      </x:c>
      <x:c r="F1239" s="12" t="n">
        <x:f>SUM(B1239,D1239:E1239)</x:f>
        <x:v>94557.224745</x:v>
      </x:c>
      <x:c r="G1239" s="12" t="n">
        <x:f>MAX(G1238,F1239)</x:f>
        <x:v>102238.29443099999</x:v>
      </x:c>
      <x:c r="H1239" s="14" t="n">
        <x:f>F1239/G1239-1</x:f>
        <x:v>-0.07512908669641294</x:v>
      </x:c>
      <x:c r="I1239" s="14" t="n">
        <x:f>F1239/F1238-1</x:f>
        <x:v>0.0077050777790810265</x:v>
      </x:c>
      <x:c r="J1239" s="12" t="n">
        <x:v>0</x:v>
      </x:c>
      <x:c r="K1239" s="12" t="n">
        <x:v>0</x:v>
      </x:c>
      <x:c r="L1239" s="12" t="n">
        <x:v>0</x:v>
      </x:c>
      <x:c r="M1239" s="2" t="str">
        <x:v>持有</x:v>
      </x:c>
    </x:row>
    <x:row r="1240" ht="23" customHeight="1">
      <x:c r="A1240" s="11" t="d">
        <x:v>2019-11-26T00:00:00.000Z</x:v>
      </x:c>
      <x:c r="B1240" s="12" t="n">
        <x:v>546.224745</x:v>
      </x:c>
      <x:c r="C1240" s="13" t="n">
        <x:v>300</x:v>
      </x:c>
      <x:c r="D1240" s="12" t="n">
        <x:v>94224</x:v>
      </x:c>
      <x:c r="E1240" s="12" t="n">
        <x:v>0</x:v>
      </x:c>
      <x:c r="F1240" s="12" t="n">
        <x:f>SUM(B1240,D1240:E1240)</x:f>
        <x:v>94770.224745</x:v>
      </x:c>
      <x:c r="G1240" s="12" t="n">
        <x:f>MAX(G1239,F1240)</x:f>
        <x:v>102238.29443099999</x:v>
      </x:c>
      <x:c r="H1240" s="14" t="n">
        <x:f>F1240/G1240-1</x:f>
        <x:v>-0.07304571860830622</x:v>
      </x:c>
      <x:c r="I1240" s="14" t="n">
        <x:f>F1240/F1239-1</x:f>
        <x:v>0.0022526041830692733</x:v>
      </x:c>
      <x:c r="J1240" s="12" t="n">
        <x:v>0</x:v>
      </x:c>
      <x:c r="K1240" s="12" t="n">
        <x:v>0</x:v>
      </x:c>
      <x:c r="L1240" s="12" t="n">
        <x:v>0</x:v>
      </x:c>
      <x:c r="M1240" s="2" t="str">
        <x:v>持有</x:v>
      </x:c>
    </x:row>
    <x:row r="1241" ht="23" customHeight="1">
      <x:c r="A1241" s="11" t="d">
        <x:v>2019-11-27T00:00:00.000Z</x:v>
      </x:c>
      <x:c r="B1241" s="12" t="n">
        <x:v>546.224745</x:v>
      </x:c>
      <x:c r="C1241" s="13" t="n">
        <x:v>300</x:v>
      </x:c>
      <x:c r="D1241" s="12" t="n">
        <x:v>94644</x:v>
      </x:c>
      <x:c r="E1241" s="12" t="n">
        <x:v>0</x:v>
      </x:c>
      <x:c r="F1241" s="12" t="n">
        <x:f>SUM(B1241,D1241:E1241)</x:f>
        <x:v>95190.224745</x:v>
      </x:c>
      <x:c r="G1241" s="12" t="n">
        <x:f>MAX(G1240,F1241)</x:f>
        <x:v>102238.29443099999</x:v>
      </x:c>
      <x:c r="H1241" s="14" t="n">
        <x:f>F1241/G1241-1</x:f>
        <x:v>-0.06893766885710995</x:v>
      </x:c>
      <x:c r="I1241" s="14" t="n">
        <x:f>F1241/F1240-1</x:f>
        <x:v>0.004431771699709541</x:v>
      </x:c>
      <x:c r="J1241" s="12" t="n">
        <x:v>0</x:v>
      </x:c>
      <x:c r="K1241" s="12" t="n">
        <x:v>0</x:v>
      </x:c>
      <x:c r="L1241" s="12" t="n">
        <x:v>0</x:v>
      </x:c>
      <x:c r="M1241" s="2" t="str">
        <x:v>持有</x:v>
      </x:c>
    </x:row>
    <x:row r="1242" ht="23" customHeight="1">
      <x:c r="A1242" s="11" t="d">
        <x:v>2019-11-29T00:00:00.000Z</x:v>
      </x:c>
      <x:c r="B1242" s="12" t="n">
        <x:v>546.224745</x:v>
      </x:c>
      <x:c r="C1242" s="13" t="n">
        <x:v>300</x:v>
      </x:c>
      <x:c r="D1242" s="12" t="n">
        <x:v>94293</x:v>
      </x:c>
      <x:c r="E1242" s="12" t="n">
        <x:v>0</x:v>
      </x:c>
      <x:c r="F1242" s="12" t="n">
        <x:f>SUM(B1242,D1242:E1242)</x:f>
        <x:v>94839.224745</x:v>
      </x:c>
      <x:c r="G1242" s="12" t="n">
        <x:f>MAX(G1241,F1242)</x:f>
        <x:v>102238.29443099999</x:v>
      </x:c>
      <x:c r="H1242" s="14" t="n">
        <x:f>F1242/G1242-1</x:f>
        <x:v>-0.07237082472060974</x:v>
      </x:c>
      <x:c r="I1242" s="14" t="n">
        <x:f>F1242/F1241-1</x:f>
        <x:v>-0.0036873534119734597</x:v>
      </x:c>
      <x:c r="J1242" s="12" t="n">
        <x:v>0</x:v>
      </x:c>
      <x:c r="K1242" s="12" t="n">
        <x:v>0</x:v>
      </x:c>
      <x:c r="L1242" s="12" t="n">
        <x:v>0</x:v>
      </x:c>
      <x:c r="M1242" s="2" t="str">
        <x:v>持有</x:v>
      </x:c>
    </x:row>
    <x:row r="1243" ht="23" customHeight="1">
      <x:c r="A1243" s="11" t="d">
        <x:v>2019-12-02T00:00:00.000Z</x:v>
      </x:c>
      <x:c r="B1243" s="12" t="n">
        <x:v>546.224745</x:v>
      </x:c>
      <x:c r="C1243" s="13" t="n">
        <x:v>300</x:v>
      </x:c>
      <x:c r="D1243" s="12" t="n">
        <x:v>93492</x:v>
      </x:c>
      <x:c r="E1243" s="12" t="n">
        <x:v>0</x:v>
      </x:c>
      <x:c r="F1243" s="12" t="n">
        <x:f>SUM(B1243,D1243:E1243)</x:f>
        <x:v>94038.224745</x:v>
      </x:c>
      <x:c r="G1243" s="12" t="n">
        <x:f>MAX(G1242,F1243)</x:f>
        <x:v>102238.29443099999</x:v>
      </x:c>
      <x:c r="H1243" s="14" t="n">
        <x:f>F1243/G1243-1</x:f>
        <x:v>-0.08020546246039117</x:v>
      </x:c>
      <x:c r="I1243" s="14" t="n">
        <x:f>F1243/F1242-1</x:f>
        <x:v>-0.008445872497942708</x:v>
      </x:c>
      <x:c r="J1243" s="12" t="n">
        <x:v>0</x:v>
      </x:c>
      <x:c r="K1243" s="12" t="n">
        <x:v>0</x:v>
      </x:c>
      <x:c r="L1243" s="12" t="n">
        <x:v>0</x:v>
      </x:c>
      <x:c r="M1243" s="2" t="str">
        <x:v>持有</x:v>
      </x:c>
    </x:row>
    <x:row r="1244" ht="23" customHeight="1">
      <x:c r="A1244" s="11" t="d">
        <x:v>2019-12-03T00:00:00.000Z</x:v>
      </x:c>
      <x:c r="B1244" s="12" t="n">
        <x:v>546.224745</x:v>
      </x:c>
      <x:c r="C1244" s="13" t="n">
        <x:v>300</x:v>
      </x:c>
      <x:c r="D1244" s="12" t="n">
        <x:v>92865</x:v>
      </x:c>
      <x:c r="E1244" s="12" t="n">
        <x:v>0</x:v>
      </x:c>
      <x:c r="F1244" s="12" t="n">
        <x:f>SUM(B1244,D1244:E1244)</x:f>
        <x:v>93411.224745</x:v>
      </x:c>
      <x:c r="G1244" s="12" t="n">
        <x:f>MAX(G1243,F1244)</x:f>
        <x:v>102238.29443099999</x:v>
      </x:c>
      <x:c r="H1244" s="14" t="n">
        <x:f>F1244/G1244-1</x:f>
        <x:v>-0.086338193874677</x:v>
      </x:c>
      <x:c r="I1244" s="14" t="n">
        <x:f>F1244/F1243-1</x:f>
        <x:v>-0.006667501451672608</x:v>
      </x:c>
      <x:c r="J1244" s="12" t="n">
        <x:v>0</x:v>
      </x:c>
      <x:c r="K1244" s="12" t="n">
        <x:v>0</x:v>
      </x:c>
      <x:c r="L1244" s="12" t="n">
        <x:v>0</x:v>
      </x:c>
      <x:c r="M1244" s="2" t="str">
        <x:v>持有</x:v>
      </x:c>
    </x:row>
    <x:row r="1245" ht="23" customHeight="1">
      <x:c r="A1245" s="11" t="d">
        <x:v>2019-12-04T00:00:00.000Z</x:v>
      </x:c>
      <x:c r="B1245" s="12" t="n">
        <x:v>546.224745</x:v>
      </x:c>
      <x:c r="C1245" s="13" t="n">
        <x:v>300</x:v>
      </x:c>
      <x:c r="D1245" s="12" t="n">
        <x:v>93438</x:v>
      </x:c>
      <x:c r="E1245" s="12" t="n">
        <x:v>0</x:v>
      </x:c>
      <x:c r="F1245" s="12" t="n">
        <x:f>SUM(B1245,D1245:E1245)</x:f>
        <x:v>93984.224745</x:v>
      </x:c>
      <x:c r="G1245" s="12" t="n">
        <x:f>MAX(G1244,F1245)</x:f>
        <x:v>102238.29443099999</x:v>
      </x:c>
      <x:c r="H1245" s="14" t="n">
        <x:f>F1245/G1245-1</x:f>
        <x:v>-0.08073364028554497</x:v>
      </x:c>
      <x:c r="I1245" s="14" t="n">
        <x:f>F1245/F1244-1</x:f>
        <x:v>0.00613416644053455</x:v>
      </x:c>
      <x:c r="J1245" s="12" t="n">
        <x:v>0</x:v>
      </x:c>
      <x:c r="K1245" s="12" t="n">
        <x:v>0</x:v>
      </x:c>
      <x:c r="L1245" s="12" t="n">
        <x:v>0</x:v>
      </x:c>
      <x:c r="M1245" s="2" t="str">
        <x:v>持有</x:v>
      </x:c>
    </x:row>
    <x:row r="1246" ht="23" customHeight="1">
      <x:c r="A1246" s="11" t="d">
        <x:v>2019-12-05T00:00:00.000Z</x:v>
      </x:c>
      <x:c r="B1246" s="12" t="n">
        <x:v>546.224745</x:v>
      </x:c>
      <x:c r="C1246" s="13" t="n">
        <x:v>300</x:v>
      </x:c>
      <x:c r="D1246" s="12" t="n">
        <x:v>93606</x:v>
      </x:c>
      <x:c r="E1246" s="12" t="n">
        <x:v>0</x:v>
      </x:c>
      <x:c r="F1246" s="12" t="n">
        <x:f>SUM(B1246,D1246:E1246)</x:f>
        <x:v>94152.224745</x:v>
      </x:c>
      <x:c r="G1246" s="12" t="n">
        <x:f>MAX(G1245,F1246)</x:f>
        <x:v>102238.29443099999</x:v>
      </x:c>
      <x:c r="H1246" s="14" t="n">
        <x:f>F1246/G1246-1</x:f>
        <x:v>-0.07909042038506642</x:v>
      </x:c>
      <x:c r="I1246" s="14" t="n">
        <x:f>F1246/F1245-1</x:f>
        <x:v>0.0017875340298418863</x:v>
      </x:c>
      <x:c r="J1246" s="12" t="n">
        <x:v>0</x:v>
      </x:c>
      <x:c r="K1246" s="12" t="n">
        <x:v>0</x:v>
      </x:c>
      <x:c r="L1246" s="12" t="n">
        <x:v>0</x:v>
      </x:c>
      <x:c r="M1246" s="2" t="str">
        <x:v>持有</x:v>
      </x:c>
    </x:row>
    <x:row r="1247" ht="23" customHeight="1">
      <x:c r="A1247" s="11" t="d">
        <x:v>2019-12-06T00:00:00.000Z</x:v>
      </x:c>
      <x:c r="B1247" s="12" t="n">
        <x:v>546.224745</x:v>
      </x:c>
      <x:c r="C1247" s="13" t="n">
        <x:v>300</x:v>
      </x:c>
      <x:c r="D1247" s="12" t="n">
        <x:v>94461</x:v>
      </x:c>
      <x:c r="E1247" s="12" t="n">
        <x:v>0</x:v>
      </x:c>
      <x:c r="F1247" s="12" t="n">
        <x:f>SUM(B1247,D1247:E1247)</x:f>
        <x:v>95007.224745</x:v>
      </x:c>
      <x:c r="G1247" s="12" t="n">
        <x:f>MAX(G1246,F1247)</x:f>
        <x:v>102238.29443099999</x:v>
      </x:c>
      <x:c r="H1247" s="14" t="n">
        <x:f>F1247/G1247-1</x:f>
        <x:v>-0.07072760482013118</x:v>
      </x:c>
      <x:c r="I1247" s="14" t="n">
        <x:f>F1247/F1246-1</x:f>
        <x:v>0.009081038736107105</x:v>
      </x:c>
      <x:c r="J1247" s="12" t="n">
        <x:v>0</x:v>
      </x:c>
      <x:c r="K1247" s="12" t="n">
        <x:v>0</x:v>
      </x:c>
      <x:c r="L1247" s="12" t="n">
        <x:v>0</x:v>
      </x:c>
      <x:c r="M1247" s="2" t="str">
        <x:v>持有</x:v>
      </x:c>
    </x:row>
    <x:row r="1248" ht="23" customHeight="1">
      <x:c r="A1248" s="11" t="d">
        <x:v>2019-12-09T00:00:00.000Z</x:v>
      </x:c>
      <x:c r="B1248" s="12" t="n">
        <x:v>546.224745</x:v>
      </x:c>
      <x:c r="C1248" s="13" t="n">
        <x:v>300</x:v>
      </x:c>
      <x:c r="D1248" s="12" t="n">
        <x:v>94164</x:v>
      </x:c>
      <x:c r="E1248" s="12" t="n">
        <x:v>0</x:v>
      </x:c>
      <x:c r="F1248" s="12" t="n">
        <x:f>SUM(B1248,D1248:E1248)</x:f>
        <x:v>94710.224745</x:v>
      </x:c>
      <x:c r="G1248" s="12" t="n">
        <x:f>MAX(G1247,F1248)</x:f>
        <x:v>102238.29443099999</x:v>
      </x:c>
      <x:c r="H1248" s="14" t="n">
        <x:f>F1248/G1248-1</x:f>
        <x:v>-0.07363258285847718</x:v>
      </x:c>
      <x:c r="I1248" s="14" t="n">
        <x:f>F1248/F1247-1</x:f>
        <x:v>-0.0031260780514024145</x:v>
      </x:c>
      <x:c r="J1248" s="12" t="n">
        <x:v>0</x:v>
      </x:c>
      <x:c r="K1248" s="12" t="n">
        <x:v>0</x:v>
      </x:c>
      <x:c r="L1248" s="12" t="n">
        <x:v>0</x:v>
      </x:c>
      <x:c r="M1248" s="2" t="str">
        <x:v>持有</x:v>
      </x:c>
    </x:row>
    <x:row r="1249" ht="23" customHeight="1">
      <x:c r="A1249" s="11" t="d">
        <x:v>2019-12-10T00:00:00.000Z</x:v>
      </x:c>
      <x:c r="B1249" s="12" t="n">
        <x:v>546.224745</x:v>
      </x:c>
      <x:c r="C1249" s="13" t="n">
        <x:v>300</x:v>
      </x:c>
      <x:c r="D1249" s="12" t="n">
        <x:v>94058.99999999999</x:v>
      </x:c>
      <x:c r="E1249" s="12" t="n">
        <x:v>0</x:v>
      </x:c>
      <x:c r="F1249" s="12" t="n">
        <x:f>SUM(B1249,D1249:E1249)</x:f>
        <x:v>94605.22474499998</x:v>
      </x:c>
      <x:c r="G1249" s="12" t="n">
        <x:f>MAX(G1248,F1249)</x:f>
        <x:v>102238.29443099999</x:v>
      </x:c>
      <x:c r="H1249" s="14" t="n">
        <x:f>F1249/G1249-1</x:f>
        <x:v>-0.0746595952962763</x:v>
      </x:c>
      <x:c r="I1249" s="14" t="n">
        <x:f>F1249/F1248-1</x:f>
        <x:v>-0.0011086448193182719</x:v>
      </x:c>
      <x:c r="J1249" s="12" t="n">
        <x:v>0</x:v>
      </x:c>
      <x:c r="K1249" s="12" t="n">
        <x:v>0</x:v>
      </x:c>
      <x:c r="L1249" s="12" t="n">
        <x:v>0</x:v>
      </x:c>
      <x:c r="M1249" s="2" t="str">
        <x:v>持有</x:v>
      </x:c>
    </x:row>
    <x:row r="1250" ht="23" customHeight="1">
      <x:c r="A1250" s="11" t="d">
        <x:v>2019-12-11T00:00:00.000Z</x:v>
      </x:c>
      <x:c r="B1250" s="12" t="n">
        <x:v>546.224745</x:v>
      </x:c>
      <x:c r="C1250" s="13" t="n">
        <x:v>300</x:v>
      </x:c>
      <x:c r="D1250" s="12" t="n">
        <x:v>94326</x:v>
      </x:c>
      <x:c r="E1250" s="12" t="n">
        <x:v>0</x:v>
      </x:c>
      <x:c r="F1250" s="12" t="n">
        <x:f>SUM(B1250,D1250:E1250)</x:f>
        <x:v>94872.224745</x:v>
      </x:c>
      <x:c r="G1250" s="12" t="n">
        <x:f>MAX(G1249,F1250)</x:f>
        <x:v>102238.29443099999</x:v>
      </x:c>
      <x:c r="H1250" s="14" t="n">
        <x:f>F1250/G1250-1</x:f>
        <x:v>-0.07204804938301568</x:v>
      </x:c>
      <x:c r="I1250" s="14" t="n">
        <x:f>F1250/F1249-1</x:f>
        <x:v>0.002822254275275826</x:v>
      </x:c>
      <x:c r="J1250" s="12" t="n">
        <x:v>0</x:v>
      </x:c>
      <x:c r="K1250" s="12" t="n">
        <x:v>0</x:v>
      </x:c>
      <x:c r="L1250" s="12" t="n">
        <x:v>0</x:v>
      </x:c>
      <x:c r="M1250" s="2" t="str">
        <x:v>持有</x:v>
      </x:c>
    </x:row>
    <x:row r="1251" ht="23" customHeight="1">
      <x:c r="A1251" s="11" t="d">
        <x:v>2019-12-12T00:00:00.000Z</x:v>
      </x:c>
      <x:c r="B1251" s="12" t="n">
        <x:v>546.224745</x:v>
      </x:c>
      <x:c r="C1251" s="13" t="n">
        <x:v>300</x:v>
      </x:c>
      <x:c r="D1251" s="12" t="n">
        <x:v>95139</x:v>
      </x:c>
      <x:c r="E1251" s="12" t="n">
        <x:v>0</x:v>
      </x:c>
      <x:c r="F1251" s="12" t="n">
        <x:f>SUM(B1251,D1251:E1251)</x:f>
        <x:v>95685.224745</x:v>
      </x:c>
      <x:c r="G1251" s="12" t="n">
        <x:f>MAX(G1250,F1251)</x:f>
        <x:v>102238.29443099999</x:v>
      </x:c>
      <x:c r="H1251" s="14" t="n">
        <x:f>F1251/G1251-1</x:f>
        <x:v>-0.06409603879320014</x:v>
      </x:c>
      <x:c r="I1251" s="14" t="n">
        <x:f>F1251/F1250-1</x:f>
        <x:v>0.008569420630592406</x:v>
      </x:c>
      <x:c r="J1251" s="12" t="n">
        <x:v>0</x:v>
      </x:c>
      <x:c r="K1251" s="12" t="n">
        <x:v>0</x:v>
      </x:c>
      <x:c r="L1251" s="12" t="n">
        <x:v>0</x:v>
      </x:c>
      <x:c r="M1251" s="2" t="str">
        <x:v>持有</x:v>
      </x:c>
    </x:row>
    <x:row r="1252" ht="23" customHeight="1">
      <x:c r="A1252" s="11" t="d">
        <x:v>2019-12-13T00:00:00.000Z</x:v>
      </x:c>
      <x:c r="B1252" s="12" t="n">
        <x:v>546.224745</x:v>
      </x:c>
      <x:c r="C1252" s="13" t="n">
        <x:v>300</x:v>
      </x:c>
      <x:c r="D1252" s="12" t="n">
        <x:v>95196</x:v>
      </x:c>
      <x:c r="E1252" s="12" t="n">
        <x:v>0</x:v>
      </x:c>
      <x:c r="F1252" s="12" t="n">
        <x:f>SUM(B1252,D1252:E1252)</x:f>
        <x:v>95742.224745</x:v>
      </x:c>
      <x:c r="G1252" s="12" t="n">
        <x:f>MAX(G1251,F1252)</x:f>
        <x:v>102238.29443099999</x:v>
      </x:c>
      <x:c r="H1252" s="14" t="n">
        <x:f>F1252/G1252-1</x:f>
        <x:v>-0.06353851775553776</x:v>
      </x:c>
      <x:c r="I1252" s="14" t="n">
        <x:f>F1252/F1251-1</x:f>
        <x:v>0.0005957032567138754</x:v>
      </x:c>
      <x:c r="J1252" s="12" t="n">
        <x:v>0</x:v>
      </x:c>
      <x:c r="K1252" s="12" t="n">
        <x:v>0</x:v>
      </x:c>
      <x:c r="L1252" s="12" t="n">
        <x:v>0</x:v>
      </x:c>
      <x:c r="M1252" s="2" t="str">
        <x:v>持有</x:v>
      </x:c>
    </x:row>
    <x:row r="1253" ht="23" customHeight="1">
      <x:c r="A1253" s="11" t="d">
        <x:v>2019-12-16T00:00:00.000Z</x:v>
      </x:c>
      <x:c r="B1253" s="12" t="n">
        <x:v>546.224745</x:v>
      </x:c>
      <x:c r="C1253" s="13" t="n">
        <x:v>300</x:v>
      </x:c>
      <x:c r="D1253" s="12" t="n">
        <x:v>95850</x:v>
      </x:c>
      <x:c r="E1253" s="12" t="n">
        <x:v>0</x:v>
      </x:c>
      <x:c r="F1253" s="12" t="n">
        <x:f>SUM(B1253,D1253:E1253)</x:f>
        <x:v>96396.224745</x:v>
      </x:c>
      <x:c r="G1253" s="12" t="n">
        <x:f>MAX(G1252,F1253)</x:f>
        <x:v>102238.29443099999</x:v>
      </x:c>
      <x:c r="H1253" s="14" t="n">
        <x:f>F1253/G1253-1</x:f>
        <x:v>-0.05714169742867503</x:v>
      </x:c>
      <x:c r="I1253" s="14" t="n">
        <x:f>F1253/F1252-1</x:f>
        <x:v>0.006830841895954176</x:v>
      </x:c>
      <x:c r="J1253" s="12" t="n">
        <x:v>0</x:v>
      </x:c>
      <x:c r="K1253" s="12" t="n">
        <x:v>0</x:v>
      </x:c>
      <x:c r="L1253" s="12" t="n">
        <x:v>0</x:v>
      </x:c>
      <x:c r="M1253" s="2" t="str">
        <x:v>持有</x:v>
      </x:c>
    </x:row>
    <x:row r="1254" ht="23" customHeight="1">
      <x:c r="A1254" s="11" t="d">
        <x:v>2019-12-17T00:00:00.000Z</x:v>
      </x:c>
      <x:c r="B1254" s="12" t="n">
        <x:v>546.224745</x:v>
      </x:c>
      <x:c r="C1254" s="13" t="n">
        <x:v>300</x:v>
      </x:c>
      <x:c r="D1254" s="12" t="n">
        <x:v>95871</x:v>
      </x:c>
      <x:c r="E1254" s="12" t="n">
        <x:v>0</x:v>
      </x:c>
      <x:c r="F1254" s="12" t="n">
        <x:f>SUM(B1254,D1254:E1254)</x:f>
        <x:v>96417.224745</x:v>
      </x:c>
      <x:c r="G1254" s="12" t="n">
        <x:f>MAX(G1253,F1254)</x:f>
        <x:v>102238.29443099999</x:v>
      </x:c>
      <x:c r="H1254" s="14" t="n">
        <x:f>F1254/G1254-1</x:f>
        <x:v>-0.056936294941115184</x:v>
      </x:c>
      <x:c r="I1254" s="14" t="n">
        <x:f>F1254/F1253-1</x:f>
        <x:v>0.0002178508552128644</x:v>
      </x:c>
      <x:c r="J1254" s="12" t="n">
        <x:v>0</x:v>
      </x:c>
      <x:c r="K1254" s="12" t="n">
        <x:v>0</x:v>
      </x:c>
      <x:c r="L1254" s="12" t="n">
        <x:v>0</x:v>
      </x:c>
      <x:c r="M1254" s="2" t="str">
        <x:v>持有</x:v>
      </x:c>
    </x:row>
    <x:row r="1255" ht="23" customHeight="1">
      <x:c r="A1255" s="11" t="d">
        <x:v>2019-12-18T00:00:00.000Z</x:v>
      </x:c>
      <x:c r="B1255" s="12" t="n">
        <x:v>546.224745</x:v>
      </x:c>
      <x:c r="C1255" s="13" t="n">
        <x:v>300</x:v>
      </x:c>
      <x:c r="D1255" s="12" t="n">
        <x:v>95876.99999999999</x:v>
      </x:c>
      <x:c r="E1255" s="12" t="n">
        <x:v>0</x:v>
      </x:c>
      <x:c r="F1255" s="12" t="n">
        <x:f>SUM(B1255,D1255:E1255)</x:f>
        <x:v>96423.22474499998</x:v>
      </x:c>
      <x:c r="G1255" s="12" t="n">
        <x:f>MAX(G1254,F1255)</x:f>
        <x:v>102238.29443099999</x:v>
      </x:c>
      <x:c r="H1255" s="14" t="n">
        <x:f>F1255/G1255-1</x:f>
        <x:v>-0.056877608516098244</x:v>
      </x:c>
      <x:c r="I1255" s="14" t="n">
        <x:f>F1255/F1254-1</x:f>
        <x:v>0.00006222954472967501</x:v>
      </x:c>
      <x:c r="J1255" s="12" t="n">
        <x:v>0</x:v>
      </x:c>
      <x:c r="K1255" s="12" t="n">
        <x:v>0</x:v>
      </x:c>
      <x:c r="L1255" s="12" t="n">
        <x:v>0</x:v>
      </x:c>
      <x:c r="M1255" s="2" t="str">
        <x:v>持有</x:v>
      </x:c>
    </x:row>
    <x:row r="1256" ht="23" customHeight="1">
      <x:c r="A1256" s="11" t="d">
        <x:v>2019-12-19T00:00:00.000Z</x:v>
      </x:c>
      <x:c r="B1256" s="12" t="n">
        <x:v>546.224745</x:v>
      </x:c>
      <x:c r="C1256" s="13" t="n">
        <x:v>300</x:v>
      </x:c>
      <x:c r="D1256" s="12" t="n">
        <x:v>96270</x:v>
      </x:c>
      <x:c r="E1256" s="12" t="n">
        <x:v>0</x:v>
      </x:c>
      <x:c r="F1256" s="12" t="n">
        <x:f>SUM(B1256,D1256:E1256)</x:f>
        <x:v>96816.224745</x:v>
      </x:c>
      <x:c r="G1256" s="12" t="n">
        <x:f>MAX(G1255,F1256)</x:f>
        <x:v>102238.29443099999</x:v>
      </x:c>
      <x:c r="H1256" s="14" t="n">
        <x:f>F1256/G1256-1</x:f>
        <x:v>-0.05303364767747876</x:v>
      </x:c>
      <x:c r="I1256" s="14" t="n">
        <x:f>F1256/F1255-1</x:f>
        <x:v>0.004075781545777257</x:v>
      </x:c>
      <x:c r="J1256" s="12" t="n">
        <x:v>0</x:v>
      </x:c>
      <x:c r="K1256" s="12" t="n">
        <x:v>0</x:v>
      </x:c>
      <x:c r="L1256" s="12" t="n">
        <x:v>0</x:v>
      </x:c>
      <x:c r="M1256" s="2" t="str">
        <x:v>持有</x:v>
      </x:c>
    </x:row>
    <x:row r="1257" ht="23" customHeight="1">
      <x:c r="A1257" s="11" t="d">
        <x:v>2019-12-20T00:00:00.000Z</x:v>
      </x:c>
      <x:c r="B1257" s="12" t="n">
        <x:v>546.224745</x:v>
      </x:c>
      <x:c r="C1257" s="13" t="n">
        <x:v>300</x:v>
      </x:c>
      <x:c r="D1257" s="12" t="n">
        <x:v>96219</x:v>
      </x:c>
      <x:c r="E1257" s="12" t="n">
        <x:v>470.9976</x:v>
      </x:c>
      <x:c r="F1257" s="12" t="n">
        <x:f>SUM(B1257,D1257:E1257)</x:f>
        <x:v>97236.222345</x:v>
      </x:c>
      <x:c r="G1257" s="12" t="n">
        <x:f>MAX(G1256,F1257)</x:f>
        <x:v>102238.29443099999</x:v>
      </x:c>
      <x:c r="H1257" s="14" t="n">
        <x:f>F1257/G1257-1</x:f>
        <x:v>-0.04892562140085244</x:v>
      </x:c>
      <x:c r="I1257" s="14" t="n">
        <x:f>F1257/F1256-1</x:f>
        <x:v>0.004338091070026806</x:v>
      </x:c>
      <x:c r="J1257" s="12" t="n">
        <x:v>470.9976</x:v>
      </x:c>
      <x:c r="K1257" s="12" t="n">
        <x:v>0</x:v>
      </x:c>
      <x:c r="L1257" s="12" t="n">
        <x:v>0</x:v>
      </x:c>
      <x:c r="M1257" s="2" t="str">
        <x:v>持有</x:v>
      </x:c>
    </x:row>
    <x:row r="1258" ht="23" customHeight="1">
      <x:c r="A1258" s="11" t="d">
        <x:v>2019-12-23T00:00:00.000Z</x:v>
      </x:c>
      <x:c r="B1258" s="12" t="n">
        <x:v>546.224745</x:v>
      </x:c>
      <x:c r="C1258" s="13" t="n">
        <x:v>300</x:v>
      </x:c>
      <x:c r="D1258" s="12" t="n">
        <x:v>96366.00000000001</x:v>
      </x:c>
      <x:c r="E1258" s="12" t="n">
        <x:v>470.9976</x:v>
      </x:c>
      <x:c r="F1258" s="12" t="n">
        <x:f>SUM(B1258,D1258:E1258)</x:f>
        <x:v>97383.22234500002</x:v>
      </x:c>
      <x:c r="G1258" s="12" t="n">
        <x:f>MAX(G1257,F1258)</x:f>
        <x:v>102238.29443099999</x:v>
      </x:c>
      <x:c r="H1258" s="14" t="n">
        <x:f>F1258/G1258-1</x:f>
        <x:v>-0.04748780398793362</x:v>
      </x:c>
      <x:c r="I1258" s="14" t="n">
        <x:f>F1258/F1257-1</x:f>
        <x:v>0.001511782301439668</x:v>
      </x:c>
      <x:c r="J1258" s="12" t="n">
        <x:v>0</x:v>
      </x:c>
      <x:c r="K1258" s="12" t="n">
        <x:v>0</x:v>
      </x:c>
      <x:c r="L1258" s="12" t="n">
        <x:v>0</x:v>
      </x:c>
      <x:c r="M1258" s="2" t="str">
        <x:v>持有</x:v>
      </x:c>
    </x:row>
    <x:row r="1259" ht="23" customHeight="1">
      <x:c r="A1259" s="11" t="d">
        <x:v>2019-12-24T00:00:00.000Z</x:v>
      </x:c>
      <x:c r="B1259" s="12" t="n">
        <x:v>546.224745</x:v>
      </x:c>
      <x:c r="C1259" s="13" t="n">
        <x:v>300</x:v>
      </x:c>
      <x:c r="D1259" s="12" t="n">
        <x:v>96369</x:v>
      </x:c>
      <x:c r="E1259" s="12" t="n">
        <x:v>470.9976</x:v>
      </x:c>
      <x:c r="F1259" s="12" t="n">
        <x:f>SUM(B1259,D1259:E1259)</x:f>
        <x:v>97386.222345</x:v>
      </x:c>
      <x:c r="G1259" s="12" t="n">
        <x:f>MAX(G1258,F1259)</x:f>
        <x:v>102238.29443099999</x:v>
      </x:c>
      <x:c r="H1259" s="14" t="n">
        <x:f>F1259/G1259-1</x:f>
        <x:v>-0.04745846077542515</x:v>
      </x:c>
      <x:c r="I1259" s="14" t="n">
        <x:f>F1259/F1258-1</x:f>
        <x:v>0.0000308061278704308</x:v>
      </x:c>
      <x:c r="J1259" s="12" t="n">
        <x:v>0</x:v>
      </x:c>
      <x:c r="K1259" s="12" t="n">
        <x:v>0</x:v>
      </x:c>
      <x:c r="L1259" s="12" t="n">
        <x:v>0</x:v>
      </x:c>
      <x:c r="M1259" s="2" t="str">
        <x:v>持有</x:v>
      </x:c>
    </x:row>
    <x:row r="1260" ht="23" customHeight="1">
      <x:c r="A1260" s="11" t="d">
        <x:v>2019-12-26T00:00:00.000Z</x:v>
      </x:c>
      <x:c r="B1260" s="12" t="n">
        <x:v>546.224745</x:v>
      </x:c>
      <x:c r="C1260" s="13" t="n">
        <x:v>300</x:v>
      </x:c>
      <x:c r="D1260" s="12" t="n">
        <x:v>96882</x:v>
      </x:c>
      <x:c r="E1260" s="12" t="n">
        <x:v>470.9976</x:v>
      </x:c>
      <x:c r="F1260" s="12" t="n">
        <x:f>SUM(B1260,D1260:E1260)</x:f>
        <x:v>97899.222345</x:v>
      </x:c>
      <x:c r="G1260" s="12" t="n">
        <x:f>MAX(G1259,F1260)</x:f>
        <x:v>102238.29443099999</x:v>
      </x:c>
      <x:c r="H1260" s="14" t="n">
        <x:f>F1260/G1260-1</x:f>
        <x:v>-0.042440771436464075</x:v>
      </x:c>
      <x:c r="I1260" s="14" t="n">
        <x:f>F1260/F1259-1</x:f>
        <x:v>0.005267685588857152</x:v>
      </x:c>
      <x:c r="J1260" s="12" t="n">
        <x:v>0</x:v>
      </x:c>
      <x:c r="K1260" s="12" t="n">
        <x:v>0</x:v>
      </x:c>
      <x:c r="L1260" s="12" t="n">
        <x:v>0</x:v>
      </x:c>
      <x:c r="M1260" s="2" t="str">
        <x:v>持有</x:v>
      </x:c>
    </x:row>
    <x:row r="1261" ht="23" customHeight="1">
      <x:c r="A1261" s="11" t="d">
        <x:v>2019-12-27T00:00:00.000Z</x:v>
      </x:c>
      <x:c r="B1261" s="12" t="n">
        <x:v>546.224745</x:v>
      </x:c>
      <x:c r="C1261" s="13" t="n">
        <x:v>300</x:v>
      </x:c>
      <x:c r="D1261" s="12" t="n">
        <x:v>96858</x:v>
      </x:c>
      <x:c r="E1261" s="12" t="n">
        <x:v>470.9976</x:v>
      </x:c>
      <x:c r="F1261" s="12" t="n">
        <x:f>SUM(B1261,D1261:E1261)</x:f>
        <x:v>97875.222345</x:v>
      </x:c>
      <x:c r="G1261" s="12" t="n">
        <x:f>MAX(G1260,F1261)</x:f>
        <x:v>102238.29443099999</x:v>
      </x:c>
      <x:c r="H1261" s="14" t="n">
        <x:f>F1261/G1261-1</x:f>
        <x:v>-0.04267551713653239</x:v>
      </x:c>
      <x:c r="I1261" s="14" t="n">
        <x:f>F1261/F1260-1</x:f>
        <x:v>-0.00024515005763192654</x:v>
      </x:c>
      <x:c r="J1261" s="12" t="n">
        <x:v>0</x:v>
      </x:c>
      <x:c r="K1261" s="12" t="n">
        <x:v>0</x:v>
      </x:c>
      <x:c r="L1261" s="12" t="n">
        <x:v>0</x:v>
      </x:c>
      <x:c r="M1261" s="2" t="str">
        <x:v>持有</x:v>
      </x:c>
    </x:row>
    <x:row r="1262" ht="23" customHeight="1">
      <x:c r="A1262" s="11" t="d">
        <x:v>2019-12-30T00:00:00.000Z</x:v>
      </x:c>
      <x:c r="B1262" s="12" t="n">
        <x:v>546.224745</x:v>
      </x:c>
      <x:c r="C1262" s="13" t="n">
        <x:v>300</x:v>
      </x:c>
      <x:c r="D1262" s="12" t="n">
        <x:v>96324</x:v>
      </x:c>
      <x:c r="E1262" s="12" t="n">
        <x:v>470.9976</x:v>
      </x:c>
      <x:c r="F1262" s="12" t="n">
        <x:f>SUM(B1262,D1262:E1262)</x:f>
        <x:v>97341.222345</x:v>
      </x:c>
      <x:c r="G1262" s="12" t="n">
        <x:f>MAX(G1261,F1262)</x:f>
        <x:v>102238.29443099999</x:v>
      </x:c>
      <x:c r="H1262" s="14" t="n">
        <x:f>F1262/G1262-1</x:f>
        <x:v>-0.047898608963053424</x:v>
      </x:c>
      <x:c r="I1262" s="14" t="n">
        <x:f>F1262/F1261-1</x:f>
        <x:v>-0.005455926302958547</x:v>
      </x:c>
      <x:c r="J1262" s="12" t="n">
        <x:v>0</x:v>
      </x:c>
      <x:c r="K1262" s="12" t="n">
        <x:v>0</x:v>
      </x:c>
      <x:c r="L1262" s="12" t="n">
        <x:v>0</x:v>
      </x:c>
      <x:c r="M1262" s="2" t="str">
        <x:v>持有</x:v>
      </x:c>
    </x:row>
    <x:row r="1263" ht="23" customHeight="1">
      <x:c r="A1263" s="11" t="d">
        <x:v>2019-12-31T00:00:00.000Z</x:v>
      </x:c>
      <x:c r="B1263" s="12" t="n">
        <x:v>546.224745</x:v>
      </x:c>
      <x:c r="C1263" s="13" t="n">
        <x:v>300</x:v>
      </x:c>
      <x:c r="D1263" s="12" t="n">
        <x:v>96558</x:v>
      </x:c>
      <x:c r="E1263" s="12" t="n">
        <x:v>470.9976</x:v>
      </x:c>
      <x:c r="F1263" s="12" t="n">
        <x:f>SUM(B1263,D1263:E1263)</x:f>
        <x:v>97575.222345</x:v>
      </x:c>
      <x:c r="G1263" s="12" t="n">
        <x:f>MAX(G1262,F1263)</x:f>
        <x:v>102238.29443099999</x:v>
      </x:c>
      <x:c r="H1263" s="14" t="n">
        <x:f>F1263/G1263-1</x:f>
        <x:v>-0.04560983838738686</x:v>
      </x:c>
      <x:c r="I1263" s="14" t="n">
        <x:f>F1263/F1262-1</x:f>
        <x:v>0.002403914748169589</x:v>
      </x:c>
      <x:c r="J1263" s="12" t="n">
        <x:v>0</x:v>
      </x:c>
      <x:c r="K1263" s="12" t="n">
        <x:v>0</x:v>
      </x:c>
      <x:c r="L1263" s="12" t="n">
        <x:v>0</x:v>
      </x:c>
      <x:c r="M1263" s="2" t="str">
        <x:v>持有</x:v>
      </x:c>
    </x:row>
    <x:row r="1264" ht="23" customHeight="1">
      <x:c r="A1264" s="11" t="d">
        <x:v>2020-01-02T00:00:00.000Z</x:v>
      </x:c>
      <x:c r="B1264" s="12" t="n">
        <x:v>546.224745</x:v>
      </x:c>
      <x:c r="C1264" s="13" t="n">
        <x:v>300</x:v>
      </x:c>
      <x:c r="D1264" s="12" t="n">
        <x:v>97461</x:v>
      </x:c>
      <x:c r="E1264" s="12" t="n">
        <x:v>470.9976</x:v>
      </x:c>
      <x:c r="F1264" s="12" t="n">
        <x:f>SUM(B1264,D1264:E1264)</x:f>
        <x:v>98478.222345</x:v>
      </x:c>
      <x:c r="G1264" s="12" t="n">
        <x:f>MAX(G1263,F1264)</x:f>
        <x:v>102238.29443099999</x:v>
      </x:c>
      <x:c r="H1264" s="14" t="n">
        <x:f>F1264/G1264-1</x:f>
        <x:v>-0.03677753142231488</x:v>
      </x:c>
      <x:c r="I1264" s="14" t="n">
        <x:f>F1264/F1263-1</x:f>
        <x:v>0.009254398589092938</x:v>
      </x:c>
      <x:c r="J1264" s="12" t="n">
        <x:v>0</x:v>
      </x:c>
      <x:c r="K1264" s="12" t="n">
        <x:v>0</x:v>
      </x:c>
      <x:c r="L1264" s="12" t="n">
        <x:v>0</x:v>
      </x:c>
      <x:c r="M1264" s="2" t="str">
        <x:v>持有</x:v>
      </x:c>
    </x:row>
    <x:row r="1265" ht="23" customHeight="1">
      <x:c r="A1265" s="11" t="d">
        <x:v>2020-01-03T00:00:00.000Z</x:v>
      </x:c>
      <x:c r="B1265" s="12" t="n">
        <x:v>546.224745</x:v>
      </x:c>
      <x:c r="C1265" s="13" t="n">
        <x:v>300</x:v>
      </x:c>
      <x:c r="D1265" s="12" t="n">
        <x:v>96723.00000000001</x:v>
      </x:c>
      <x:c r="E1265" s="12" t="n">
        <x:v>470.9976</x:v>
      </x:c>
      <x:c r="F1265" s="12" t="n">
        <x:f>SUM(B1265,D1265:E1265)</x:f>
        <x:v>97740.22234500002</x:v>
      </x:c>
      <x:c r="G1265" s="12" t="n">
        <x:f>MAX(G1264,F1265)</x:f>
        <x:v>102238.29443099999</x:v>
      </x:c>
      <x:c r="H1265" s="14" t="n">
        <x:f>F1265/G1265-1</x:f>
        <x:v>-0.043995961699416775</x:v>
      </x:c>
      <x:c r="I1265" s="14" t="n">
        <x:f>F1265/F1264-1</x:f>
        <x:v>-0.007494042666758793</x:v>
      </x:c>
      <x:c r="J1265" s="12" t="n">
        <x:v>0</x:v>
      </x:c>
      <x:c r="K1265" s="12" t="n">
        <x:v>0</x:v>
      </x:c>
      <x:c r="L1265" s="12" t="n">
        <x:v>0</x:v>
      </x:c>
      <x:c r="M1265" s="2" t="str">
        <x:v>持有</x:v>
      </x:c>
    </x:row>
    <x:row r="1266" ht="23" customHeight="1">
      <x:c r="A1266" s="11" t="d">
        <x:v>2020-01-06T00:00:00.000Z</x:v>
      </x:c>
      <x:c r="B1266" s="12" t="n">
        <x:v>546.224745</x:v>
      </x:c>
      <x:c r="C1266" s="13" t="n">
        <x:v>300</x:v>
      </x:c>
      <x:c r="D1266" s="12" t="n">
        <x:v>97092</x:v>
      </x:c>
      <x:c r="E1266" s="12" t="n">
        <x:v>470.9976</x:v>
      </x:c>
      <x:c r="F1266" s="12" t="n">
        <x:f>SUM(B1266,D1266:E1266)</x:f>
        <x:v>98109.222345</x:v>
      </x:c>
      <x:c r="G1266" s="12" t="n">
        <x:f>MAX(G1265,F1266)</x:f>
        <x:v>102238.29443099999</x:v>
      </x:c>
      <x:c r="H1266" s="14" t="n">
        <x:f>F1266/G1266-1</x:f>
        <x:v>-0.04038674656086594</x:v>
      </x:c>
      <x:c r="I1266" s="14" t="n">
        <x:f>F1266/F1265-1</x:f>
        <x:v>0.0037753136952922706</x:v>
      </x:c>
      <x:c r="J1266" s="12" t="n">
        <x:v>0</x:v>
      </x:c>
      <x:c r="K1266" s="12" t="n">
        <x:v>0</x:v>
      </x:c>
      <x:c r="L1266" s="12" t="n">
        <x:v>0</x:v>
      </x:c>
      <x:c r="M1266" s="2" t="str">
        <x:v>持有</x:v>
      </x:c>
    </x:row>
    <x:row r="1267" ht="23" customHeight="1">
      <x:c r="A1267" s="11" t="d">
        <x:v>2020-01-07T00:00:00.000Z</x:v>
      </x:c>
      <x:c r="B1267" s="12" t="n">
        <x:v>546.224745</x:v>
      </x:c>
      <x:c r="C1267" s="13" t="n">
        <x:v>300</x:v>
      </x:c>
      <x:c r="D1267" s="12" t="n">
        <x:v>96819</x:v>
      </x:c>
      <x:c r="E1267" s="12" t="n">
        <x:v>470.9976</x:v>
      </x:c>
      <x:c r="F1267" s="12" t="n">
        <x:f>SUM(B1267,D1267:E1267)</x:f>
        <x:v>97836.222345</x:v>
      </x:c>
      <x:c r="G1267" s="12" t="n">
        <x:f>MAX(G1266,F1267)</x:f>
        <x:v>102238.29443099999</x:v>
      </x:c>
      <x:c r="H1267" s="14" t="n">
        <x:f>F1267/G1267-1</x:f>
        <x:v>-0.043056978899143505</x:v>
      </x:c>
      <x:c r="I1267" s="14" t="n">
        <x:f>F1267/F1266-1</x:f>
        <x:v>-0.0027826130253076897</x:v>
      </x:c>
      <x:c r="J1267" s="12" t="n">
        <x:v>0</x:v>
      </x:c>
      <x:c r="K1267" s="12" t="n">
        <x:v>0</x:v>
      </x:c>
      <x:c r="L1267" s="12" t="n">
        <x:v>0</x:v>
      </x:c>
      <x:c r="M1267" s="2" t="str">
        <x:v>持有</x:v>
      </x:c>
    </x:row>
    <x:row r="1268" ht="23" customHeight="1">
      <x:c r="A1268" s="11" t="d">
        <x:v>2020-01-08T00:00:00.000Z</x:v>
      </x:c>
      <x:c r="B1268" s="12" t="n">
        <x:v>546.224745</x:v>
      </x:c>
      <x:c r="C1268" s="13" t="n">
        <x:v>300</x:v>
      </x:c>
      <x:c r="D1268" s="12" t="n">
        <x:v>97335</x:v>
      </x:c>
      <x:c r="E1268" s="12" t="n">
        <x:v>470.9976</x:v>
      </x:c>
      <x:c r="F1268" s="12" t="n">
        <x:f>SUM(B1268,D1268:E1268)</x:f>
        <x:v>98352.222345</x:v>
      </x:c>
      <x:c r="G1268" s="12" t="n">
        <x:f>MAX(G1267,F1268)</x:f>
        <x:v>102238.29443099999</x:v>
      </x:c>
      <x:c r="H1268" s="14" t="n">
        <x:f>F1268/G1268-1</x:f>
        <x:v>-0.03800994634767374</x:v>
      </x:c>
      <x:c r="I1268" s="14" t="n">
        <x:f>F1268/F1267-1</x:f>
        <x:v>0.0052741202351458405</x:v>
      </x:c>
      <x:c r="J1268" s="12" t="n">
        <x:v>0</x:v>
      </x:c>
      <x:c r="K1268" s="12" t="n">
        <x:v>0</x:v>
      </x:c>
      <x:c r="L1268" s="12" t="n">
        <x:v>0</x:v>
      </x:c>
      <x:c r="M1268" s="2" t="str">
        <x:v>持有</x:v>
      </x:c>
    </x:row>
    <x:row r="1269" ht="23" customHeight="1">
      <x:c r="A1269" s="11" t="d">
        <x:v>2020-01-09T00:00:00.000Z</x:v>
      </x:c>
      <x:c r="B1269" s="12" t="n">
        <x:v>546.224745</x:v>
      </x:c>
      <x:c r="C1269" s="13" t="n">
        <x:v>300</x:v>
      </x:c>
      <x:c r="D1269" s="12" t="n">
        <x:v>97995</x:v>
      </x:c>
      <x:c r="E1269" s="12" t="n">
        <x:v>470.9976</x:v>
      </x:c>
      <x:c r="F1269" s="12" t="n">
        <x:f>SUM(B1269,D1269:E1269)</x:f>
        <x:v>99012.222345</x:v>
      </x:c>
      <x:c r="G1269" s="12" t="n">
        <x:f>MAX(G1268,F1269)</x:f>
        <x:v>102238.29443099999</x:v>
      </x:c>
      <x:c r="H1269" s="14" t="n">
        <x:f>F1269/G1269-1</x:f>
        <x:v>-0.03155443959579396</x:v>
      </x:c>
      <x:c r="I1269" s="14" t="n">
        <x:f>F1269/F1268-1</x:f>
        <x:v>0.00671057536132591</x:v>
      </x:c>
      <x:c r="J1269" s="12" t="n">
        <x:v>0</x:v>
      </x:c>
      <x:c r="K1269" s="12" t="n">
        <x:v>0</x:v>
      </x:c>
      <x:c r="L1269" s="12" t="n">
        <x:v>0</x:v>
      </x:c>
      <x:c r="M1269" s="2" t="str">
        <x:v>持有</x:v>
      </x:c>
    </x:row>
    <x:row r="1270" ht="23" customHeight="1">
      <x:c r="A1270" s="11" t="d">
        <x:v>2020-01-10T00:00:00.000Z</x:v>
      </x:c>
      <x:c r="B1270" s="12" t="n">
        <x:v>546.224745</x:v>
      </x:c>
      <x:c r="C1270" s="13" t="n">
        <x:v>300</x:v>
      </x:c>
      <x:c r="D1270" s="12" t="n">
        <x:v>97713</x:v>
      </x:c>
      <x:c r="E1270" s="12" t="n">
        <x:v>470.9976</x:v>
      </x:c>
      <x:c r="F1270" s="12" t="n">
        <x:f>SUM(B1270,D1270:E1270)</x:f>
        <x:v>98730.222345</x:v>
      </x:c>
      <x:c r="G1270" s="12" t="n">
        <x:f>MAX(G1269,F1270)</x:f>
        <x:v>102238.29443099999</x:v>
      </x:c>
      <x:c r="H1270" s="14" t="n">
        <x:f>F1270/G1270-1</x:f>
        <x:v>-0.03431270157159716</x:v>
      </x:c>
      <x:c r="I1270" s="14" t="n">
        <x:f>F1270/F1269-1</x:f>
        <x:v>-0.0028481332235670287</x:v>
      </x:c>
      <x:c r="J1270" s="12" t="n">
        <x:v>0</x:v>
      </x:c>
      <x:c r="K1270" s="12" t="n">
        <x:v>0</x:v>
      </x:c>
      <x:c r="L1270" s="12" t="n">
        <x:v>0</x:v>
      </x:c>
      <x:c r="M1270" s="2" t="str">
        <x:v>持有</x:v>
      </x:c>
    </x:row>
    <x:row r="1271" ht="23" customHeight="1">
      <x:c r="A1271" s="11" t="d">
        <x:v>2020-01-13T00:00:00.000Z</x:v>
      </x:c>
      <x:c r="B1271" s="12" t="n">
        <x:v>546.224745</x:v>
      </x:c>
      <x:c r="C1271" s="13" t="n">
        <x:v>300</x:v>
      </x:c>
      <x:c r="D1271" s="12" t="n">
        <x:v>98385</x:v>
      </x:c>
      <x:c r="E1271" s="12" t="n">
        <x:v>470.9976</x:v>
      </x:c>
      <x:c r="F1271" s="12" t="n">
        <x:f>SUM(B1271,D1271:E1271)</x:f>
        <x:v>99402.222345</x:v>
      </x:c>
      <x:c r="G1271" s="12" t="n">
        <x:f>MAX(G1270,F1271)</x:f>
        <x:v>102238.29443099999</x:v>
      </x:c>
      <x:c r="H1271" s="14" t="n">
        <x:f>F1271/G1271-1</x:f>
        <x:v>-0.027739821969683165</x:v>
      </x:c>
      <x:c r="I1271" s="14" t="n">
        <x:f>F1271/F1270-1</x:f>
        <x:v>0.006806426482579786</x:v>
      </x:c>
      <x:c r="J1271" s="12" t="n">
        <x:v>0</x:v>
      </x:c>
      <x:c r="K1271" s="12" t="n">
        <x:v>0</x:v>
      </x:c>
      <x:c r="L1271" s="12" t="n">
        <x:v>0</x:v>
      </x:c>
      <x:c r="M1271" s="2" t="str">
        <x:v>持有</x:v>
      </x:c>
    </x:row>
    <x:row r="1272" ht="23" customHeight="1">
      <x:c r="A1272" s="11" t="d">
        <x:v>2020-01-14T00:00:00.000Z</x:v>
      </x:c>
      <x:c r="B1272" s="12" t="n">
        <x:v>546.224745</x:v>
      </x:c>
      <x:c r="C1272" s="13" t="n">
        <x:v>300</x:v>
      </x:c>
      <x:c r="D1272" s="12" t="n">
        <x:v>98235</x:v>
      </x:c>
      <x:c r="E1272" s="12" t="n">
        <x:v>470.9976</x:v>
      </x:c>
      <x:c r="F1272" s="12" t="n">
        <x:f>SUM(B1272,D1272:E1272)</x:f>
        <x:v>99252.222345</x:v>
      </x:c>
      <x:c r="G1272" s="12" t="n">
        <x:f>MAX(G1271,F1272)</x:f>
        <x:v>102238.29443099999</x:v>
      </x:c>
      <x:c r="H1272" s="14" t="n">
        <x:f>F1272/G1272-1</x:f>
        <x:v>-0.029206982595110342</x:v>
      </x:c>
      <x:c r="I1272" s="14" t="n">
        <x:f>F1272/F1271-1</x:f>
        <x:v>-0.0015090205878837137</x:v>
      </x:c>
      <x:c r="J1272" s="12" t="n">
        <x:v>0</x:v>
      </x:c>
      <x:c r="K1272" s="12" t="n">
        <x:v>0</x:v>
      </x:c>
      <x:c r="L1272" s="12" t="n">
        <x:v>0</x:v>
      </x:c>
      <x:c r="M1272" s="2" t="str">
        <x:v>持有</x:v>
      </x:c>
    </x:row>
    <x:row r="1273" ht="23" customHeight="1">
      <x:c r="A1273" s="11" t="d">
        <x:v>2020-01-15T00:00:00.000Z</x:v>
      </x:c>
      <x:c r="B1273" s="12" t="n">
        <x:v>546.224745</x:v>
      </x:c>
      <x:c r="C1273" s="13" t="n">
        <x:v>300</x:v>
      </x:c>
      <x:c r="D1273" s="12" t="n">
        <x:v>98457</x:v>
      </x:c>
      <x:c r="E1273" s="12" t="n">
        <x:v>470.9976</x:v>
      </x:c>
      <x:c r="F1273" s="12" t="n">
        <x:f>SUM(B1273,D1273:E1273)</x:f>
        <x:v>99474.222345</x:v>
      </x:c>
      <x:c r="G1273" s="12" t="n">
        <x:f>MAX(G1272,F1273)</x:f>
        <x:v>102238.29443099999</x:v>
      </x:c>
      <x:c r="H1273" s="14" t="n">
        <x:f>F1273/G1273-1</x:f>
        <x:v>-0.027035584869478102</x:v>
      </x:c>
      <x:c r="I1273" s="14" t="n">
        <x:f>F1273/F1272-1</x:f>
        <x:v>0.002236725735251799</x:v>
      </x:c>
      <x:c r="J1273" s="12" t="n">
        <x:v>0</x:v>
      </x:c>
      <x:c r="K1273" s="12" t="n">
        <x:v>0</x:v>
      </x:c>
      <x:c r="L1273" s="12" t="n">
        <x:v>0</x:v>
      </x:c>
      <x:c r="M1273" s="2" t="str">
        <x:v>持有</x:v>
      </x:c>
    </x:row>
    <x:row r="1274" ht="23" customHeight="1">
      <x:c r="A1274" s="11" t="d">
        <x:v>2020-01-16T00:00:00.000Z</x:v>
      </x:c>
      <x:c r="B1274" s="12" t="n">
        <x:v>546.224745</x:v>
      </x:c>
      <x:c r="C1274" s="13" t="n">
        <x:v>300</x:v>
      </x:c>
      <x:c r="D1274" s="12" t="n">
        <x:v>99276</x:v>
      </x:c>
      <x:c r="E1274" s="12" t="n">
        <x:v>470.9976</x:v>
      </x:c>
      <x:c r="F1274" s="12" t="n">
        <x:f>SUM(B1274,D1274:E1274)</x:f>
        <x:v>100293.222345</x:v>
      </x:c>
      <x:c r="G1274" s="12" t="n">
        <x:f>MAX(G1273,F1274)</x:f>
        <x:v>102238.29443099999</x:v>
      </x:c>
      <x:c r="H1274" s="14" t="n">
        <x:f>F1274/G1274-1</x:f>
        <x:v>-0.01902488785464529</x:v>
      </x:c>
      <x:c r="I1274" s="14" t="n">
        <x:f>F1274/F1273-1</x:f>
        <x:v>0.008233288792743876</x:v>
      </x:c>
      <x:c r="J1274" s="12" t="n">
        <x:v>0</x:v>
      </x:c>
      <x:c r="K1274" s="12" t="n">
        <x:v>0</x:v>
      </x:c>
      <x:c r="L1274" s="12" t="n">
        <x:v>0</x:v>
      </x:c>
      <x:c r="M1274" s="2" t="str">
        <x:v>持有</x:v>
      </x:c>
    </x:row>
    <x:row r="1275" ht="23" customHeight="1">
      <x:c r="A1275" s="11" t="d">
        <x:v>2020-01-17T00:00:00.000Z</x:v>
      </x:c>
      <x:c r="B1275" s="12" t="n">
        <x:v>546.224745</x:v>
      </x:c>
      <x:c r="C1275" s="13" t="n">
        <x:v>300</x:v>
      </x:c>
      <x:c r="D1275" s="12" t="n">
        <x:v>99585</x:v>
      </x:c>
      <x:c r="E1275" s="12" t="n">
        <x:v>470.9976</x:v>
      </x:c>
      <x:c r="F1275" s="12" t="n">
        <x:f>SUM(B1275,D1275:E1275)</x:f>
        <x:v>100602.222345</x:v>
      </x:c>
      <x:c r="G1275" s="12" t="n">
        <x:f>MAX(G1274,F1275)</x:f>
        <x:v>102238.29443099999</x:v>
      </x:c>
      <x:c r="H1275" s="14" t="n">
        <x:f>F1275/G1275-1</x:f>
        <x:v>-0.01600253696626519</x:v>
      </x:c>
      <x:c r="I1275" s="14" t="n">
        <x:f>F1275/F1274-1</x:f>
        <x:v>0.003080965919482148</x:v>
      </x:c>
      <x:c r="J1275" s="12" t="n">
        <x:v>0</x:v>
      </x:c>
      <x:c r="K1275" s="12" t="n">
        <x:v>0</x:v>
      </x:c>
      <x:c r="L1275" s="12" t="n">
        <x:v>0</x:v>
      </x:c>
      <x:c r="M1275" s="2" t="str">
        <x:v>持有</x:v>
      </x:c>
    </x:row>
    <x:row r="1276" ht="23" customHeight="1">
      <x:c r="A1276" s="11" t="d">
        <x:v>2020-01-21T00:00:00.000Z</x:v>
      </x:c>
      <x:c r="B1276" s="12" t="n">
        <x:v>546.224745</x:v>
      </x:c>
      <x:c r="C1276" s="13" t="n">
        <x:v>300</x:v>
      </x:c>
      <x:c r="D1276" s="12" t="n">
        <x:v>99390</x:v>
      </x:c>
      <x:c r="E1276" s="12" t="n">
        <x:v>470.9976</x:v>
      </x:c>
      <x:c r="F1276" s="12" t="n">
        <x:f>SUM(B1276,D1276:E1276)</x:f>
        <x:v>100407.222345</x:v>
      </x:c>
      <x:c r="G1276" s="12" t="n">
        <x:f>MAX(G1275,F1276)</x:f>
        <x:v>102238.29443099999</x:v>
      </x:c>
      <x:c r="H1276" s="14" t="n">
        <x:f>F1276/G1276-1</x:f>
        <x:v>-0.017909845779320643</x:v>
      </x:c>
      <x:c r="I1276" s="14" t="n">
        <x:f>F1276/F1275-1</x:f>
        <x:v>-0.0019383269619162036</x:v>
      </x:c>
      <x:c r="J1276" s="12" t="n">
        <x:v>0</x:v>
      </x:c>
      <x:c r="K1276" s="12" t="n">
        <x:v>0</x:v>
      </x:c>
      <x:c r="L1276" s="12" t="n">
        <x:v>0</x:v>
      </x:c>
      <x:c r="M1276" s="2" t="str">
        <x:v>持有</x:v>
      </x:c>
    </x:row>
    <x:row r="1277" ht="23" customHeight="1">
      <x:c r="A1277" s="11" t="d">
        <x:v>2020-01-22T00:00:00.000Z</x:v>
      </x:c>
      <x:c r="B1277" s="12" t="n">
        <x:v>546.224745</x:v>
      </x:c>
      <x:c r="C1277" s="13" t="n">
        <x:v>300</x:v>
      </x:c>
      <x:c r="D1277" s="12" t="n">
        <x:v>99401.99999999999</x:v>
      </x:c>
      <x:c r="E1277" s="12" t="n">
        <x:v>470.9976</x:v>
      </x:c>
      <x:c r="F1277" s="12" t="n">
        <x:f>SUM(B1277,D1277:E1277)</x:f>
        <x:v>100419.22234499999</x:v>
      </x:c>
      <x:c r="G1277" s="12" t="n">
        <x:f>MAX(G1276,F1277)</x:f>
        <x:v>102238.29443099999</x:v>
      </x:c>
      <x:c r="H1277" s="14" t="n">
        <x:f>F1277/G1277-1</x:f>
        <x:v>-0.01779247292928665</x:v>
      </x:c>
      <x:c r="I1277" s="14" t="n">
        <x:f>F1277/F1276-1</x:f>
        <x:v>0.00011951331507553675</x:v>
      </x:c>
      <x:c r="J1277" s="12" t="n">
        <x:v>0</x:v>
      </x:c>
      <x:c r="K1277" s="12" t="n">
        <x:v>0</x:v>
      </x:c>
      <x:c r="L1277" s="12" t="n">
        <x:v>0</x:v>
      </x:c>
      <x:c r="M1277" s="2" t="str">
        <x:v>持有</x:v>
      </x:c>
    </x:row>
    <x:row r="1278" ht="23" customHeight="1">
      <x:c r="A1278" s="11" t="d">
        <x:v>2020-01-23T00:00:00.000Z</x:v>
      </x:c>
      <x:c r="B1278" s="12" t="n">
        <x:v>546.224745</x:v>
      </x:c>
      <x:c r="C1278" s="13" t="n">
        <x:v>300</x:v>
      </x:c>
      <x:c r="D1278" s="12" t="n">
        <x:v>99516.00000000001</x:v>
      </x:c>
      <x:c r="E1278" s="12" t="n">
        <x:v>470.9976</x:v>
      </x:c>
      <x:c r="F1278" s="12" t="n">
        <x:f>SUM(B1278,D1278:E1278)</x:f>
        <x:v>100533.22234500002</x:v>
      </x:c>
      <x:c r="G1278" s="12" t="n">
        <x:f>MAX(G1277,F1278)</x:f>
        <x:v>102238.29443099999</x:v>
      </x:c>
      <x:c r="H1278" s="14" t="n">
        <x:f>F1278/G1278-1</x:f>
        <x:v>-0.01667743085396156</x:v>
      </x:c>
      <x:c r="I1278" s="14" t="n">
        <x:f>F1278/F1277-1</x:f>
        <x:v>0.0011352408168265882</x:v>
      </x:c>
      <x:c r="J1278" s="12" t="n">
        <x:v>0</x:v>
      </x:c>
      <x:c r="K1278" s="12" t="n">
        <x:v>0</x:v>
      </x:c>
      <x:c r="L1278" s="12" t="n">
        <x:v>0</x:v>
      </x:c>
      <x:c r="M1278" s="2" t="str">
        <x:v>持有</x:v>
      </x:c>
    </x:row>
    <x:row r="1279" ht="23" customHeight="1">
      <x:c r="A1279" s="11" t="d">
        <x:v>2020-01-24T00:00:00.000Z</x:v>
      </x:c>
      <x:c r="B1279" s="12" t="n">
        <x:v>546.224745</x:v>
      </x:c>
      <x:c r="C1279" s="13" t="n">
        <x:v>300</x:v>
      </x:c>
      <x:c r="D1279" s="12" t="n">
        <x:v>98631</x:v>
      </x:c>
      <x:c r="E1279" s="12" t="n">
        <x:v>470.9976</x:v>
      </x:c>
      <x:c r="F1279" s="12" t="n">
        <x:f>SUM(B1279,D1279:E1279)</x:f>
        <x:v>99648.222345</x:v>
      </x:c>
      <x:c r="G1279" s="12" t="n">
        <x:f>MAX(G1278,F1279)</x:f>
        <x:v>102238.29443099999</x:v>
      </x:c>
      <x:c r="H1279" s="14" t="n">
        <x:f>F1279/G1279-1</x:f>
        <x:v>-0.025333678543982496</x:v>
      </x:c>
      <x:c r="I1279" s="14" t="n">
        <x:f>F1279/F1278-1</x:f>
        <x:v>-0.008803060116415629</x:v>
      </x:c>
      <x:c r="J1279" s="12" t="n">
        <x:v>0</x:v>
      </x:c>
      <x:c r="K1279" s="12" t="n">
        <x:v>0</x:v>
      </x:c>
      <x:c r="L1279" s="12" t="n">
        <x:v>0</x:v>
      </x:c>
      <x:c r="M1279" s="2" t="str">
        <x:v>持有</x:v>
      </x:c>
    </x:row>
    <x:row r="1280" ht="23" customHeight="1">
      <x:c r="A1280" s="11" t="d">
        <x:v>2020-01-27T00:00:00.000Z</x:v>
      </x:c>
      <x:c r="B1280" s="12" t="n">
        <x:v>546.224745</x:v>
      </x:c>
      <x:c r="C1280" s="13" t="n">
        <x:v>300</x:v>
      </x:c>
      <x:c r="D1280" s="12" t="n">
        <x:v>97050</x:v>
      </x:c>
      <x:c r="E1280" s="12" t="n">
        <x:v>470.9976</x:v>
      </x:c>
      <x:c r="F1280" s="12" t="n">
        <x:f>SUM(B1280,D1280:E1280)</x:f>
        <x:v>98067.222345</x:v>
      </x:c>
      <x:c r="G1280" s="12" t="n">
        <x:f>MAX(G1279,F1280)</x:f>
        <x:v>102238.29443099999</x:v>
      </x:c>
      <x:c r="H1280" s="14" t="n">
        <x:f>F1280/G1280-1</x:f>
        <x:v>-0.04079755153598552</x:v>
      </x:c>
      <x:c r="I1280" s="14" t="n">
        <x:f>F1280/F1279-1</x:f>
        <x:v>-0.015865812382746758</x:v>
      </x:c>
      <x:c r="J1280" s="12" t="n">
        <x:v>0</x:v>
      </x:c>
      <x:c r="K1280" s="12" t="n">
        <x:v>0</x:v>
      </x:c>
      <x:c r="L1280" s="12" t="n">
        <x:v>0</x:v>
      </x:c>
      <x:c r="M1280" s="2" t="str">
        <x:v>持有</x:v>
      </x:c>
    </x:row>
    <x:row r="1281" ht="23" customHeight="1">
      <x:c r="A1281" s="11" t="d">
        <x:v>2020-01-28T00:00:00.000Z</x:v>
      </x:c>
      <x:c r="B1281" s="12" t="n">
        <x:v>546.224745</x:v>
      </x:c>
      <x:c r="C1281" s="13" t="n">
        <x:v>300</x:v>
      </x:c>
      <x:c r="D1281" s="12" t="n">
        <x:v>98067</x:v>
      </x:c>
      <x:c r="E1281" s="12" t="n">
        <x:v>470.9976</x:v>
      </x:c>
      <x:c r="F1281" s="12" t="n">
        <x:f>SUM(B1281,D1281:E1281)</x:f>
        <x:v>99084.222345</x:v>
      </x:c>
      <x:c r="G1281" s="12" t="n">
        <x:f>MAX(G1280,F1281)</x:f>
        <x:v>102238.29443099999</x:v>
      </x:c>
      <x:c r="H1281" s="14" t="n">
        <x:f>F1281/G1281-1</x:f>
        <x:v>-0.030850202495588896</x:v>
      </x:c>
      <x:c r="I1281" s="14" t="n">
        <x:f>F1281/F1280-1</x:f>
        <x:v>0.010370437498700591</x:v>
      </x:c>
      <x:c r="J1281" s="12" t="n">
        <x:v>0</x:v>
      </x:c>
      <x:c r="K1281" s="12" t="n">
        <x:v>0</x:v>
      </x:c>
      <x:c r="L1281" s="12" t="n">
        <x:v>0</x:v>
      </x:c>
      <x:c r="M1281" s="2" t="str">
        <x:v>持有</x:v>
      </x:c>
    </x:row>
    <x:row r="1282" ht="23" customHeight="1">
      <x:c r="A1282" s="11" t="d">
        <x:v>2020-01-29T00:00:00.000Z</x:v>
      </x:c>
      <x:c r="B1282" s="12" t="n">
        <x:v>546.224745</x:v>
      </x:c>
      <x:c r="C1282" s="13" t="n">
        <x:v>300</x:v>
      </x:c>
      <x:c r="D1282" s="12" t="n">
        <x:v>97986</x:v>
      </x:c>
      <x:c r="E1282" s="12" t="n">
        <x:v>470.9976</x:v>
      </x:c>
      <x:c r="F1282" s="12" t="n">
        <x:f>SUM(B1282,D1282:E1282)</x:f>
        <x:v>99003.222345</x:v>
      </x:c>
      <x:c r="G1282" s="12" t="n">
        <x:f>MAX(G1281,F1282)</x:f>
        <x:v>102238.29443099999</x:v>
      </x:c>
      <x:c r="H1282" s="14" t="n">
        <x:f>F1282/G1282-1</x:f>
        <x:v>-0.03164246923331959</x:v>
      </x:c>
      <x:c r="I1282" s="14" t="n">
        <x:f>F1282/F1281-1</x:f>
        <x:v>-0.0008174863573936486</x:v>
      </x:c>
      <x:c r="J1282" s="12" t="n">
        <x:v>0</x:v>
      </x:c>
      <x:c r="K1282" s="12" t="n">
        <x:v>0</x:v>
      </x:c>
      <x:c r="L1282" s="12" t="n">
        <x:v>0</x:v>
      </x:c>
      <x:c r="M1282" s="2" t="str">
        <x:v>持有</x:v>
      </x:c>
    </x:row>
    <x:row r="1283" ht="23" customHeight="1">
      <x:c r="A1283" s="11" t="d">
        <x:v>2020-01-30T00:00:00.000Z</x:v>
      </x:c>
      <x:c r="B1283" s="12" t="n">
        <x:v>546.224745</x:v>
      </x:c>
      <x:c r="C1283" s="13" t="n">
        <x:v>300</x:v>
      </x:c>
      <x:c r="D1283" s="12" t="n">
        <x:v>98304</x:v>
      </x:c>
      <x:c r="E1283" s="12" t="n">
        <x:v>470.9976</x:v>
      </x:c>
      <x:c r="F1283" s="12" t="n">
        <x:f>SUM(B1283,D1283:E1283)</x:f>
        <x:v>99321.222345</x:v>
      </x:c>
      <x:c r="G1283" s="12" t="n">
        <x:f>MAX(G1282,F1283)</x:f>
        <x:v>102238.29443099999</x:v>
      </x:c>
      <x:c r="H1283" s="14" t="n">
        <x:f>F1283/G1283-1</x:f>
        <x:v>-0.02853208870741386</x:v>
      </x:c>
      <x:c r="I1283" s="14" t="n">
        <x:f>F1283/F1282-1</x:f>
        <x:v>0.0032120166643854198</x:v>
      </x:c>
      <x:c r="J1283" s="12" t="n">
        <x:v>0</x:v>
      </x:c>
      <x:c r="K1283" s="12" t="n">
        <x:v>0</x:v>
      </x:c>
      <x:c r="L1283" s="12" t="n">
        <x:v>0</x:v>
      </x:c>
      <x:c r="M1283" s="2" t="str">
        <x:v>持有</x:v>
      </x:c>
    </x:row>
    <x:row r="1284" ht="23" customHeight="1">
      <x:c r="A1284" s="11" t="d">
        <x:v>2020-01-31T00:00:00.000Z</x:v>
      </x:c>
      <x:c r="B1284" s="12" t="n">
        <x:v>1017.222345</x:v>
      </x:c>
      <x:c r="C1284" s="13" t="n">
        <x:v>300</x:v>
      </x:c>
      <x:c r="D1284" s="12" t="n">
        <x:v>96519</x:v>
      </x:c>
      <x:c r="E1284" s="12" t="n">
        <x:v>0</x:v>
      </x:c>
      <x:c r="F1284" s="12" t="n">
        <x:f>SUM(B1284,D1284:E1284)</x:f>
        <x:v>97536.222345</x:v>
      </x:c>
      <x:c r="G1284" s="12" t="n">
        <x:f>MAX(G1283,F1284)</x:f>
        <x:v>102238.29443099999</x:v>
      </x:c>
      <x:c r="H1284" s="14" t="n">
        <x:f>F1284/G1284-1</x:f>
        <x:v>-0.04599130014999797</x:v>
      </x:c>
      <x:c r="I1284" s="14" t="n">
        <x:f>F1284/F1283-1</x:f>
        <x:v>-0.017971989851269243</x:v>
      </x:c>
      <x:c r="J1284" s="12" t="n">
        <x:v>0</x:v>
      </x:c>
      <x:c r="K1284" s="12" t="n">
        <x:v>470.9976</x:v>
      </x:c>
      <x:c r="L1284" s="12" t="n">
        <x:v>0</x:v>
      </x:c>
      <x:c r="M1284" s="2" t="str">
        <x:v>持有</x:v>
      </x:c>
    </x:row>
    <x:row r="1285" ht="23" customHeight="1">
      <x:c r="A1285" s="11" t="d">
        <x:v>2020-02-03T00:00:00.000Z</x:v>
      </x:c>
      <x:c r="B1285" s="12" t="n">
        <x:v>1017.222345</x:v>
      </x:c>
      <x:c r="C1285" s="13" t="n">
        <x:v>300</x:v>
      </x:c>
      <x:c r="D1285" s="12" t="n">
        <x:v>97236</x:v>
      </x:c>
      <x:c r="E1285" s="12" t="n">
        <x:v>0</x:v>
      </x:c>
      <x:c r="F1285" s="12" t="n">
        <x:f>SUM(B1285,D1285:E1285)</x:f>
        <x:v>98253.222345</x:v>
      </x:c>
      <x:c r="G1285" s="12" t="n">
        <x:f>MAX(G1284,F1285)</x:f>
        <x:v>102238.29443099999</x:v>
      </x:c>
      <x:c r="H1285" s="14" t="n">
        <x:f>F1285/G1285-1</x:f>
        <x:v>-0.03897827236045581</x:v>
      </x:c>
      <x:c r="I1285" s="14" t="n">
        <x:f>F1285/F1284-1</x:f>
        <x:v>0.007351115132016028</x:v>
      </x:c>
      <x:c r="J1285" s="12" t="n">
        <x:v>0</x:v>
      </x:c>
      <x:c r="K1285" s="12" t="n">
        <x:v>0</x:v>
      </x:c>
      <x:c r="L1285" s="12" t="n">
        <x:v>0</x:v>
      </x:c>
      <x:c r="M1285" s="2" t="str">
        <x:v>持有</x:v>
      </x:c>
    </x:row>
    <x:row r="1286" ht="23" customHeight="1">
      <x:c r="A1286" s="11" t="d">
        <x:v>2020-02-04T00:00:00.000Z</x:v>
      </x:c>
      <x:c r="B1286" s="12" t="n">
        <x:v>1017.222345</x:v>
      </x:c>
      <x:c r="C1286" s="13" t="n">
        <x:v>300</x:v>
      </x:c>
      <x:c r="D1286" s="12" t="n">
        <x:v>98718</x:v>
      </x:c>
      <x:c r="E1286" s="12" t="n">
        <x:v>0</x:v>
      </x:c>
      <x:c r="F1286" s="12" t="n">
        <x:f>SUM(B1286,D1286:E1286)</x:f>
        <x:v>99735.222345</x:v>
      </x:c>
      <x:c r="G1286" s="12" t="n">
        <x:f>MAX(G1285,F1286)</x:f>
        <x:v>102238.29443099999</x:v>
      </x:c>
      <x:c r="H1286" s="14" t="n">
        <x:f>F1286/G1286-1</x:f>
        <x:v>-0.024482725381234638</x:v>
      </x:c>
      <x:c r="I1286" s="14" t="n">
        <x:f>F1286/F1285-1</x:f>
        <x:v>0.015083474766824478</x:v>
      </x:c>
      <x:c r="J1286" s="12" t="n">
        <x:v>0</x:v>
      </x:c>
      <x:c r="K1286" s="12" t="n">
        <x:v>0</x:v>
      </x:c>
      <x:c r="L1286" s="12" t="n">
        <x:v>0</x:v>
      </x:c>
      <x:c r="M1286" s="2" t="str">
        <x:v>持有</x:v>
      </x:c>
    </x:row>
    <x:row r="1287" ht="23" customHeight="1">
      <x:c r="A1287" s="11" t="d">
        <x:v>2020-02-05T00:00:00.000Z</x:v>
      </x:c>
      <x:c r="B1287" s="12" t="n">
        <x:v>1017.222345</x:v>
      </x:c>
      <x:c r="C1287" s="13" t="n">
        <x:v>300</x:v>
      </x:c>
      <x:c r="D1287" s="12" t="n">
        <x:v>99858</x:v>
      </x:c>
      <x:c r="E1287" s="12" t="n">
        <x:v>0</x:v>
      </x:c>
      <x:c r="F1287" s="12" t="n">
        <x:f>SUM(B1287,D1287:E1287)</x:f>
        <x:v>100875.222345</x:v>
      </x:c>
      <x:c r="G1287" s="12" t="n">
        <x:f>MAX(G1286,F1287)</x:f>
        <x:v>102238.29443099999</x:v>
      </x:c>
      <x:c r="H1287" s="14" t="n">
        <x:f>F1287/G1287-1</x:f>
        <x:v>-0.013332304627987623</x:v>
      </x:c>
      <x:c r="I1287" s="14" t="n">
        <x:f>F1287/F1286-1</x:f>
        <x:v>0.011430264787063438</x:v>
      </x:c>
      <x:c r="J1287" s="12" t="n">
        <x:v>0</x:v>
      </x:c>
      <x:c r="K1287" s="12" t="n">
        <x:v>0</x:v>
      </x:c>
      <x:c r="L1287" s="12" t="n">
        <x:v>0</x:v>
      </x:c>
      <x:c r="M1287" s="2" t="str">
        <x:v>持有</x:v>
      </x:c>
    </x:row>
    <x:row r="1288" ht="23" customHeight="1">
      <x:c r="A1288" s="11" t="d">
        <x:v>2020-02-06T00:00:00.000Z</x:v>
      </x:c>
      <x:c r="B1288" s="12" t="n">
        <x:v>1017.222345</x:v>
      </x:c>
      <x:c r="C1288" s="13" t="n">
        <x:v>300</x:v>
      </x:c>
      <x:c r="D1288" s="12" t="n">
        <x:v>100194</x:v>
      </x:c>
      <x:c r="E1288" s="12" t="n">
        <x:v>0</x:v>
      </x:c>
      <x:c r="F1288" s="12" t="n">
        <x:f>SUM(B1288,D1288:E1288)</x:f>
        <x:v>101211.222345</x:v>
      </x:c>
      <x:c r="G1288" s="12" t="n">
        <x:f>MAX(G1287,F1288)</x:f>
        <x:v>102238.29443099999</x:v>
      </x:c>
      <x:c r="H1288" s="14" t="n">
        <x:f>F1288/G1288-1</x:f>
        <x:v>-0.010045864827030626</x:v>
      </x:c>
      <x:c r="I1288" s="14" t="n">
        <x:f>F1288/F1287-1</x:f>
        <x:v>0.0033308476768543205</x:v>
      </x:c>
      <x:c r="J1288" s="12" t="n">
        <x:v>0</x:v>
      </x:c>
      <x:c r="K1288" s="12" t="n">
        <x:v>0</x:v>
      </x:c>
      <x:c r="L1288" s="12" t="n">
        <x:v>0</x:v>
      </x:c>
      <x:c r="M1288" s="2" t="str">
        <x:v>持有</x:v>
      </x:c>
    </x:row>
    <x:row r="1289" ht="23" customHeight="1">
      <x:c r="A1289" s="11" t="d">
        <x:v>2020-02-07T00:00:00.000Z</x:v>
      </x:c>
      <x:c r="B1289" s="12" t="n">
        <x:v>1017.222345</x:v>
      </x:c>
      <x:c r="C1289" s="13" t="n">
        <x:v>300</x:v>
      </x:c>
      <x:c r="D1289" s="12" t="n">
        <x:v>99660</x:v>
      </x:c>
      <x:c r="E1289" s="12" t="n">
        <x:v>0</x:v>
      </x:c>
      <x:c r="F1289" s="12" t="n">
        <x:f>SUM(B1289,D1289:E1289)</x:f>
        <x:v>100677.222345</x:v>
      </x:c>
      <x:c r="G1289" s="12" t="n">
        <x:f>MAX(G1288,F1289)</x:f>
        <x:v>102238.29443099999</x:v>
      </x:c>
      <x:c r="H1289" s="14" t="n">
        <x:f>F1289/G1289-1</x:f>
        <x:v>-0.015268956653551657</x:v>
      </x:c>
      <x:c r="I1289" s="14" t="n">
        <x:f>F1289/F1288-1</x:f>
        <x:v>-0.005276094761307637</x:v>
      </x:c>
      <x:c r="J1289" s="12" t="n">
        <x:v>0</x:v>
      </x:c>
      <x:c r="K1289" s="12" t="n">
        <x:v>0</x:v>
      </x:c>
      <x:c r="L1289" s="12" t="n">
        <x:v>0</x:v>
      </x:c>
      <x:c r="M1289" s="2" t="str">
        <x:v>持有</x:v>
      </x:c>
    </x:row>
    <x:row r="1290" ht="23" customHeight="1">
      <x:c r="A1290" s="11" t="d">
        <x:v>2020-02-10T00:00:00.000Z</x:v>
      </x:c>
      <x:c r="B1290" s="12" t="n">
        <x:v>1017.222345</x:v>
      </x:c>
      <x:c r="C1290" s="13" t="n">
        <x:v>300</x:v>
      </x:c>
      <x:c r="D1290" s="12" t="n">
        <x:v>100404</x:v>
      </x:c>
      <x:c r="E1290" s="12" t="n">
        <x:v>0</x:v>
      </x:c>
      <x:c r="F1290" s="12" t="n">
        <x:f>SUM(B1290,D1290:E1290)</x:f>
        <x:v>101421.222345</x:v>
      </x:c>
      <x:c r="G1290" s="12" t="n">
        <x:f>MAX(G1289,F1290)</x:f>
        <x:v>102238.29443099999</x:v>
      </x:c>
      <x:c r="H1290" s="14" t="n">
        <x:f>F1290/G1290-1</x:f>
        <x:v>-0.007991839951432489</x:v>
      </x:c>
      <x:c r="I1290" s="14" t="n">
        <x:f>F1290/F1289-1</x:f>
        <x:v>0.00738995358305039</x:v>
      </x:c>
      <x:c r="J1290" s="12" t="n">
        <x:v>0</x:v>
      </x:c>
      <x:c r="K1290" s="12" t="n">
        <x:v>0</x:v>
      </x:c>
      <x:c r="L1290" s="12" t="n">
        <x:v>0</x:v>
      </x:c>
      <x:c r="M1290" s="2" t="str">
        <x:v>持有</x:v>
      </x:c>
    </x:row>
    <x:row r="1291" ht="23" customHeight="1">
      <x:c r="A1291" s="11" t="d">
        <x:v>2020-02-11T00:00:00.000Z</x:v>
      </x:c>
      <x:c r="B1291" s="12" t="n">
        <x:v>1017.222345</x:v>
      </x:c>
      <x:c r="C1291" s="13" t="n">
        <x:v>300</x:v>
      </x:c>
      <x:c r="D1291" s="12" t="n">
        <x:v>100578</x:v>
      </x:c>
      <x:c r="E1291" s="12" t="n">
        <x:v>0</x:v>
      </x:c>
      <x:c r="F1291" s="12" t="n">
        <x:f>SUM(B1291,D1291:E1291)</x:f>
        <x:v>101595.222345</x:v>
      </x:c>
      <x:c r="G1291" s="12" t="n">
        <x:f>MAX(G1290,F1291)</x:f>
        <x:v>102238.29443099999</x:v>
      </x:c>
      <x:c r="H1291" s="14" t="n">
        <x:f>F1291/G1291-1</x:f>
        <x:v>-0.006289933625936883</x:v>
      </x:c>
      <x:c r="I1291" s="14" t="n">
        <x:f>F1291/F1290-1</x:f>
        <x:v>0.0017156172640881984</x:v>
      </x:c>
      <x:c r="J1291" s="12" t="n">
        <x:v>0</x:v>
      </x:c>
      <x:c r="K1291" s="12" t="n">
        <x:v>0</x:v>
      </x:c>
      <x:c r="L1291" s="12" t="n">
        <x:v>0</x:v>
      </x:c>
      <x:c r="M1291" s="2" t="str">
        <x:v>持有</x:v>
      </x:c>
    </x:row>
    <x:row r="1292" ht="23" customHeight="1">
      <x:c r="A1292" s="11" t="d">
        <x:v>2020-02-12T00:00:00.000Z</x:v>
      </x:c>
      <x:c r="B1292" s="12" t="n">
        <x:v>1017.222345</x:v>
      </x:c>
      <x:c r="C1292" s="13" t="n">
        <x:v>300</x:v>
      </x:c>
      <x:c r="D1292" s="12" t="n">
        <x:v>101226</x:v>
      </x:c>
      <x:c r="E1292" s="12" t="n">
        <x:v>0</x:v>
      </x:c>
      <x:c r="F1292" s="12" t="n">
        <x:f>SUM(B1292,D1292:E1292)</x:f>
        <x:v>102243.222345</x:v>
      </x:c>
      <x:c r="G1292" s="12" t="n">
        <x:f>MAX(G1291,F1292)</x:f>
        <x:v>102243.222345</x:v>
      </x:c>
      <x:c r="H1292" s="14" t="n">
        <x:f>F1292/G1292-1</x:f>
        <x:v>0</x:v>
      </x:c>
      <x:c r="I1292" s="14" t="n">
        <x:f>F1292/F1291-1</x:f>
        <x:v>0.006378252687901931</x:v>
      </x:c>
      <x:c r="J1292" s="12" t="n">
        <x:v>0</x:v>
      </x:c>
      <x:c r="K1292" s="12" t="n">
        <x:v>0</x:v>
      </x:c>
      <x:c r="L1292" s="12" t="n">
        <x:v>0</x:v>
      </x:c>
      <x:c r="M1292" s="2" t="str">
        <x:v>持有</x:v>
      </x:c>
    </x:row>
    <x:row r="1293" ht="23" customHeight="1">
      <x:c r="A1293" s="11" t="d">
        <x:v>2020-02-13T00:00:00.000Z</x:v>
      </x:c>
      <x:c r="B1293" s="12" t="n">
        <x:v>1017.222345</x:v>
      </x:c>
      <x:c r="C1293" s="13" t="n">
        <x:v>300</x:v>
      </x:c>
      <x:c r="D1293" s="12" t="n">
        <x:v>101118</x:v>
      </x:c>
      <x:c r="E1293" s="12" t="n">
        <x:v>0</x:v>
      </x:c>
      <x:c r="F1293" s="12" t="n">
        <x:f>SUM(B1293,D1293:E1293)</x:f>
        <x:v>102135.222345</x:v>
      </x:c>
      <x:c r="G1293" s="12" t="n">
        <x:f>MAX(G1292,F1293)</x:f>
        <x:v>102243.222345</x:v>
      </x:c>
      <x:c r="H1293" s="14" t="n">
        <x:f>F1293/G1293-1</x:f>
        <x:v>-0.0010563047361278333</x:v>
      </x:c>
      <x:c r="I1293" s="14" t="n">
        <x:f>F1293/F1292-1</x:f>
        <x:v>-0.0010563047361278333</x:v>
      </x:c>
      <x:c r="J1293" s="12" t="n">
        <x:v>0</x:v>
      </x:c>
      <x:c r="K1293" s="12" t="n">
        <x:v>0</x:v>
      </x:c>
      <x:c r="L1293" s="12" t="n">
        <x:v>0</x:v>
      </x:c>
      <x:c r="M1293" s="2" t="str">
        <x:v>持有</x:v>
      </x:c>
    </x:row>
    <x:row r="1294" ht="23" customHeight="1">
      <x:c r="A1294" s="11" t="d">
        <x:v>2020-02-14T00:00:00.000Z</x:v>
      </x:c>
      <x:c r="B1294" s="12" t="n">
        <x:v>1017.222345</x:v>
      </x:c>
      <x:c r="C1294" s="13" t="n">
        <x:v>300</x:v>
      </x:c>
      <x:c r="D1294" s="12" t="n">
        <x:v>101280</x:v>
      </x:c>
      <x:c r="E1294" s="12" t="n">
        <x:v>0</x:v>
      </x:c>
      <x:c r="F1294" s="12" t="n">
        <x:f>SUM(B1294,D1294:E1294)</x:f>
        <x:v>102297.222345</x:v>
      </x:c>
      <x:c r="G1294" s="12" t="n">
        <x:f>MAX(G1293,F1294)</x:f>
        <x:v>102297.222345</x:v>
      </x:c>
      <x:c r="H1294" s="14" t="n">
        <x:f>F1294/G1294-1</x:f>
        <x:v>0</x:v>
      </x:c>
      <x:c r="I1294" s="14" t="n">
        <x:f>F1294/F1293-1</x:f>
        <x:v>0.0015861325435095885</x:v>
      </x:c>
      <x:c r="J1294" s="12" t="n">
        <x:v>0</x:v>
      </x:c>
      <x:c r="K1294" s="12" t="n">
        <x:v>0</x:v>
      </x:c>
      <x:c r="L1294" s="12" t="n">
        <x:v>0</x:v>
      </x:c>
      <x:c r="M1294" s="2" t="str">
        <x:v>持有</x:v>
      </x:c>
    </x:row>
    <x:row r="1295" ht="23" customHeight="1">
      <x:c r="A1295" s="11" t="d">
        <x:v>2020-02-18T00:00:00.000Z</x:v>
      </x:c>
      <x:c r="B1295" s="12" t="n">
        <x:v>1017.222345</x:v>
      </x:c>
      <x:c r="C1295" s="13" t="n">
        <x:v>300</x:v>
      </x:c>
      <x:c r="D1295" s="12" t="n">
        <x:v>101019</x:v>
      </x:c>
      <x:c r="E1295" s="12" t="n">
        <x:v>0</x:v>
      </x:c>
      <x:c r="F1295" s="12" t="n">
        <x:f>SUM(B1295,D1295:E1295)</x:f>
        <x:v>102036.222345</x:v>
      </x:c>
      <x:c r="G1295" s="12" t="n">
        <x:f>MAX(G1294,F1295)</x:f>
        <x:v>102297.222345</x:v>
      </x:c>
      <x:c r="H1295" s="14" t="n">
        <x:f>F1295/G1295-1</x:f>
        <x:v>-0.002551388923540565</x:v>
      </x:c>
      <x:c r="I1295" s="14" t="n">
        <x:f>F1295/F1294-1</x:f>
        <x:v>-0.002551388923540565</x:v>
      </x:c>
      <x:c r="J1295" s="12" t="n">
        <x:v>0</x:v>
      </x:c>
      <x:c r="K1295" s="12" t="n">
        <x:v>0</x:v>
      </x:c>
      <x:c r="L1295" s="12" t="n">
        <x:v>0</x:v>
      </x:c>
      <x:c r="M1295" s="2" t="str">
        <x:v>持有</x:v>
      </x:c>
    </x:row>
    <x:row r="1296" ht="23" customHeight="1">
      <x:c r="A1296" s="11" t="d">
        <x:v>2020-02-19T00:00:00.000Z</x:v>
      </x:c>
      <x:c r="B1296" s="12" t="n">
        <x:v>1017.222345</x:v>
      </x:c>
      <x:c r="C1296" s="13" t="n">
        <x:v>300</x:v>
      </x:c>
      <x:c r="D1296" s="12" t="n">
        <x:v>101501.99999999999</x:v>
      </x:c>
      <x:c r="E1296" s="12" t="n">
        <x:v>0</x:v>
      </x:c>
      <x:c r="F1296" s="12" t="n">
        <x:f>SUM(B1296,D1296:E1296)</x:f>
        <x:v>102519.22234499999</x:v>
      </x:c>
      <x:c r="G1296" s="12" t="n">
        <x:f>MAX(G1295,F1296)</x:f>
        <x:v>102519.22234499999</x:v>
      </x:c>
      <x:c r="H1296" s="14" t="n">
        <x:f>F1296/G1296-1</x:f>
        <x:v>0</x:v>
      </x:c>
      <x:c r="I1296" s="14" t="n">
        <x:f>F1296/F1295-1</x:f>
        <x:v>0.004733613112085644</x:v>
      </x:c>
      <x:c r="J1296" s="12" t="n">
        <x:v>0</x:v>
      </x:c>
      <x:c r="K1296" s="12" t="n">
        <x:v>0</x:v>
      </x:c>
      <x:c r="L1296" s="12" t="n">
        <x:v>0</x:v>
      </x:c>
      <x:c r="M1296" s="2" t="str">
        <x:v>持有</x:v>
      </x:c>
    </x:row>
    <x:row r="1297" ht="23" customHeight="1">
      <x:c r="A1297" s="11" t="d">
        <x:v>2020-02-20T00:00:00.000Z</x:v>
      </x:c>
      <x:c r="B1297" s="12" t="n">
        <x:v>1017.222345</x:v>
      </x:c>
      <x:c r="C1297" s="13" t="n">
        <x:v>300</x:v>
      </x:c>
      <x:c r="D1297" s="12" t="n">
        <x:v>101085</x:v>
      </x:c>
      <x:c r="E1297" s="12" t="n">
        <x:v>0</x:v>
      </x:c>
      <x:c r="F1297" s="12" t="n">
        <x:f>SUM(B1297,D1297:E1297)</x:f>
        <x:v>102102.222345</x:v>
      </x:c>
      <x:c r="G1297" s="12" t="n">
        <x:f>MAX(G1296,F1297)</x:f>
        <x:v>102519.22234499999</x:v>
      </x:c>
      <x:c r="H1297" s="14" t="n">
        <x:f>F1297/G1297-1</x:f>
        <x:v>-0.004067529878413301</x:v>
      </x:c>
      <x:c r="I1297" s="14" t="n">
        <x:f>F1297/F1296-1</x:f>
        <x:v>-0.004067529878413301</x:v>
      </x:c>
      <x:c r="J1297" s="12" t="n">
        <x:v>0</x:v>
      </x:c>
      <x:c r="K1297" s="12" t="n">
        <x:v>0</x:v>
      </x:c>
      <x:c r="L1297" s="12" t="n">
        <x:v>0</x:v>
      </x:c>
      <x:c r="M1297" s="2" t="str">
        <x:v>持有</x:v>
      </x:c>
    </x:row>
    <x:row r="1298" ht="23" customHeight="1">
      <x:c r="A1298" s="11" t="d">
        <x:v>2020-02-21T00:00:00.000Z</x:v>
      </x:c>
      <x:c r="B1298" s="12" t="n">
        <x:v>1017.222345</x:v>
      </x:c>
      <x:c r="C1298" s="13" t="n">
        <x:v>300</x:v>
      </x:c>
      <x:c r="D1298" s="12" t="n">
        <x:v>100044</x:v>
      </x:c>
      <x:c r="E1298" s="12" t="n">
        <x:v>0</x:v>
      </x:c>
      <x:c r="F1298" s="12" t="n">
        <x:f>SUM(B1298,D1298:E1298)</x:f>
        <x:v>101061.222345</x:v>
      </x:c>
      <x:c r="G1298" s="12" t="n">
        <x:f>MAX(G1297,F1298)</x:f>
        <x:v>102519.22234499999</x:v>
      </x:c>
      <x:c r="H1298" s="14" t="n">
        <x:f>F1298/G1298-1</x:f>
        <x:v>-0.01422172317200665</x:v>
      </x:c>
      <x:c r="I1298" s="14" t="n">
        <x:f>F1298/F1297-1</x:f>
        <x:v>-0.010195664463428566</x:v>
      </x:c>
      <x:c r="J1298" s="12" t="n">
        <x:v>0</x:v>
      </x:c>
      <x:c r="K1298" s="12" t="n">
        <x:v>0</x:v>
      </x:c>
      <x:c r="L1298" s="12" t="n">
        <x:v>0</x:v>
      </x:c>
      <x:c r="M1298" s="2" t="str">
        <x:v>持有</x:v>
      </x:c>
    </x:row>
    <x:row r="1299" ht="23" customHeight="1">
      <x:c r="A1299" s="11" t="d">
        <x:v>2020-02-24T00:00:00.000Z</x:v>
      </x:c>
      <x:c r="B1299" s="12" t="n">
        <x:v>1017.222345</x:v>
      </x:c>
      <x:c r="C1299" s="13" t="n">
        <x:v>300</x:v>
      </x:c>
      <x:c r="D1299" s="12" t="n">
        <x:v>96726</x:v>
      </x:c>
      <x:c r="E1299" s="12" t="n">
        <x:v>0</x:v>
      </x:c>
      <x:c r="F1299" s="12" t="n">
        <x:f>SUM(B1299,D1299:E1299)</x:f>
        <x:v>97743.222345</x:v>
      </x:c>
      <x:c r="G1299" s="12" t="n">
        <x:f>MAX(G1298,F1299)</x:f>
        <x:v>102519.22234499999</x:v>
      </x:c>
      <x:c r="H1299" s="14" t="n">
        <x:f>F1299/G1299-1</x:f>
        <x:v>-0.04658638537003024</x:v>
      </x:c>
      <x:c r="I1299" s="14" t="n">
        <x:f>F1299/F1298-1</x:f>
        <x:v>-0.032831583895483685</x:v>
      </x:c>
      <x:c r="J1299" s="12" t="n">
        <x:v>0</x:v>
      </x:c>
      <x:c r="K1299" s="12" t="n">
        <x:v>0</x:v>
      </x:c>
      <x:c r="L1299" s="12" t="n">
        <x:v>0</x:v>
      </x:c>
      <x:c r="M1299" s="2" t="str">
        <x:v>持有</x:v>
      </x:c>
    </x:row>
    <x:row r="1300" ht="23" customHeight="1">
      <x:c r="A1300" s="11" t="d">
        <x:v>2020-02-25T00:00:00.000Z</x:v>
      </x:c>
      <x:c r="B1300" s="12" t="n">
        <x:v>98102.040345</x:v>
      </x:c>
      <x:c r="C1300" s="13" t="n">
        <x:v>0</x:v>
      </x:c>
      <x:c r="D1300" s="12" t="n">
        <x:v>0</x:v>
      </x:c>
      <x:c r="E1300" s="12" t="n">
        <x:v>0</x:v>
      </x:c>
      <x:c r="F1300" s="12" t="n">
        <x:f>SUM(B1300,D1300:E1300)</x:f>
        <x:v>98102.040345</x:v>
      </x:c>
      <x:c r="G1300" s="12" t="n">
        <x:f>MAX(G1299,F1300)</x:f>
        <x:v>102519.22234499999</x:v>
      </x:c>
      <x:c r="H1300" s="14" t="n">
        <x:f>F1300/G1300-1</x:f>
        <x:v>-0.0430863783294726</x:v>
      </x:c>
      <x:c r="I1300" s="14" t="n">
        <x:f>F1300/F1299-1</x:f>
        <x:v>0.0036710269151296604</x:v>
      </x:c>
      <x:c r="J1300" s="12" t="n">
        <x:v>0</x:v>
      </x:c>
      <x:c r="K1300" s="12" t="n">
        <x:v>0</x:v>
      </x:c>
      <x:c r="L1300" s="12" t="n">
        <x:v>-300</x:v>
      </x:c>
      <x:c r="M1300" s="2" t="str">
        <x:v>卖出</x:v>
      </x:c>
    </x:row>
    <x:row r="1301" ht="23" customHeight="1">
      <x:c r="A1301" s="11" t="d">
        <x:v>2020-02-26T00:00:00.000Z</x:v>
      </x:c>
      <x:c r="B1301" s="12" t="n">
        <x:v>98102.040345</x:v>
      </x:c>
      <x:c r="C1301" s="13" t="n">
        <x:v>0</x:v>
      </x:c>
      <x:c r="D1301" s="12" t="n">
        <x:v>0</x:v>
      </x:c>
      <x:c r="E1301" s="12" t="n">
        <x:v>0</x:v>
      </x:c>
      <x:c r="F1301" s="12" t="n">
        <x:f>SUM(B1301,D1301:E1301)</x:f>
        <x:v>98102.040345</x:v>
      </x:c>
      <x:c r="G1301" s="12" t="n">
        <x:f>MAX(G1300,F1301)</x:f>
        <x:v>102519.22234499999</x:v>
      </x:c>
      <x:c r="H1301" s="14" t="n">
        <x:f>F1301/G1301-1</x:f>
        <x:v>-0.0430863783294726</x:v>
      </x:c>
      <x:c r="I1301" s="14" t="n">
        <x:f>F1301/F1300-1</x:f>
        <x:v>0</x:v>
      </x:c>
      <x:c r="J1301" s="12" t="n">
        <x:v>0</x:v>
      </x:c>
      <x:c r="K1301" s="12" t="n">
        <x:v>0</x:v>
      </x:c>
      <x:c r="L1301" s="12" t="n">
        <x:v>0</x:v>
      </x:c>
      <x:c r="M1301" s="2" t="str">
        <x:v>空仓</x:v>
      </x:c>
    </x:row>
    <x:row r="1302" ht="23" customHeight="1">
      <x:c r="A1302" s="11" t="d">
        <x:v>2020-02-27T00:00:00.000Z</x:v>
      </x:c>
      <x:c r="B1302" s="12" t="n">
        <x:v>98102.040345</x:v>
      </x:c>
      <x:c r="C1302" s="13" t="n">
        <x:v>0</x:v>
      </x:c>
      <x:c r="D1302" s="12" t="n">
        <x:v>0</x:v>
      </x:c>
      <x:c r="E1302" s="12" t="n">
        <x:v>0</x:v>
      </x:c>
      <x:c r="F1302" s="12" t="n">
        <x:f>SUM(B1302,D1302:E1302)</x:f>
        <x:v>98102.040345</x:v>
      </x:c>
      <x:c r="G1302" s="12" t="n">
        <x:f>MAX(G1301,F1302)</x:f>
        <x:v>102519.22234499999</x:v>
      </x:c>
      <x:c r="H1302" s="14" t="n">
        <x:f>F1302/G1302-1</x:f>
        <x:v>-0.0430863783294726</x:v>
      </x:c>
      <x:c r="I1302" s="14" t="n">
        <x:f>F1302/F1301-1</x:f>
        <x:v>0</x:v>
      </x:c>
      <x:c r="J1302" s="12" t="n">
        <x:v>0</x:v>
      </x:c>
      <x:c r="K1302" s="12" t="n">
        <x:v>0</x:v>
      </x:c>
      <x:c r="L1302" s="12" t="n">
        <x:v>0</x:v>
      </x:c>
      <x:c r="M1302" s="2" t="str">
        <x:v>空仓</x:v>
      </x:c>
    </x:row>
    <x:row r="1303" ht="23" customHeight="1">
      <x:c r="A1303" s="11" t="d">
        <x:v>2020-02-28T00:00:00.000Z</x:v>
      </x:c>
      <x:c r="B1303" s="12" t="n">
        <x:v>98102.040345</x:v>
      </x:c>
      <x:c r="C1303" s="13" t="n">
        <x:v>0</x:v>
      </x:c>
      <x:c r="D1303" s="12" t="n">
        <x:v>0</x:v>
      </x:c>
      <x:c r="E1303" s="12" t="n">
        <x:v>0</x:v>
      </x:c>
      <x:c r="F1303" s="12" t="n">
        <x:f>SUM(B1303,D1303:E1303)</x:f>
        <x:v>98102.040345</x:v>
      </x:c>
      <x:c r="G1303" s="12" t="n">
        <x:f>MAX(G1302,F1303)</x:f>
        <x:v>102519.22234499999</x:v>
      </x:c>
      <x:c r="H1303" s="14" t="n">
        <x:f>F1303/G1303-1</x:f>
        <x:v>-0.0430863783294726</x:v>
      </x:c>
      <x:c r="I1303" s="14" t="n">
        <x:f>F1303/F1302-1</x:f>
        <x:v>0</x:v>
      </x:c>
      <x:c r="J1303" s="12" t="n">
        <x:v>0</x:v>
      </x:c>
      <x:c r="K1303" s="12" t="n">
        <x:v>0</x:v>
      </x:c>
      <x:c r="L1303" s="12" t="n">
        <x:v>0</x:v>
      </x:c>
      <x:c r="M1303" s="2" t="str">
        <x:v>空仓</x:v>
      </x:c>
    </x:row>
    <x:row r="1304" ht="23" customHeight="1">
      <x:c r="A1304" s="11" t="d">
        <x:v>2020-03-02T00:00:00.000Z</x:v>
      </x:c>
      <x:c r="B1304" s="12" t="n">
        <x:v>98102.040345</x:v>
      </x:c>
      <x:c r="C1304" s="13" t="n">
        <x:v>0</x:v>
      </x:c>
      <x:c r="D1304" s="12" t="n">
        <x:v>0</x:v>
      </x:c>
      <x:c r="E1304" s="12" t="n">
        <x:v>0</x:v>
      </x:c>
      <x:c r="F1304" s="12" t="n">
        <x:f>SUM(B1304,D1304:E1304)</x:f>
        <x:v>98102.040345</x:v>
      </x:c>
      <x:c r="G1304" s="12" t="n">
        <x:f>MAX(G1303,F1304)</x:f>
        <x:v>102519.22234499999</x:v>
      </x:c>
      <x:c r="H1304" s="14" t="n">
        <x:f>F1304/G1304-1</x:f>
        <x:v>-0.0430863783294726</x:v>
      </x:c>
      <x:c r="I1304" s="14" t="n">
        <x:f>F1304/F1303-1</x:f>
        <x:v>0</x:v>
      </x:c>
      <x:c r="J1304" s="12" t="n">
        <x:v>0</x:v>
      </x:c>
      <x:c r="K1304" s="12" t="n">
        <x:v>0</x:v>
      </x:c>
      <x:c r="L1304" s="12" t="n">
        <x:v>0</x:v>
      </x:c>
      <x:c r="M1304" s="2" t="str">
        <x:v>空仓</x:v>
      </x:c>
    </x:row>
    <x:row r="1305" ht="23" customHeight="1">
      <x:c r="A1305" s="11" t="d">
        <x:v>2020-03-03T00:00:00.000Z</x:v>
      </x:c>
      <x:c r="B1305" s="12" t="n">
        <x:v>98102.040345</x:v>
      </x:c>
      <x:c r="C1305" s="13" t="n">
        <x:v>0</x:v>
      </x:c>
      <x:c r="D1305" s="12" t="n">
        <x:v>0</x:v>
      </x:c>
      <x:c r="E1305" s="12" t="n">
        <x:v>0</x:v>
      </x:c>
      <x:c r="F1305" s="12" t="n">
        <x:f>SUM(B1305,D1305:E1305)</x:f>
        <x:v>98102.040345</x:v>
      </x:c>
      <x:c r="G1305" s="12" t="n">
        <x:f>MAX(G1304,F1305)</x:f>
        <x:v>102519.22234499999</x:v>
      </x:c>
      <x:c r="H1305" s="14" t="n">
        <x:f>F1305/G1305-1</x:f>
        <x:v>-0.0430863783294726</x:v>
      </x:c>
      <x:c r="I1305" s="14" t="n">
        <x:f>F1305/F1304-1</x:f>
        <x:v>0</x:v>
      </x:c>
      <x:c r="J1305" s="12" t="n">
        <x:v>0</x:v>
      </x:c>
      <x:c r="K1305" s="12" t="n">
        <x:v>0</x:v>
      </x:c>
      <x:c r="L1305" s="12" t="n">
        <x:v>0</x:v>
      </x:c>
      <x:c r="M1305" s="2" t="str">
        <x:v>空仓</x:v>
      </x:c>
    </x:row>
    <x:row r="1306" ht="23" customHeight="1">
      <x:c r="A1306" s="11" t="d">
        <x:v>2020-03-04T00:00:00.000Z</x:v>
      </x:c>
      <x:c r="B1306" s="12" t="n">
        <x:v>98102.040345</x:v>
      </x:c>
      <x:c r="C1306" s="13" t="n">
        <x:v>0</x:v>
      </x:c>
      <x:c r="D1306" s="12" t="n">
        <x:v>0</x:v>
      </x:c>
      <x:c r="E1306" s="12" t="n">
        <x:v>0</x:v>
      </x:c>
      <x:c r="F1306" s="12" t="n">
        <x:f>SUM(B1306,D1306:E1306)</x:f>
        <x:v>98102.040345</x:v>
      </x:c>
      <x:c r="G1306" s="12" t="n">
        <x:f>MAX(G1305,F1306)</x:f>
        <x:v>102519.22234499999</x:v>
      </x:c>
      <x:c r="H1306" s="14" t="n">
        <x:f>F1306/G1306-1</x:f>
        <x:v>-0.0430863783294726</x:v>
      </x:c>
      <x:c r="I1306" s="14" t="n">
        <x:f>F1306/F1305-1</x:f>
        <x:v>0</x:v>
      </x:c>
      <x:c r="J1306" s="12" t="n">
        <x:v>0</x:v>
      </x:c>
      <x:c r="K1306" s="12" t="n">
        <x:v>0</x:v>
      </x:c>
      <x:c r="L1306" s="12" t="n">
        <x:v>0</x:v>
      </x:c>
      <x:c r="M1306" s="2" t="str">
        <x:v>空仓</x:v>
      </x:c>
    </x:row>
    <x:row r="1307" ht="23" customHeight="1">
      <x:c r="A1307" s="11" t="d">
        <x:v>2020-03-05T00:00:00.000Z</x:v>
      </x:c>
      <x:c r="B1307" s="12" t="n">
        <x:v>98102.040345</x:v>
      </x:c>
      <x:c r="C1307" s="13" t="n">
        <x:v>0</x:v>
      </x:c>
      <x:c r="D1307" s="12" t="n">
        <x:v>0</x:v>
      </x:c>
      <x:c r="E1307" s="12" t="n">
        <x:v>0</x:v>
      </x:c>
      <x:c r="F1307" s="12" t="n">
        <x:f>SUM(B1307,D1307:E1307)</x:f>
        <x:v>98102.040345</x:v>
      </x:c>
      <x:c r="G1307" s="12" t="n">
        <x:f>MAX(G1306,F1307)</x:f>
        <x:v>102519.22234499999</x:v>
      </x:c>
      <x:c r="H1307" s="14" t="n">
        <x:f>F1307/G1307-1</x:f>
        <x:v>-0.0430863783294726</x:v>
      </x:c>
      <x:c r="I1307" s="14" t="n">
        <x:f>F1307/F1306-1</x:f>
        <x:v>0</x:v>
      </x:c>
      <x:c r="J1307" s="12" t="n">
        <x:v>0</x:v>
      </x:c>
      <x:c r="K1307" s="12" t="n">
        <x:v>0</x:v>
      </x:c>
      <x:c r="L1307" s="12" t="n">
        <x:v>0</x:v>
      </x:c>
      <x:c r="M1307" s="2" t="str">
        <x:v>空仓</x:v>
      </x:c>
    </x:row>
    <x:row r="1308" ht="23" customHeight="1">
      <x:c r="A1308" s="11" t="d">
        <x:v>2020-03-06T00:00:00.000Z</x:v>
      </x:c>
      <x:c r="B1308" s="12" t="n">
        <x:v>98102.040345</x:v>
      </x:c>
      <x:c r="C1308" s="13" t="n">
        <x:v>0</x:v>
      </x:c>
      <x:c r="D1308" s="12" t="n">
        <x:v>0</x:v>
      </x:c>
      <x:c r="E1308" s="12" t="n">
        <x:v>0</x:v>
      </x:c>
      <x:c r="F1308" s="12" t="n">
        <x:f>SUM(B1308,D1308:E1308)</x:f>
        <x:v>98102.040345</x:v>
      </x:c>
      <x:c r="G1308" s="12" t="n">
        <x:f>MAX(G1307,F1308)</x:f>
        <x:v>102519.22234499999</x:v>
      </x:c>
      <x:c r="H1308" s="14" t="n">
        <x:f>F1308/G1308-1</x:f>
        <x:v>-0.0430863783294726</x:v>
      </x:c>
      <x:c r="I1308" s="14" t="n">
        <x:f>F1308/F1307-1</x:f>
        <x:v>0</x:v>
      </x:c>
      <x:c r="J1308" s="12" t="n">
        <x:v>0</x:v>
      </x:c>
      <x:c r="K1308" s="12" t="n">
        <x:v>0</x:v>
      </x:c>
      <x:c r="L1308" s="12" t="n">
        <x:v>0</x:v>
      </x:c>
      <x:c r="M1308" s="2" t="str">
        <x:v>空仓</x:v>
      </x:c>
    </x:row>
    <x:row r="1309" ht="23" customHeight="1">
      <x:c r="A1309" s="11" t="d">
        <x:v>2020-03-09T00:00:00.000Z</x:v>
      </x:c>
      <x:c r="B1309" s="12" t="n">
        <x:v>98102.040345</x:v>
      </x:c>
      <x:c r="C1309" s="13" t="n">
        <x:v>0</x:v>
      </x:c>
      <x:c r="D1309" s="12" t="n">
        <x:v>0</x:v>
      </x:c>
      <x:c r="E1309" s="12" t="n">
        <x:v>0</x:v>
      </x:c>
      <x:c r="F1309" s="12" t="n">
        <x:f>SUM(B1309,D1309:E1309)</x:f>
        <x:v>98102.040345</x:v>
      </x:c>
      <x:c r="G1309" s="12" t="n">
        <x:f>MAX(G1308,F1309)</x:f>
        <x:v>102519.22234499999</x:v>
      </x:c>
      <x:c r="H1309" s="14" t="n">
        <x:f>F1309/G1309-1</x:f>
        <x:v>-0.0430863783294726</x:v>
      </x:c>
      <x:c r="I1309" s="14" t="n">
        <x:f>F1309/F1308-1</x:f>
        <x:v>0</x:v>
      </x:c>
      <x:c r="J1309" s="12" t="n">
        <x:v>0</x:v>
      </x:c>
      <x:c r="K1309" s="12" t="n">
        <x:v>0</x:v>
      </x:c>
      <x:c r="L1309" s="12" t="n">
        <x:v>0</x:v>
      </x:c>
      <x:c r="M1309" s="2" t="str">
        <x:v>空仓</x:v>
      </x:c>
    </x:row>
    <x:row r="1310" ht="23" customHeight="1">
      <x:c r="A1310" s="11" t="d">
        <x:v>2020-03-10T00:00:00.000Z</x:v>
      </x:c>
      <x:c r="B1310" s="12" t="n">
        <x:v>98102.040345</x:v>
      </x:c>
      <x:c r="C1310" s="13" t="n">
        <x:v>0</x:v>
      </x:c>
      <x:c r="D1310" s="12" t="n">
        <x:v>0</x:v>
      </x:c>
      <x:c r="E1310" s="12" t="n">
        <x:v>0</x:v>
      </x:c>
      <x:c r="F1310" s="12" t="n">
        <x:f>SUM(B1310,D1310:E1310)</x:f>
        <x:v>98102.040345</x:v>
      </x:c>
      <x:c r="G1310" s="12" t="n">
        <x:f>MAX(G1309,F1310)</x:f>
        <x:v>102519.22234499999</x:v>
      </x:c>
      <x:c r="H1310" s="14" t="n">
        <x:f>F1310/G1310-1</x:f>
        <x:v>-0.0430863783294726</x:v>
      </x:c>
      <x:c r="I1310" s="14" t="n">
        <x:f>F1310/F1309-1</x:f>
        <x:v>0</x:v>
      </x:c>
      <x:c r="J1310" s="12" t="n">
        <x:v>0</x:v>
      </x:c>
      <x:c r="K1310" s="12" t="n">
        <x:v>0</x:v>
      </x:c>
      <x:c r="L1310" s="12" t="n">
        <x:v>0</x:v>
      </x:c>
      <x:c r="M1310" s="2" t="str">
        <x:v>空仓</x:v>
      </x:c>
    </x:row>
    <x:row r="1311" ht="23" customHeight="1">
      <x:c r="A1311" s="11" t="d">
        <x:v>2020-03-11T00:00:00.000Z</x:v>
      </x:c>
      <x:c r="B1311" s="12" t="n">
        <x:v>98102.040345</x:v>
      </x:c>
      <x:c r="C1311" s="13" t="n">
        <x:v>0</x:v>
      </x:c>
      <x:c r="D1311" s="12" t="n">
        <x:v>0</x:v>
      </x:c>
      <x:c r="E1311" s="12" t="n">
        <x:v>0</x:v>
      </x:c>
      <x:c r="F1311" s="12" t="n">
        <x:f>SUM(B1311,D1311:E1311)</x:f>
        <x:v>98102.040345</x:v>
      </x:c>
      <x:c r="G1311" s="12" t="n">
        <x:f>MAX(G1310,F1311)</x:f>
        <x:v>102519.22234499999</x:v>
      </x:c>
      <x:c r="H1311" s="14" t="n">
        <x:f>F1311/G1311-1</x:f>
        <x:v>-0.0430863783294726</x:v>
      </x:c>
      <x:c r="I1311" s="14" t="n">
        <x:f>F1311/F1310-1</x:f>
        <x:v>0</x:v>
      </x:c>
      <x:c r="J1311" s="12" t="n">
        <x:v>0</x:v>
      </x:c>
      <x:c r="K1311" s="12" t="n">
        <x:v>0</x:v>
      </x:c>
      <x:c r="L1311" s="12" t="n">
        <x:v>0</x:v>
      </x:c>
      <x:c r="M1311" s="2" t="str">
        <x:v>空仓</x:v>
      </x:c>
    </x:row>
    <x:row r="1312" ht="23" customHeight="1">
      <x:c r="A1312" s="11" t="d">
        <x:v>2020-03-12T00:00:00.000Z</x:v>
      </x:c>
      <x:c r="B1312" s="12" t="n">
        <x:v>98102.040345</x:v>
      </x:c>
      <x:c r="C1312" s="13" t="n">
        <x:v>0</x:v>
      </x:c>
      <x:c r="D1312" s="12" t="n">
        <x:v>0</x:v>
      </x:c>
      <x:c r="E1312" s="12" t="n">
        <x:v>0</x:v>
      </x:c>
      <x:c r="F1312" s="12" t="n">
        <x:f>SUM(B1312,D1312:E1312)</x:f>
        <x:v>98102.040345</x:v>
      </x:c>
      <x:c r="G1312" s="12" t="n">
        <x:f>MAX(G1311,F1312)</x:f>
        <x:v>102519.22234499999</x:v>
      </x:c>
      <x:c r="H1312" s="14" t="n">
        <x:f>F1312/G1312-1</x:f>
        <x:v>-0.0430863783294726</x:v>
      </x:c>
      <x:c r="I1312" s="14" t="n">
        <x:f>F1312/F1311-1</x:f>
        <x:v>0</x:v>
      </x:c>
      <x:c r="J1312" s="12" t="n">
        <x:v>0</x:v>
      </x:c>
      <x:c r="K1312" s="12" t="n">
        <x:v>0</x:v>
      </x:c>
      <x:c r="L1312" s="12" t="n">
        <x:v>0</x:v>
      </x:c>
      <x:c r="M1312" s="2" t="str">
        <x:v>空仓</x:v>
      </x:c>
    </x:row>
    <x:row r="1313" ht="23" customHeight="1">
      <x:c r="A1313" s="11" t="d">
        <x:v>2020-03-13T00:00:00.000Z</x:v>
      </x:c>
      <x:c r="B1313" s="12" t="n">
        <x:v>98102.040345</x:v>
      </x:c>
      <x:c r="C1313" s="13" t="n">
        <x:v>0</x:v>
      </x:c>
      <x:c r="D1313" s="12" t="n">
        <x:v>0</x:v>
      </x:c>
      <x:c r="E1313" s="12" t="n">
        <x:v>0</x:v>
      </x:c>
      <x:c r="F1313" s="12" t="n">
        <x:f>SUM(B1313,D1313:E1313)</x:f>
        <x:v>98102.040345</x:v>
      </x:c>
      <x:c r="G1313" s="12" t="n">
        <x:f>MAX(G1312,F1313)</x:f>
        <x:v>102519.22234499999</x:v>
      </x:c>
      <x:c r="H1313" s="14" t="n">
        <x:f>F1313/G1313-1</x:f>
        <x:v>-0.0430863783294726</x:v>
      </x:c>
      <x:c r="I1313" s="14" t="n">
        <x:f>F1313/F1312-1</x:f>
        <x:v>0</x:v>
      </x:c>
      <x:c r="J1313" s="12" t="n">
        <x:v>0</x:v>
      </x:c>
      <x:c r="K1313" s="12" t="n">
        <x:v>0</x:v>
      </x:c>
      <x:c r="L1313" s="12" t="n">
        <x:v>0</x:v>
      </x:c>
      <x:c r="M1313" s="2" t="str">
        <x:v>空仓</x:v>
      </x:c>
    </x:row>
    <x:row r="1314" ht="23" customHeight="1">
      <x:c r="A1314" s="11" t="d">
        <x:v>2020-03-16T00:00:00.000Z</x:v>
      </x:c>
      <x:c r="B1314" s="12" t="n">
        <x:v>98102.040345</x:v>
      </x:c>
      <x:c r="C1314" s="13" t="n">
        <x:v>0</x:v>
      </x:c>
      <x:c r="D1314" s="12" t="n">
        <x:v>0</x:v>
      </x:c>
      <x:c r="E1314" s="12" t="n">
        <x:v>0</x:v>
      </x:c>
      <x:c r="F1314" s="12" t="n">
        <x:f>SUM(B1314,D1314:E1314)</x:f>
        <x:v>98102.040345</x:v>
      </x:c>
      <x:c r="G1314" s="12" t="n">
        <x:f>MAX(G1313,F1314)</x:f>
        <x:v>102519.22234499999</x:v>
      </x:c>
      <x:c r="H1314" s="14" t="n">
        <x:f>F1314/G1314-1</x:f>
        <x:v>-0.0430863783294726</x:v>
      </x:c>
      <x:c r="I1314" s="14" t="n">
        <x:f>F1314/F1313-1</x:f>
        <x:v>0</x:v>
      </x:c>
      <x:c r="J1314" s="12" t="n">
        <x:v>0</x:v>
      </x:c>
      <x:c r="K1314" s="12" t="n">
        <x:v>0</x:v>
      </x:c>
      <x:c r="L1314" s="12" t="n">
        <x:v>0</x:v>
      </x:c>
      <x:c r="M1314" s="2" t="str">
        <x:v>空仓</x:v>
      </x:c>
    </x:row>
    <x:row r="1315" ht="23" customHeight="1">
      <x:c r="A1315" s="11" t="d">
        <x:v>2020-03-17T00:00:00.000Z</x:v>
      </x:c>
      <x:c r="B1315" s="12" t="n">
        <x:v>98102.040345</x:v>
      </x:c>
      <x:c r="C1315" s="13" t="n">
        <x:v>0</x:v>
      </x:c>
      <x:c r="D1315" s="12" t="n">
        <x:v>0</x:v>
      </x:c>
      <x:c r="E1315" s="12" t="n">
        <x:v>0</x:v>
      </x:c>
      <x:c r="F1315" s="12" t="n">
        <x:f>SUM(B1315,D1315:E1315)</x:f>
        <x:v>98102.040345</x:v>
      </x:c>
      <x:c r="G1315" s="12" t="n">
        <x:f>MAX(G1314,F1315)</x:f>
        <x:v>102519.22234499999</x:v>
      </x:c>
      <x:c r="H1315" s="14" t="n">
        <x:f>F1315/G1315-1</x:f>
        <x:v>-0.0430863783294726</x:v>
      </x:c>
      <x:c r="I1315" s="14" t="n">
        <x:f>F1315/F1314-1</x:f>
        <x:v>0</x:v>
      </x:c>
      <x:c r="J1315" s="12" t="n">
        <x:v>0</x:v>
      </x:c>
      <x:c r="K1315" s="12" t="n">
        <x:v>0</x:v>
      </x:c>
      <x:c r="L1315" s="12" t="n">
        <x:v>0</x:v>
      </x:c>
      <x:c r="M1315" s="2" t="str">
        <x:v>空仓</x:v>
      </x:c>
    </x:row>
    <x:row r="1316" ht="23" customHeight="1">
      <x:c r="A1316" s="11" t="d">
        <x:v>2020-03-18T00:00:00.000Z</x:v>
      </x:c>
      <x:c r="B1316" s="12" t="n">
        <x:v>98102.040345</x:v>
      </x:c>
      <x:c r="C1316" s="13" t="n">
        <x:v>0</x:v>
      </x:c>
      <x:c r="D1316" s="12" t="n">
        <x:v>0</x:v>
      </x:c>
      <x:c r="E1316" s="12" t="n">
        <x:v>0</x:v>
      </x:c>
      <x:c r="F1316" s="12" t="n">
        <x:f>SUM(B1316,D1316:E1316)</x:f>
        <x:v>98102.040345</x:v>
      </x:c>
      <x:c r="G1316" s="12" t="n">
        <x:f>MAX(G1315,F1316)</x:f>
        <x:v>102519.22234499999</x:v>
      </x:c>
      <x:c r="H1316" s="14" t="n">
        <x:f>F1316/G1316-1</x:f>
        <x:v>-0.0430863783294726</x:v>
      </x:c>
      <x:c r="I1316" s="14" t="n">
        <x:f>F1316/F1315-1</x:f>
        <x:v>0</x:v>
      </x:c>
      <x:c r="J1316" s="12" t="n">
        <x:v>0</x:v>
      </x:c>
      <x:c r="K1316" s="12" t="n">
        <x:v>0</x:v>
      </x:c>
      <x:c r="L1316" s="12" t="n">
        <x:v>0</x:v>
      </x:c>
      <x:c r="M1316" s="2" t="str">
        <x:v>空仓</x:v>
      </x:c>
    </x:row>
    <x:row r="1317" ht="23" customHeight="1">
      <x:c r="A1317" s="11" t="d">
        <x:v>2020-03-19T00:00:00.000Z</x:v>
      </x:c>
      <x:c r="B1317" s="12" t="n">
        <x:v>98102.040345</x:v>
      </x:c>
      <x:c r="C1317" s="13" t="n">
        <x:v>0</x:v>
      </x:c>
      <x:c r="D1317" s="12" t="n">
        <x:v>0</x:v>
      </x:c>
      <x:c r="E1317" s="12" t="n">
        <x:v>0</x:v>
      </x:c>
      <x:c r="F1317" s="12" t="n">
        <x:f>SUM(B1317,D1317:E1317)</x:f>
        <x:v>98102.040345</x:v>
      </x:c>
      <x:c r="G1317" s="12" t="n">
        <x:f>MAX(G1316,F1317)</x:f>
        <x:v>102519.22234499999</x:v>
      </x:c>
      <x:c r="H1317" s="14" t="n">
        <x:f>F1317/G1317-1</x:f>
        <x:v>-0.0430863783294726</x:v>
      </x:c>
      <x:c r="I1317" s="14" t="n">
        <x:f>F1317/F1316-1</x:f>
        <x:v>0</x:v>
      </x:c>
      <x:c r="J1317" s="12" t="n">
        <x:v>0</x:v>
      </x:c>
      <x:c r="K1317" s="12" t="n">
        <x:v>0</x:v>
      </x:c>
      <x:c r="L1317" s="12" t="n">
        <x:v>0</x:v>
      </x:c>
      <x:c r="M1317" s="2" t="str">
        <x:v>空仓</x:v>
      </x:c>
    </x:row>
    <x:row r="1318" ht="23" customHeight="1">
      <x:c r="A1318" s="11" t="d">
        <x:v>2020-03-20T00:00:00.000Z</x:v>
      </x:c>
      <x:c r="B1318" s="12" t="n">
        <x:v>98102.040345</x:v>
      </x:c>
      <x:c r="C1318" s="13" t="n">
        <x:v>0</x:v>
      </x:c>
      <x:c r="D1318" s="12" t="n">
        <x:v>0</x:v>
      </x:c>
      <x:c r="E1318" s="12" t="n">
        <x:v>0</x:v>
      </x:c>
      <x:c r="F1318" s="12" t="n">
        <x:f>SUM(B1318,D1318:E1318)</x:f>
        <x:v>98102.040345</x:v>
      </x:c>
      <x:c r="G1318" s="12" t="n">
        <x:f>MAX(G1317,F1318)</x:f>
        <x:v>102519.22234499999</x:v>
      </x:c>
      <x:c r="H1318" s="14" t="n">
        <x:f>F1318/G1318-1</x:f>
        <x:v>-0.0430863783294726</x:v>
      </x:c>
      <x:c r="I1318" s="14" t="n">
        <x:f>F1318/F1317-1</x:f>
        <x:v>0</x:v>
      </x:c>
      <x:c r="J1318" s="12" t="n">
        <x:v>0</x:v>
      </x:c>
      <x:c r="K1318" s="12" t="n">
        <x:v>0</x:v>
      </x:c>
      <x:c r="L1318" s="12" t="n">
        <x:v>0</x:v>
      </x:c>
      <x:c r="M1318" s="2" t="str">
        <x:v>空仓</x:v>
      </x:c>
    </x:row>
    <x:row r="1319" ht="23" customHeight="1">
      <x:c r="A1319" s="11" t="d">
        <x:v>2020-03-23T00:00:00.000Z</x:v>
      </x:c>
      <x:c r="B1319" s="12" t="n">
        <x:v>98102.040345</x:v>
      </x:c>
      <x:c r="C1319" s="13" t="n">
        <x:v>0</x:v>
      </x:c>
      <x:c r="D1319" s="12" t="n">
        <x:v>0</x:v>
      </x:c>
      <x:c r="E1319" s="12" t="n">
        <x:v>0</x:v>
      </x:c>
      <x:c r="F1319" s="12" t="n">
        <x:f>SUM(B1319,D1319:E1319)</x:f>
        <x:v>98102.040345</x:v>
      </x:c>
      <x:c r="G1319" s="12" t="n">
        <x:f>MAX(G1318,F1319)</x:f>
        <x:v>102519.22234499999</x:v>
      </x:c>
      <x:c r="H1319" s="14" t="n">
        <x:f>F1319/G1319-1</x:f>
        <x:v>-0.0430863783294726</x:v>
      </x:c>
      <x:c r="I1319" s="14" t="n">
        <x:f>F1319/F1318-1</x:f>
        <x:v>0</x:v>
      </x:c>
      <x:c r="J1319" s="12" t="n">
        <x:v>0</x:v>
      </x:c>
      <x:c r="K1319" s="12" t="n">
        <x:v>0</x:v>
      </x:c>
      <x:c r="L1319" s="12" t="n">
        <x:v>0</x:v>
      </x:c>
      <x:c r="M1319" s="2" t="str">
        <x:v>空仓</x:v>
      </x:c>
    </x:row>
    <x:row r="1320" ht="23" customHeight="1">
      <x:c r="A1320" s="11" t="d">
        <x:v>2020-03-24T00:00:00.000Z</x:v>
      </x:c>
      <x:c r="B1320" s="12" t="n">
        <x:v>98102.040345</x:v>
      </x:c>
      <x:c r="C1320" s="13" t="n">
        <x:v>0</x:v>
      </x:c>
      <x:c r="D1320" s="12" t="n">
        <x:v>0</x:v>
      </x:c>
      <x:c r="E1320" s="12" t="n">
        <x:v>0</x:v>
      </x:c>
      <x:c r="F1320" s="12" t="n">
        <x:f>SUM(B1320,D1320:E1320)</x:f>
        <x:v>98102.040345</x:v>
      </x:c>
      <x:c r="G1320" s="12" t="n">
        <x:f>MAX(G1319,F1320)</x:f>
        <x:v>102519.22234499999</x:v>
      </x:c>
      <x:c r="H1320" s="14" t="n">
        <x:f>F1320/G1320-1</x:f>
        <x:v>-0.0430863783294726</x:v>
      </x:c>
      <x:c r="I1320" s="14" t="n">
        <x:f>F1320/F1319-1</x:f>
        <x:v>0</x:v>
      </x:c>
      <x:c r="J1320" s="12" t="n">
        <x:v>0</x:v>
      </x:c>
      <x:c r="K1320" s="12" t="n">
        <x:v>0</x:v>
      </x:c>
      <x:c r="L1320" s="12" t="n">
        <x:v>0</x:v>
      </x:c>
      <x:c r="M1320" s="2" t="str">
        <x:v>空仓</x:v>
      </x:c>
    </x:row>
    <x:row r="1321" ht="23" customHeight="1">
      <x:c r="A1321" s="11" t="d">
        <x:v>2020-03-25T00:00:00.000Z</x:v>
      </x:c>
      <x:c r="B1321" s="12" t="n">
        <x:v>98102.040345</x:v>
      </x:c>
      <x:c r="C1321" s="13" t="n">
        <x:v>0</x:v>
      </x:c>
      <x:c r="D1321" s="12" t="n">
        <x:v>0</x:v>
      </x:c>
      <x:c r="E1321" s="12" t="n">
        <x:v>0</x:v>
      </x:c>
      <x:c r="F1321" s="12" t="n">
        <x:f>SUM(B1321,D1321:E1321)</x:f>
        <x:v>98102.040345</x:v>
      </x:c>
      <x:c r="G1321" s="12" t="n">
        <x:f>MAX(G1320,F1321)</x:f>
        <x:v>102519.22234499999</x:v>
      </x:c>
      <x:c r="H1321" s="14" t="n">
        <x:f>F1321/G1321-1</x:f>
        <x:v>-0.0430863783294726</x:v>
      </x:c>
      <x:c r="I1321" s="14" t="n">
        <x:f>F1321/F1320-1</x:f>
        <x:v>0</x:v>
      </x:c>
      <x:c r="J1321" s="12" t="n">
        <x:v>0</x:v>
      </x:c>
      <x:c r="K1321" s="12" t="n">
        <x:v>0</x:v>
      </x:c>
      <x:c r="L1321" s="12" t="n">
        <x:v>0</x:v>
      </x:c>
      <x:c r="M1321" s="2" t="str">
        <x:v>空仓</x:v>
      </x:c>
    </x:row>
    <x:row r="1322" ht="23" customHeight="1">
      <x:c r="A1322" s="11" t="d">
        <x:v>2020-03-26T00:00:00.000Z</x:v>
      </x:c>
      <x:c r="B1322" s="12" t="n">
        <x:v>98102.040345</x:v>
      </x:c>
      <x:c r="C1322" s="13" t="n">
        <x:v>0</x:v>
      </x:c>
      <x:c r="D1322" s="12" t="n">
        <x:v>0</x:v>
      </x:c>
      <x:c r="E1322" s="12" t="n">
        <x:v>0</x:v>
      </x:c>
      <x:c r="F1322" s="12" t="n">
        <x:f>SUM(B1322,D1322:E1322)</x:f>
        <x:v>98102.040345</x:v>
      </x:c>
      <x:c r="G1322" s="12" t="n">
        <x:f>MAX(G1321,F1322)</x:f>
        <x:v>102519.22234499999</x:v>
      </x:c>
      <x:c r="H1322" s="14" t="n">
        <x:f>F1322/G1322-1</x:f>
        <x:v>-0.0430863783294726</x:v>
      </x:c>
      <x:c r="I1322" s="14" t="n">
        <x:f>F1322/F1321-1</x:f>
        <x:v>0</x:v>
      </x:c>
      <x:c r="J1322" s="12" t="n">
        <x:v>0</x:v>
      </x:c>
      <x:c r="K1322" s="12" t="n">
        <x:v>0</x:v>
      </x:c>
      <x:c r="L1322" s="12" t="n">
        <x:v>0</x:v>
      </x:c>
      <x:c r="M1322" s="2" t="str">
        <x:v>空仓</x:v>
      </x:c>
    </x:row>
    <x:row r="1323" ht="23" customHeight="1">
      <x:c r="A1323" s="11" t="d">
        <x:v>2020-03-27T00:00:00.000Z</x:v>
      </x:c>
      <x:c r="B1323" s="12" t="n">
        <x:v>98102.040345</x:v>
      </x:c>
      <x:c r="C1323" s="13" t="n">
        <x:v>0</x:v>
      </x:c>
      <x:c r="D1323" s="12" t="n">
        <x:v>0</x:v>
      </x:c>
      <x:c r="E1323" s="12" t="n">
        <x:v>0</x:v>
      </x:c>
      <x:c r="F1323" s="12" t="n">
        <x:f>SUM(B1323,D1323:E1323)</x:f>
        <x:v>98102.040345</x:v>
      </x:c>
      <x:c r="G1323" s="12" t="n">
        <x:f>MAX(G1322,F1323)</x:f>
        <x:v>102519.22234499999</x:v>
      </x:c>
      <x:c r="H1323" s="14" t="n">
        <x:f>F1323/G1323-1</x:f>
        <x:v>-0.0430863783294726</x:v>
      </x:c>
      <x:c r="I1323" s="14" t="n">
        <x:f>F1323/F1322-1</x:f>
        <x:v>0</x:v>
      </x:c>
      <x:c r="J1323" s="12" t="n">
        <x:v>0</x:v>
      </x:c>
      <x:c r="K1323" s="12" t="n">
        <x:v>0</x:v>
      </x:c>
      <x:c r="L1323" s="12" t="n">
        <x:v>0</x:v>
      </x:c>
      <x:c r="M1323" s="2" t="str">
        <x:v>空仓</x:v>
      </x:c>
    </x:row>
    <x:row r="1324" ht="23" customHeight="1">
      <x:c r="A1324" s="11" t="d">
        <x:v>2020-03-30T00:00:00.000Z</x:v>
      </x:c>
      <x:c r="B1324" s="12" t="n">
        <x:v>98102.040345</x:v>
      </x:c>
      <x:c r="C1324" s="13" t="n">
        <x:v>0</x:v>
      </x:c>
      <x:c r="D1324" s="12" t="n">
        <x:v>0</x:v>
      </x:c>
      <x:c r="E1324" s="12" t="n">
        <x:v>0</x:v>
      </x:c>
      <x:c r="F1324" s="12" t="n">
        <x:f>SUM(B1324,D1324:E1324)</x:f>
        <x:v>98102.040345</x:v>
      </x:c>
      <x:c r="G1324" s="12" t="n">
        <x:f>MAX(G1323,F1324)</x:f>
        <x:v>102519.22234499999</x:v>
      </x:c>
      <x:c r="H1324" s="14" t="n">
        <x:f>F1324/G1324-1</x:f>
        <x:v>-0.0430863783294726</x:v>
      </x:c>
      <x:c r="I1324" s="14" t="n">
        <x:f>F1324/F1323-1</x:f>
        <x:v>0</x:v>
      </x:c>
      <x:c r="J1324" s="12" t="n">
        <x:v>0</x:v>
      </x:c>
      <x:c r="K1324" s="12" t="n">
        <x:v>0</x:v>
      </x:c>
      <x:c r="L1324" s="12" t="n">
        <x:v>0</x:v>
      </x:c>
      <x:c r="M1324" s="2" t="str">
        <x:v>空仓</x:v>
      </x:c>
    </x:row>
    <x:row r="1325" ht="23" customHeight="1">
      <x:c r="A1325" s="11" t="d">
        <x:v>2020-03-31T00:00:00.000Z</x:v>
      </x:c>
      <x:c r="B1325" s="12" t="n">
        <x:v>98102.040345</x:v>
      </x:c>
      <x:c r="C1325" s="13" t="n">
        <x:v>0</x:v>
      </x:c>
      <x:c r="D1325" s="12" t="n">
        <x:v>0</x:v>
      </x:c>
      <x:c r="E1325" s="12" t="n">
        <x:v>0</x:v>
      </x:c>
      <x:c r="F1325" s="12" t="n">
        <x:f>SUM(B1325,D1325:E1325)</x:f>
        <x:v>98102.040345</x:v>
      </x:c>
      <x:c r="G1325" s="12" t="n">
        <x:f>MAX(G1324,F1325)</x:f>
        <x:v>102519.22234499999</x:v>
      </x:c>
      <x:c r="H1325" s="14" t="n">
        <x:f>F1325/G1325-1</x:f>
        <x:v>-0.0430863783294726</x:v>
      </x:c>
      <x:c r="I1325" s="14" t="n">
        <x:f>F1325/F1324-1</x:f>
        <x:v>0</x:v>
      </x:c>
      <x:c r="J1325" s="12" t="n">
        <x:v>0</x:v>
      </x:c>
      <x:c r="K1325" s="12" t="n">
        <x:v>0</x:v>
      </x:c>
      <x:c r="L1325" s="12" t="n">
        <x:v>0</x:v>
      </x:c>
      <x:c r="M1325" s="2" t="str">
        <x:v>空仓</x:v>
      </x:c>
    </x:row>
    <x:row r="1326" ht="23" customHeight="1">
      <x:c r="A1326" s="11" t="d">
        <x:v>2020-04-01T00:00:00.000Z</x:v>
      </x:c>
      <x:c r="B1326" s="12" t="n">
        <x:v>98102.040345</x:v>
      </x:c>
      <x:c r="C1326" s="13" t="n">
        <x:v>0</x:v>
      </x:c>
      <x:c r="D1326" s="12" t="n">
        <x:v>0</x:v>
      </x:c>
      <x:c r="E1326" s="12" t="n">
        <x:v>0</x:v>
      </x:c>
      <x:c r="F1326" s="12" t="n">
        <x:f>SUM(B1326,D1326:E1326)</x:f>
        <x:v>98102.040345</x:v>
      </x:c>
      <x:c r="G1326" s="12" t="n">
        <x:f>MAX(G1325,F1326)</x:f>
        <x:v>102519.22234499999</x:v>
      </x:c>
      <x:c r="H1326" s="14" t="n">
        <x:f>F1326/G1326-1</x:f>
        <x:v>-0.0430863783294726</x:v>
      </x:c>
      <x:c r="I1326" s="14" t="n">
        <x:f>F1326/F1325-1</x:f>
        <x:v>0</x:v>
      </x:c>
      <x:c r="J1326" s="12" t="n">
        <x:v>0</x:v>
      </x:c>
      <x:c r="K1326" s="12" t="n">
        <x:v>0</x:v>
      </x:c>
      <x:c r="L1326" s="12" t="n">
        <x:v>0</x:v>
      </x:c>
      <x:c r="M1326" s="2" t="str">
        <x:v>空仓</x:v>
      </x:c>
    </x:row>
    <x:row r="1327" ht="23" customHeight="1">
      <x:c r="A1327" s="11" t="d">
        <x:v>2020-04-02T00:00:00.000Z</x:v>
      </x:c>
      <x:c r="B1327" s="12" t="n">
        <x:v>98102.040345</x:v>
      </x:c>
      <x:c r="C1327" s="13" t="n">
        <x:v>0</x:v>
      </x:c>
      <x:c r="D1327" s="12" t="n">
        <x:v>0</x:v>
      </x:c>
      <x:c r="E1327" s="12" t="n">
        <x:v>0</x:v>
      </x:c>
      <x:c r="F1327" s="12" t="n">
        <x:f>SUM(B1327,D1327:E1327)</x:f>
        <x:v>98102.040345</x:v>
      </x:c>
      <x:c r="G1327" s="12" t="n">
        <x:f>MAX(G1326,F1327)</x:f>
        <x:v>102519.22234499999</x:v>
      </x:c>
      <x:c r="H1327" s="14" t="n">
        <x:f>F1327/G1327-1</x:f>
        <x:v>-0.0430863783294726</x:v>
      </x:c>
      <x:c r="I1327" s="14" t="n">
        <x:f>F1327/F1326-1</x:f>
        <x:v>0</x:v>
      </x:c>
      <x:c r="J1327" s="12" t="n">
        <x:v>0</x:v>
      </x:c>
      <x:c r="K1327" s="12" t="n">
        <x:v>0</x:v>
      </x:c>
      <x:c r="L1327" s="12" t="n">
        <x:v>0</x:v>
      </x:c>
      <x:c r="M1327" s="2" t="str">
        <x:v>空仓</x:v>
      </x:c>
    </x:row>
    <x:row r="1328" ht="23" customHeight="1">
      <x:c r="A1328" s="11" t="d">
        <x:v>2020-04-03T00:00:00.000Z</x:v>
      </x:c>
      <x:c r="B1328" s="12" t="n">
        <x:v>98102.040345</x:v>
      </x:c>
      <x:c r="C1328" s="13" t="n">
        <x:v>0</x:v>
      </x:c>
      <x:c r="D1328" s="12" t="n">
        <x:v>0</x:v>
      </x:c>
      <x:c r="E1328" s="12" t="n">
        <x:v>0</x:v>
      </x:c>
      <x:c r="F1328" s="12" t="n">
        <x:f>SUM(B1328,D1328:E1328)</x:f>
        <x:v>98102.040345</x:v>
      </x:c>
      <x:c r="G1328" s="12" t="n">
        <x:f>MAX(G1327,F1328)</x:f>
        <x:v>102519.22234499999</x:v>
      </x:c>
      <x:c r="H1328" s="14" t="n">
        <x:f>F1328/G1328-1</x:f>
        <x:v>-0.0430863783294726</x:v>
      </x:c>
      <x:c r="I1328" s="14" t="n">
        <x:f>F1328/F1327-1</x:f>
        <x:v>0</x:v>
      </x:c>
      <x:c r="J1328" s="12" t="n">
        <x:v>0</x:v>
      </x:c>
      <x:c r="K1328" s="12" t="n">
        <x:v>0</x:v>
      </x:c>
      <x:c r="L1328" s="12" t="n">
        <x:v>0</x:v>
      </x:c>
      <x:c r="M1328" s="2" t="str">
        <x:v>空仓</x:v>
      </x:c>
    </x:row>
    <x:row r="1329" ht="23" customHeight="1">
      <x:c r="A1329" s="11" t="d">
        <x:v>2020-04-06T00:00:00.000Z</x:v>
      </x:c>
      <x:c r="B1329" s="12" t="n">
        <x:v>98102.040345</x:v>
      </x:c>
      <x:c r="C1329" s="13" t="n">
        <x:v>0</x:v>
      </x:c>
      <x:c r="D1329" s="12" t="n">
        <x:v>0</x:v>
      </x:c>
      <x:c r="E1329" s="12" t="n">
        <x:v>0</x:v>
      </x:c>
      <x:c r="F1329" s="12" t="n">
        <x:f>SUM(B1329,D1329:E1329)</x:f>
        <x:v>98102.040345</x:v>
      </x:c>
      <x:c r="G1329" s="12" t="n">
        <x:f>MAX(G1328,F1329)</x:f>
        <x:v>102519.22234499999</x:v>
      </x:c>
      <x:c r="H1329" s="14" t="n">
        <x:f>F1329/G1329-1</x:f>
        <x:v>-0.0430863783294726</x:v>
      </x:c>
      <x:c r="I1329" s="14" t="n">
        <x:f>F1329/F1328-1</x:f>
        <x:v>0</x:v>
      </x:c>
      <x:c r="J1329" s="12" t="n">
        <x:v>0</x:v>
      </x:c>
      <x:c r="K1329" s="12" t="n">
        <x:v>0</x:v>
      </x:c>
      <x:c r="L1329" s="12" t="n">
        <x:v>0</x:v>
      </x:c>
      <x:c r="M1329" s="2" t="str">
        <x:v>空仓</x:v>
      </x:c>
    </x:row>
    <x:row r="1330" ht="23" customHeight="1">
      <x:c r="A1330" s="11" t="d">
        <x:v>2020-04-07T00:00:00.000Z</x:v>
      </x:c>
      <x:c r="B1330" s="12" t="n">
        <x:v>98102.040345</x:v>
      </x:c>
      <x:c r="C1330" s="13" t="n">
        <x:v>0</x:v>
      </x:c>
      <x:c r="D1330" s="12" t="n">
        <x:v>0</x:v>
      </x:c>
      <x:c r="E1330" s="12" t="n">
        <x:v>0</x:v>
      </x:c>
      <x:c r="F1330" s="12" t="n">
        <x:f>SUM(B1330,D1330:E1330)</x:f>
        <x:v>98102.040345</x:v>
      </x:c>
      <x:c r="G1330" s="12" t="n">
        <x:f>MAX(G1329,F1330)</x:f>
        <x:v>102519.22234499999</x:v>
      </x:c>
      <x:c r="H1330" s="14" t="n">
        <x:f>F1330/G1330-1</x:f>
        <x:v>-0.0430863783294726</x:v>
      </x:c>
      <x:c r="I1330" s="14" t="n">
        <x:f>F1330/F1329-1</x:f>
        <x:v>0</x:v>
      </x:c>
      <x:c r="J1330" s="12" t="n">
        <x:v>0</x:v>
      </x:c>
      <x:c r="K1330" s="12" t="n">
        <x:v>0</x:v>
      </x:c>
      <x:c r="L1330" s="12" t="n">
        <x:v>0</x:v>
      </x:c>
      <x:c r="M1330" s="2" t="str">
        <x:v>空仓</x:v>
      </x:c>
    </x:row>
    <x:row r="1331" ht="23" customHeight="1">
      <x:c r="A1331" s="11" t="d">
        <x:v>2020-04-08T00:00:00.000Z</x:v>
      </x:c>
      <x:c r="B1331" s="12" t="n">
        <x:v>98102.040345</x:v>
      </x:c>
      <x:c r="C1331" s="13" t="n">
        <x:v>0</x:v>
      </x:c>
      <x:c r="D1331" s="12" t="n">
        <x:v>0</x:v>
      </x:c>
      <x:c r="E1331" s="12" t="n">
        <x:v>0</x:v>
      </x:c>
      <x:c r="F1331" s="12" t="n">
        <x:f>SUM(B1331,D1331:E1331)</x:f>
        <x:v>98102.040345</x:v>
      </x:c>
      <x:c r="G1331" s="12" t="n">
        <x:f>MAX(G1330,F1331)</x:f>
        <x:v>102519.22234499999</x:v>
      </x:c>
      <x:c r="H1331" s="14" t="n">
        <x:f>F1331/G1331-1</x:f>
        <x:v>-0.0430863783294726</x:v>
      </x:c>
      <x:c r="I1331" s="14" t="n">
        <x:f>F1331/F1330-1</x:f>
        <x:v>0</x:v>
      </x:c>
      <x:c r="J1331" s="12" t="n">
        <x:v>0</x:v>
      </x:c>
      <x:c r="K1331" s="12" t="n">
        <x:v>0</x:v>
      </x:c>
      <x:c r="L1331" s="12" t="n">
        <x:v>0</x:v>
      </x:c>
      <x:c r="M1331" s="2" t="str">
        <x:v>空仓</x:v>
      </x:c>
    </x:row>
    <x:row r="1332" ht="23" customHeight="1">
      <x:c r="A1332" s="11" t="d">
        <x:v>2020-04-09T00:00:00.000Z</x:v>
      </x:c>
      <x:c r="B1332" s="12" t="n">
        <x:v>98102.040345</x:v>
      </x:c>
      <x:c r="C1332" s="13" t="n">
        <x:v>0</x:v>
      </x:c>
      <x:c r="D1332" s="12" t="n">
        <x:v>0</x:v>
      </x:c>
      <x:c r="E1332" s="12" t="n">
        <x:v>0</x:v>
      </x:c>
      <x:c r="F1332" s="12" t="n">
        <x:f>SUM(B1332,D1332:E1332)</x:f>
        <x:v>98102.040345</x:v>
      </x:c>
      <x:c r="G1332" s="12" t="n">
        <x:f>MAX(G1331,F1332)</x:f>
        <x:v>102519.22234499999</x:v>
      </x:c>
      <x:c r="H1332" s="14" t="n">
        <x:f>F1332/G1332-1</x:f>
        <x:v>-0.0430863783294726</x:v>
      </x:c>
      <x:c r="I1332" s="14" t="n">
        <x:f>F1332/F1331-1</x:f>
        <x:v>0</x:v>
      </x:c>
      <x:c r="J1332" s="12" t="n">
        <x:v>0</x:v>
      </x:c>
      <x:c r="K1332" s="12" t="n">
        <x:v>0</x:v>
      </x:c>
      <x:c r="L1332" s="12" t="n">
        <x:v>0</x:v>
      </x:c>
      <x:c r="M1332" s="2" t="str">
        <x:v>空仓</x:v>
      </x:c>
    </x:row>
    <x:row r="1333" ht="23" customHeight="1">
      <x:c r="A1333" s="11" t="d">
        <x:v>2020-04-13T00:00:00.000Z</x:v>
      </x:c>
      <x:c r="B1333" s="12" t="n">
        <x:v>98102.040345</x:v>
      </x:c>
      <x:c r="C1333" s="13" t="n">
        <x:v>0</x:v>
      </x:c>
      <x:c r="D1333" s="12" t="n">
        <x:v>0</x:v>
      </x:c>
      <x:c r="E1333" s="12" t="n">
        <x:v>0</x:v>
      </x:c>
      <x:c r="F1333" s="12" t="n">
        <x:f>SUM(B1333,D1333:E1333)</x:f>
        <x:v>98102.040345</x:v>
      </x:c>
      <x:c r="G1333" s="12" t="n">
        <x:f>MAX(G1332,F1333)</x:f>
        <x:v>102519.22234499999</x:v>
      </x:c>
      <x:c r="H1333" s="14" t="n">
        <x:f>F1333/G1333-1</x:f>
        <x:v>-0.0430863783294726</x:v>
      </x:c>
      <x:c r="I1333" s="14" t="n">
        <x:f>F1333/F1332-1</x:f>
        <x:v>0</x:v>
      </x:c>
      <x:c r="J1333" s="12" t="n">
        <x:v>0</x:v>
      </x:c>
      <x:c r="K1333" s="12" t="n">
        <x:v>0</x:v>
      </x:c>
      <x:c r="L1333" s="12" t="n">
        <x:v>0</x:v>
      </x:c>
      <x:c r="M1333" s="2" t="str">
        <x:v>空仓</x:v>
      </x:c>
    </x:row>
    <x:row r="1334" ht="23" customHeight="1">
      <x:c r="A1334" s="11" t="d">
        <x:v>2020-04-14T00:00:00.000Z</x:v>
      </x:c>
      <x:c r="B1334" s="12" t="n">
        <x:v>98102.040345</x:v>
      </x:c>
      <x:c r="C1334" s="13" t="n">
        <x:v>0</x:v>
      </x:c>
      <x:c r="D1334" s="12" t="n">
        <x:v>0</x:v>
      </x:c>
      <x:c r="E1334" s="12" t="n">
        <x:v>0</x:v>
      </x:c>
      <x:c r="F1334" s="12" t="n">
        <x:f>SUM(B1334,D1334:E1334)</x:f>
        <x:v>98102.040345</x:v>
      </x:c>
      <x:c r="G1334" s="12" t="n">
        <x:f>MAX(G1333,F1334)</x:f>
        <x:v>102519.22234499999</x:v>
      </x:c>
      <x:c r="H1334" s="14" t="n">
        <x:f>F1334/G1334-1</x:f>
        <x:v>-0.0430863783294726</x:v>
      </x:c>
      <x:c r="I1334" s="14" t="n">
        <x:f>F1334/F1333-1</x:f>
        <x:v>0</x:v>
      </x:c>
      <x:c r="J1334" s="12" t="n">
        <x:v>0</x:v>
      </x:c>
      <x:c r="K1334" s="12" t="n">
        <x:v>0</x:v>
      </x:c>
      <x:c r="L1334" s="12" t="n">
        <x:v>0</x:v>
      </x:c>
      <x:c r="M1334" s="2" t="str">
        <x:v>空仓</x:v>
      </x:c>
    </x:row>
    <x:row r="1335" ht="23" customHeight="1">
      <x:c r="A1335" s="11" t="d">
        <x:v>2020-04-15T00:00:00.000Z</x:v>
      </x:c>
      <x:c r="B1335" s="12" t="n">
        <x:v>98102.040345</x:v>
      </x:c>
      <x:c r="C1335" s="13" t="n">
        <x:v>0</x:v>
      </x:c>
      <x:c r="D1335" s="12" t="n">
        <x:v>0</x:v>
      </x:c>
      <x:c r="E1335" s="12" t="n">
        <x:v>0</x:v>
      </x:c>
      <x:c r="F1335" s="12" t="n">
        <x:f>SUM(B1335,D1335:E1335)</x:f>
        <x:v>98102.040345</x:v>
      </x:c>
      <x:c r="G1335" s="12" t="n">
        <x:f>MAX(G1334,F1335)</x:f>
        <x:v>102519.22234499999</x:v>
      </x:c>
      <x:c r="H1335" s="14" t="n">
        <x:f>F1335/G1335-1</x:f>
        <x:v>-0.0430863783294726</x:v>
      </x:c>
      <x:c r="I1335" s="14" t="n">
        <x:f>F1335/F1334-1</x:f>
        <x:v>0</x:v>
      </x:c>
      <x:c r="J1335" s="12" t="n">
        <x:v>0</x:v>
      </x:c>
      <x:c r="K1335" s="12" t="n">
        <x:v>0</x:v>
      </x:c>
      <x:c r="L1335" s="12" t="n">
        <x:v>0</x:v>
      </x:c>
      <x:c r="M1335" s="2" t="str">
        <x:v>空仓</x:v>
      </x:c>
    </x:row>
    <x:row r="1336" ht="23" customHeight="1">
      <x:c r="A1336" s="11" t="d">
        <x:v>2020-04-16T00:00:00.000Z</x:v>
      </x:c>
      <x:c r="B1336" s="12" t="n">
        <x:v>98102.040345</x:v>
      </x:c>
      <x:c r="C1336" s="13" t="n">
        <x:v>0</x:v>
      </x:c>
      <x:c r="D1336" s="12" t="n">
        <x:v>0</x:v>
      </x:c>
      <x:c r="E1336" s="12" t="n">
        <x:v>0</x:v>
      </x:c>
      <x:c r="F1336" s="12" t="n">
        <x:f>SUM(B1336,D1336:E1336)</x:f>
        <x:v>98102.040345</x:v>
      </x:c>
      <x:c r="G1336" s="12" t="n">
        <x:f>MAX(G1335,F1336)</x:f>
        <x:v>102519.22234499999</x:v>
      </x:c>
      <x:c r="H1336" s="14" t="n">
        <x:f>F1336/G1336-1</x:f>
        <x:v>-0.0430863783294726</x:v>
      </x:c>
      <x:c r="I1336" s="14" t="n">
        <x:f>F1336/F1335-1</x:f>
        <x:v>0</x:v>
      </x:c>
      <x:c r="J1336" s="12" t="n">
        <x:v>0</x:v>
      </x:c>
      <x:c r="K1336" s="12" t="n">
        <x:v>0</x:v>
      </x:c>
      <x:c r="L1336" s="12" t="n">
        <x:v>0</x:v>
      </x:c>
      <x:c r="M1336" s="2" t="str">
        <x:v>空仓</x:v>
      </x:c>
    </x:row>
    <x:row r="1337" ht="23" customHeight="1">
      <x:c r="A1337" s="11" t="d">
        <x:v>2020-04-17T00:00:00.000Z</x:v>
      </x:c>
      <x:c r="B1337" s="12" t="n">
        <x:v>98102.040345</x:v>
      </x:c>
      <x:c r="C1337" s="13" t="n">
        <x:v>0</x:v>
      </x:c>
      <x:c r="D1337" s="12" t="n">
        <x:v>0</x:v>
      </x:c>
      <x:c r="E1337" s="12" t="n">
        <x:v>0</x:v>
      </x:c>
      <x:c r="F1337" s="12" t="n">
        <x:f>SUM(B1337,D1337:E1337)</x:f>
        <x:v>98102.040345</x:v>
      </x:c>
      <x:c r="G1337" s="12" t="n">
        <x:f>MAX(G1336,F1337)</x:f>
        <x:v>102519.22234499999</x:v>
      </x:c>
      <x:c r="H1337" s="14" t="n">
        <x:f>F1337/G1337-1</x:f>
        <x:v>-0.0430863783294726</x:v>
      </x:c>
      <x:c r="I1337" s="14" t="n">
        <x:f>F1337/F1336-1</x:f>
        <x:v>0</x:v>
      </x:c>
      <x:c r="J1337" s="12" t="n">
        <x:v>0</x:v>
      </x:c>
      <x:c r="K1337" s="12" t="n">
        <x:v>0</x:v>
      </x:c>
      <x:c r="L1337" s="12" t="n">
        <x:v>0</x:v>
      </x:c>
      <x:c r="M1337" s="2" t="str">
        <x:v>空仓</x:v>
      </x:c>
    </x:row>
    <x:row r="1338" ht="23" customHeight="1">
      <x:c r="A1338" s="11" t="d">
        <x:v>2020-04-20T00:00:00.000Z</x:v>
      </x:c>
      <x:c r="B1338" s="12" t="n">
        <x:v>221.197285</x:v>
      </x:c>
      <x:c r="C1338" s="13" t="n">
        <x:v>346</x:v>
      </x:c>
      <x:c r="D1338" s="12" t="n">
        <x:v>97430.13999999998</x:v>
      </x:c>
      <x:c r="E1338" s="12" t="n">
        <x:v>0</x:v>
      </x:c>
      <x:c r="F1338" s="12" t="n">
        <x:f>SUM(B1338,D1338:E1338)</x:f>
        <x:v>97651.33728499999</x:v>
      </x:c>
      <x:c r="G1338" s="12" t="n">
        <x:f>MAX(G1337,F1338)</x:f>
        <x:v>102519.22234499999</x:v>
      </x:c>
      <x:c r="H1338" s="14" t="n">
        <x:f>F1338/G1338-1</x:f>
        <x:v>-0.04748265689744002</x:v>
      </x:c>
      <x:c r="I1338" s="14" t="n">
        <x:f>F1338/F1337-1</x:f>
        <x:v>-0.004594227178303378</x:v>
      </x:c>
      <x:c r="J1338" s="12" t="n">
        <x:v>0</x:v>
      </x:c>
      <x:c r="K1338" s="12" t="n">
        <x:v>0</x:v>
      </x:c>
      <x:c r="L1338" s="12" t="n">
        <x:v>346</x:v>
      </x:c>
      <x:c r="M1338" s="2" t="str">
        <x:v>买入</x:v>
      </x:c>
    </x:row>
    <x:row r="1339" ht="23" customHeight="1">
      <x:c r="A1339" s="11" t="d">
        <x:v>2020-04-21T00:00:00.000Z</x:v>
      </x:c>
      <x:c r="B1339" s="12" t="n">
        <x:v>95874.028705</x:v>
      </x:c>
      <x:c r="C1339" s="13" t="n">
        <x:v>0</x:v>
      </x:c>
      <x:c r="D1339" s="12" t="n">
        <x:v>0</x:v>
      </x:c>
      <x:c r="E1339" s="12" t="n">
        <x:v>0</x:v>
      </x:c>
      <x:c r="F1339" s="12" t="n">
        <x:f>SUM(B1339,D1339:E1339)</x:f>
        <x:v>95874.028705</x:v>
      </x:c>
      <x:c r="G1339" s="12" t="n">
        <x:f>MAX(G1338,F1339)</x:f>
        <x:v>102519.22234499999</x:v>
      </x:c>
      <x:c r="H1339" s="14" t="n">
        <x:f>F1339/G1339-1</x:f>
        <x:v>-0.06481900162720144</x:v>
      </x:c>
      <x:c r="I1339" s="14" t="n">
        <x:f>F1339/F1338-1</x:f>
        <x:v>-0.01820055546001198</x:v>
      </x:c>
      <x:c r="J1339" s="12" t="n">
        <x:v>0</x:v>
      </x:c>
      <x:c r="K1339" s="12" t="n">
        <x:v>0</x:v>
      </x:c>
      <x:c r="L1339" s="12" t="n">
        <x:v>-346</x:v>
      </x:c>
      <x:c r="M1339" s="2" t="str">
        <x:v>卖出</x:v>
      </x:c>
    </x:row>
    <x:row r="1340" ht="23" customHeight="1">
      <x:c r="A1340" s="11" t="d">
        <x:v>2020-04-22T00:00:00.000Z</x:v>
      </x:c>
      <x:c r="B1340" s="12" t="n">
        <x:v>95874.028705</x:v>
      </x:c>
      <x:c r="C1340" s="13" t="n">
        <x:v>0</x:v>
      </x:c>
      <x:c r="D1340" s="12" t="n">
        <x:v>0</x:v>
      </x:c>
      <x:c r="E1340" s="12" t="n">
        <x:v>0</x:v>
      </x:c>
      <x:c r="F1340" s="12" t="n">
        <x:f>SUM(B1340,D1340:E1340)</x:f>
        <x:v>95874.028705</x:v>
      </x:c>
      <x:c r="G1340" s="12" t="n">
        <x:f>MAX(G1339,F1340)</x:f>
        <x:v>102519.22234499999</x:v>
      </x:c>
      <x:c r="H1340" s="14" t="n">
        <x:f>F1340/G1340-1</x:f>
        <x:v>-0.06481900162720144</x:v>
      </x:c>
      <x:c r="I1340" s="14" t="n">
        <x:f>F1340/F1339-1</x:f>
        <x:v>0</x:v>
      </x:c>
      <x:c r="J1340" s="12" t="n">
        <x:v>0</x:v>
      </x:c>
      <x:c r="K1340" s="12" t="n">
        <x:v>0</x:v>
      </x:c>
      <x:c r="L1340" s="12" t="n">
        <x:v>0</x:v>
      </x:c>
      <x:c r="M1340" s="2" t="str">
        <x:v>空仓</x:v>
      </x:c>
    </x:row>
    <x:row r="1341" ht="23" customHeight="1">
      <x:c r="A1341" s="11" t="d">
        <x:v>2020-04-23T00:00:00.000Z</x:v>
      </x:c>
      <x:c r="B1341" s="12" t="n">
        <x:v>95874.028705</x:v>
      </x:c>
      <x:c r="C1341" s="13" t="n">
        <x:v>0</x:v>
      </x:c>
      <x:c r="D1341" s="12" t="n">
        <x:v>0</x:v>
      </x:c>
      <x:c r="E1341" s="12" t="n">
        <x:v>0</x:v>
      </x:c>
      <x:c r="F1341" s="12" t="n">
        <x:f>SUM(B1341,D1341:E1341)</x:f>
        <x:v>95874.028705</x:v>
      </x:c>
      <x:c r="G1341" s="12" t="n">
        <x:f>MAX(G1340,F1341)</x:f>
        <x:v>102519.22234499999</x:v>
      </x:c>
      <x:c r="H1341" s="14" t="n">
        <x:f>F1341/G1341-1</x:f>
        <x:v>-0.06481900162720144</x:v>
      </x:c>
      <x:c r="I1341" s="14" t="n">
        <x:f>F1341/F1340-1</x:f>
        <x:v>0</x:v>
      </x:c>
      <x:c r="J1341" s="12" t="n">
        <x:v>0</x:v>
      </x:c>
      <x:c r="K1341" s="12" t="n">
        <x:v>0</x:v>
      </x:c>
      <x:c r="L1341" s="12" t="n">
        <x:v>0</x:v>
      </x:c>
      <x:c r="M1341" s="2" t="str">
        <x:v>空仓</x:v>
      </x:c>
    </x:row>
    <x:row r="1342" ht="23" customHeight="1">
      <x:c r="A1342" s="11" t="d">
        <x:v>2020-04-24T00:00:00.000Z</x:v>
      </x:c>
      <x:c r="B1342" s="12" t="n">
        <x:v>95874.028705</x:v>
      </x:c>
      <x:c r="C1342" s="13" t="n">
        <x:v>0</x:v>
      </x:c>
      <x:c r="D1342" s="12" t="n">
        <x:v>0</x:v>
      </x:c>
      <x:c r="E1342" s="12" t="n">
        <x:v>0</x:v>
      </x:c>
      <x:c r="F1342" s="12" t="n">
        <x:f>SUM(B1342,D1342:E1342)</x:f>
        <x:v>95874.028705</x:v>
      </x:c>
      <x:c r="G1342" s="12" t="n">
        <x:f>MAX(G1341,F1342)</x:f>
        <x:v>102519.22234499999</x:v>
      </x:c>
      <x:c r="H1342" s="14" t="n">
        <x:f>F1342/G1342-1</x:f>
        <x:v>-0.06481900162720144</x:v>
      </x:c>
      <x:c r="I1342" s="14" t="n">
        <x:f>F1342/F1341-1</x:f>
        <x:v>0</x:v>
      </x:c>
      <x:c r="J1342" s="12" t="n">
        <x:v>0</x:v>
      </x:c>
      <x:c r="K1342" s="12" t="n">
        <x:v>0</x:v>
      </x:c>
      <x:c r="L1342" s="12" t="n">
        <x:v>0</x:v>
      </x:c>
      <x:c r="M1342" s="2" t="str">
        <x:v>空仓</x:v>
      </x:c>
    </x:row>
    <x:row r="1343" ht="23" customHeight="1">
      <x:c r="A1343" s="11" t="d">
        <x:v>2020-04-27T00:00:00.000Z</x:v>
      </x:c>
      <x:c r="B1343" s="12" t="n">
        <x:v>263.313505</x:v>
      </x:c>
      <x:c r="C1343" s="13" t="n">
        <x:v>335</x:v>
      </x:c>
      <x:c r="D1343" s="12" t="n">
        <x:v>96161.75</x:v>
      </x:c>
      <x:c r="E1343" s="12" t="n">
        <x:v>0</x:v>
      </x:c>
      <x:c r="F1343" s="12" t="n">
        <x:f>SUM(B1343,D1343:E1343)</x:f>
        <x:v>96425.063505</x:v>
      </x:c>
      <x:c r="G1343" s="12" t="n">
        <x:f>MAX(G1342,F1343)</x:f>
        <x:v>102519.22234499999</x:v>
      </x:c>
      <x:c r="H1343" s="14" t="n">
        <x:f>F1343/G1343-1</x:f>
        <x:v>-0.05944406034891481</x:v>
      </x:c>
      <x:c r="I1343" s="14" t="n">
        <x:f>F1343/F1342-1</x:f>
        <x:v>0.005747487692370878</x:v>
      </x:c>
      <x:c r="J1343" s="12" t="n">
        <x:v>0</x:v>
      </x:c>
      <x:c r="K1343" s="12" t="n">
        <x:v>0</x:v>
      </x:c>
      <x:c r="L1343" s="12" t="n">
        <x:v>335</x:v>
      </x:c>
      <x:c r="M1343" s="2" t="str">
        <x:v>买入</x:v>
      </x:c>
    </x:row>
    <x:row r="1344" ht="23" customHeight="1">
      <x:c r="A1344" s="11" t="d">
        <x:v>2020-04-28T00:00:00.000Z</x:v>
      </x:c>
      <x:c r="B1344" s="12" t="n">
        <x:v>263.313505</x:v>
      </x:c>
      <x:c r="C1344" s="13" t="n">
        <x:v>335</x:v>
      </x:c>
      <x:c r="D1344" s="12" t="n">
        <x:v>95719.55</x:v>
      </x:c>
      <x:c r="E1344" s="12" t="n">
        <x:v>0</x:v>
      </x:c>
      <x:c r="F1344" s="12" t="n">
        <x:f>SUM(B1344,D1344:E1344)</x:f>
        <x:v>95982.863505</x:v>
      </x:c>
      <x:c r="G1344" s="12" t="n">
        <x:f>MAX(G1343,F1344)</x:f>
        <x:v>102519.22234499999</x:v>
      </x:c>
      <x:c r="H1344" s="14" t="n">
        <x:f>F1344/G1344-1</x:f>
        <x:v>-0.06375739778832579</x:v>
      </x:c>
      <x:c r="I1344" s="14" t="n">
        <x:f>F1344/F1343-1</x:f>
        <x:v>-0.004585944607410797</x:v>
      </x:c>
      <x:c r="J1344" s="12" t="n">
        <x:v>0</x:v>
      </x:c>
      <x:c r="K1344" s="12" t="n">
        <x:v>0</x:v>
      </x:c>
      <x:c r="L1344" s="12" t="n">
        <x:v>0</x:v>
      </x:c>
      <x:c r="M1344" s="2" t="str">
        <x:v>持有</x:v>
      </x:c>
    </x:row>
    <x:row r="1345" ht="23" customHeight="1">
      <x:c r="A1345" s="11" t="d">
        <x:v>2020-04-29T00:00:00.000Z</x:v>
      </x:c>
      <x:c r="B1345" s="12" t="n">
        <x:v>263.313505</x:v>
      </x:c>
      <x:c r="C1345" s="13" t="n">
        <x:v>335</x:v>
      </x:c>
      <x:c r="D1345" s="12" t="n">
        <x:v>98225.34999999999</x:v>
      </x:c>
      <x:c r="E1345" s="12" t="n">
        <x:v>0</x:v>
      </x:c>
      <x:c r="F1345" s="12" t="n">
        <x:f>SUM(B1345,D1345:E1345)</x:f>
        <x:v>98488.66350499999</x:v>
      </x:c>
      <x:c r="G1345" s="12" t="n">
        <x:f>MAX(G1344,F1345)</x:f>
        <x:v>102519.22234499999</x:v>
      </x:c>
      <x:c r="H1345" s="14" t="n">
        <x:f>F1345/G1345-1</x:f>
        <x:v>-0.039315152298329714</x:v>
      </x:c>
      <x:c r="I1345" s="14" t="n">
        <x:f>F1345/F1344-1</x:f>
        <x:v>0.026106743521664644</x:v>
      </x:c>
      <x:c r="J1345" s="12" t="n">
        <x:v>0</x:v>
      </x:c>
      <x:c r="K1345" s="12" t="n">
        <x:v>0</x:v>
      </x:c>
      <x:c r="L1345" s="12" t="n">
        <x:v>0</x:v>
      </x:c>
      <x:c r="M1345" s="2" t="str">
        <x:v>持有</x:v>
      </x:c>
    </x:row>
    <x:row r="1346" ht="23" customHeight="1">
      <x:c r="A1346" s="11" t="d">
        <x:v>2020-04-30T00:00:00.000Z</x:v>
      </x:c>
      <x:c r="B1346" s="12" t="n">
        <x:v>263.313505</x:v>
      </x:c>
      <x:c r="C1346" s="13" t="n">
        <x:v>335</x:v>
      </x:c>
      <x:c r="D1346" s="12" t="n">
        <x:v>97310.8</x:v>
      </x:c>
      <x:c r="E1346" s="12" t="n">
        <x:v>0</x:v>
      </x:c>
      <x:c r="F1346" s="12" t="n">
        <x:f>SUM(B1346,D1346:E1346)</x:f>
        <x:v>97574.113505</x:v>
      </x:c>
      <x:c r="G1346" s="12" t="n">
        <x:f>MAX(G1345,F1346)</x:f>
        <x:v>102519.22234499999</x:v>
      </x:c>
      <x:c r="H1346" s="14" t="n">
        <x:f>F1346/G1346-1</x:f>
        <x:v>-0.04823591836620256</x:v>
      </x:c>
      <x:c r="I1346" s="14" t="n">
        <x:f>F1346/F1345-1</x:f>
        <x:v>-0.009285840293218661</x:v>
      </x:c>
      <x:c r="J1346" s="12" t="n">
        <x:v>0</x:v>
      </x:c>
      <x:c r="K1346" s="12" t="n">
        <x:v>0</x:v>
      </x:c>
      <x:c r="L1346" s="12" t="n">
        <x:v>0</x:v>
      </x:c>
      <x:c r="M1346" s="2" t="str">
        <x:v>持有</x:v>
      </x:c>
    </x:row>
    <x:row r="1347" ht="23" customHeight="1">
      <x:c r="A1347" s="11" t="d">
        <x:v>2020-05-01T00:00:00.000Z</x:v>
      </x:c>
      <x:c r="B1347" s="12" t="n">
        <x:v>263.313505</x:v>
      </x:c>
      <x:c r="C1347" s="13" t="n">
        <x:v>335</x:v>
      </x:c>
      <x:c r="D1347" s="12" t="n">
        <x:v>94734.65000000001</x:v>
      </x:c>
      <x:c r="E1347" s="12" t="n">
        <x:v>0</x:v>
      </x:c>
      <x:c r="F1347" s="12" t="n">
        <x:f>SUM(B1347,D1347:E1347)</x:f>
        <x:v>94997.963505</x:v>
      </x:c>
      <x:c r="G1347" s="12" t="n">
        <x:f>MAX(G1346,F1347)</x:f>
        <x:v>102519.22234499999</x:v>
      </x:c>
      <x:c r="H1347" s="14" t="n">
        <x:f>F1347/G1347-1</x:f>
        <x:v>-0.07336437663065054</x:v>
      </x:c>
      <x:c r="I1347" s="14" t="n">
        <x:f>F1347/F1346-1</x:f>
        <x:v>-0.026401982118628098</x:v>
      </x:c>
      <x:c r="J1347" s="12" t="n">
        <x:v>0</x:v>
      </x:c>
      <x:c r="K1347" s="12" t="n">
        <x:v>0</x:v>
      </x:c>
      <x:c r="L1347" s="12" t="n">
        <x:v>0</x:v>
      </x:c>
      <x:c r="M1347" s="2" t="str">
        <x:v>持有</x:v>
      </x:c>
    </x:row>
    <x:row r="1348" ht="23" customHeight="1">
      <x:c r="A1348" s="11" t="d">
        <x:v>2020-05-04T00:00:00.000Z</x:v>
      </x:c>
      <x:c r="B1348" s="12" t="n">
        <x:v>263.313505</x:v>
      </x:c>
      <x:c r="C1348" s="13" t="n">
        <x:v>335</x:v>
      </x:c>
      <x:c r="D1348" s="12" t="n">
        <x:v>94995.95</x:v>
      </x:c>
      <x:c r="E1348" s="12" t="n">
        <x:v>0</x:v>
      </x:c>
      <x:c r="F1348" s="12" t="n">
        <x:f>SUM(B1348,D1348:E1348)</x:f>
        <x:v>95259.263505</x:v>
      </x:c>
      <x:c r="G1348" s="12" t="n">
        <x:f>MAX(G1347,F1348)</x:f>
        <x:v>102519.22234499999</x:v>
      </x:c>
      <x:c r="H1348" s="14" t="n">
        <x:f>F1348/G1348-1</x:f>
        <x:v>-0.07081558632554408</x:v>
      </x:c>
      <x:c r="I1348" s="14" t="n">
        <x:f>F1348/F1347-1</x:f>
        <x:v>0.0027505852795068897</x:v>
      </x:c>
      <x:c r="J1348" s="12" t="n">
        <x:v>0</x:v>
      </x:c>
      <x:c r="K1348" s="12" t="n">
        <x:v>0</x:v>
      </x:c>
      <x:c r="L1348" s="12" t="n">
        <x:v>0</x:v>
      </x:c>
      <x:c r="M1348" s="2" t="str">
        <x:v>持有</x:v>
      </x:c>
    </x:row>
    <x:row r="1349" ht="23" customHeight="1">
      <x:c r="A1349" s="11" t="d">
        <x:v>2020-05-05T00:00:00.000Z</x:v>
      </x:c>
      <x:c r="B1349" s="12" t="n">
        <x:v>263.313505</x:v>
      </x:c>
      <x:c r="C1349" s="13" t="n">
        <x:v>335</x:v>
      </x:c>
      <x:c r="D1349" s="12" t="n">
        <x:v>95873.65</x:v>
      </x:c>
      <x:c r="E1349" s="12" t="n">
        <x:v>0</x:v>
      </x:c>
      <x:c r="F1349" s="12" t="n">
        <x:f>SUM(B1349,D1349:E1349)</x:f>
        <x:v>96136.96350499999</x:v>
      </x:c>
      <x:c r="G1349" s="12" t="n">
        <x:f>MAX(G1348,F1349)</x:f>
        <x:v>102519.22234499999</x:v>
      </x:c>
      <x:c r="H1349" s="14" t="n">
        <x:f>F1349/G1349-1</x:f>
        <x:v>-0.06225426504428866</x:v>
      </x:c>
      <x:c r="I1349" s="14" t="n">
        <x:f>F1349/F1348-1</x:f>
        <x:v>0.009213802077673305</x:v>
      </x:c>
      <x:c r="J1349" s="12" t="n">
        <x:v>0</x:v>
      </x:c>
      <x:c r="K1349" s="12" t="n">
        <x:v>0</x:v>
      </x:c>
      <x:c r="L1349" s="12" t="n">
        <x:v>0</x:v>
      </x:c>
      <x:c r="M1349" s="2" t="str">
        <x:v>持有</x:v>
      </x:c>
    </x:row>
    <x:row r="1350" ht="23" customHeight="1">
      <x:c r="A1350" s="11" t="d">
        <x:v>2020-05-06T00:00:00.000Z</x:v>
      </x:c>
      <x:c r="B1350" s="12" t="n">
        <x:v>263.313505</x:v>
      </x:c>
      <x:c r="C1350" s="13" t="n">
        <x:v>335</x:v>
      </x:c>
      <x:c r="D1350" s="12" t="n">
        <x:v>95223.75</x:v>
      </x:c>
      <x:c r="E1350" s="12" t="n">
        <x:v>0</x:v>
      </x:c>
      <x:c r="F1350" s="12" t="n">
        <x:f>SUM(B1350,D1350:E1350)</x:f>
        <x:v>95487.063505</x:v>
      </x:c>
      <x:c r="G1350" s="12" t="n">
        <x:f>MAX(G1349,F1350)</x:f>
        <x:v>102519.22234499999</x:v>
      </x:c>
      <x:c r="H1350" s="14" t="n">
        <x:f>F1350/G1350-1</x:f>
        <x:v>-0.06859356400827166</x:v>
      </x:c>
      <x:c r="I1350" s="14" t="n">
        <x:f>F1350/F1349-1</x:f>
        <x:v>-0.006760146943544654</x:v>
      </x:c>
      <x:c r="J1350" s="12" t="n">
        <x:v>0</x:v>
      </x:c>
      <x:c r="K1350" s="12" t="n">
        <x:v>0</x:v>
      </x:c>
      <x:c r="L1350" s="12" t="n">
        <x:v>0</x:v>
      </x:c>
      <x:c r="M1350" s="2" t="str">
        <x:v>持有</x:v>
      </x:c>
    </x:row>
    <x:row r="1351" ht="23" customHeight="1">
      <x:c r="A1351" s="11" t="d">
        <x:v>2020-05-07T00:00:00.000Z</x:v>
      </x:c>
      <x:c r="B1351" s="12" t="n">
        <x:v>263.313505</x:v>
      </x:c>
      <x:c r="C1351" s="13" t="n">
        <x:v>335</x:v>
      </x:c>
      <x:c r="D1351" s="12" t="n">
        <x:v>96372.8</x:v>
      </x:c>
      <x:c r="E1351" s="12" t="n">
        <x:v>0</x:v>
      </x:c>
      <x:c r="F1351" s="12" t="n">
        <x:f>SUM(B1351,D1351:E1351)</x:f>
        <x:v>96636.113505</x:v>
      </x:c>
      <x:c r="G1351" s="12" t="n">
        <x:f>MAX(G1350,F1351)</x:f>
        <x:v>102519.22234499999</x:v>
      </x:c>
      <x:c r="H1351" s="14" t="n">
        <x:f>F1351/G1351-1</x:f>
        <x:v>-0.05738542202555941</x:v>
      </x:c>
      <x:c r="I1351" s="14" t="n">
        <x:f>F1351/F1350-1</x:f>
        <x:v>0.012033567247984767</x:v>
      </x:c>
      <x:c r="J1351" s="12" t="n">
        <x:v>0</x:v>
      </x:c>
      <x:c r="K1351" s="12" t="n">
        <x:v>0</x:v>
      </x:c>
      <x:c r="L1351" s="12" t="n">
        <x:v>0</x:v>
      </x:c>
      <x:c r="M1351" s="2" t="str">
        <x:v>持有</x:v>
      </x:c>
    </x:row>
    <x:row r="1352" ht="23" customHeight="1">
      <x:c r="A1352" s="11" t="d">
        <x:v>2020-05-08T00:00:00.000Z</x:v>
      </x:c>
      <x:c r="B1352" s="12" t="n">
        <x:v>263.313505</x:v>
      </x:c>
      <x:c r="C1352" s="13" t="n">
        <x:v>335</x:v>
      </x:c>
      <x:c r="D1352" s="12" t="n">
        <x:v>97967.4</x:v>
      </x:c>
      <x:c r="E1352" s="12" t="n">
        <x:v>0</x:v>
      </x:c>
      <x:c r="F1352" s="12" t="n">
        <x:f>SUM(B1352,D1352:E1352)</x:f>
        <x:v>98230.71350499999</x:v>
      </x:c>
      <x:c r="G1352" s="12" t="n">
        <x:f>MAX(G1351,F1352)</x:f>
        <x:v>102519.22234499999</x:v>
      </x:c>
      <x:c r="H1352" s="14" t="n">
        <x:f>F1352/G1352-1</x:f>
        <x:v>-0.041831265804652795</x:v>
      </x:c>
      <x:c r="I1352" s="14" t="n">
        <x:f>F1352/F1351-1</x:f>
        <x:v>0.016501077518162877</x:v>
      </x:c>
      <x:c r="J1352" s="12" t="n">
        <x:v>0</x:v>
      </x:c>
      <x:c r="K1352" s="12" t="n">
        <x:v>0</x:v>
      </x:c>
      <x:c r="L1352" s="12" t="n">
        <x:v>0</x:v>
      </x:c>
      <x:c r="M1352" s="2" t="str">
        <x:v>持有</x:v>
      </x:c>
    </x:row>
    <x:row r="1353" ht="23" customHeight="1">
      <x:c r="A1353" s="11" t="d">
        <x:v>2020-05-11T00:00:00.000Z</x:v>
      </x:c>
      <x:c r="B1353" s="12" t="n">
        <x:v>263.313505</x:v>
      </x:c>
      <x:c r="C1353" s="13" t="n">
        <x:v>335</x:v>
      </x:c>
      <x:c r="D1353" s="12" t="n">
        <x:v>97987.5</x:v>
      </x:c>
      <x:c r="E1353" s="12" t="n">
        <x:v>0</x:v>
      </x:c>
      <x:c r="F1353" s="12" t="n">
        <x:f>SUM(B1353,D1353:E1353)</x:f>
        <x:v>98250.813505</x:v>
      </x:c>
      <x:c r="G1353" s="12" t="n">
        <x:f>MAX(G1352,F1353)</x:f>
        <x:v>102519.22234499999</x:v>
      </x:c>
      <x:c r="H1353" s="14" t="n">
        <x:f>F1353/G1353-1</x:f>
        <x:v>-0.04163520501195228</x:v>
      </x:c>
      <x:c r="I1353" s="14" t="n">
        <x:f>F1353/F1352-1</x:f>
        <x:v>0.00020462031968215832</x:v>
      </x:c>
      <x:c r="J1353" s="12" t="n">
        <x:v>0</x:v>
      </x:c>
      <x:c r="K1353" s="12" t="n">
        <x:v>0</x:v>
      </x:c>
      <x:c r="L1353" s="12" t="n">
        <x:v>0</x:v>
      </x:c>
      <x:c r="M1353" s="2" t="str">
        <x:v>持有</x:v>
      </x:c>
    </x:row>
    <x:row r="1354" ht="23" customHeight="1">
      <x:c r="A1354" s="11" t="d">
        <x:v>2020-05-12T00:00:00.000Z</x:v>
      </x:c>
      <x:c r="B1354" s="12" t="n">
        <x:v>263.313505</x:v>
      </x:c>
      <x:c r="C1354" s="13" t="n">
        <x:v>335</x:v>
      </x:c>
      <x:c r="D1354" s="12" t="n">
        <x:v>96034.45000000001</x:v>
      </x:c>
      <x:c r="E1354" s="12" t="n">
        <x:v>0</x:v>
      </x:c>
      <x:c r="F1354" s="12" t="n">
        <x:f>SUM(B1354,D1354:E1354)</x:f>
        <x:v>96297.76350500001</x:v>
      </x:c>
      <x:c r="G1354" s="12" t="n">
        <x:f>MAX(G1353,F1354)</x:f>
        <x:v>102519.22234499999</x:v>
      </x:c>
      <x:c r="H1354" s="14" t="n">
        <x:f>F1354/G1354-1</x:f>
        <x:v>-0.060685778702684545</x:v>
      </x:c>
      <x:c r="I1354" s="14" t="n">
        <x:f>F1354/F1353-1</x:f>
        <x:v>-0.0198782069107305</x:v>
      </x:c>
      <x:c r="J1354" s="12" t="n">
        <x:v>0</x:v>
      </x:c>
      <x:c r="K1354" s="12" t="n">
        <x:v>0</x:v>
      </x:c>
      <x:c r="L1354" s="12" t="n">
        <x:v>0</x:v>
      </x:c>
      <x:c r="M1354" s="2" t="str">
        <x:v>持有</x:v>
      </x:c>
    </x:row>
    <x:row r="1355" ht="23" customHeight="1">
      <x:c r="A1355" s="11" t="d">
        <x:v>2020-05-13T00:00:00.000Z</x:v>
      </x:c>
      <x:c r="B1355" s="12" t="n">
        <x:v>263.313505</x:v>
      </x:c>
      <x:c r="C1355" s="13" t="n">
        <x:v>335</x:v>
      </x:c>
      <x:c r="D1355" s="12" t="n">
        <x:v>94336.00000000001</x:v>
      </x:c>
      <x:c r="E1355" s="12" t="n">
        <x:v>0</x:v>
      </x:c>
      <x:c r="F1355" s="12" t="n">
        <x:f>SUM(B1355,D1355:E1355)</x:f>
        <x:v>94599.31350500001</x:v>
      </x:c>
      <x:c r="G1355" s="12" t="n">
        <x:f>MAX(G1354,F1355)</x:f>
        <x:v>102519.22234499999</x:v>
      </x:c>
      <x:c r="H1355" s="14" t="n">
        <x:f>F1355/G1355-1</x:f>
        <x:v>-0.07725291568587711</x:v>
      </x:c>
      <x:c r="I1355" s="14" t="n">
        <x:f>F1355/F1354-1</x:f>
        <x:v>-0.017637481268314326</x:v>
      </x:c>
      <x:c r="J1355" s="12" t="n">
        <x:v>0</x:v>
      </x:c>
      <x:c r="K1355" s="12" t="n">
        <x:v>0</x:v>
      </x:c>
      <x:c r="L1355" s="12" t="n">
        <x:v>0</x:v>
      </x:c>
      <x:c r="M1355" s="2" t="str">
        <x:v>持有</x:v>
      </x:c>
    </x:row>
    <x:row r="1356" ht="23" customHeight="1">
      <x:c r="A1356" s="11" t="d">
        <x:v>2020-05-14T00:00:00.000Z</x:v>
      </x:c>
      <x:c r="B1356" s="12" t="n">
        <x:v>263.313505</x:v>
      </x:c>
      <x:c r="C1356" s="13" t="n">
        <x:v>335</x:v>
      </x:c>
      <x:c r="D1356" s="12" t="n">
        <x:v>95464.95000000001</x:v>
      </x:c>
      <x:c r="E1356" s="12" t="n">
        <x:v>0</x:v>
      </x:c>
      <x:c r="F1356" s="12" t="n">
        <x:f>SUM(B1356,D1356:E1356)</x:f>
        <x:v>95728.26350500001</x:v>
      </x:c>
      <x:c r="G1356" s="12" t="n">
        <x:f>MAX(G1355,F1356)</x:f>
        <x:v>102519.22234499999</x:v>
      </x:c>
      <x:c r="H1356" s="14" t="n">
        <x:f>F1356/G1356-1</x:f>
        <x:v>-0.06624083449586549</x:v>
      </x:c>
      <x:c r="I1356" s="14" t="n">
        <x:f>F1356/F1355-1</x:f>
        <x:v>0.011934018949728786</x:v>
      </x:c>
      <x:c r="J1356" s="12" t="n">
        <x:v>0</x:v>
      </x:c>
      <x:c r="K1356" s="12" t="n">
        <x:v>0</x:v>
      </x:c>
      <x:c r="L1356" s="12" t="n">
        <x:v>0</x:v>
      </x:c>
      <x:c r="M1356" s="2" t="str">
        <x:v>持有</x:v>
      </x:c>
    </x:row>
    <x:row r="1357" ht="23" customHeight="1">
      <x:c r="A1357" s="11" t="d">
        <x:v>2020-05-15T00:00:00.000Z</x:v>
      </x:c>
      <x:c r="B1357" s="12" t="n">
        <x:v>263.313505</x:v>
      </x:c>
      <x:c r="C1357" s="13" t="n">
        <x:v>335</x:v>
      </x:c>
      <x:c r="D1357" s="12" t="n">
        <x:v>95903.79999999999</x:v>
      </x:c>
      <x:c r="E1357" s="12" t="n">
        <x:v>0</x:v>
      </x:c>
      <x:c r="F1357" s="12" t="n">
        <x:f>SUM(B1357,D1357:E1357)</x:f>
        <x:v>96167.11350499999</x:v>
      </x:c>
      <x:c r="G1357" s="12" t="n">
        <x:f>MAX(G1356,F1357)</x:f>
        <x:v>102519.22234499999</x:v>
      </x:c>
      <x:c r="H1357" s="14" t="n">
        <x:f>F1357/G1357-1</x:f>
        <x:v>-0.061960173855238</x:v>
      </x:c>
      <x:c r="I1357" s="14" t="n">
        <x:f>F1357/F1356-1</x:f>
        <x:v>0.004584330519868507</x:v>
      </x:c>
      <x:c r="J1357" s="12" t="n">
        <x:v>0</x:v>
      </x:c>
      <x:c r="K1357" s="12" t="n">
        <x:v>0</x:v>
      </x:c>
      <x:c r="L1357" s="12" t="n">
        <x:v>0</x:v>
      </x:c>
      <x:c r="M1357" s="2" t="str">
        <x:v>持有</x:v>
      </x:c>
    </x:row>
    <x:row r="1358" ht="23" customHeight="1">
      <x:c r="A1358" s="11" t="d">
        <x:v>2020-05-18T00:00:00.000Z</x:v>
      </x:c>
      <x:c r="B1358" s="12" t="n">
        <x:v>263.313505</x:v>
      </x:c>
      <x:c r="C1358" s="13" t="n">
        <x:v>335</x:v>
      </x:c>
      <x:c r="D1358" s="12" t="n">
        <x:v>98825</x:v>
      </x:c>
      <x:c r="E1358" s="12" t="n">
        <x:v>0</x:v>
      </x:c>
      <x:c r="F1358" s="12" t="n">
        <x:f>SUM(B1358,D1358:E1358)</x:f>
        <x:v>99088.313505</x:v>
      </x:c>
      <x:c r="G1358" s="12" t="n">
        <x:f>MAX(G1357,F1358)</x:f>
        <x:v>102519.22234499999</x:v>
      </x:c>
      <x:c r="H1358" s="14" t="n">
        <x:f>F1358/G1358-1</x:f>
        <x:v>-0.03346600531609789</x:v>
      </x:c>
      <x:c r="I1358" s="14" t="n">
        <x:f>F1358/F1357-1</x:f>
        <x:v>0.030376288665959983</x:v>
      </x:c>
      <x:c r="J1358" s="12" t="n">
        <x:v>0</x:v>
      </x:c>
      <x:c r="K1358" s="12" t="n">
        <x:v>0</x:v>
      </x:c>
      <x:c r="L1358" s="12" t="n">
        <x:v>0</x:v>
      </x:c>
      <x:c r="M1358" s="2" t="str">
        <x:v>持有</x:v>
      </x:c>
    </x:row>
    <x:row r="1359" ht="23" customHeight="1">
      <x:c r="A1359" s="11" t="d">
        <x:v>2020-05-19T00:00:00.000Z</x:v>
      </x:c>
      <x:c r="B1359" s="12" t="n">
        <x:v>263.313505</x:v>
      </x:c>
      <x:c r="C1359" s="13" t="n">
        <x:v>335</x:v>
      </x:c>
      <x:c r="D1359" s="12" t="n">
        <x:v>97809.95000000001</x:v>
      </x:c>
      <x:c r="E1359" s="12" t="n">
        <x:v>0</x:v>
      </x:c>
      <x:c r="F1359" s="12" t="n">
        <x:f>SUM(B1359,D1359:E1359)</x:f>
        <x:v>98073.26350500001</x:v>
      </x:c>
      <x:c r="G1359" s="12" t="n">
        <x:f>MAX(G1358,F1359)</x:f>
        <x:v>102519.22234499999</x:v>
      </x:c>
      <x:c r="H1359" s="14" t="n">
        <x:f>F1359/G1359-1</x:f>
        <x:v>-0.043367075347473194</x:v>
      </x:c>
      <x:c r="I1359" s="14" t="n">
        <x:f>F1359/F1358-1</x:f>
        <x:v>-0.010243892181581726</x:v>
      </x:c>
      <x:c r="J1359" s="12" t="n">
        <x:v>0</x:v>
      </x:c>
      <x:c r="K1359" s="12" t="n">
        <x:v>0</x:v>
      </x:c>
      <x:c r="L1359" s="12" t="n">
        <x:v>0</x:v>
      </x:c>
      <x:c r="M1359" s="2" t="str">
        <x:v>持有</x:v>
      </x:c>
    </x:row>
    <x:row r="1360" ht="23" customHeight="1">
      <x:c r="A1360" s="11" t="d">
        <x:v>2020-05-20T00:00:00.000Z</x:v>
      </x:c>
      <x:c r="B1360" s="12" t="n">
        <x:v>263.313505</x:v>
      </x:c>
      <x:c r="C1360" s="13" t="n">
        <x:v>335</x:v>
      </x:c>
      <x:c r="D1360" s="12" t="n">
        <x:v>99471.55</x:v>
      </x:c>
      <x:c r="E1360" s="12" t="n">
        <x:v>0</x:v>
      </x:c>
      <x:c r="F1360" s="12" t="n">
        <x:f>SUM(B1360,D1360:E1360)</x:f>
        <x:v>99734.863505</x:v>
      </x:c>
      <x:c r="G1360" s="12" t="n">
        <x:f>MAX(G1359,F1360)</x:f>
        <x:v>102519.22234499999</x:v>
      </x:c>
      <x:c r="H1360" s="14" t="n">
        <x:f>F1360/G1360-1</x:f>
        <x:v>-0.027159383150898275</x:v>
      </x:c>
      <x:c r="I1360" s="14" t="n">
        <x:f>F1360/F1359-1</x:f>
        <x:v>0.016942436099470548</x:v>
      </x:c>
      <x:c r="J1360" s="12" t="n">
        <x:v>0</x:v>
      </x:c>
      <x:c r="K1360" s="12" t="n">
        <x:v>0</x:v>
      </x:c>
      <x:c r="L1360" s="12" t="n">
        <x:v>0</x:v>
      </x:c>
      <x:c r="M1360" s="2" t="str">
        <x:v>持有</x:v>
      </x:c>
    </x:row>
    <x:row r="1361" ht="23" customHeight="1">
      <x:c r="A1361" s="11" t="d">
        <x:v>2020-05-21T00:00:00.000Z</x:v>
      </x:c>
      <x:c r="B1361" s="12" t="n">
        <x:v>263.313505</x:v>
      </x:c>
      <x:c r="C1361" s="13" t="n">
        <x:v>335</x:v>
      </x:c>
      <x:c r="D1361" s="12" t="n">
        <x:v>98784.8</x:v>
      </x:c>
      <x:c r="E1361" s="12" t="n">
        <x:v>0</x:v>
      </x:c>
      <x:c r="F1361" s="12" t="n">
        <x:f>SUM(B1361,D1361:E1361)</x:f>
        <x:v>99048.113505</x:v>
      </x:c>
      <x:c r="G1361" s="12" t="n">
        <x:f>MAX(G1360,F1361)</x:f>
        <x:v>102519.22234499999</x:v>
      </x:c>
      <x:c r="H1361" s="14" t="n">
        <x:f>F1361/G1361-1</x:f>
        <x:v>-0.03385812690149881</x:v>
      </x:c>
      <x:c r="I1361" s="14" t="n">
        <x:f>F1361/F1360-1</x:f>
        <x:v>-0.0068857566538462756</x:v>
      </x:c>
      <x:c r="J1361" s="12" t="n">
        <x:v>0</x:v>
      </x:c>
      <x:c r="K1361" s="12" t="n">
        <x:v>0</x:v>
      </x:c>
      <x:c r="L1361" s="12" t="n">
        <x:v>0</x:v>
      </x:c>
      <x:c r="M1361" s="2" t="str">
        <x:v>持有</x:v>
      </x:c>
    </x:row>
    <x:row r="1362" ht="23" customHeight="1">
      <x:c r="A1362" s="11" t="d">
        <x:v>2020-05-22T00:00:00.000Z</x:v>
      </x:c>
      <x:c r="B1362" s="12" t="n">
        <x:v>263.313505</x:v>
      </x:c>
      <x:c r="C1362" s="13" t="n">
        <x:v>335</x:v>
      </x:c>
      <x:c r="D1362" s="12" t="n">
        <x:v>98972.4</x:v>
      </x:c>
      <x:c r="E1362" s="12" t="n">
        <x:v>0</x:v>
      </x:c>
      <x:c r="F1362" s="12" t="n">
        <x:f>SUM(B1362,D1362:E1362)</x:f>
        <x:v>99235.71350499999</x:v>
      </x:c>
      <x:c r="G1362" s="12" t="n">
        <x:f>MAX(G1361,F1362)</x:f>
        <x:v>102519.22234499999</x:v>
      </x:c>
      <x:c r="H1362" s="14" t="n">
        <x:f>F1362/G1362-1</x:f>
        <x:v>-0.03202822616962753</x:v>
      </x:c>
      <x:c r="I1362" s="14" t="n">
        <x:f>F1362/F1361-1</x:f>
        <x:v>0.0018940290063225174</x:v>
      </x:c>
      <x:c r="J1362" s="12" t="n">
        <x:v>0</x:v>
      </x:c>
      <x:c r="K1362" s="12" t="n">
        <x:v>0</x:v>
      </x:c>
      <x:c r="L1362" s="12" t="n">
        <x:v>0</x:v>
      </x:c>
      <x:c r="M1362" s="2" t="str">
        <x:v>持有</x:v>
      </x:c>
    </x:row>
    <x:row r="1363" ht="23" customHeight="1">
      <x:c r="A1363" s="11" t="d">
        <x:v>2020-05-26T00:00:00.000Z</x:v>
      </x:c>
      <x:c r="B1363" s="12" t="n">
        <x:v>263.313505</x:v>
      </x:c>
      <x:c r="C1363" s="13" t="n">
        <x:v>335</x:v>
      </x:c>
      <x:c r="D1363" s="12" t="n">
        <x:v>100191.79999999999</x:v>
      </x:c>
      <x:c r="E1363" s="12" t="n">
        <x:v>0</x:v>
      </x:c>
      <x:c r="F1363" s="12" t="n">
        <x:f>SUM(B1363,D1363:E1363)</x:f>
        <x:v>100455.11350499999</x:v>
      </x:c>
      <x:c r="G1363" s="12" t="n">
        <x:f>MAX(G1362,F1363)</x:f>
        <x:v>102519.22234499999</x:v>
      </x:c>
      <x:c r="H1363" s="14" t="n">
        <x:f>F1363/G1363-1</x:f>
        <x:v>-0.0201338714124637</x:v>
      </x:c>
      <x:c r="I1363" s="14" t="n">
        <x:f>F1363/F1362-1</x:f>
        <x:v>0.012287914873898353</x:v>
      </x:c>
      <x:c r="J1363" s="12" t="n">
        <x:v>0</x:v>
      </x:c>
      <x:c r="K1363" s="12" t="n">
        <x:v>0</x:v>
      </x:c>
      <x:c r="L1363" s="12" t="n">
        <x:v>0</x:v>
      </x:c>
      <x:c r="M1363" s="2" t="str">
        <x:v>持有</x:v>
      </x:c>
    </x:row>
    <x:row r="1364" ht="23" customHeight="1">
      <x:c r="A1364" s="11" t="d">
        <x:v>2020-05-27T00:00:00.000Z</x:v>
      </x:c>
      <x:c r="B1364" s="12" t="n">
        <x:v>263.313505</x:v>
      </x:c>
      <x:c r="C1364" s="13" t="n">
        <x:v>335</x:v>
      </x:c>
      <x:c r="D1364" s="12" t="n">
        <x:v>101682.54999999999</x:v>
      </x:c>
      <x:c r="E1364" s="12" t="n">
        <x:v>0</x:v>
      </x:c>
      <x:c r="F1364" s="12" t="n">
        <x:f>SUM(B1364,D1364:E1364)</x:f>
        <x:v>101945.86350499999</x:v>
      </x:c>
      <x:c r="G1364" s="12" t="n">
        <x:f>MAX(G1363,F1364)</x:f>
        <x:v>102519.22234499999</x:v>
      </x:c>
      <x:c r="H1364" s="14" t="n">
        <x:f>F1364/G1364-1</x:f>
        <x:v>-0.00559269595384293</x:v>
      </x:c>
      <x:c r="I1364" s="14" t="n">
        <x:f>F1364/F1363-1</x:f>
        <x:v>0.014839961331841955</x:v>
      </x:c>
      <x:c r="J1364" s="12" t="n">
        <x:v>0</x:v>
      </x:c>
      <x:c r="K1364" s="12" t="n">
        <x:v>0</x:v>
      </x:c>
      <x:c r="L1364" s="12" t="n">
        <x:v>0</x:v>
      </x:c>
      <x:c r="M1364" s="2" t="str">
        <x:v>持有</x:v>
      </x:c>
    </x:row>
    <x:row r="1365" ht="23" customHeight="1">
      <x:c r="A1365" s="11" t="d">
        <x:v>2020-05-28T00:00:00.000Z</x:v>
      </x:c>
      <x:c r="B1365" s="12" t="n">
        <x:v>263.313505</x:v>
      </x:c>
      <x:c r="C1365" s="13" t="n">
        <x:v>335</x:v>
      </x:c>
      <x:c r="D1365" s="12" t="n">
        <x:v>101494.95000000001</x:v>
      </x:c>
      <x:c r="E1365" s="12" t="n">
        <x:v>0</x:v>
      </x:c>
      <x:c r="F1365" s="12" t="n">
        <x:f>SUM(B1365,D1365:E1365)</x:f>
        <x:v>101758.26350500001</x:v>
      </x:c>
      <x:c r="G1365" s="12" t="n">
        <x:f>MAX(G1364,F1365)</x:f>
        <x:v>102519.22234499999</x:v>
      </x:c>
      <x:c r="H1365" s="14" t="n">
        <x:f>F1365/G1365-1</x:f>
        <x:v>-0.007422596685713989</x:v>
      </x:c>
      <x:c r="I1365" s="14" t="n">
        <x:f>F1365/F1364-1</x:f>
        <x:v>-0.0018401923682835886</x:v>
      </x:c>
      <x:c r="J1365" s="12" t="n">
        <x:v>0</x:v>
      </x:c>
      <x:c r="K1365" s="12" t="n">
        <x:v>0</x:v>
      </x:c>
      <x:c r="L1365" s="12" t="n">
        <x:v>0</x:v>
      </x:c>
      <x:c r="M1365" s="2" t="str">
        <x:v>持有</x:v>
      </x:c>
    </x:row>
    <x:row r="1366" ht="23" customHeight="1">
      <x:c r="A1366" s="11" t="d">
        <x:v>2020-05-29T00:00:00.000Z</x:v>
      </x:c>
      <x:c r="B1366" s="12" t="n">
        <x:v>263.313505</x:v>
      </x:c>
      <x:c r="C1366" s="13" t="n">
        <x:v>335</x:v>
      </x:c>
      <x:c r="D1366" s="12" t="n">
        <x:v>101947.2</x:v>
      </x:c>
      <x:c r="E1366" s="12" t="n">
        <x:v>0</x:v>
      </x:c>
      <x:c r="F1366" s="12" t="n">
        <x:f>SUM(B1366,D1366:E1366)</x:f>
        <x:v>102210.513505</x:v>
      </x:c>
      <x:c r="G1366" s="12" t="n">
        <x:f>MAX(G1365,F1366)</x:f>
        <x:v>102519.22234499999</x:v>
      </x:c>
      <x:c r="H1366" s="14" t="n">
        <x:f>F1366/G1366-1</x:f>
        <x:v>-0.0030112288499528628</x:v>
      </x:c>
      <x:c r="I1366" s="14" t="n">
        <x:f>F1366/F1365-1</x:f>
        <x:v>0.004444356501600133</x:v>
      </x:c>
      <x:c r="J1366" s="12" t="n">
        <x:v>0</x:v>
      </x:c>
      <x:c r="K1366" s="12" t="n">
        <x:v>0</x:v>
      </x:c>
      <x:c r="L1366" s="12" t="n">
        <x:v>0</x:v>
      </x:c>
      <x:c r="M1366" s="2" t="str">
        <x:v>持有</x:v>
      </x:c>
    </x:row>
    <x:row r="1367" ht="23" customHeight="1">
      <x:c r="A1367" s="11" t="d">
        <x:v>2020-06-01T00:00:00.000Z</x:v>
      </x:c>
      <x:c r="B1367" s="12" t="n">
        <x:v>263.313505</x:v>
      </x:c>
      <x:c r="C1367" s="13" t="n">
        <x:v>335</x:v>
      </x:c>
      <x:c r="D1367" s="12" t="n">
        <x:v>102359.25</x:v>
      </x:c>
      <x:c r="E1367" s="12" t="n">
        <x:v>0</x:v>
      </x:c>
      <x:c r="F1367" s="12" t="n">
        <x:f>SUM(B1367,D1367:E1367)</x:f>
        <x:v>102622.563505</x:v>
      </x:c>
      <x:c r="G1367" s="12" t="n">
        <x:f>MAX(G1366,F1367)</x:f>
        <x:v>102622.563505</x:v>
      </x:c>
      <x:c r="H1367" s="14" t="n">
        <x:f>F1367/G1367-1</x:f>
        <x:v>0</x:v>
      </x:c>
      <x:c r="I1367" s="14" t="n">
        <x:f>F1367/F1366-1</x:f>
        <x:v>0.004031385675210775</x:v>
      </x:c>
      <x:c r="J1367" s="12" t="n">
        <x:v>0</x:v>
      </x:c>
      <x:c r="K1367" s="12" t="n">
        <x:v>0</x:v>
      </x:c>
      <x:c r="L1367" s="12" t="n">
        <x:v>0</x:v>
      </x:c>
      <x:c r="M1367" s="2" t="str">
        <x:v>持有</x:v>
      </x:c>
    </x:row>
    <x:row r="1368" ht="23" customHeight="1">
      <x:c r="A1368" s="11" t="d">
        <x:v>2020-06-02T00:00:00.000Z</x:v>
      </x:c>
      <x:c r="B1368" s="12" t="n">
        <x:v>263.313505</x:v>
      </x:c>
      <x:c r="C1368" s="13" t="n">
        <x:v>335</x:v>
      </x:c>
      <x:c r="D1368" s="12" t="n">
        <x:v>103206.79999999999</x:v>
      </x:c>
      <x:c r="E1368" s="12" t="n">
        <x:v>0</x:v>
      </x:c>
      <x:c r="F1368" s="12" t="n">
        <x:f>SUM(B1368,D1368:E1368)</x:f>
        <x:v>103470.11350499999</x:v>
      </x:c>
      <x:c r="G1368" s="12" t="n">
        <x:f>MAX(G1367,F1368)</x:f>
        <x:v>103470.11350499999</x:v>
      </x:c>
      <x:c r="H1368" s="14" t="n">
        <x:f>F1368/G1368-1</x:f>
        <x:v>0</x:v>
      </x:c>
      <x:c r="I1368" s="14" t="n">
        <x:f>F1368/F1367-1</x:f>
        <x:v>0.008258904972284098</x:v>
      </x:c>
      <x:c r="J1368" s="12" t="n">
        <x:v>0</x:v>
      </x:c>
      <x:c r="K1368" s="12" t="n">
        <x:v>0</x:v>
      </x:c>
      <x:c r="L1368" s="12" t="n">
        <x:v>0</x:v>
      </x:c>
      <x:c r="M1368" s="2" t="str">
        <x:v>持有</x:v>
      </x:c>
    </x:row>
    <x:row r="1369" ht="23" customHeight="1">
      <x:c r="A1369" s="11" t="d">
        <x:v>2020-06-03T00:00:00.000Z</x:v>
      </x:c>
      <x:c r="B1369" s="12" t="n">
        <x:v>263.313505</x:v>
      </x:c>
      <x:c r="C1369" s="13" t="n">
        <x:v>335</x:v>
      </x:c>
      <x:c r="D1369" s="12" t="n">
        <x:v>104580.3</x:v>
      </x:c>
      <x:c r="E1369" s="12" t="n">
        <x:v>0</x:v>
      </x:c>
      <x:c r="F1369" s="12" t="n">
        <x:f>SUM(B1369,D1369:E1369)</x:f>
        <x:v>104843.613505</x:v>
      </x:c>
      <x:c r="G1369" s="12" t="n">
        <x:f>MAX(G1368,F1369)</x:f>
        <x:v>104843.613505</x:v>
      </x:c>
      <x:c r="H1369" s="14" t="n">
        <x:f>F1369/G1369-1</x:f>
        <x:v>0</x:v>
      </x:c>
      <x:c r="I1369" s="14" t="n">
        <x:f>F1369/F1368-1</x:f>
        <x:v>0.013274364485293066</x:v>
      </x:c>
      <x:c r="J1369" s="12" t="n">
        <x:v>0</x:v>
      </x:c>
      <x:c r="K1369" s="12" t="n">
        <x:v>0</x:v>
      </x:c>
      <x:c r="L1369" s="12" t="n">
        <x:v>0</x:v>
      </x:c>
      <x:c r="M1369" s="2" t="str">
        <x:v>持有</x:v>
      </x:c>
    </x:row>
    <x:row r="1370" ht="23" customHeight="1">
      <x:c r="A1370" s="11" t="d">
        <x:v>2020-06-04T00:00:00.000Z</x:v>
      </x:c>
      <x:c r="B1370" s="12" t="n">
        <x:v>263.313505</x:v>
      </x:c>
      <x:c r="C1370" s="13" t="n">
        <x:v>335</x:v>
      </x:c>
      <x:c r="D1370" s="12" t="n">
        <x:v>104305.6</x:v>
      </x:c>
      <x:c r="E1370" s="12" t="n">
        <x:v>0</x:v>
      </x:c>
      <x:c r="F1370" s="12" t="n">
        <x:f>SUM(B1370,D1370:E1370)</x:f>
        <x:v>104568.913505</x:v>
      </x:c>
      <x:c r="G1370" s="12" t="n">
        <x:f>MAX(G1369,F1370)</x:f>
        <x:v>104843.613505</x:v>
      </x:c>
      <x:c r="H1370" s="14" t="n">
        <x:f>F1370/G1370-1</x:f>
        <x:v>-0.002620092829849874</x:v>
      </x:c>
      <x:c r="I1370" s="14" t="n">
        <x:f>F1370/F1369-1</x:f>
        <x:v>-0.002620092829849874</x:v>
      </x:c>
      <x:c r="J1370" s="12" t="n">
        <x:v>0</x:v>
      </x:c>
      <x:c r="K1370" s="12" t="n">
        <x:v>0</x:v>
      </x:c>
      <x:c r="L1370" s="12" t="n">
        <x:v>0</x:v>
      </x:c>
      <x:c r="M1370" s="2" t="str">
        <x:v>持有</x:v>
      </x:c>
    </x:row>
    <x:row r="1371" ht="23" customHeight="1">
      <x:c r="A1371" s="11" t="d">
        <x:v>2020-06-05T00:00:00.000Z</x:v>
      </x:c>
      <x:c r="B1371" s="12" t="n">
        <x:v>263.313505</x:v>
      </x:c>
      <x:c r="C1371" s="13" t="n">
        <x:v>335</x:v>
      </x:c>
      <x:c r="D1371" s="12" t="n">
        <x:v>106978.9</x:v>
      </x:c>
      <x:c r="E1371" s="12" t="n">
        <x:v>0</x:v>
      </x:c>
      <x:c r="F1371" s="12" t="n">
        <x:f>SUM(B1371,D1371:E1371)</x:f>
        <x:v>107242.21350499999</x:v>
      </x:c>
      <x:c r="G1371" s="12" t="n">
        <x:f>MAX(G1370,F1371)</x:f>
        <x:v>107242.21350499999</x:v>
      </x:c>
      <x:c r="H1371" s="14" t="n">
        <x:f>F1371/G1371-1</x:f>
        <x:v>0</x:v>
      </x:c>
      <x:c r="I1371" s="14" t="n">
        <x:f>F1371/F1370-1</x:f>
        <x:v>0.02556495912977197</x:v>
      </x:c>
      <x:c r="J1371" s="12" t="n">
        <x:v>0</x:v>
      </x:c>
      <x:c r="K1371" s="12" t="n">
        <x:v>0</x:v>
      </x:c>
      <x:c r="L1371" s="12" t="n">
        <x:v>0</x:v>
      </x:c>
      <x:c r="M1371" s="2" t="str">
        <x:v>持有</x:v>
      </x:c>
    </x:row>
    <x:row r="1372" ht="23" customHeight="1">
      <x:c r="A1372" s="11" t="d">
        <x:v>2020-06-08T00:00:00.000Z</x:v>
      </x:c>
      <x:c r="B1372" s="12" t="n">
        <x:v>263.313505</x:v>
      </x:c>
      <x:c r="C1372" s="13" t="n">
        <x:v>335</x:v>
      </x:c>
      <x:c r="D1372" s="12" t="n">
        <x:v>108272</x:v>
      </x:c>
      <x:c r="E1372" s="12" t="n">
        <x:v>0</x:v>
      </x:c>
      <x:c r="F1372" s="12" t="n">
        <x:f>SUM(B1372,D1372:E1372)</x:f>
        <x:v>108535.313505</x:v>
      </x:c>
      <x:c r="G1372" s="12" t="n">
        <x:f>MAX(G1371,F1372)</x:f>
        <x:v>108535.313505</x:v>
      </x:c>
      <x:c r="H1372" s="14" t="n">
        <x:f>F1372/G1372-1</x:f>
        <x:v>0</x:v>
      </x:c>
      <x:c r="I1372" s="14" t="n">
        <x:f>F1372/F1371-1</x:f>
        <x:v>0.012057751865963917</x:v>
      </x:c>
      <x:c r="J1372" s="12" t="n">
        <x:v>0</x:v>
      </x:c>
      <x:c r="K1372" s="12" t="n">
        <x:v>0</x:v>
      </x:c>
      <x:c r="L1372" s="12" t="n">
        <x:v>0</x:v>
      </x:c>
      <x:c r="M1372" s="2" t="str">
        <x:v>持有</x:v>
      </x:c>
    </x:row>
    <x:row r="1373" ht="23" customHeight="1">
      <x:c r="A1373" s="11" t="d">
        <x:v>2020-06-09T00:00:00.000Z</x:v>
      </x:c>
      <x:c r="B1373" s="12" t="n">
        <x:v>263.313505</x:v>
      </x:c>
      <x:c r="C1373" s="13" t="n">
        <x:v>335</x:v>
      </x:c>
      <x:c r="D1373" s="12" t="n">
        <x:v>107464.65000000001</x:v>
      </x:c>
      <x:c r="E1373" s="12" t="n">
        <x:v>0</x:v>
      </x:c>
      <x:c r="F1373" s="12" t="n">
        <x:f>SUM(B1373,D1373:E1373)</x:f>
        <x:v>107727.963505</x:v>
      </x:c>
      <x:c r="G1373" s="12" t="n">
        <x:f>MAX(G1372,F1373)</x:f>
        <x:v>108535.313505</x:v>
      </x:c>
      <x:c r="H1373" s="14" t="n">
        <x:f>F1373/G1373-1</x:f>
        <x:v>-0.0074385927854052625</x:v>
      </x:c>
      <x:c r="I1373" s="14" t="n">
        <x:f>F1373/F1372-1</x:f>
        <x:v>-0.0074385927854052625</x:v>
      </x:c>
      <x:c r="J1373" s="12" t="n">
        <x:v>0</x:v>
      </x:c>
      <x:c r="K1373" s="12" t="n">
        <x:v>0</x:v>
      </x:c>
      <x:c r="L1373" s="12" t="n">
        <x:v>0</x:v>
      </x:c>
      <x:c r="M1373" s="2" t="str">
        <x:v>持有</x:v>
      </x:c>
    </x:row>
    <x:row r="1374" ht="23" customHeight="1">
      <x:c r="A1374" s="11" t="d">
        <x:v>2020-06-10T00:00:00.000Z</x:v>
      </x:c>
      <x:c r="B1374" s="12" t="n">
        <x:v>263.313505</x:v>
      </x:c>
      <x:c r="C1374" s="13" t="n">
        <x:v>335</x:v>
      </x:c>
      <x:c r="D1374" s="12" t="n">
        <x:v>106865</x:v>
      </x:c>
      <x:c r="E1374" s="12" t="n">
        <x:v>0</x:v>
      </x:c>
      <x:c r="F1374" s="12" t="n">
        <x:f>SUM(B1374,D1374:E1374)</x:f>
        <x:v>107128.313505</x:v>
      </x:c>
      <x:c r="G1374" s="12" t="n">
        <x:f>MAX(G1373,F1374)</x:f>
        <x:v>108535.313505</x:v>
      </x:c>
      <x:c r="H1374" s="14" t="n">
        <x:f>F1374/G1374-1</x:f>
        <x:v>-0.012963522696556984</x:v>
      </x:c>
      <x:c r="I1374" s="14" t="n">
        <x:f>F1374/F1373-1</x:f>
        <x:v>-0.005566335615099338</x:v>
      </x:c>
      <x:c r="J1374" s="12" t="n">
        <x:v>0</x:v>
      </x:c>
      <x:c r="K1374" s="12" t="n">
        <x:v>0</x:v>
      </x:c>
      <x:c r="L1374" s="12" t="n">
        <x:v>0</x:v>
      </x:c>
      <x:c r="M1374" s="2" t="str">
        <x:v>持有</x:v>
      </x:c>
    </x:row>
    <x:row r="1375" ht="23" customHeight="1">
      <x:c r="A1375" s="11" t="d">
        <x:v>2020-06-11T00:00:00.000Z</x:v>
      </x:c>
      <x:c r="B1375" s="12" t="n">
        <x:v>263.313505</x:v>
      </x:c>
      <x:c r="C1375" s="13" t="n">
        <x:v>335</x:v>
      </x:c>
      <x:c r="D1375" s="12" t="n">
        <x:v>100704.35</x:v>
      </x:c>
      <x:c r="E1375" s="12" t="n">
        <x:v>0</x:v>
      </x:c>
      <x:c r="F1375" s="12" t="n">
        <x:f>SUM(B1375,D1375:E1375)</x:f>
        <x:v>100967.663505</x:v>
      </x:c>
      <x:c r="G1375" s="12" t="n">
        <x:f>MAX(G1374,F1375)</x:f>
        <x:v>108535.313505</x:v>
      </x:c>
      <x:c r="H1375" s="14" t="n">
        <x:f>F1375/G1375-1</x:f>
        <x:v>-0.06972523278933884</x:v>
      </x:c>
      <x:c r="I1375" s="14" t="n">
        <x:f>F1375/F1374-1</x:f>
        <x:v>-0.05750720606380555</x:v>
      </x:c>
      <x:c r="J1375" s="12" t="n">
        <x:v>0</x:v>
      </x:c>
      <x:c r="K1375" s="12" t="n">
        <x:v>0</x:v>
      </x:c>
      <x:c r="L1375" s="12" t="n">
        <x:v>0</x:v>
      </x:c>
      <x:c r="M1375" s="2" t="str">
        <x:v>持有</x:v>
      </x:c>
    </x:row>
    <x:row r="1376" ht="23" customHeight="1">
      <x:c r="A1376" s="11" t="d">
        <x:v>2020-06-12T00:00:00.000Z</x:v>
      </x:c>
      <x:c r="B1376" s="12" t="n">
        <x:v>263.313505</x:v>
      </x:c>
      <x:c r="C1376" s="13" t="n">
        <x:v>335</x:v>
      </x:c>
      <x:c r="D1376" s="12" t="n">
        <x:v>101910.34999999999</x:v>
      </x:c>
      <x:c r="E1376" s="12" t="n">
        <x:v>0</x:v>
      </x:c>
      <x:c r="F1376" s="12" t="n">
        <x:f>SUM(B1376,D1376:E1376)</x:f>
        <x:v>102173.66350499999</x:v>
      </x:c>
      <x:c r="G1376" s="12" t="n">
        <x:f>MAX(G1375,F1376)</x:f>
        <x:v>108535.313505</x:v>
      </x:c>
      <x:c r="H1376" s="14" t="n">
        <x:f>F1376/G1376-1</x:f>
        <x:v>-0.05861364190657581</x:v>
      </x:c>
      <x:c r="I1376" s="14" t="n">
        <x:f>F1376/F1375-1</x:f>
        <x:v>0.011944418223962083</x:v>
      </x:c>
      <x:c r="J1376" s="12" t="n">
        <x:v>0</x:v>
      </x:c>
      <x:c r="K1376" s="12" t="n">
        <x:v>0</x:v>
      </x:c>
      <x:c r="L1376" s="12" t="n">
        <x:v>0</x:v>
      </x:c>
      <x:c r="M1376" s="2" t="str">
        <x:v>持有</x:v>
      </x:c>
    </x:row>
    <x:row r="1377" ht="23" customHeight="1">
      <x:c r="A1377" s="11" t="d">
        <x:v>2020-06-15T00:00:00.000Z</x:v>
      </x:c>
      <x:c r="B1377" s="12" t="n">
        <x:v>263.313505</x:v>
      </x:c>
      <x:c r="C1377" s="13" t="n">
        <x:v>335</x:v>
      </x:c>
      <x:c r="D1377" s="12" t="n">
        <x:v>102861.75</x:v>
      </x:c>
      <x:c r="E1377" s="12" t="n">
        <x:v>0</x:v>
      </x:c>
      <x:c r="F1377" s="12" t="n">
        <x:f>SUM(B1377,D1377:E1377)</x:f>
        <x:v>103125.063505</x:v>
      </x:c>
      <x:c r="G1377" s="12" t="n">
        <x:f>MAX(G1376,F1377)</x:f>
        <x:v>108535.313505</x:v>
      </x:c>
      <x:c r="H1377" s="14" t="n">
        <x:f>F1377/G1377-1</x:f>
        <x:v>-0.049847831321284786</x:v>
      </x:c>
      <x:c r="I1377" s="14" t="n">
        <x:f>F1377/F1376-1</x:f>
        <x:v>0.009311597209719746</x:v>
      </x:c>
      <x:c r="J1377" s="12" t="n">
        <x:v>0</x:v>
      </x:c>
      <x:c r="K1377" s="12" t="n">
        <x:v>0</x:v>
      </x:c>
      <x:c r="L1377" s="12" t="n">
        <x:v>0</x:v>
      </x:c>
      <x:c r="M1377" s="2" t="str">
        <x:v>持有</x:v>
      </x:c>
    </x:row>
    <x:row r="1378" ht="23" customHeight="1">
      <x:c r="A1378" s="11" t="d">
        <x:v>2020-06-16T00:00:00.000Z</x:v>
      </x:c>
      <x:c r="B1378" s="12" t="n">
        <x:v>263.313505</x:v>
      </x:c>
      <x:c r="C1378" s="13" t="n">
        <x:v>335</x:v>
      </x:c>
      <x:c r="D1378" s="12" t="n">
        <x:v>104841.59999999999</x:v>
      </x:c>
      <x:c r="E1378" s="12" t="n">
        <x:v>0</x:v>
      </x:c>
      <x:c r="F1378" s="12" t="n">
        <x:f>SUM(B1378,D1378:E1378)</x:f>
        <x:v>105104.91350499999</x:v>
      </x:c>
      <x:c r="G1378" s="12" t="n">
        <x:f>MAX(G1377,F1378)</x:f>
        <x:v>108535.313505</x:v>
      </x:c>
      <x:c r="H1378" s="14" t="n">
        <x:f>F1378/G1378-1</x:f>
        <x:v>-0.03160630295541533</x:v>
      </x:c>
      <x:c r="I1378" s="14" t="n">
        <x:f>F1378/F1377-1</x:f>
        <x:v>0.019198533631971992</x:v>
      </x:c>
      <x:c r="J1378" s="12" t="n">
        <x:v>0</x:v>
      </x:c>
      <x:c r="K1378" s="12" t="n">
        <x:v>0</x:v>
      </x:c>
      <x:c r="L1378" s="12" t="n">
        <x:v>0</x:v>
      </x:c>
      <x:c r="M1378" s="2" t="str">
        <x:v>持有</x:v>
      </x:c>
    </x:row>
    <x:row r="1379" ht="23" customHeight="1">
      <x:c r="A1379" s="11" t="d">
        <x:v>2020-06-17T00:00:00.000Z</x:v>
      </x:c>
      <x:c r="B1379" s="12" t="n">
        <x:v>263.313505</x:v>
      </x:c>
      <x:c r="C1379" s="13" t="n">
        <x:v>335</x:v>
      </x:c>
      <x:c r="D1379" s="12" t="n">
        <x:v>104406.1</x:v>
      </x:c>
      <x:c r="E1379" s="12" t="n">
        <x:v>0</x:v>
      </x:c>
      <x:c r="F1379" s="12" t="n">
        <x:f>SUM(B1379,D1379:E1379)</x:f>
        <x:v>104669.413505</x:v>
      </x:c>
      <x:c r="G1379" s="12" t="n">
        <x:f>MAX(G1378,F1379)</x:f>
        <x:v>108535.313505</x:v>
      </x:c>
      <x:c r="H1379" s="14" t="n">
        <x:f>F1379/G1379-1</x:f>
        <x:v>-0.035618821885301855</x:v>
      </x:c>
      <x:c r="I1379" s="14" t="n">
        <x:f>F1379/F1378-1</x:f>
        <x:v>-0.004143478981877169</x:v>
      </x:c>
      <x:c r="J1379" s="12" t="n">
        <x:v>0</x:v>
      </x:c>
      <x:c r="K1379" s="12" t="n">
        <x:v>0</x:v>
      </x:c>
      <x:c r="L1379" s="12" t="n">
        <x:v>0</x:v>
      </x:c>
      <x:c r="M1379" s="2" t="str">
        <x:v>持有</x:v>
      </x:c>
    </x:row>
    <x:row r="1380" ht="23" customHeight="1">
      <x:c r="A1380" s="11" t="d">
        <x:v>2020-06-18T00:00:00.000Z</x:v>
      </x:c>
      <x:c r="B1380" s="12" t="n">
        <x:v>263.313505</x:v>
      </x:c>
      <x:c r="C1380" s="13" t="n">
        <x:v>335</x:v>
      </x:c>
      <x:c r="D1380" s="12" t="n">
        <x:v>104446.29999999999</x:v>
      </x:c>
      <x:c r="E1380" s="12" t="n">
        <x:v>0</x:v>
      </x:c>
      <x:c r="F1380" s="12" t="n">
        <x:f>SUM(B1380,D1380:E1380)</x:f>
        <x:v>104709.61350499999</x:v>
      </x:c>
      <x:c r="G1380" s="12" t="n">
        <x:f>MAX(G1379,F1380)</x:f>
        <x:v>108535.313505</x:v>
      </x:c>
      <x:c r="H1380" s="14" t="n">
        <x:f>F1380/G1380-1</x:f>
        <x:v>-0.03524843552254331</x:v>
      </x:c>
      <x:c r="I1380" s="14" t="n">
        <x:f>F1380/F1379-1</x:f>
        <x:v>0.00038406635380705545</x:v>
      </x:c>
      <x:c r="J1380" s="12" t="n">
        <x:v>0</x:v>
      </x:c>
      <x:c r="K1380" s="12" t="n">
        <x:v>0</x:v>
      </x:c>
      <x:c r="L1380" s="12" t="n">
        <x:v>0</x:v>
      </x:c>
      <x:c r="M1380" s="2" t="str">
        <x:v>持有</x:v>
      </x:c>
    </x:row>
    <x:row r="1381" ht="23" customHeight="1">
      <x:c r="A1381" s="11" t="d">
        <x:v>2020-06-19T00:00:00.000Z</x:v>
      </x:c>
      <x:c r="B1381" s="12" t="n">
        <x:v>263.313505</x:v>
      </x:c>
      <x:c r="C1381" s="13" t="n">
        <x:v>335</x:v>
      </x:c>
      <x:c r="D1381" s="12" t="n">
        <x:v>103394.4</x:v>
      </x:c>
      <x:c r="E1381" s="12" t="n">
        <x:v>457.69107</x:v>
      </x:c>
      <x:c r="F1381" s="12" t="n">
        <x:f>SUM(B1381,D1381:E1381)</x:f>
        <x:v>104115.404575</x:v>
      </x:c>
      <x:c r="G1381" s="12" t="n">
        <x:f>MAX(G1380,F1381)</x:f>
        <x:v>108535.313505</x:v>
      </x:c>
      <x:c r="H1381" s="14" t="n">
        <x:f>F1381/G1381-1</x:f>
        <x:v>-0.04072323363949548</x:v>
      </x:c>
      <x:c r="I1381" s="14" t="n">
        <x:f>F1381/F1380-1</x:f>
        <x:v>-0.005674826886564954</x:v>
      </x:c>
      <x:c r="J1381" s="12" t="n">
        <x:v>457.69107</x:v>
      </x:c>
      <x:c r="K1381" s="12" t="n">
        <x:v>0</x:v>
      </x:c>
      <x:c r="L1381" s="12" t="n">
        <x:v>0</x:v>
      </x:c>
      <x:c r="M1381" s="2" t="str">
        <x:v>持有</x:v>
      </x:c>
    </x:row>
    <x:row r="1382" ht="23" customHeight="1">
      <x:c r="A1382" s="11" t="d">
        <x:v>2020-06-22T00:00:00.000Z</x:v>
      </x:c>
      <x:c r="B1382" s="12" t="n">
        <x:v>263.313505</x:v>
      </x:c>
      <x:c r="C1382" s="13" t="n">
        <x:v>335</x:v>
      </x:c>
      <x:c r="D1382" s="12" t="n">
        <x:v>104057.7</x:v>
      </x:c>
      <x:c r="E1382" s="12" t="n">
        <x:v>457.69107</x:v>
      </x:c>
      <x:c r="F1382" s="12" t="n">
        <x:f>SUM(B1382,D1382:E1382)</x:f>
        <x:v>104778.704575</x:v>
      </x:c>
      <x:c r="G1382" s="12" t="n">
        <x:f>MAX(G1381,F1382)</x:f>
        <x:v>108535.313505</x:v>
      </x:c>
      <x:c r="H1382" s="14" t="n">
        <x:f>F1382/G1382-1</x:f>
        <x:v>-0.03461185865397576</x:v>
      </x:c>
      <x:c r="I1382" s="14" t="n">
        <x:f>F1382/F1381-1</x:f>
        <x:v>0.006370815180593015</x:v>
      </x:c>
      <x:c r="J1382" s="12" t="n">
        <x:v>0</x:v>
      </x:c>
      <x:c r="K1382" s="12" t="n">
        <x:v>0</x:v>
      </x:c>
      <x:c r="L1382" s="12" t="n">
        <x:v>0</x:v>
      </x:c>
      <x:c r="M1382" s="2" t="str">
        <x:v>持有</x:v>
      </x:c>
    </x:row>
    <x:row r="1383" ht="23" customHeight="1">
      <x:c r="A1383" s="11" t="d">
        <x:v>2020-06-23T00:00:00.000Z</x:v>
      </x:c>
      <x:c r="B1383" s="12" t="n">
        <x:v>263.313505</x:v>
      </x:c>
      <x:c r="C1383" s="13" t="n">
        <x:v>335</x:v>
      </x:c>
      <x:c r="D1383" s="12" t="n">
        <x:v>104536.75</x:v>
      </x:c>
      <x:c r="E1383" s="12" t="n">
        <x:v>457.69107</x:v>
      </x:c>
      <x:c r="F1383" s="12" t="n">
        <x:f>SUM(B1383,D1383:E1383)</x:f>
        <x:v>105257.754575</x:v>
      </x:c>
      <x:c r="G1383" s="12" t="n">
        <x:f>MAX(G1382,F1383)</x:f>
        <x:v>108535.313505</x:v>
      </x:c>
      <x:c r="H1383" s="14" t="n">
        <x:f>F1383/G1383-1</x:f>
        <x:v>-0.03019808783110034</x:v>
      </x:c>
      <x:c r="I1383" s="14" t="n">
        <x:f>F1383/F1382-1</x:f>
        <x:v>0.004572016822913749</x:v>
      </x:c>
      <x:c r="J1383" s="12" t="n">
        <x:v>0</x:v>
      </x:c>
      <x:c r="K1383" s="12" t="n">
        <x:v>0</x:v>
      </x:c>
      <x:c r="L1383" s="12" t="n">
        <x:v>0</x:v>
      </x:c>
      <x:c r="M1383" s="2" t="str">
        <x:v>持有</x:v>
      </x:c>
    </x:row>
    <x:row r="1384" ht="23" customHeight="1">
      <x:c r="A1384" s="11" t="d">
        <x:v>2020-06-24T00:00:00.000Z</x:v>
      </x:c>
      <x:c r="B1384" s="12" t="n">
        <x:v>263.313505</x:v>
      </x:c>
      <x:c r="C1384" s="13" t="n">
        <x:v>335</x:v>
      </x:c>
      <x:c r="D1384" s="12" t="n">
        <x:v>101870.15</x:v>
      </x:c>
      <x:c r="E1384" s="12" t="n">
        <x:v>457.69107</x:v>
      </x:c>
      <x:c r="F1384" s="12" t="n">
        <x:f>SUM(B1384,D1384:E1384)</x:f>
        <x:v>102591.154575</x:v>
      </x:c>
      <x:c r="G1384" s="12" t="n">
        <x:f>MAX(G1383,F1384)</x:f>
        <x:v>108535.313505</x:v>
      </x:c>
      <x:c r="H1384" s="14" t="n">
        <x:f>F1384/G1384-1</x:f>
        <x:v>-0.054767049894098974</x:v>
      </x:c>
      <x:c r="I1384" s="14" t="n">
        <x:f>F1384/F1383-1</x:f>
        <x:v>-0.025334000433193338</x:v>
      </x:c>
      <x:c r="J1384" s="12" t="n">
        <x:v>0</x:v>
      </x:c>
      <x:c r="K1384" s="12" t="n">
        <x:v>0</x:v>
      </x:c>
      <x:c r="L1384" s="12" t="n">
        <x:v>0</x:v>
      </x:c>
      <x:c r="M1384" s="2" t="str">
        <x:v>持有</x:v>
      </x:c>
    </x:row>
    <x:row r="1385" ht="23" customHeight="1">
      <x:c r="A1385" s="11" t="d">
        <x:v>2020-06-25T00:00:00.000Z</x:v>
      </x:c>
      <x:c r="B1385" s="12" t="n">
        <x:v>263.313505</x:v>
      </x:c>
      <x:c r="C1385" s="13" t="n">
        <x:v>335</x:v>
      </x:c>
      <x:c r="D1385" s="12" t="n">
        <x:v>102962.25000000001</x:v>
      </x:c>
      <x:c r="E1385" s="12" t="n">
        <x:v>457.69107</x:v>
      </x:c>
      <x:c r="F1385" s="12" t="n">
        <x:f>SUM(B1385,D1385:E1385)</x:f>
        <x:v>103683.25457500001</x:v>
      </x:c>
      <x:c r="G1385" s="12" t="n">
        <x:f>MAX(G1384,F1385)</x:f>
        <x:v>108535.313505</x:v>
      </x:c>
      <x:c r="H1385" s="14" t="n">
        <x:f>F1385/G1385-1</x:f>
        <x:v>-0.0447048870391521</x:v>
      </x:c>
      <x:c r="I1385" s="14" t="n">
        <x:f>F1385/F1384-1</x:f>
        <x:v>0.010645167261487787</x:v>
      </x:c>
      <x:c r="J1385" s="12" t="n">
        <x:v>0</x:v>
      </x:c>
      <x:c r="K1385" s="12" t="n">
        <x:v>0</x:v>
      </x:c>
      <x:c r="L1385" s="12" t="n">
        <x:v>0</x:v>
      </x:c>
      <x:c r="M1385" s="2" t="str">
        <x:v>持有</x:v>
      </x:c>
    </x:row>
    <x:row r="1386" ht="23" customHeight="1">
      <x:c r="A1386" s="11" t="d">
        <x:v>2020-06-26T00:00:00.000Z</x:v>
      </x:c>
      <x:c r="B1386" s="12" t="n">
        <x:v>263.313505</x:v>
      </x:c>
      <x:c r="C1386" s="13" t="n">
        <x:v>335</x:v>
      </x:c>
      <x:c r="D1386" s="12" t="n">
        <x:v>100516.75</x:v>
      </x:c>
      <x:c r="E1386" s="12" t="n">
        <x:v>457.69107</x:v>
      </x:c>
      <x:c r="F1386" s="12" t="n">
        <x:f>SUM(B1386,D1386:E1386)</x:f>
        <x:v>101237.754575</x:v>
      </x:c>
      <x:c r="G1386" s="12" t="n">
        <x:f>MAX(G1385,F1386)</x:f>
        <x:v>108535.313505</x:v>
      </x:c>
      <x:c r="H1386" s="14" t="n">
        <x:f>F1386/G1386-1</x:f>
        <x:v>-0.06723672410697756</x:v>
      </x:c>
      <x:c r="I1386" s="14" t="n">
        <x:f>F1386/F1385-1</x:f>
        <x:v>-0.023586258070545485</x:v>
      </x:c>
      <x:c r="J1386" s="12" t="n">
        <x:v>0</x:v>
      </x:c>
      <x:c r="K1386" s="12" t="n">
        <x:v>0</x:v>
      </x:c>
      <x:c r="L1386" s="12" t="n">
        <x:v>0</x:v>
      </x:c>
      <x:c r="M1386" s="2" t="str">
        <x:v>持有</x:v>
      </x:c>
    </x:row>
    <x:row r="1387" ht="23" customHeight="1">
      <x:c r="A1387" s="11" t="d">
        <x:v>2020-06-29T00:00:00.000Z</x:v>
      </x:c>
      <x:c r="B1387" s="12" t="n">
        <x:v>263.313505</x:v>
      </x:c>
      <x:c r="C1387" s="13" t="n">
        <x:v>335</x:v>
      </x:c>
      <x:c r="D1387" s="12" t="n">
        <x:v>101994.09999999999</x:v>
      </x:c>
      <x:c r="E1387" s="12" t="n">
        <x:v>457.69107</x:v>
      </x:c>
      <x:c r="F1387" s="12" t="n">
        <x:f>SUM(B1387,D1387:E1387)</x:f>
        <x:v>102715.10457499999</x:v>
      </x:c>
      <x:c r="G1387" s="12" t="n">
        <x:f>MAX(G1386,F1387)</x:f>
        <x:v>108535.313505</x:v>
      </x:c>
      <x:c r="H1387" s="14" t="n">
        <x:f>F1387/G1387-1</x:f>
        <x:v>-0.053625025275592764</x:v>
      </x:c>
      <x:c r="I1387" s="14" t="n">
        <x:f>F1387/F1386-1</x:f>
        <x:v>0.01459287600956749</x:v>
      </x:c>
      <x:c r="J1387" s="12" t="n">
        <x:v>0</x:v>
      </x:c>
      <x:c r="K1387" s="12" t="n">
        <x:v>0</x:v>
      </x:c>
      <x:c r="L1387" s="12" t="n">
        <x:v>0</x:v>
      </x:c>
      <x:c r="M1387" s="2" t="str">
        <x:v>持有</x:v>
      </x:c>
    </x:row>
    <x:row r="1388" ht="23" customHeight="1">
      <x:c r="A1388" s="11" t="d">
        <x:v>2020-06-30T00:00:00.000Z</x:v>
      </x:c>
      <x:c r="B1388" s="12" t="n">
        <x:v>263.313505</x:v>
      </x:c>
      <x:c r="C1388" s="13" t="n">
        <x:v>335</x:v>
      </x:c>
      <x:c r="D1388" s="12" t="n">
        <x:v>103300.6</x:v>
      </x:c>
      <x:c r="E1388" s="12" t="n">
        <x:v>457.69107</x:v>
      </x:c>
      <x:c r="F1388" s="12" t="n">
        <x:f>SUM(B1388,D1388:E1388)</x:f>
        <x:v>104021.604575</x:v>
      </x:c>
      <x:c r="G1388" s="12" t="n">
        <x:f>MAX(G1387,F1388)</x:f>
        <x:v>108535.313505</x:v>
      </x:c>
      <x:c r="H1388" s="14" t="n">
        <x:f>F1388/G1388-1</x:f>
        <x:v>-0.04158746848593253</x:v>
      </x:c>
      <x:c r="I1388" s="14" t="n">
        <x:f>F1388/F1387-1</x:f>
        <x:v>0.012719648248481707</x:v>
      </x:c>
      <x:c r="J1388" s="12" t="n">
        <x:v>0</x:v>
      </x:c>
      <x:c r="K1388" s="12" t="n">
        <x:v>0</x:v>
      </x:c>
      <x:c r="L1388" s="12" t="n">
        <x:v>0</x:v>
      </x:c>
      <x:c r="M1388" s="2" t="str">
        <x:v>持有</x:v>
      </x:c>
    </x:row>
    <x:row r="1389" ht="23" customHeight="1">
      <x:c r="A1389" s="11" t="d">
        <x:v>2020-07-01T00:00:00.000Z</x:v>
      </x:c>
      <x:c r="B1389" s="12" t="n">
        <x:v>263.313505</x:v>
      </x:c>
      <x:c r="C1389" s="13" t="n">
        <x:v>335</x:v>
      </x:c>
      <x:c r="D1389" s="12" t="n">
        <x:v>104024.2</x:v>
      </x:c>
      <x:c r="E1389" s="12" t="n">
        <x:v>457.69107</x:v>
      </x:c>
      <x:c r="F1389" s="12" t="n">
        <x:f>SUM(B1389,D1389:E1389)</x:f>
        <x:v>104745.204575</x:v>
      </x:c>
      <x:c r="G1389" s="12" t="n">
        <x:f>MAX(G1388,F1389)</x:f>
        <x:v>108535.313505</x:v>
      </x:c>
      <x:c r="H1389" s="14" t="n">
        <x:f>F1389/G1389-1</x:f>
        <x:v>-0.03492051395627471</x:v>
      </x:c>
      <x:c r="I1389" s="14" t="n">
        <x:f>F1389/F1388-1</x:f>
        <x:v>0.0069562472426414335</x:v>
      </x:c>
      <x:c r="J1389" s="12" t="n">
        <x:v>0</x:v>
      </x:c>
      <x:c r="K1389" s="12" t="n">
        <x:v>0</x:v>
      </x:c>
      <x:c r="L1389" s="12" t="n">
        <x:v>0</x:v>
      </x:c>
      <x:c r="M1389" s="2" t="str">
        <x:v>持有</x:v>
      </x:c>
    </x:row>
    <x:row r="1390" ht="23" customHeight="1">
      <x:c r="A1390" s="11" t="d">
        <x:v>2020-07-02T00:00:00.000Z</x:v>
      </x:c>
      <x:c r="B1390" s="12" t="n">
        <x:v>263.313505</x:v>
      </x:c>
      <x:c r="C1390" s="13" t="n">
        <x:v>335</x:v>
      </x:c>
      <x:c r="D1390" s="12" t="n">
        <x:v>104597.05</x:v>
      </x:c>
      <x:c r="E1390" s="12" t="n">
        <x:v>457.69107</x:v>
      </x:c>
      <x:c r="F1390" s="12" t="n">
        <x:f>SUM(B1390,D1390:E1390)</x:f>
        <x:v>105318.054575</x:v>
      </x:c>
      <x:c r="G1390" s="12" t="n">
        <x:f>MAX(G1389,F1390)</x:f>
        <x:v>108535.313505</x:v>
      </x:c>
      <x:c r="H1390" s="14" t="n">
        <x:f>F1390/G1390-1</x:f>
        <x:v>-0.029642508286962133</x:v>
      </x:c>
      <x:c r="I1390" s="14" t="n">
        <x:f>F1390/F1389-1</x:f>
        <x:v>0.005468985452119934</x:v>
      </x:c>
      <x:c r="J1390" s="12" t="n">
        <x:v>0</x:v>
      </x:c>
      <x:c r="K1390" s="12" t="n">
        <x:v>0</x:v>
      </x:c>
      <x:c r="L1390" s="12" t="n">
        <x:v>0</x:v>
      </x:c>
      <x:c r="M1390" s="2" t="str">
        <x:v>持有</x:v>
      </x:c>
    </x:row>
    <x:row r="1391" ht="23" customHeight="1">
      <x:c r="A1391" s="11" t="d">
        <x:v>2020-07-06T00:00:00.000Z</x:v>
      </x:c>
      <x:c r="B1391" s="12" t="n">
        <x:v>263.313505</x:v>
      </x:c>
      <x:c r="C1391" s="13" t="n">
        <x:v>335</x:v>
      </x:c>
      <x:c r="D1391" s="12" t="n">
        <x:v>106211.75</x:v>
      </x:c>
      <x:c r="E1391" s="12" t="n">
        <x:v>457.69107</x:v>
      </x:c>
      <x:c r="F1391" s="12" t="n">
        <x:f>SUM(B1391,D1391:E1391)</x:f>
        <x:v>106932.754575</x:v>
      </x:c>
      <x:c r="G1391" s="12" t="n">
        <x:f>MAX(G1390,F1391)</x:f>
        <x:v>108535.313505</x:v>
      </x:c>
      <x:c r="H1391" s="14" t="n">
        <x:f>F1391/G1391-1</x:f>
        <x:v>-0.014765322716151497</x:v>
      </x:c>
      <x:c r="I1391" s="14" t="n">
        <x:f>F1391/F1390-1</x:f>
        <x:v>0.01533165425924321</x:v>
      </x:c>
      <x:c r="J1391" s="12" t="n">
        <x:v>0</x:v>
      </x:c>
      <x:c r="K1391" s="12" t="n">
        <x:v>0</x:v>
      </x:c>
      <x:c r="L1391" s="12" t="n">
        <x:v>0</x:v>
      </x:c>
      <x:c r="M1391" s="2" t="str">
        <x:v>持有</x:v>
      </x:c>
    </x:row>
    <x:row r="1392" ht="23" customHeight="1">
      <x:c r="A1392" s="11" t="d">
        <x:v>2020-07-07T00:00:00.000Z</x:v>
      </x:c>
      <x:c r="B1392" s="12" t="n">
        <x:v>263.313505</x:v>
      </x:c>
      <x:c r="C1392" s="13" t="n">
        <x:v>335</x:v>
      </x:c>
      <x:c r="D1392" s="12" t="n">
        <x:v>105116.29999999999</x:v>
      </x:c>
      <x:c r="E1392" s="12" t="n">
        <x:v>457.69107</x:v>
      </x:c>
      <x:c r="F1392" s="12" t="n">
        <x:f>SUM(B1392,D1392:E1392)</x:f>
        <x:v>105837.30457499999</x:v>
      </x:c>
      <x:c r="G1392" s="12" t="n">
        <x:f>MAX(G1391,F1392)</x:f>
        <x:v>108535.313505</x:v>
      </x:c>
      <x:c r="H1392" s="14" t="n">
        <x:f>F1392/G1392-1</x:f>
        <x:v>-0.02485835110132817</x:v>
      </x:c>
      <x:c r="I1392" s="14" t="n">
        <x:f>F1392/F1391-1</x:f>
        <x:v>-0.010244288612538122</x:v>
      </x:c>
      <x:c r="J1392" s="12" t="n">
        <x:v>0</x:v>
      </x:c>
      <x:c r="K1392" s="12" t="n">
        <x:v>0</x:v>
      </x:c>
      <x:c r="L1392" s="12" t="n">
        <x:v>0</x:v>
      </x:c>
      <x:c r="M1392" s="2" t="str">
        <x:v>持有</x:v>
      </x:c>
    </x:row>
    <x:row r="1393" ht="23" customHeight="1">
      <x:c r="A1393" s="11" t="d">
        <x:v>2020-07-08T00:00:00.000Z</x:v>
      </x:c>
      <x:c r="B1393" s="12" t="n">
        <x:v>263.313505</x:v>
      </x:c>
      <x:c r="C1393" s="13" t="n">
        <x:v>335</x:v>
      </x:c>
      <x:c r="D1393" s="12" t="n">
        <x:v>105920.3</x:v>
      </x:c>
      <x:c r="E1393" s="12" t="n">
        <x:v>457.69107</x:v>
      </x:c>
      <x:c r="F1393" s="12" t="n">
        <x:f>SUM(B1393,D1393:E1393)</x:f>
        <x:v>106641.304575</x:v>
      </x:c>
      <x:c r="G1393" s="12" t="n">
        <x:f>MAX(G1392,F1393)</x:f>
        <x:v>108535.313505</x:v>
      </x:c>
      <x:c r="H1393" s="14" t="n">
        <x:f>F1393/G1393-1</x:f>
        <x:v>-0.01745062384615259</x:v>
      </x:c>
      <x:c r="I1393" s="14" t="n">
        <x:f>F1393/F1392-1</x:f>
        <x:v>0.007596565343652273</x:v>
      </x:c>
      <x:c r="J1393" s="12" t="n">
        <x:v>0</x:v>
      </x:c>
      <x:c r="K1393" s="12" t="n">
        <x:v>0</x:v>
      </x:c>
      <x:c r="L1393" s="12" t="n">
        <x:v>0</x:v>
      </x:c>
      <x:c r="M1393" s="2" t="str">
        <x:v>持有</x:v>
      </x:c>
    </x:row>
    <x:row r="1394" ht="23" customHeight="1">
      <x:c r="A1394" s="11" t="d">
        <x:v>2020-07-09T00:00:00.000Z</x:v>
      </x:c>
      <x:c r="B1394" s="12" t="n">
        <x:v>263.313505</x:v>
      </x:c>
      <x:c r="C1394" s="13" t="n">
        <x:v>335</x:v>
      </x:c>
      <x:c r="D1394" s="12" t="n">
        <x:v>105317.3</x:v>
      </x:c>
      <x:c r="E1394" s="12" t="n">
        <x:v>457.69107</x:v>
      </x:c>
      <x:c r="F1394" s="12" t="n">
        <x:f>SUM(B1394,D1394:E1394)</x:f>
        <x:v>106038.304575</x:v>
      </x:c>
      <x:c r="G1394" s="12" t="n">
        <x:f>MAX(G1393,F1394)</x:f>
        <x:v>108535.313505</x:v>
      </x:c>
      <x:c r="H1394" s="14" t="n">
        <x:f>F1394/G1394-1</x:f>
        <x:v>-0.023006419287534108</x:v>
      </x:c>
      <x:c r="I1394" s="14" t="n">
        <x:f>F1394/F1393-1</x:f>
        <x:v>-0.005654469460995015</x:v>
      </x:c>
      <x:c r="J1394" s="12" t="n">
        <x:v>0</x:v>
      </x:c>
      <x:c r="K1394" s="12" t="n">
        <x:v>0</x:v>
      </x:c>
      <x:c r="L1394" s="12" t="n">
        <x:v>0</x:v>
      </x:c>
      <x:c r="M1394" s="2" t="str">
        <x:v>持有</x:v>
      </x:c>
    </x:row>
    <x:row r="1395" ht="23" customHeight="1">
      <x:c r="A1395" s="11" t="d">
        <x:v>2020-07-10T00:00:00.000Z</x:v>
      </x:c>
      <x:c r="B1395" s="12" t="n">
        <x:v>263.313505</x:v>
      </x:c>
      <x:c r="C1395" s="13" t="n">
        <x:v>335</x:v>
      </x:c>
      <x:c r="D1395" s="12" t="n">
        <x:v>106392.65</x:v>
      </x:c>
      <x:c r="E1395" s="12" t="n">
        <x:v>457.69107</x:v>
      </x:c>
      <x:c r="F1395" s="12" t="n">
        <x:f>SUM(B1395,D1395:E1395)</x:f>
        <x:v>107113.654575</x:v>
      </x:c>
      <x:c r="G1395" s="12" t="n">
        <x:f>MAX(G1394,F1395)</x:f>
        <x:v>108535.313505</x:v>
      </x:c>
      <x:c r="H1395" s="14" t="n">
        <x:f>F1395/G1395-1</x:f>
        <x:v>-0.013098584083737097</x:v>
      </x:c>
      <x:c r="I1395" s="14" t="n">
        <x:f>F1395/F1394-1</x:f>
        <x:v>0.010141146676288182</x:v>
      </x:c>
      <x:c r="J1395" s="12" t="n">
        <x:v>0</x:v>
      </x:c>
      <x:c r="K1395" s="12" t="n">
        <x:v>0</x:v>
      </x:c>
      <x:c r="L1395" s="12" t="n">
        <x:v>0</x:v>
      </x:c>
      <x:c r="M1395" s="2" t="str">
        <x:v>持有</x:v>
      </x:c>
    </x:row>
    <x:row r="1396" ht="23" customHeight="1">
      <x:c r="A1396" s="11" t="d">
        <x:v>2020-07-13T00:00:00.000Z</x:v>
      </x:c>
      <x:c r="B1396" s="12" t="n">
        <x:v>263.313505</x:v>
      </x:c>
      <x:c r="C1396" s="13" t="n">
        <x:v>335</x:v>
      </x:c>
      <x:c r="D1396" s="12" t="n">
        <x:v>105471.4</x:v>
      </x:c>
      <x:c r="E1396" s="12" t="n">
        <x:v>457.69107</x:v>
      </x:c>
      <x:c r="F1396" s="12" t="n">
        <x:f>SUM(B1396,D1396:E1396)</x:f>
        <x:v>106192.404575</x:v>
      </x:c>
      <x:c r="G1396" s="12" t="n">
        <x:f>MAX(G1395,F1396)</x:f>
        <x:v>108535.313505</x:v>
      </x:c>
      <x:c r="H1396" s="14" t="n">
        <x:f>F1396/G1396-1</x:f>
        <x:v>-0.02158660489695896</x:v>
      </x:c>
      <x:c r="I1396" s="14" t="n">
        <x:f>F1396/F1395-1</x:f>
        <x:v>-0.008600677510773869</x:v>
      </x:c>
      <x:c r="J1396" s="12" t="n">
        <x:v>0</x:v>
      </x:c>
      <x:c r="K1396" s="12" t="n">
        <x:v>0</x:v>
      </x:c>
      <x:c r="L1396" s="12" t="n">
        <x:v>0</x:v>
      </x:c>
      <x:c r="M1396" s="2" t="str">
        <x:v>持有</x:v>
      </x:c>
    </x:row>
    <x:row r="1397" ht="23" customHeight="1">
      <x:c r="A1397" s="11" t="d">
        <x:v>2020-07-14T00:00:00.000Z</x:v>
      </x:c>
      <x:c r="B1397" s="12" t="n">
        <x:v>263.313505</x:v>
      </x:c>
      <x:c r="C1397" s="13" t="n">
        <x:v>335</x:v>
      </x:c>
      <x:c r="D1397" s="12" t="n">
        <x:v>106838.20000000001</x:v>
      </x:c>
      <x:c r="E1397" s="12" t="n">
        <x:v>457.69107</x:v>
      </x:c>
      <x:c r="F1397" s="12" t="n">
        <x:f>SUM(B1397,D1397:E1397)</x:f>
        <x:v>107559.20457500001</x:v>
      </x:c>
      <x:c r="G1397" s="12" t="n">
        <x:f>MAX(G1396,F1397)</x:f>
        <x:v>108535.313505</x:v>
      </x:c>
      <x:c r="H1397" s="14" t="n">
        <x:f>F1397/G1397-1</x:f>
        <x:v>-0.008993468563160523</x:v>
      </x:c>
      <x:c r="I1397" s="14" t="n">
        <x:f>F1397/F1396-1</x:f>
        <x:v>0.012870977029573627</x:v>
      </x:c>
      <x:c r="J1397" s="12" t="n">
        <x:v>0</x:v>
      </x:c>
      <x:c r="K1397" s="12" t="n">
        <x:v>0</x:v>
      </x:c>
      <x:c r="L1397" s="12" t="n">
        <x:v>0</x:v>
      </x:c>
      <x:c r="M1397" s="2" t="str">
        <x:v>持有</x:v>
      </x:c>
    </x:row>
    <x:row r="1398" ht="23" customHeight="1">
      <x:c r="A1398" s="11" t="d">
        <x:v>2020-07-15T00:00:00.000Z</x:v>
      </x:c>
      <x:c r="B1398" s="12" t="n">
        <x:v>263.313505</x:v>
      </x:c>
      <x:c r="C1398" s="13" t="n">
        <x:v>335</x:v>
      </x:c>
      <x:c r="D1398" s="12" t="n">
        <x:v>107819.75000000001</x:v>
      </x:c>
      <x:c r="E1398" s="12" t="n">
        <x:v>457.69107</x:v>
      </x:c>
      <x:c r="F1398" s="12" t="n">
        <x:f>SUM(B1398,D1398:E1398)</x:f>
        <x:v>108540.75457500001</x:v>
      </x:c>
      <x:c r="G1398" s="12" t="n">
        <x:f>MAX(G1397,F1398)</x:f>
        <x:v>108540.75457500001</x:v>
      </x:c>
      <x:c r="H1398" s="14" t="n">
        <x:f>F1398/G1398-1</x:f>
        <x:v>0</x:v>
      </x:c>
      <x:c r="I1398" s="14" t="n">
        <x:f>F1398/F1397-1</x:f>
        <x:v>0.009125671799809387</x:v>
      </x:c>
      <x:c r="J1398" s="12" t="n">
        <x:v>0</x:v>
      </x:c>
      <x:c r="K1398" s="12" t="n">
        <x:v>0</x:v>
      </x:c>
      <x:c r="L1398" s="12" t="n">
        <x:v>0</x:v>
      </x:c>
      <x:c r="M1398" s="2" t="str">
        <x:v>持有</x:v>
      </x:c>
    </x:row>
    <x:row r="1399" ht="23" customHeight="1">
      <x:c r="A1399" s="11" t="d">
        <x:v>2020-07-16T00:00:00.000Z</x:v>
      </x:c>
      <x:c r="B1399" s="12" t="n">
        <x:v>263.313505</x:v>
      </x:c>
      <x:c r="C1399" s="13" t="n">
        <x:v>335</x:v>
      </x:c>
      <x:c r="D1399" s="12" t="n">
        <x:v>107464.65000000001</x:v>
      </x:c>
      <x:c r="E1399" s="12" t="n">
        <x:v>457.69107</x:v>
      </x:c>
      <x:c r="F1399" s="12" t="n">
        <x:f>SUM(B1399,D1399:E1399)</x:f>
        <x:v>108185.65457500001</x:v>
      </x:c>
      <x:c r="G1399" s="12" t="n">
        <x:f>MAX(G1398,F1399)</x:f>
        <x:v>108540.75457500001</x:v>
      </x:c>
      <x:c r="H1399" s="14" t="n">
        <x:f>F1399/G1399-1</x:f>
        <x:v>-0.0032715821940839662</x:v>
      </x:c>
      <x:c r="I1399" s="14" t="n">
        <x:f>F1399/F1398-1</x:f>
        <x:v>-0.0032715821940839662</x:v>
      </x:c>
      <x:c r="J1399" s="12" t="n">
        <x:v>0</x:v>
      </x:c>
      <x:c r="K1399" s="12" t="n">
        <x:v>0</x:v>
      </x:c>
      <x:c r="L1399" s="12" t="n">
        <x:v>0</x:v>
      </x:c>
      <x:c r="M1399" s="2" t="str">
        <x:v>持有</x:v>
      </x:c>
    </x:row>
    <x:row r="1400" ht="23" customHeight="1">
      <x:c r="A1400" s="11" t="d">
        <x:v>2020-07-17T00:00:00.000Z</x:v>
      </x:c>
      <x:c r="B1400" s="12" t="n">
        <x:v>263.313505</x:v>
      </x:c>
      <x:c r="C1400" s="13" t="n">
        <x:v>335</x:v>
      </x:c>
      <x:c r="D1400" s="12" t="n">
        <x:v>107776.20000000001</x:v>
      </x:c>
      <x:c r="E1400" s="12" t="n">
        <x:v>457.69107</x:v>
      </x:c>
      <x:c r="F1400" s="12" t="n">
        <x:f>SUM(B1400,D1400:E1400)</x:f>
        <x:v>108497.20457500001</x:v>
      </x:c>
      <x:c r="G1400" s="12" t="n">
        <x:f>MAX(G1399,F1400)</x:f>
        <x:v>108540.75457500001</x:v>
      </x:c>
      <x:c r="H1400" s="14" t="n">
        <x:f>F1400/G1400-1</x:f>
        <x:v>-0.00040123177851969505</x:v>
      </x:c>
      <x:c r="I1400" s="14" t="n">
        <x:f>F1400/F1399-1</x:f>
        <x:v>0.0028797718257924654</x:v>
      </x:c>
      <x:c r="J1400" s="12" t="n">
        <x:v>0</x:v>
      </x:c>
      <x:c r="K1400" s="12" t="n">
        <x:v>0</x:v>
      </x:c>
      <x:c r="L1400" s="12" t="n">
        <x:v>0</x:v>
      </x:c>
      <x:c r="M1400" s="2" t="str">
        <x:v>持有</x:v>
      </x:c>
    </x:row>
    <x:row r="1401" ht="23" customHeight="1">
      <x:c r="A1401" s="11" t="d">
        <x:v>2020-07-20T00:00:00.000Z</x:v>
      </x:c>
      <x:c r="B1401" s="12" t="n">
        <x:v>263.313505</x:v>
      </x:c>
      <x:c r="C1401" s="13" t="n">
        <x:v>335</x:v>
      </x:c>
      <x:c r="D1401" s="12" t="n">
        <x:v>108647.2</x:v>
      </x:c>
      <x:c r="E1401" s="12" t="n">
        <x:v>457.69107</x:v>
      </x:c>
      <x:c r="F1401" s="12" t="n">
        <x:f>SUM(B1401,D1401:E1401)</x:f>
        <x:v>109368.204575</x:v>
      </x:c>
      <x:c r="G1401" s="12" t="n">
        <x:f>MAX(G1400,F1401)</x:f>
        <x:v>109368.204575</x:v>
      </x:c>
      <x:c r="H1401" s="14" t="n">
        <x:f>F1401/G1401-1</x:f>
        <x:v>0</x:v>
      </x:c>
      <x:c r="I1401" s="14" t="n">
        <x:f>F1401/F1400-1</x:f>
        <x:v>0.008027856601576344</x:v>
      </x:c>
      <x:c r="J1401" s="12" t="n">
        <x:v>0</x:v>
      </x:c>
      <x:c r="K1401" s="12" t="n">
        <x:v>0</x:v>
      </x:c>
      <x:c r="L1401" s="12" t="n">
        <x:v>0</x:v>
      </x:c>
      <x:c r="M1401" s="2" t="str">
        <x:v>持有</x:v>
      </x:c>
    </x:row>
    <x:row r="1402" ht="23" customHeight="1">
      <x:c r="A1402" s="11" t="d">
        <x:v>2020-07-21T00:00:00.000Z</x:v>
      </x:c>
      <x:c r="B1402" s="12" t="n">
        <x:v>263.313505</x:v>
      </x:c>
      <x:c r="C1402" s="13" t="n">
        <x:v>335</x:v>
      </x:c>
      <x:c r="D1402" s="12" t="n">
        <x:v>108878.34999999999</x:v>
      </x:c>
      <x:c r="E1402" s="12" t="n">
        <x:v>457.69107</x:v>
      </x:c>
      <x:c r="F1402" s="12" t="n">
        <x:f>SUM(B1402,D1402:E1402)</x:f>
        <x:v>109599.35457499999</x:v>
      </x:c>
      <x:c r="G1402" s="12" t="n">
        <x:f>MAX(G1401,F1402)</x:f>
        <x:v>109599.35457499999</x:v>
      </x:c>
      <x:c r="H1402" s="14" t="n">
        <x:f>F1402/G1402-1</x:f>
        <x:v>0</x:v>
      </x:c>
      <x:c r="I1402" s="14" t="n">
        <x:f>F1402/F1401-1</x:f>
        <x:v>0.002113502739651274</x:v>
      </x:c>
      <x:c r="J1402" s="12" t="n">
        <x:v>0</x:v>
      </x:c>
      <x:c r="K1402" s="12" t="n">
        <x:v>0</x:v>
      </x:c>
      <x:c r="L1402" s="12" t="n">
        <x:v>0</x:v>
      </x:c>
      <x:c r="M1402" s="2" t="str">
        <x:v>持有</x:v>
      </x:c>
    </x:row>
    <x:row r="1403" ht="23" customHeight="1">
      <x:c r="A1403" s="11" t="d">
        <x:v>2020-07-22T00:00:00.000Z</x:v>
      </x:c>
      <x:c r="B1403" s="12" t="n">
        <x:v>263.313505</x:v>
      </x:c>
      <x:c r="C1403" s="13" t="n">
        <x:v>335</x:v>
      </x:c>
      <x:c r="D1403" s="12" t="n">
        <x:v>109498.1</x:v>
      </x:c>
      <x:c r="E1403" s="12" t="n">
        <x:v>457.69107</x:v>
      </x:c>
      <x:c r="F1403" s="12" t="n">
        <x:f>SUM(B1403,D1403:E1403)</x:f>
        <x:v>110219.104575</x:v>
      </x:c>
      <x:c r="G1403" s="12" t="n">
        <x:f>MAX(G1402,F1403)</x:f>
        <x:v>110219.104575</x:v>
      </x:c>
      <x:c r="H1403" s="14" t="n">
        <x:f>F1403/G1403-1</x:f>
        <x:v>0</x:v>
      </x:c>
      <x:c r="I1403" s="14" t="n">
        <x:f>F1403/F1402-1</x:f>
        <x:v>0.005654686584636082</x:v>
      </x:c>
      <x:c r="J1403" s="12" t="n">
        <x:v>0</x:v>
      </x:c>
      <x:c r="K1403" s="12" t="n">
        <x:v>0</x:v>
      </x:c>
      <x:c r="L1403" s="12" t="n">
        <x:v>0</x:v>
      </x:c>
      <x:c r="M1403" s="2" t="str">
        <x:v>持有</x:v>
      </x:c>
    </x:row>
    <x:row r="1404" ht="23" customHeight="1">
      <x:c r="A1404" s="11" t="d">
        <x:v>2020-07-23T00:00:00.000Z</x:v>
      </x:c>
      <x:c r="B1404" s="12" t="n">
        <x:v>263.313505</x:v>
      </x:c>
      <x:c r="C1404" s="13" t="n">
        <x:v>335</x:v>
      </x:c>
      <x:c r="D1404" s="12" t="n">
        <x:v>108191.59999999999</x:v>
      </x:c>
      <x:c r="E1404" s="12" t="n">
        <x:v>457.69107</x:v>
      </x:c>
      <x:c r="F1404" s="12" t="n">
        <x:f>SUM(B1404,D1404:E1404)</x:f>
        <x:v>108912.60457499999</x:v>
      </x:c>
      <x:c r="G1404" s="12" t="n">
        <x:f>MAX(G1403,F1404)</x:f>
        <x:v>110219.104575</x:v>
      </x:c>
      <x:c r="H1404" s="14" t="n">
        <x:f>F1404/G1404-1</x:f>
        <x:v>-0.011853661894984713</x:v>
      </x:c>
      <x:c r="I1404" s="14" t="n">
        <x:f>F1404/F1403-1</x:f>
        <x:v>-0.011853661894984713</x:v>
      </x:c>
      <x:c r="J1404" s="12" t="n">
        <x:v>0</x:v>
      </x:c>
      <x:c r="K1404" s="12" t="n">
        <x:v>0</x:v>
      </x:c>
      <x:c r="L1404" s="12" t="n">
        <x:v>0</x:v>
      </x:c>
      <x:c r="M1404" s="2" t="str">
        <x:v>持有</x:v>
      </x:c>
    </x:row>
    <x:row r="1405" ht="23" customHeight="1">
      <x:c r="A1405" s="11" t="d">
        <x:v>2020-07-24T00:00:00.000Z</x:v>
      </x:c>
      <x:c r="B1405" s="12" t="n">
        <x:v>263.313505</x:v>
      </x:c>
      <x:c r="C1405" s="13" t="n">
        <x:v>335</x:v>
      </x:c>
      <x:c r="D1405" s="12" t="n">
        <x:v>107494.8</x:v>
      </x:c>
      <x:c r="E1405" s="12" t="n">
        <x:v>457.69107</x:v>
      </x:c>
      <x:c r="F1405" s="12" t="n">
        <x:f>SUM(B1405,D1405:E1405)</x:f>
        <x:v>108215.804575</x:v>
      </x:c>
      <x:c r="G1405" s="12" t="n">
        <x:f>MAX(G1404,F1405)</x:f>
        <x:v>110219.104575</x:v>
      </x:c>
      <x:c r="H1405" s="14" t="n">
        <x:f>F1405/G1405-1</x:f>
        <x:v>-0.018175614905643123</x:v>
      </x:c>
      <x:c r="I1405" s="14" t="n">
        <x:f>F1405/F1404-1</x:f>
        <x:v>-0.006397790253194757</x:v>
      </x:c>
      <x:c r="J1405" s="12" t="n">
        <x:v>0</x:v>
      </x:c>
      <x:c r="K1405" s="12" t="n">
        <x:v>0</x:v>
      </x:c>
      <x:c r="L1405" s="12" t="n">
        <x:v>0</x:v>
      </x:c>
      <x:c r="M1405" s="2" t="str">
        <x:v>持有</x:v>
      </x:c>
    </x:row>
    <x:row r="1406" ht="23" customHeight="1">
      <x:c r="A1406" s="11" t="d">
        <x:v>2020-07-27T00:00:00.000Z</x:v>
      </x:c>
      <x:c r="B1406" s="12" t="n">
        <x:v>263.313505</x:v>
      </x:c>
      <x:c r="C1406" s="13" t="n">
        <x:v>335</x:v>
      </x:c>
      <x:c r="D1406" s="12" t="n">
        <x:v>108278.70000000001</x:v>
      </x:c>
      <x:c r="E1406" s="12" t="n">
        <x:v>457.69107</x:v>
      </x:c>
      <x:c r="F1406" s="12" t="n">
        <x:f>SUM(B1406,D1406:E1406)</x:f>
        <x:v>108999.70457500001</x:v>
      </x:c>
      <x:c r="G1406" s="12" t="n">
        <x:f>MAX(G1405,F1406)</x:f>
        <x:v>110219.104575</x:v>
      </x:c>
      <x:c r="H1406" s="14" t="n">
        <x:f>F1406/G1406-1</x:f>
        <x:v>-0.011063417768652273</x:v>
      </x:c>
      <x:c r="I1406" s="14" t="n">
        <x:f>F1406/F1405-1</x:f>
        <x:v>0.007243858723581464</x:v>
      </x:c>
      <x:c r="J1406" s="12" t="n">
        <x:v>0</x:v>
      </x:c>
      <x:c r="K1406" s="12" t="n">
        <x:v>0</x:v>
      </x:c>
      <x:c r="L1406" s="12" t="n">
        <x:v>0</x:v>
      </x:c>
      <x:c r="M1406" s="2" t="str">
        <x:v>持有</x:v>
      </x:c>
    </x:row>
    <x:row r="1407" ht="23" customHeight="1">
      <x:c r="A1407" s="11" t="d">
        <x:v>2020-07-28T00:00:00.000Z</x:v>
      </x:c>
      <x:c r="B1407" s="12" t="n">
        <x:v>263.313505</x:v>
      </x:c>
      <x:c r="C1407" s="13" t="n">
        <x:v>335</x:v>
      </x:c>
      <x:c r="D1407" s="12" t="n">
        <x:v>107591.95000000001</x:v>
      </x:c>
      <x:c r="E1407" s="12" t="n">
        <x:v>457.69107</x:v>
      </x:c>
      <x:c r="F1407" s="12" t="n">
        <x:f>SUM(B1407,D1407:E1407)</x:f>
        <x:v>108312.95457500001</x:v>
      </x:c>
      <x:c r="G1407" s="12" t="n">
        <x:f>MAX(G1406,F1407)</x:f>
        <x:v>110219.104575</x:v>
      </x:c>
      <x:c r="H1407" s="14" t="n">
        <x:f>F1407/G1407-1</x:f>
        <x:v>-0.017294188764733875</x:v>
      </x:c>
      <x:c r="I1407" s="14" t="n">
        <x:f>F1407/F1406-1</x:f>
        <x:v>-0.006300475791908844</x:v>
      </x:c>
      <x:c r="J1407" s="12" t="n">
        <x:v>0</x:v>
      </x:c>
      <x:c r="K1407" s="12" t="n">
        <x:v>0</x:v>
      </x:c>
      <x:c r="L1407" s="12" t="n">
        <x:v>0</x:v>
      </x:c>
      <x:c r="M1407" s="2" t="str">
        <x:v>持有</x:v>
      </x:c>
    </x:row>
    <x:row r="1408" ht="23" customHeight="1">
      <x:c r="A1408" s="11" t="d">
        <x:v>2020-07-29T00:00:00.000Z</x:v>
      </x:c>
      <x:c r="B1408" s="12" t="n">
        <x:v>263.313505</x:v>
      </x:c>
      <x:c r="C1408" s="13" t="n">
        <x:v>335</x:v>
      </x:c>
      <x:c r="D1408" s="12" t="n">
        <x:v>108915.2</x:v>
      </x:c>
      <x:c r="E1408" s="12" t="n">
        <x:v>457.69107</x:v>
      </x:c>
      <x:c r="F1408" s="12" t="n">
        <x:f>SUM(B1408,D1408:E1408)</x:f>
        <x:v>109636.204575</x:v>
      </x:c>
      <x:c r="G1408" s="12" t="n">
        <x:f>MAX(G1407,F1408)</x:f>
        <x:v>110219.104575</x:v>
      </x:c>
      <x:c r="H1408" s="14" t="n">
        <x:f>F1408/G1408-1</x:f>
        <x:v>-0.005288556845454706</x:v>
      </x:c>
      <x:c r="I1408" s="14" t="n">
        <x:f>F1408/F1407-1</x:f>
        <x:v>0.012216913527953954</x:v>
      </x:c>
      <x:c r="J1408" s="12" t="n">
        <x:v>0</x:v>
      </x:c>
      <x:c r="K1408" s="12" t="n">
        <x:v>0</x:v>
      </x:c>
      <x:c r="L1408" s="12" t="n">
        <x:v>0</x:v>
      </x:c>
      <x:c r="M1408" s="2" t="str">
        <x:v>持有</x:v>
      </x:c>
    </x:row>
    <x:row r="1409" ht="23" customHeight="1">
      <x:c r="A1409" s="11" t="d">
        <x:v>2020-07-30T00:00:00.000Z</x:v>
      </x:c>
      <x:c r="B1409" s="12" t="n">
        <x:v>263.313505</x:v>
      </x:c>
      <x:c r="C1409" s="13" t="n">
        <x:v>335</x:v>
      </x:c>
      <x:c r="D1409" s="12" t="n">
        <x:v>108526.59999999999</x:v>
      </x:c>
      <x:c r="E1409" s="12" t="n">
        <x:v>457.69107</x:v>
      </x:c>
      <x:c r="F1409" s="12" t="n">
        <x:f>SUM(B1409,D1409:E1409)</x:f>
        <x:v>109247.60457499999</x:v>
      </x:c>
      <x:c r="G1409" s="12" t="n">
        <x:f>MAX(G1408,F1409)</x:f>
        <x:v>110219.104575</x:v>
      </x:c>
      <x:c r="H1409" s="14" t="n">
        <x:f>F1409/G1409-1</x:f>
        <x:v>-0.00881426140909125</x:v>
      </x:c>
      <x:c r="I1409" s="14" t="n">
        <x:f>F1409/F1408-1</x:f>
        <x:v>-0.003544449586761922</x:v>
      </x:c>
      <x:c r="J1409" s="12" t="n">
        <x:v>0</x:v>
      </x:c>
      <x:c r="K1409" s="12" t="n">
        <x:v>0</x:v>
      </x:c>
      <x:c r="L1409" s="12" t="n">
        <x:v>0</x:v>
      </x:c>
      <x:c r="M1409" s="2" t="str">
        <x:v>持有</x:v>
      </x:c>
    </x:row>
    <x:row r="1410" ht="23" customHeight="1">
      <x:c r="A1410" s="11" t="d">
        <x:v>2020-07-31T00:00:00.000Z</x:v>
      </x:c>
      <x:c r="B1410" s="12" t="n">
        <x:v>721.004575</x:v>
      </x:c>
      <x:c r="C1410" s="13" t="n">
        <x:v>335</x:v>
      </x:c>
      <x:c r="D1410" s="12" t="n">
        <x:v>109384.2</x:v>
      </x:c>
      <x:c r="E1410" s="12" t="n">
        <x:v>0</x:v>
      </x:c>
      <x:c r="F1410" s="12" t="n">
        <x:f>SUM(B1410,D1410:E1410)</x:f>
        <x:v>110105.204575</x:v>
      </x:c>
      <x:c r="G1410" s="12" t="n">
        <x:f>MAX(G1409,F1410)</x:f>
        <x:v>110219.104575</x:v>
      </x:c>
      <x:c r="H1410" s="14" t="n">
        <x:f>F1410/G1410-1</x:f>
        <x:v>-0.0010333961652038148</x:v>
      </x:c>
      <x:c r="I1410" s="14" t="n">
        <x:f>F1410/F1409-1</x:f>
        <x:v>0.007850057704571922</x:v>
      </x:c>
      <x:c r="J1410" s="12" t="n">
        <x:v>0</x:v>
      </x:c>
      <x:c r="K1410" s="12" t="n">
        <x:v>457.69107</x:v>
      </x:c>
      <x:c r="L1410" s="12" t="n">
        <x:v>0</x:v>
      </x:c>
      <x:c r="M1410" s="2" t="str">
        <x:v>持有</x:v>
      </x:c>
    </x:row>
    <x:row r="1411" ht="23" customHeight="1">
      <x:c r="A1411" s="11" t="d">
        <x:v>2020-08-03T00:00:00.000Z</x:v>
      </x:c>
      <x:c r="B1411" s="12" t="n">
        <x:v>721.004575</x:v>
      </x:c>
      <x:c r="C1411" s="13" t="n">
        <x:v>335</x:v>
      </x:c>
      <x:c r="D1411" s="12" t="n">
        <x:v>110144.65000000001</x:v>
      </x:c>
      <x:c r="E1411" s="12" t="n">
        <x:v>0</x:v>
      </x:c>
      <x:c r="F1411" s="12" t="n">
        <x:f>SUM(B1411,D1411:E1411)</x:f>
        <x:v>110865.65457500001</x:v>
      </x:c>
      <x:c r="G1411" s="12" t="n">
        <x:f>MAX(G1410,F1411)</x:f>
        <x:v>110865.65457500001</x:v>
      </x:c>
      <x:c r="H1411" s="14" t="n">
        <x:f>F1411/G1411-1</x:f>
        <x:v>0</x:v>
      </x:c>
      <x:c r="I1411" s="14" t="n">
        <x:f>F1411/F1410-1</x:f>
        <x:v>0.006906576332474934</x:v>
      </x:c>
      <x:c r="J1411" s="12" t="n">
        <x:v>0</x:v>
      </x:c>
      <x:c r="K1411" s="12" t="n">
        <x:v>0</x:v>
      </x:c>
      <x:c r="L1411" s="12" t="n">
        <x:v>0</x:v>
      </x:c>
      <x:c r="M1411" s="2" t="str">
        <x:v>持有</x:v>
      </x:c>
    </x:row>
    <x:row r="1412" ht="23" customHeight="1">
      <x:c r="A1412" s="11" t="d">
        <x:v>2020-08-04T00:00:00.000Z</x:v>
      </x:c>
      <x:c r="B1412" s="12" t="n">
        <x:v>721.004575</x:v>
      </x:c>
      <x:c r="C1412" s="13" t="n">
        <x:v>335</x:v>
      </x:c>
      <x:c r="D1412" s="12" t="n">
        <x:v>110570.1</x:v>
      </x:c>
      <x:c r="E1412" s="12" t="n">
        <x:v>0</x:v>
      </x:c>
      <x:c r="F1412" s="12" t="n">
        <x:f>SUM(B1412,D1412:E1412)</x:f>
        <x:v>111291.104575</x:v>
      </x:c>
      <x:c r="G1412" s="12" t="n">
        <x:f>MAX(G1411,F1412)</x:f>
        <x:v>111291.104575</x:v>
      </x:c>
      <x:c r="H1412" s="14" t="n">
        <x:f>F1412/G1412-1</x:f>
        <x:v>0</x:v>
      </x:c>
      <x:c r="I1412" s="14" t="n">
        <x:f>F1412/F1411-1</x:f>
        <x:v>0.0038375275159014954</x:v>
      </x:c>
      <x:c r="J1412" s="12" t="n">
        <x:v>0</x:v>
      </x:c>
      <x:c r="K1412" s="12" t="n">
        <x:v>0</x:v>
      </x:c>
      <x:c r="L1412" s="12" t="n">
        <x:v>0</x:v>
      </x:c>
      <x:c r="M1412" s="2" t="str">
        <x:v>持有</x:v>
      </x:c>
    </x:row>
    <x:row r="1413" ht="23" customHeight="1">
      <x:c r="A1413" s="11" t="d">
        <x:v>2020-08-05T00:00:00.000Z</x:v>
      </x:c>
      <x:c r="B1413" s="12" t="n">
        <x:v>721.004575</x:v>
      </x:c>
      <x:c r="C1413" s="13" t="n">
        <x:v>335</x:v>
      </x:c>
      <x:c r="D1413" s="12" t="n">
        <x:v>111256.85</x:v>
      </x:c>
      <x:c r="E1413" s="12" t="n">
        <x:v>0</x:v>
      </x:c>
      <x:c r="F1413" s="12" t="n">
        <x:f>SUM(B1413,D1413:E1413)</x:f>
        <x:v>111977.854575</x:v>
      </x:c>
      <x:c r="G1413" s="12" t="n">
        <x:f>MAX(G1412,F1413)</x:f>
        <x:v>111977.854575</x:v>
      </x:c>
      <x:c r="H1413" s="14" t="n">
        <x:f>F1413/G1413-1</x:f>
        <x:v>0</x:v>
      </x:c>
      <x:c r="I1413" s="14" t="n">
        <x:f>F1413/F1412-1</x:f>
        <x:v>0.006170753741932655</x:v>
      </x:c>
      <x:c r="J1413" s="12" t="n">
        <x:v>0</x:v>
      </x:c>
      <x:c r="K1413" s="12" t="n">
        <x:v>0</x:v>
      </x:c>
      <x:c r="L1413" s="12" t="n">
        <x:v>0</x:v>
      </x:c>
      <x:c r="M1413" s="2" t="str">
        <x:v>持有</x:v>
      </x:c>
    </x:row>
    <x:row r="1414" ht="23" customHeight="1">
      <x:c r="A1414" s="11" t="d">
        <x:v>2020-08-06T00:00:00.000Z</x:v>
      </x:c>
      <x:c r="B1414" s="12" t="n">
        <x:v>721.004575</x:v>
      </x:c>
      <x:c r="C1414" s="13" t="n">
        <x:v>335</x:v>
      </x:c>
      <x:c r="D1414" s="12" t="n">
        <x:v>112000.54999999999</x:v>
      </x:c>
      <x:c r="E1414" s="12" t="n">
        <x:v>0</x:v>
      </x:c>
      <x:c r="F1414" s="12" t="n">
        <x:f>SUM(B1414,D1414:E1414)</x:f>
        <x:v>112721.55457499999</x:v>
      </x:c>
      <x:c r="G1414" s="12" t="n">
        <x:f>MAX(G1413,F1414)</x:f>
        <x:v>112721.55457499999</x:v>
      </x:c>
      <x:c r="H1414" s="14" t="n">
        <x:f>F1414/G1414-1</x:f>
        <x:v>0</x:v>
      </x:c>
      <x:c r="I1414" s="14" t="n">
        <x:f>F1414/F1413-1</x:f>
        <x:v>0.006641491773731634</x:v>
      </x:c>
      <x:c r="J1414" s="12" t="n">
        <x:v>0</x:v>
      </x:c>
      <x:c r="K1414" s="12" t="n">
        <x:v>0</x:v>
      </x:c>
      <x:c r="L1414" s="12" t="n">
        <x:v>0</x:v>
      </x:c>
      <x:c r="M1414" s="2" t="str">
        <x:v>持有</x:v>
      </x:c>
    </x:row>
    <x:row r="1415" ht="23" customHeight="1">
      <x:c r="A1415" s="11" t="d">
        <x:v>2020-08-07T00:00:00.000Z</x:v>
      </x:c>
      <x:c r="B1415" s="12" t="n">
        <x:v>721.004575</x:v>
      </x:c>
      <x:c r="C1415" s="13" t="n">
        <x:v>335</x:v>
      </x:c>
      <x:c r="D1415" s="12" t="n">
        <x:v>112080.95</x:v>
      </x:c>
      <x:c r="E1415" s="12" t="n">
        <x:v>0</x:v>
      </x:c>
      <x:c r="F1415" s="12" t="n">
        <x:f>SUM(B1415,D1415:E1415)</x:f>
        <x:v>112801.954575</x:v>
      </x:c>
      <x:c r="G1415" s="12" t="n">
        <x:f>MAX(G1414,F1415)</x:f>
        <x:v>112801.954575</x:v>
      </x:c>
      <x:c r="H1415" s="14" t="n">
        <x:f>F1415/G1415-1</x:f>
        <x:v>0</x:v>
      </x:c>
      <x:c r="I1415" s="14" t="n">
        <x:f>F1415/F1414-1</x:f>
        <x:v>0.0007132619870542367</x:v>
      </x:c>
      <x:c r="J1415" s="12" t="n">
        <x:v>0</x:v>
      </x:c>
      <x:c r="K1415" s="12" t="n">
        <x:v>0</x:v>
      </x:c>
      <x:c r="L1415" s="12" t="n">
        <x:v>0</x:v>
      </x:c>
      <x:c r="M1415" s="2" t="str">
        <x:v>持有</x:v>
      </x:c>
    </x:row>
    <x:row r="1416" ht="23" customHeight="1">
      <x:c r="A1416" s="11" t="d">
        <x:v>2020-08-10T00:00:00.000Z</x:v>
      </x:c>
      <x:c r="B1416" s="12" t="n">
        <x:v>721.004575</x:v>
      </x:c>
      <x:c r="C1416" s="13" t="n">
        <x:v>335</x:v>
      </x:c>
      <x:c r="D1416" s="12" t="n">
        <x:v>112415.95</x:v>
      </x:c>
      <x:c r="E1416" s="12" t="n">
        <x:v>0</x:v>
      </x:c>
      <x:c r="F1416" s="12" t="n">
        <x:f>SUM(B1416,D1416:E1416)</x:f>
        <x:v>113136.954575</x:v>
      </x:c>
      <x:c r="G1416" s="12" t="n">
        <x:f>MAX(G1415,F1416)</x:f>
        <x:v>113136.954575</x:v>
      </x:c>
      <x:c r="H1416" s="14" t="n">
        <x:f>F1416/G1416-1</x:f>
        <x:v>0</x:v>
      </x:c>
      <x:c r="I1416" s="14" t="n">
        <x:f>F1416/F1415-1</x:f>
        <x:v>0.0029698066958339098</x:v>
      </x:c>
      <x:c r="J1416" s="12" t="n">
        <x:v>0</x:v>
      </x:c>
      <x:c r="K1416" s="12" t="n">
        <x:v>0</x:v>
      </x:c>
      <x:c r="L1416" s="12" t="n">
        <x:v>0</x:v>
      </x:c>
      <x:c r="M1416" s="2" t="str">
        <x:v>持有</x:v>
      </x:c>
    </x:row>
    <x:row r="1417" ht="23" customHeight="1">
      <x:c r="A1417" s="11" t="d">
        <x:v>2020-08-11T00:00:00.000Z</x:v>
      </x:c>
      <x:c r="B1417" s="12" t="n">
        <x:v>721.004575</x:v>
      </x:c>
      <x:c r="C1417" s="13" t="n">
        <x:v>335</x:v>
      </x:c>
      <x:c r="D1417" s="12" t="n">
        <x:v>111488</x:v>
      </x:c>
      <x:c r="E1417" s="12" t="n">
        <x:v>0</x:v>
      </x:c>
      <x:c r="F1417" s="12" t="n">
        <x:f>SUM(B1417,D1417:E1417)</x:f>
        <x:v>112209.004575</x:v>
      </x:c>
      <x:c r="G1417" s="12" t="n">
        <x:f>MAX(G1416,F1417)</x:f>
        <x:v>113136.954575</x:v>
      </x:c>
      <x:c r="H1417" s="14" t="n">
        <x:f>F1417/G1417-1</x:f>
        <x:v>-0.008202006174603649</x:v>
      </x:c>
      <x:c r="I1417" s="14" t="n">
        <x:f>F1417/F1416-1</x:f>
        <x:v>-0.008202006174603649</x:v>
      </x:c>
      <x:c r="J1417" s="12" t="n">
        <x:v>0</x:v>
      </x:c>
      <x:c r="K1417" s="12" t="n">
        <x:v>0</x:v>
      </x:c>
      <x:c r="L1417" s="12" t="n">
        <x:v>0</x:v>
      </x:c>
      <x:c r="M1417" s="2" t="str">
        <x:v>持有</x:v>
      </x:c>
    </x:row>
    <x:row r="1418" ht="23" customHeight="1">
      <x:c r="A1418" s="11" t="d">
        <x:v>2020-08-12T00:00:00.000Z</x:v>
      </x:c>
      <x:c r="B1418" s="12" t="n">
        <x:v>721.004575</x:v>
      </x:c>
      <x:c r="C1418" s="13" t="n">
        <x:v>335</x:v>
      </x:c>
      <x:c r="D1418" s="12" t="n">
        <x:v>113042.4</x:v>
      </x:c>
      <x:c r="E1418" s="12" t="n">
        <x:v>0</x:v>
      </x:c>
      <x:c r="F1418" s="12" t="n">
        <x:f>SUM(B1418,D1418:E1418)</x:f>
        <x:v>113763.404575</x:v>
      </x:c>
      <x:c r="G1418" s="12" t="n">
        <x:f>MAX(G1417,F1418)</x:f>
        <x:v>113763.404575</x:v>
      </x:c>
      <x:c r="H1418" s="14" t="n">
        <x:f>F1418/G1418-1</x:f>
        <x:v>0</x:v>
      </x:c>
      <x:c r="I1418" s="14" t="n">
        <x:f>F1418/F1417-1</x:f>
        <x:v>0.013852720696412968</x:v>
      </x:c>
      <x:c r="J1418" s="12" t="n">
        <x:v>0</x:v>
      </x:c>
      <x:c r="K1418" s="12" t="n">
        <x:v>0</x:v>
      </x:c>
      <x:c r="L1418" s="12" t="n">
        <x:v>0</x:v>
      </x:c>
      <x:c r="M1418" s="2" t="str">
        <x:v>持有</x:v>
      </x:c>
    </x:row>
    <x:row r="1419" ht="23" customHeight="1">
      <x:c r="A1419" s="11" t="d">
        <x:v>2020-08-13T00:00:00.000Z</x:v>
      </x:c>
      <x:c r="B1419" s="12" t="n">
        <x:v>721.004575</x:v>
      </x:c>
      <x:c r="C1419" s="13" t="n">
        <x:v>335</x:v>
      </x:c>
      <x:c r="D1419" s="12" t="n">
        <x:v>112838.04999999999</x:v>
      </x:c>
      <x:c r="E1419" s="12" t="n">
        <x:v>0</x:v>
      </x:c>
      <x:c r="F1419" s="12" t="n">
        <x:f>SUM(B1419,D1419:E1419)</x:f>
        <x:v>113559.05457499999</x:v>
      </x:c>
      <x:c r="G1419" s="12" t="n">
        <x:f>MAX(G1418,F1419)</x:f>
        <x:v>113763.404575</x:v>
      </x:c>
      <x:c r="H1419" s="14" t="n">
        <x:f>F1419/G1419-1</x:f>
        <x:v>-0.0017962718394674004</x:v>
      </x:c>
      <x:c r="I1419" s="14" t="n">
        <x:f>F1419/F1418-1</x:f>
        <x:v>-0.0017962718394674004</x:v>
      </x:c>
      <x:c r="J1419" s="12" t="n">
        <x:v>0</x:v>
      </x:c>
      <x:c r="K1419" s="12" t="n">
        <x:v>0</x:v>
      </x:c>
      <x:c r="L1419" s="12" t="n">
        <x:v>0</x:v>
      </x:c>
      <x:c r="M1419" s="2" t="str">
        <x:v>持有</x:v>
      </x:c>
    </x:row>
    <x:row r="1420" ht="23" customHeight="1">
      <x:c r="A1420" s="11" t="d">
        <x:v>2020-08-14T00:00:00.000Z</x:v>
      </x:c>
      <x:c r="B1420" s="12" t="n">
        <x:v>721.004575</x:v>
      </x:c>
      <x:c r="C1420" s="13" t="n">
        <x:v>335</x:v>
      </x:c>
      <x:c r="D1420" s="12" t="n">
        <x:v>112841.4</x:v>
      </x:c>
      <x:c r="E1420" s="12" t="n">
        <x:v>0</x:v>
      </x:c>
      <x:c r="F1420" s="12" t="n">
        <x:f>SUM(B1420,D1420:E1420)</x:f>
        <x:v>113562.404575</x:v>
      </x:c>
      <x:c r="G1420" s="12" t="n">
        <x:f>MAX(G1419,F1420)</x:f>
        <x:v>113763.404575</x:v>
      </x:c>
      <x:c r="H1420" s="14" t="n">
        <x:f>F1420/G1420-1</x:f>
        <x:v>-0.001766824760131791</x:v>
      </x:c>
      <x:c r="I1420" s="14" t="n">
        <x:f>F1420/F1419-1</x:f>
        <x:v>0.000029500069479659885</x:v>
      </x:c>
      <x:c r="J1420" s="12" t="n">
        <x:v>0</x:v>
      </x:c>
      <x:c r="K1420" s="12" t="n">
        <x:v>0</x:v>
      </x:c>
      <x:c r="L1420" s="12" t="n">
        <x:v>0</x:v>
      </x:c>
      <x:c r="M1420" s="2" t="str">
        <x:v>持有</x:v>
      </x:c>
    </x:row>
    <x:row r="1421" ht="23" customHeight="1">
      <x:c r="A1421" s="11" t="d">
        <x:v>2020-08-17T00:00:00.000Z</x:v>
      </x:c>
      <x:c r="B1421" s="12" t="n">
        <x:v>721.004575</x:v>
      </x:c>
      <x:c r="C1421" s="13" t="n">
        <x:v>335</x:v>
      </x:c>
      <x:c r="D1421" s="12" t="n">
        <x:v>113199.85</x:v>
      </x:c>
      <x:c r="E1421" s="12" t="n">
        <x:v>0</x:v>
      </x:c>
      <x:c r="F1421" s="12" t="n">
        <x:f>SUM(B1421,D1421:E1421)</x:f>
        <x:v>113920.854575</x:v>
      </x:c>
      <x:c r="G1421" s="12" t="n">
        <x:f>MAX(G1420,F1421)</x:f>
        <x:v>113920.854575</x:v>
      </x:c>
      <x:c r="H1421" s="14" t="n">
        <x:f>F1421/G1421-1</x:f>
        <x:v>0</x:v>
      </x:c>
      <x:c r="I1421" s="14" t="n">
        <x:f>F1421/F1420-1</x:f>
        <x:v>0.0031564143198754557</x:v>
      </x:c>
      <x:c r="J1421" s="12" t="n">
        <x:v>0</x:v>
      </x:c>
      <x:c r="K1421" s="12" t="n">
        <x:v>0</x:v>
      </x:c>
      <x:c r="L1421" s="12" t="n">
        <x:v>0</x:v>
      </x:c>
      <x:c r="M1421" s="2" t="str">
        <x:v>持有</x:v>
      </x:c>
    </x:row>
    <x:row r="1422" ht="23" customHeight="1">
      <x:c r="A1422" s="11" t="d">
        <x:v>2020-08-18T00:00:00.000Z</x:v>
      </x:c>
      <x:c r="B1422" s="12" t="n">
        <x:v>721.004575</x:v>
      </x:c>
      <x:c r="C1422" s="13" t="n">
        <x:v>335</x:v>
      </x:c>
      <x:c r="D1422" s="12" t="n">
        <x:v>113444.4</x:v>
      </x:c>
      <x:c r="E1422" s="12" t="n">
        <x:v>0</x:v>
      </x:c>
      <x:c r="F1422" s="12" t="n">
        <x:f>SUM(B1422,D1422:E1422)</x:f>
        <x:v>114165.404575</x:v>
      </x:c>
      <x:c r="G1422" s="12" t="n">
        <x:f>MAX(G1421,F1422)</x:f>
        <x:v>114165.404575</x:v>
      </x:c>
      <x:c r="H1422" s="14" t="n">
        <x:f>F1422/G1422-1</x:f>
        <x:v>0</x:v>
      </x:c>
      <x:c r="I1422" s="14" t="n">
        <x:f>F1422/F1421-1</x:f>
        <x:v>0.0021466657787314603</x:v>
      </x:c>
      <x:c r="J1422" s="12" t="n">
        <x:v>0</x:v>
      </x:c>
      <x:c r="K1422" s="12" t="n">
        <x:v>0</x:v>
      </x:c>
      <x:c r="L1422" s="12" t="n">
        <x:v>0</x:v>
      </x:c>
      <x:c r="M1422" s="2" t="str">
        <x:v>持有</x:v>
      </x:c>
    </x:row>
    <x:row r="1423" ht="23" customHeight="1">
      <x:c r="A1423" s="11" t="d">
        <x:v>2020-08-19T00:00:00.000Z</x:v>
      </x:c>
      <x:c r="B1423" s="12" t="n">
        <x:v>721.004575</x:v>
      </x:c>
      <x:c r="C1423" s="13" t="n">
        <x:v>335</x:v>
      </x:c>
      <x:c r="D1423" s="12" t="n">
        <x:v>112972.05</x:v>
      </x:c>
      <x:c r="E1423" s="12" t="n">
        <x:v>0</x:v>
      </x:c>
      <x:c r="F1423" s="12" t="n">
        <x:f>SUM(B1423,D1423:E1423)</x:f>
        <x:v>113693.054575</x:v>
      </x:c>
      <x:c r="G1423" s="12" t="n">
        <x:f>MAX(G1422,F1423)</x:f>
        <x:v>114165.404575</x:v>
      </x:c>
      <x:c r="H1423" s="14" t="n">
        <x:f>F1423/G1423-1</x:f>
        <x:v>-0.00413741800117462</x:v>
      </x:c>
      <x:c r="I1423" s="14" t="n">
        <x:f>F1423/F1422-1</x:f>
        <x:v>-0.00413741800117462</x:v>
      </x:c>
      <x:c r="J1423" s="12" t="n">
        <x:v>0</x:v>
      </x:c>
      <x:c r="K1423" s="12" t="n">
        <x:v>0</x:v>
      </x:c>
      <x:c r="L1423" s="12" t="n">
        <x:v>0</x:v>
      </x:c>
      <x:c r="M1423" s="2" t="str">
        <x:v>持有</x:v>
      </x:c>
    </x:row>
    <x:row r="1424" ht="23" customHeight="1">
      <x:c r="A1424" s="11" t="d">
        <x:v>2020-08-20T00:00:00.000Z</x:v>
      </x:c>
      <x:c r="B1424" s="12" t="n">
        <x:v>721.004575</x:v>
      </x:c>
      <x:c r="C1424" s="13" t="n">
        <x:v>335</x:v>
      </x:c>
      <x:c r="D1424" s="12" t="n">
        <x:v>113323.79999999999</x:v>
      </x:c>
      <x:c r="E1424" s="12" t="n">
        <x:v>0</x:v>
      </x:c>
      <x:c r="F1424" s="12" t="n">
        <x:f>SUM(B1424,D1424:E1424)</x:f>
        <x:v>114044.80457499999</x:v>
      </x:c>
      <x:c r="G1424" s="12" t="n">
        <x:f>MAX(G1423,F1424)</x:f>
        <x:v>114165.404575</x:v>
      </x:c>
      <x:c r="H1424" s="14" t="n">
        <x:f>F1424/G1424-1</x:f>
        <x:v>-0.0010563620428531983</x:v>
      </x:c>
      <x:c r="I1424" s="14" t="n">
        <x:f>F1424/F1423-1</x:f>
        <x:v>0.0030938565360467685</x:v>
      </x:c>
      <x:c r="J1424" s="12" t="n">
        <x:v>0</x:v>
      </x:c>
      <x:c r="K1424" s="12" t="n">
        <x:v>0</x:v>
      </x:c>
      <x:c r="L1424" s="12" t="n">
        <x:v>0</x:v>
      </x:c>
      <x:c r="M1424" s="2" t="str">
        <x:v>持有</x:v>
      </x:c>
    </x:row>
    <x:row r="1425" ht="23" customHeight="1">
      <x:c r="A1425" s="11" t="d">
        <x:v>2020-08-21T00:00:00.000Z</x:v>
      </x:c>
      <x:c r="B1425" s="12" t="n">
        <x:v>721.004575</x:v>
      </x:c>
      <x:c r="C1425" s="13" t="n">
        <x:v>335</x:v>
      </x:c>
      <x:c r="D1425" s="12" t="n">
        <x:v>113725.8</x:v>
      </x:c>
      <x:c r="E1425" s="12" t="n">
        <x:v>0</x:v>
      </x:c>
      <x:c r="F1425" s="12" t="n">
        <x:f>SUM(B1425,D1425:E1425)</x:f>
        <x:v>114446.804575</x:v>
      </x:c>
      <x:c r="G1425" s="12" t="n">
        <x:f>MAX(G1424,F1425)</x:f>
        <x:v>114446.804575</x:v>
      </x:c>
      <x:c r="H1425" s="14" t="n">
        <x:f>F1425/G1425-1</x:f>
        <x:v>0</x:v>
      </x:c>
      <x:c r="I1425" s="14" t="n">
        <x:f>F1425/F1424-1</x:f>
        <x:v>0.003524930412201588</x:v>
      </x:c>
      <x:c r="J1425" s="12" t="n">
        <x:v>0</x:v>
      </x:c>
      <x:c r="K1425" s="12" t="n">
        <x:v>0</x:v>
      </x:c>
      <x:c r="L1425" s="12" t="n">
        <x:v>0</x:v>
      </x:c>
      <x:c r="M1425" s="2" t="str">
        <x:v>持有</x:v>
      </x:c>
    </x:row>
    <x:row r="1426" ht="23" customHeight="1">
      <x:c r="A1426" s="11" t="d">
        <x:v>2020-08-24T00:00:00.000Z</x:v>
      </x:c>
      <x:c r="B1426" s="12" t="n">
        <x:v>721.004575</x:v>
      </x:c>
      <x:c r="C1426" s="13" t="n">
        <x:v>335</x:v>
      </x:c>
      <x:c r="D1426" s="12" t="n">
        <x:v>114878.20000000001</x:v>
      </x:c>
      <x:c r="E1426" s="12" t="n">
        <x:v>0</x:v>
      </x:c>
      <x:c r="F1426" s="12" t="n">
        <x:f>SUM(B1426,D1426:E1426)</x:f>
        <x:v>115599.20457500001</x:v>
      </x:c>
      <x:c r="G1426" s="12" t="n">
        <x:f>MAX(G1425,F1426)</x:f>
        <x:v>115599.20457500001</x:v>
      </x:c>
      <x:c r="H1426" s="14" t="n">
        <x:f>F1426/G1426-1</x:f>
        <x:v>0</x:v>
      </x:c>
      <x:c r="I1426" s="14" t="n">
        <x:f>F1426/F1425-1</x:f>
        <x:v>0.010069306908825126</x:v>
      </x:c>
      <x:c r="J1426" s="12" t="n">
        <x:v>0</x:v>
      </x:c>
      <x:c r="K1426" s="12" t="n">
        <x:v>0</x:v>
      </x:c>
      <x:c r="L1426" s="12" t="n">
        <x:v>0</x:v>
      </x:c>
      <x:c r="M1426" s="2" t="str">
        <x:v>持有</x:v>
      </x:c>
    </x:row>
    <x:row r="1427" ht="23" customHeight="1">
      <x:c r="A1427" s="11" t="d">
        <x:v>2020-08-25T00:00:00.000Z</x:v>
      </x:c>
      <x:c r="B1427" s="12" t="n">
        <x:v>721.004575</x:v>
      </x:c>
      <x:c r="C1427" s="13" t="n">
        <x:v>335</x:v>
      </x:c>
      <x:c r="D1427" s="12" t="n">
        <x:v>115280.2</x:v>
      </x:c>
      <x:c r="E1427" s="12" t="n">
        <x:v>0</x:v>
      </x:c>
      <x:c r="F1427" s="12" t="n">
        <x:f>SUM(B1427,D1427:E1427)</x:f>
        <x:v>116001.204575</x:v>
      </x:c>
      <x:c r="G1427" s="12" t="n">
        <x:f>MAX(G1426,F1427)</x:f>
        <x:v>116001.204575</x:v>
      </x:c>
      <x:c r="H1427" s="14" t="n">
        <x:f>F1427/G1427-1</x:f>
        <x:v>0</x:v>
      </x:c>
      <x:c r="I1427" s="14" t="n">
        <x:f>F1427/F1426-1</x:f>
        <x:v>0.0034775325788609646</x:v>
      </x:c>
      <x:c r="J1427" s="12" t="n">
        <x:v>0</x:v>
      </x:c>
      <x:c r="K1427" s="12" t="n">
        <x:v>0</x:v>
      </x:c>
      <x:c r="L1427" s="12" t="n">
        <x:v>0</x:v>
      </x:c>
      <x:c r="M1427" s="2" t="str">
        <x:v>持有</x:v>
      </x:c>
    </x:row>
    <x:row r="1428" ht="23" customHeight="1">
      <x:c r="A1428" s="11" t="d">
        <x:v>2020-08-26T00:00:00.000Z</x:v>
      </x:c>
      <x:c r="B1428" s="12" t="n">
        <x:v>721.004575</x:v>
      </x:c>
      <x:c r="C1428" s="13" t="n">
        <x:v>335</x:v>
      </x:c>
      <x:c r="D1428" s="12" t="n">
        <x:v>116435.95</x:v>
      </x:c>
      <x:c r="E1428" s="12" t="n">
        <x:v>0</x:v>
      </x:c>
      <x:c r="F1428" s="12" t="n">
        <x:f>SUM(B1428,D1428:E1428)</x:f>
        <x:v>117156.954575</x:v>
      </x:c>
      <x:c r="G1428" s="12" t="n">
        <x:f>MAX(G1427,F1428)</x:f>
        <x:v>117156.954575</x:v>
      </x:c>
      <x:c r="H1428" s="14" t="n">
        <x:f>F1428/G1428-1</x:f>
        <x:v>0</x:v>
      </x:c>
      <x:c r="I1428" s="14" t="n">
        <x:f>F1428/F1427-1</x:f>
        <x:v>0.009963258607825543</x:v>
      </x:c>
      <x:c r="J1428" s="12" t="n">
        <x:v>0</x:v>
      </x:c>
      <x:c r="K1428" s="12" t="n">
        <x:v>0</x:v>
      </x:c>
      <x:c r="L1428" s="12" t="n">
        <x:v>0</x:v>
      </x:c>
      <x:c r="M1428" s="2" t="str">
        <x:v>持有</x:v>
      </x:c>
    </x:row>
    <x:row r="1429" ht="23" customHeight="1">
      <x:c r="A1429" s="11" t="d">
        <x:v>2020-08-27T00:00:00.000Z</x:v>
      </x:c>
      <x:c r="B1429" s="12" t="n">
        <x:v>721.004575</x:v>
      </x:c>
      <x:c r="C1429" s="13" t="n">
        <x:v>335</x:v>
      </x:c>
      <x:c r="D1429" s="12" t="n">
        <x:v>116690.54999999999</x:v>
      </x:c>
      <x:c r="E1429" s="12" t="n">
        <x:v>0</x:v>
      </x:c>
      <x:c r="F1429" s="12" t="n">
        <x:f>SUM(B1429,D1429:E1429)</x:f>
        <x:v>117411.55457499999</x:v>
      </x:c>
      <x:c r="G1429" s="12" t="n">
        <x:f>MAX(G1428,F1429)</x:f>
        <x:v>117411.55457499999</x:v>
      </x:c>
      <x:c r="H1429" s="14" t="n">
        <x:f>F1429/G1429-1</x:f>
        <x:v>0</x:v>
      </x:c>
      <x:c r="I1429" s="14" t="n">
        <x:f>F1429/F1428-1</x:f>
        <x:v>0.0021731531083544198</x:v>
      </x:c>
      <x:c r="J1429" s="12" t="n">
        <x:v>0</x:v>
      </x:c>
      <x:c r="K1429" s="12" t="n">
        <x:v>0</x:v>
      </x:c>
      <x:c r="L1429" s="12" t="n">
        <x:v>0</x:v>
      </x:c>
      <x:c r="M1429" s="2" t="str">
        <x:v>持有</x:v>
      </x:c>
    </x:row>
    <x:row r="1430" ht="23" customHeight="1">
      <x:c r="A1430" s="11" t="d">
        <x:v>2020-08-28T00:00:00.000Z</x:v>
      </x:c>
      <x:c r="B1430" s="12" t="n">
        <x:v>721.004575</x:v>
      </x:c>
      <x:c r="C1430" s="13" t="n">
        <x:v>335</x:v>
      </x:c>
      <x:c r="D1430" s="12" t="n">
        <x:v>117444.29999999999</x:v>
      </x:c>
      <x:c r="E1430" s="12" t="n">
        <x:v>0</x:v>
      </x:c>
      <x:c r="F1430" s="12" t="n">
        <x:f>SUM(B1430,D1430:E1430)</x:f>
        <x:v>118165.30457499999</x:v>
      </x:c>
      <x:c r="G1430" s="12" t="n">
        <x:f>MAX(G1429,F1430)</x:f>
        <x:v>118165.30457499999</x:v>
      </x:c>
      <x:c r="H1430" s="14" t="n">
        <x:f>F1430/G1430-1</x:f>
        <x:v>0</x:v>
      </x:c>
      <x:c r="I1430" s="14" t="n">
        <x:f>F1430/F1429-1</x:f>
        <x:v>0.006419725918189068</x:v>
      </x:c>
      <x:c r="J1430" s="12" t="n">
        <x:v>0</x:v>
      </x:c>
      <x:c r="K1430" s="12" t="n">
        <x:v>0</x:v>
      </x:c>
      <x:c r="L1430" s="12" t="n">
        <x:v>0</x:v>
      </x:c>
      <x:c r="M1430" s="2" t="str">
        <x:v>持有</x:v>
      </x:c>
    </x:row>
    <x:row r="1431" ht="23" customHeight="1">
      <x:c r="A1431" s="11" t="d">
        <x:v>2020-08-31T00:00:00.000Z</x:v>
      </x:c>
      <x:c r="B1431" s="12" t="n">
        <x:v>721.004575</x:v>
      </x:c>
      <x:c r="C1431" s="13" t="n">
        <x:v>335</x:v>
      </x:c>
      <x:c r="D1431" s="12" t="n">
        <x:v>117018.85</x:v>
      </x:c>
      <x:c r="E1431" s="12" t="n">
        <x:v>0</x:v>
      </x:c>
      <x:c r="F1431" s="12" t="n">
        <x:f>SUM(B1431,D1431:E1431)</x:f>
        <x:v>117739.854575</x:v>
      </x:c>
      <x:c r="G1431" s="12" t="n">
        <x:f>MAX(G1430,F1431)</x:f>
        <x:v>118165.30457499999</x:v>
      </x:c>
      <x:c r="H1431" s="14" t="n">
        <x:f>F1431/G1431-1</x:f>
        <x:v>-0.00360046463325403</x:v>
      </x:c>
      <x:c r="I1431" s="14" t="n">
        <x:f>F1431/F1430-1</x:f>
        <x:v>-0.00360046463325403</x:v>
      </x:c>
      <x:c r="J1431" s="12" t="n">
        <x:v>0</x:v>
      </x:c>
      <x:c r="K1431" s="12" t="n">
        <x:v>0</x:v>
      </x:c>
      <x:c r="L1431" s="12" t="n">
        <x:v>0</x:v>
      </x:c>
      <x:c r="M1431" s="2" t="str">
        <x:v>持有</x:v>
      </x:c>
    </x:row>
    <x:row r="1432" ht="23" customHeight="1">
      <x:c r="A1432" s="11" t="d">
        <x:v>2020-09-01T00:00:00.000Z</x:v>
      </x:c>
      <x:c r="B1432" s="12" t="n">
        <x:v>721.004575</x:v>
      </x:c>
      <x:c r="C1432" s="13" t="n">
        <x:v>335</x:v>
      </x:c>
      <x:c r="D1432" s="12" t="n">
        <x:v>118121.00000000001</x:v>
      </x:c>
      <x:c r="E1432" s="12" t="n">
        <x:v>0</x:v>
      </x:c>
      <x:c r="F1432" s="12" t="n">
        <x:f>SUM(B1432,D1432:E1432)</x:f>
        <x:v>118842.00457500001</x:v>
      </x:c>
      <x:c r="G1432" s="12" t="n">
        <x:f>MAX(G1431,F1432)</x:f>
        <x:v>118842.00457500001</x:v>
      </x:c>
      <x:c r="H1432" s="14" t="n">
        <x:f>F1432/G1432-1</x:f>
        <x:v>0</x:v>
      </x:c>
      <x:c r="I1432" s="14" t="n">
        <x:f>F1432/F1431-1</x:f>
        <x:v>0.009360891466856147</x:v>
      </x:c>
      <x:c r="J1432" s="12" t="n">
        <x:v>0</x:v>
      </x:c>
      <x:c r="K1432" s="12" t="n">
        <x:v>0</x:v>
      </x:c>
      <x:c r="L1432" s="12" t="n">
        <x:v>0</x:v>
      </x:c>
      <x:c r="M1432" s="2" t="str">
        <x:v>持有</x:v>
      </x:c>
    </x:row>
    <x:row r="1433" ht="23" customHeight="1">
      <x:c r="A1433" s="11" t="d">
        <x:v>2020-09-02T00:00:00.000Z</x:v>
      </x:c>
      <x:c r="B1433" s="12" t="n">
        <x:v>721.004575</x:v>
      </x:c>
      <x:c r="C1433" s="13" t="n">
        <x:v>335</x:v>
      </x:c>
      <x:c r="D1433" s="12" t="n">
        <x:v>119829.5</x:v>
      </x:c>
      <x:c r="E1433" s="12" t="n">
        <x:v>0</x:v>
      </x:c>
      <x:c r="F1433" s="12" t="n">
        <x:f>SUM(B1433,D1433:E1433)</x:f>
        <x:v>120550.504575</x:v>
      </x:c>
      <x:c r="G1433" s="12" t="n">
        <x:f>MAX(G1432,F1433)</x:f>
        <x:v>120550.504575</x:v>
      </x:c>
      <x:c r="H1433" s="14" t="n">
        <x:f>F1433/G1433-1</x:f>
        <x:v>0</x:v>
      </x:c>
      <x:c r="I1433" s="14" t="n">
        <x:f>F1433/F1432-1</x:f>
        <x:v>0.014376230072101981</x:v>
      </x:c>
      <x:c r="J1433" s="12" t="n">
        <x:v>0</x:v>
      </x:c>
      <x:c r="K1433" s="12" t="n">
        <x:v>0</x:v>
      </x:c>
      <x:c r="L1433" s="12" t="n">
        <x:v>0</x:v>
      </x:c>
      <x:c r="M1433" s="2" t="str">
        <x:v>持有</x:v>
      </x:c>
    </x:row>
    <x:row r="1434" ht="23" customHeight="1">
      <x:c r="A1434" s="11" t="d">
        <x:v>2020-09-03T00:00:00.000Z</x:v>
      </x:c>
      <x:c r="B1434" s="12" t="n">
        <x:v>721.004575</x:v>
      </x:c>
      <x:c r="C1434" s="13" t="n">
        <x:v>335</x:v>
      </x:c>
      <x:c r="D1434" s="12" t="n">
        <x:v>115705.65</x:v>
      </x:c>
      <x:c r="E1434" s="12" t="n">
        <x:v>0</x:v>
      </x:c>
      <x:c r="F1434" s="12" t="n">
        <x:f>SUM(B1434,D1434:E1434)</x:f>
        <x:v>116426.654575</x:v>
      </x:c>
      <x:c r="G1434" s="12" t="n">
        <x:f>MAX(G1433,F1434)</x:f>
        <x:v>120550.504575</x:v>
      </x:c>
      <x:c r="H1434" s="14" t="n">
        <x:f>F1434/G1434-1</x:f>
        <x:v>-0.03420848394238263</x:v>
      </x:c>
      <x:c r="I1434" s="14" t="n">
        <x:f>F1434/F1433-1</x:f>
        <x:v>-0.03420848394238263</x:v>
      </x:c>
      <x:c r="J1434" s="12" t="n">
        <x:v>0</x:v>
      </x:c>
      <x:c r="K1434" s="12" t="n">
        <x:v>0</x:v>
      </x:c>
      <x:c r="L1434" s="12" t="n">
        <x:v>0</x:v>
      </x:c>
      <x:c r="M1434" s="2" t="str">
        <x:v>持有</x:v>
      </x:c>
    </x:row>
    <x:row r="1435" ht="23" customHeight="1">
      <x:c r="A1435" s="11" t="d">
        <x:v>2020-09-04T00:00:00.000Z</x:v>
      </x:c>
      <x:c r="B1435" s="12" t="n">
        <x:v>721.004575</x:v>
      </x:c>
      <x:c r="C1435" s="13" t="n">
        <x:v>335</x:v>
      </x:c>
      <x:c r="D1435" s="12" t="n">
        <x:v>114760.95</x:v>
      </x:c>
      <x:c r="E1435" s="12" t="n">
        <x:v>0</x:v>
      </x:c>
      <x:c r="F1435" s="12" t="n">
        <x:f>SUM(B1435,D1435:E1435)</x:f>
        <x:v>115481.954575</x:v>
      </x:c>
      <x:c r="G1435" s="12" t="n">
        <x:f>MAX(G1434,F1435)</x:f>
        <x:v>120550.504575</x:v>
      </x:c>
      <x:c r="H1435" s="14" t="n">
        <x:f>F1435/G1435-1</x:f>
        <x:v>-0.04204503347264399</x:v>
      </x:c>
      <x:c r="I1435" s="14" t="n">
        <x:f>F1435/F1434-1</x:f>
        <x:v>-0.008114121319112821</x:v>
      </x:c>
      <x:c r="J1435" s="12" t="n">
        <x:v>0</x:v>
      </x:c>
      <x:c r="K1435" s="12" t="n">
        <x:v>0</x:v>
      </x:c>
      <x:c r="L1435" s="12" t="n">
        <x:v>0</x:v>
      </x:c>
      <x:c r="M1435" s="2" t="str">
        <x:v>持有</x:v>
      </x:c>
    </x:row>
    <x:row r="1436" ht="23" customHeight="1">
      <x:c r="A1436" s="11" t="d">
        <x:v>2020-09-08T00:00:00.000Z</x:v>
      </x:c>
      <x:c r="B1436" s="12" t="n">
        <x:v>721.004575</x:v>
      </x:c>
      <x:c r="C1436" s="13" t="n">
        <x:v>335</x:v>
      </x:c>
      <x:c r="D1436" s="12" t="n">
        <x:v>111625.34999999999</x:v>
      </x:c>
      <x:c r="E1436" s="12" t="n">
        <x:v>0</x:v>
      </x:c>
      <x:c r="F1436" s="12" t="n">
        <x:f>SUM(B1436,D1436:E1436)</x:f>
        <x:v>112346.35457499999</x:v>
      </x:c>
      <x:c r="G1436" s="12" t="n">
        <x:f>MAX(G1435,F1436)</x:f>
        <x:v>120550.504575</x:v>
      </x:c>
      <x:c r="H1436" s="14" t="n">
        <x:f>F1436/G1436-1</x:f>
        <x:v>-0.06805570850925668</x:v>
      </x:c>
      <x:c r="I1436" s="14" t="n">
        <x:f>F1436/F1435-1</x:f>
        <x:v>-0.027152294153140466</x:v>
      </x:c>
      <x:c r="J1436" s="12" t="n">
        <x:v>0</x:v>
      </x:c>
      <x:c r="K1436" s="12" t="n">
        <x:v>0</x:v>
      </x:c>
      <x:c r="L1436" s="12" t="n">
        <x:v>0</x:v>
      </x:c>
      <x:c r="M1436" s="2" t="str">
        <x:v>持有</x:v>
      </x:c>
    </x:row>
    <x:row r="1437" ht="23" customHeight="1">
      <x:c r="A1437" s="11" t="d">
        <x:v>2020-09-09T00:00:00.000Z</x:v>
      </x:c>
      <x:c r="B1437" s="12" t="n">
        <x:v>721.004575</x:v>
      </x:c>
      <x:c r="C1437" s="13" t="n">
        <x:v>335</x:v>
      </x:c>
      <x:c r="D1437" s="12" t="n">
        <x:v>113829.65000000001</x:v>
      </x:c>
      <x:c r="E1437" s="12" t="n">
        <x:v>0</x:v>
      </x:c>
      <x:c r="F1437" s="12" t="n">
        <x:f>SUM(B1437,D1437:E1437)</x:f>
        <x:v>114550.65457500001</x:v>
      </x:c>
      <x:c r="G1437" s="12" t="n">
        <x:f>MAX(G1436,F1437)</x:f>
        <x:v>120550.504575</x:v>
      </x:c>
      <x:c r="H1437" s="14" t="n">
        <x:f>F1437/G1437-1</x:f>
        <x:v>-0.049770426271979695</x:v>
      </x:c>
      <x:c r="I1437" s="14" t="n">
        <x:f>F1437/F1436-1</x:f>
        <x:v>0.019620574324273887</x:v>
      </x:c>
      <x:c r="J1437" s="12" t="n">
        <x:v>0</x:v>
      </x:c>
      <x:c r="K1437" s="12" t="n">
        <x:v>0</x:v>
      </x:c>
      <x:c r="L1437" s="12" t="n">
        <x:v>0</x:v>
      </x:c>
      <x:c r="M1437" s="2" t="str">
        <x:v>持有</x:v>
      </x:c>
    </x:row>
    <x:row r="1438" ht="23" customHeight="1">
      <x:c r="A1438" s="11" t="d">
        <x:v>2020-09-10T00:00:00.000Z</x:v>
      </x:c>
      <x:c r="B1438" s="12" t="n">
        <x:v>721.004575</x:v>
      </x:c>
      <x:c r="C1438" s="13" t="n">
        <x:v>335</x:v>
      </x:c>
      <x:c r="D1438" s="12" t="n">
        <x:v>111853.15</x:v>
      </x:c>
      <x:c r="E1438" s="12" t="n">
        <x:v>0</x:v>
      </x:c>
      <x:c r="F1438" s="12" t="n">
        <x:f>SUM(B1438,D1438:E1438)</x:f>
        <x:v>112574.154575</x:v>
      </x:c>
      <x:c r="G1438" s="12" t="n">
        <x:f>MAX(G1437,F1438)</x:f>
        <x:v>120550.504575</x:v>
      </x:c>
      <x:c r="H1438" s="14" t="n">
        <x:f>F1438/G1438-1</x:f>
        <x:v>-0.06616604408351978</x:v>
      </x:c>
      <x:c r="I1438" s="14" t="n">
        <x:f>F1438/F1437-1</x:f>
        <x:v>-0.017254375431839497</x:v>
      </x:c>
      <x:c r="J1438" s="12" t="n">
        <x:v>0</x:v>
      </x:c>
      <x:c r="K1438" s="12" t="n">
        <x:v>0</x:v>
      </x:c>
      <x:c r="L1438" s="12" t="n">
        <x:v>0</x:v>
      </x:c>
      <x:c r="M1438" s="2" t="str">
        <x:v>持有</x:v>
      </x:c>
    </x:row>
    <x:row r="1439" ht="23" customHeight="1">
      <x:c r="A1439" s="11" t="d">
        <x:v>2020-09-11T00:00:00.000Z</x:v>
      </x:c>
      <x:c r="B1439" s="12" t="n">
        <x:v>721.004575</x:v>
      </x:c>
      <x:c r="C1439" s="13" t="n">
        <x:v>335</x:v>
      </x:c>
      <x:c r="D1439" s="12" t="n">
        <x:v>111910.1</x:v>
      </x:c>
      <x:c r="E1439" s="12" t="n">
        <x:v>0</x:v>
      </x:c>
      <x:c r="F1439" s="12" t="n">
        <x:f>SUM(B1439,D1439:E1439)</x:f>
        <x:v>112631.104575</x:v>
      </x:c>
      <x:c r="G1439" s="12" t="n">
        <x:f>MAX(G1438,F1439)</x:f>
        <x:v>120550.504575</x:v>
      </x:c>
      <x:c r="H1439" s="14" t="n">
        <x:f>F1439/G1439-1</x:f>
        <x:v>-0.06569362797708556</x:v>
      </x:c>
      <x:c r="I1439" s="14" t="n">
        <x:f>F1439/F1438-1</x:f>
        <x:v>0.0005058887647437782</x:v>
      </x:c>
      <x:c r="J1439" s="12" t="n">
        <x:v>0</x:v>
      </x:c>
      <x:c r="K1439" s="12" t="n">
        <x:v>0</x:v>
      </x:c>
      <x:c r="L1439" s="12" t="n">
        <x:v>0</x:v>
      </x:c>
      <x:c r="M1439" s="2" t="str">
        <x:v>持有</x:v>
      </x:c>
    </x:row>
    <x:row r="1440" ht="23" customHeight="1">
      <x:c r="A1440" s="11" t="d">
        <x:v>2020-09-14T00:00:00.000Z</x:v>
      </x:c>
      <x:c r="B1440" s="12" t="n">
        <x:v>721.004575</x:v>
      </x:c>
      <x:c r="C1440" s="13" t="n">
        <x:v>335</x:v>
      </x:c>
      <x:c r="D1440" s="12" t="n">
        <x:v>113384.09999999999</x:v>
      </x:c>
      <x:c r="E1440" s="12" t="n">
        <x:v>0</x:v>
      </x:c>
      <x:c r="F1440" s="12" t="n">
        <x:f>SUM(B1440,D1440:E1440)</x:f>
        <x:v>114105.10457499999</x:v>
      </x:c>
      <x:c r="G1440" s="12" t="n">
        <x:f>MAX(G1439,F1440)</x:f>
        <x:v>120550.504575</x:v>
      </x:c>
      <x:c r="H1440" s="14" t="n">
        <x:f>F1440/G1440-1</x:f>
        <x:v>-0.05346638757525923</x:v>
      </x:c>
      <x:c r="I1440" s="14" t="n">
        <x:f>F1440/F1439-1</x:f>
        <x:v>0.013086971006472492</x:v>
      </x:c>
      <x:c r="J1440" s="12" t="n">
        <x:v>0</x:v>
      </x:c>
      <x:c r="K1440" s="12" t="n">
        <x:v>0</x:v>
      </x:c>
      <x:c r="L1440" s="12" t="n">
        <x:v>0</x:v>
      </x:c>
      <x:c r="M1440" s="2" t="str">
        <x:v>持有</x:v>
      </x:c>
    </x:row>
    <x:row r="1441" ht="23" customHeight="1">
      <x:c r="A1441" s="11" t="d">
        <x:v>2020-09-15T00:00:00.000Z</x:v>
      </x:c>
      <x:c r="B1441" s="12" t="n">
        <x:v>721.004575</x:v>
      </x:c>
      <x:c r="C1441" s="13" t="n">
        <x:v>335</x:v>
      </x:c>
      <x:c r="D1441" s="12" t="n">
        <x:v>113956.95000000001</x:v>
      </x:c>
      <x:c r="E1441" s="12" t="n">
        <x:v>0</x:v>
      </x:c>
      <x:c r="F1441" s="12" t="n">
        <x:f>SUM(B1441,D1441:E1441)</x:f>
        <x:v>114677.95457500001</x:v>
      </x:c>
      <x:c r="G1441" s="12" t="n">
        <x:f>MAX(G1440,F1441)</x:f>
        <x:v>120550.504575</x:v>
      </x:c>
      <x:c r="H1441" s="14" t="n">
        <x:f>F1441/G1441-1</x:f>
        <x:v>-0.04871443732818559</x:v>
      </x:c>
      <x:c r="I1441" s="14" t="n">
        <x:f>F1441/F1440-1</x:f>
        <x:v>0.00502037136842981</x:v>
      </x:c>
      <x:c r="J1441" s="12" t="n">
        <x:v>0</x:v>
      </x:c>
      <x:c r="K1441" s="12" t="n">
        <x:v>0</x:v>
      </x:c>
      <x:c r="L1441" s="12" t="n">
        <x:v>0</x:v>
      </x:c>
      <x:c r="M1441" s="2" t="str">
        <x:v>持有</x:v>
      </x:c>
    </x:row>
    <x:row r="1442" ht="23" customHeight="1">
      <x:c r="A1442" s="11" t="d">
        <x:v>2020-09-16T00:00:00.000Z</x:v>
      </x:c>
      <x:c r="B1442" s="12" t="n">
        <x:v>721.004575</x:v>
      </x:c>
      <x:c r="C1442" s="13" t="n">
        <x:v>335</x:v>
      </x:c>
      <x:c r="D1442" s="12" t="n">
        <x:v>113504.7</x:v>
      </x:c>
      <x:c r="E1442" s="12" t="n">
        <x:v>0</x:v>
      </x:c>
      <x:c r="F1442" s="12" t="n">
        <x:f>SUM(B1442,D1442:E1442)</x:f>
        <x:v>114225.704575</x:v>
      </x:c>
      <x:c r="G1442" s="12" t="n">
        <x:f>MAX(G1441,F1442)</x:f>
        <x:v>120550.504575</x:v>
      </x:c>
      <x:c r="H1442" s="14" t="n">
        <x:f>F1442/G1442-1</x:f>
        <x:v>-0.0524659769969279</x:v>
      </x:c>
      <x:c r="I1442" s="14" t="n">
        <x:f>F1442/F1441-1</x:f>
        <x:v>-0.00394365248034001</x:v>
      </x:c>
      <x:c r="J1442" s="12" t="n">
        <x:v>0</x:v>
      </x:c>
      <x:c r="K1442" s="12" t="n">
        <x:v>0</x:v>
      </x:c>
      <x:c r="L1442" s="12" t="n">
        <x:v>0</x:v>
      </x:c>
      <x:c r="M1442" s="2" t="str">
        <x:v>持有</x:v>
      </x:c>
    </x:row>
    <x:row r="1443" ht="23" customHeight="1">
      <x:c r="A1443" s="11" t="d">
        <x:v>2020-09-17T00:00:00.000Z</x:v>
      </x:c>
      <x:c r="B1443" s="12" t="n">
        <x:v>721.004575</x:v>
      </x:c>
      <x:c r="C1443" s="13" t="n">
        <x:v>335</x:v>
      </x:c>
      <x:c r="D1443" s="12" t="n">
        <x:v>112506.4</x:v>
      </x:c>
      <x:c r="E1443" s="12" t="n">
        <x:v>0</x:v>
      </x:c>
      <x:c r="F1443" s="12" t="n">
        <x:f>SUM(B1443,D1443:E1443)</x:f>
        <x:v>113227.404575</x:v>
      </x:c>
      <x:c r="G1443" s="12" t="n">
        <x:f>MAX(G1442,F1443)</x:f>
        <x:v>120550.504575</x:v>
      </x:c>
      <x:c r="H1443" s="14" t="n">
        <x:f>F1443/G1443-1</x:f>
        <x:v>-0.06074715345089221</x:v>
      </x:c>
      <x:c r="I1443" s="14" t="n">
        <x:f>F1443/F1442-1</x:f>
        <x:v>-0.008739714092501183</x:v>
      </x:c>
      <x:c r="J1443" s="12" t="n">
        <x:v>0</x:v>
      </x:c>
      <x:c r="K1443" s="12" t="n">
        <x:v>0</x:v>
      </x:c>
      <x:c r="L1443" s="12" t="n">
        <x:v>0</x:v>
      </x:c>
      <x:c r="M1443" s="2" t="str">
        <x:v>持有</x:v>
      </x:c>
    </x:row>
    <x:row r="1444" ht="23" customHeight="1">
      <x:c r="A1444" s="11" t="d">
        <x:v>2020-09-18T00:00:00.000Z</x:v>
      </x:c>
      <x:c r="B1444" s="12" t="n">
        <x:v>721.004575</x:v>
      </x:c>
      <x:c r="C1444" s="13" t="n">
        <x:v>335</x:v>
      </x:c>
      <x:c r="D1444" s="12" t="n">
        <x:v>110767.74999999999</x:v>
      </x:c>
      <x:c r="E1444" s="12" t="n">
        <x:v>448.64004</x:v>
      </x:c>
      <x:c r="F1444" s="12" t="n">
        <x:f>SUM(B1444,D1444:E1444)</x:f>
        <x:v>111937.39461499998</x:v>
      </x:c>
      <x:c r="G1444" s="12" t="n">
        <x:f>MAX(G1443,F1444)</x:f>
        <x:v>120550.504575</x:v>
      </x:c>
      <x:c r="H1444" s="14" t="n">
        <x:f>F1444/G1444-1</x:f>
        <x:v>-0.0714481452430703</x:v>
      </x:c>
      <x:c r="I1444" s="14" t="n">
        <x:f>F1444/F1443-1</x:f>
        <x:v>-0.01139308955143914</x:v>
      </x:c>
      <x:c r="J1444" s="12" t="n">
        <x:v>448.64004</x:v>
      </x:c>
      <x:c r="K1444" s="12" t="n">
        <x:v>0</x:v>
      </x:c>
      <x:c r="L1444" s="12" t="n">
        <x:v>0</x:v>
      </x:c>
      <x:c r="M1444" s="2" t="str">
        <x:v>持有</x:v>
      </x:c>
    </x:row>
    <x:row r="1445" ht="23" customHeight="1">
      <x:c r="A1445" s="11" t="d">
        <x:v>2020-09-21T00:00:00.000Z</x:v>
      </x:c>
      <x:c r="B1445" s="12" t="n">
        <x:v>109721.395075</x:v>
      </x:c>
      <x:c r="C1445" s="13" t="n">
        <x:v>0</x:v>
      </x:c>
      <x:c r="D1445" s="12" t="n">
        <x:v>0</x:v>
      </x:c>
      <x:c r="E1445" s="12" t="n">
        <x:v>448.64004</x:v>
      </x:c>
      <x:c r="F1445" s="12" t="n">
        <x:f>SUM(B1445,D1445:E1445)</x:f>
        <x:v>110170.03511499999</x:v>
      </x:c>
      <x:c r="G1445" s="12" t="n">
        <x:f>MAX(G1444,F1445)</x:f>
        <x:v>120550.504575</x:v>
      </x:c>
      <x:c r="H1445" s="14" t="n">
        <x:f>F1445/G1445-1</x:f>
        <x:v>-0.08610888437668751</x:v>
      </x:c>
      <x:c r="I1445" s="14" t="n">
        <x:f>F1445/F1444-1</x:f>
        <x:v>-0.015788821118078444</x:v>
      </x:c>
      <x:c r="J1445" s="12" t="n">
        <x:v>0</x:v>
      </x:c>
      <x:c r="K1445" s="12" t="n">
        <x:v>0</x:v>
      </x:c>
      <x:c r="L1445" s="12" t="n">
        <x:v>-335</x:v>
      </x:c>
      <x:c r="M1445" s="2" t="str">
        <x:v>卖出</x:v>
      </x:c>
    </x:row>
    <x:row r="1446" ht="23" customHeight="1">
      <x:c r="A1446" s="11" t="d">
        <x:v>2020-09-22T00:00:00.000Z</x:v>
      </x:c>
      <x:c r="B1446" s="12" t="n">
        <x:v>109721.395075</x:v>
      </x:c>
      <x:c r="C1446" s="13" t="n">
        <x:v>0</x:v>
      </x:c>
      <x:c r="D1446" s="12" t="n">
        <x:v>0</x:v>
      </x:c>
      <x:c r="E1446" s="12" t="n">
        <x:v>448.64004</x:v>
      </x:c>
      <x:c r="F1446" s="12" t="n">
        <x:f>SUM(B1446,D1446:E1446)</x:f>
        <x:v>110170.03511499999</x:v>
      </x:c>
      <x:c r="G1446" s="12" t="n">
        <x:f>MAX(G1445,F1446)</x:f>
        <x:v>120550.504575</x:v>
      </x:c>
      <x:c r="H1446" s="14" t="n">
        <x:f>F1446/G1446-1</x:f>
        <x:v>-0.08610888437668751</x:v>
      </x:c>
      <x:c r="I1446" s="14" t="n">
        <x:f>F1446/F1445-1</x:f>
        <x:v>0</x:v>
      </x:c>
      <x:c r="J1446" s="12" t="n">
        <x:v>0</x:v>
      </x:c>
      <x:c r="K1446" s="12" t="n">
        <x:v>0</x:v>
      </x:c>
      <x:c r="L1446" s="12" t="n">
        <x:v>0</x:v>
      </x:c>
      <x:c r="M1446" s="2" t="str">
        <x:v>空仓</x:v>
      </x:c>
    </x:row>
    <x:row r="1447" ht="23" customHeight="1">
      <x:c r="A1447" s="11" t="d">
        <x:v>2020-09-23T00:00:00.000Z</x:v>
      </x:c>
      <x:c r="B1447" s="12" t="n">
        <x:v>109721.395075</x:v>
      </x:c>
      <x:c r="C1447" s="13" t="n">
        <x:v>0</x:v>
      </x:c>
      <x:c r="D1447" s="12" t="n">
        <x:v>0</x:v>
      </x:c>
      <x:c r="E1447" s="12" t="n">
        <x:v>448.64004</x:v>
      </x:c>
      <x:c r="F1447" s="12" t="n">
        <x:f>SUM(B1447,D1447:E1447)</x:f>
        <x:v>110170.03511499999</x:v>
      </x:c>
      <x:c r="G1447" s="12" t="n">
        <x:f>MAX(G1446,F1447)</x:f>
        <x:v>120550.504575</x:v>
      </x:c>
      <x:c r="H1447" s="14" t="n">
        <x:f>F1447/G1447-1</x:f>
        <x:v>-0.08610888437668751</x:v>
      </x:c>
      <x:c r="I1447" s="14" t="n">
        <x:f>F1447/F1446-1</x:f>
        <x:v>0</x:v>
      </x:c>
      <x:c r="J1447" s="12" t="n">
        <x:v>0</x:v>
      </x:c>
      <x:c r="K1447" s="12" t="n">
        <x:v>0</x:v>
      </x:c>
      <x:c r="L1447" s="12" t="n">
        <x:v>0</x:v>
      </x:c>
      <x:c r="M1447" s="2" t="str">
        <x:v>空仓</x:v>
      </x:c>
    </x:row>
    <x:row r="1448" ht="23" customHeight="1">
      <x:c r="A1448" s="11" t="d">
        <x:v>2020-09-24T00:00:00.000Z</x:v>
      </x:c>
      <x:c r="B1448" s="12" t="n">
        <x:v>109721.395075</x:v>
      </x:c>
      <x:c r="C1448" s="13" t="n">
        <x:v>0</x:v>
      </x:c>
      <x:c r="D1448" s="12" t="n">
        <x:v>0</x:v>
      </x:c>
      <x:c r="E1448" s="12" t="n">
        <x:v>448.64004</x:v>
      </x:c>
      <x:c r="F1448" s="12" t="n">
        <x:f>SUM(B1448,D1448:E1448)</x:f>
        <x:v>110170.03511499999</x:v>
      </x:c>
      <x:c r="G1448" s="12" t="n">
        <x:f>MAX(G1447,F1448)</x:f>
        <x:v>120550.504575</x:v>
      </x:c>
      <x:c r="H1448" s="14" t="n">
        <x:f>F1448/G1448-1</x:f>
        <x:v>-0.08610888437668751</x:v>
      </x:c>
      <x:c r="I1448" s="14" t="n">
        <x:f>F1448/F1447-1</x:f>
        <x:v>0</x:v>
      </x:c>
      <x:c r="J1448" s="12" t="n">
        <x:v>0</x:v>
      </x:c>
      <x:c r="K1448" s="12" t="n">
        <x:v>0</x:v>
      </x:c>
      <x:c r="L1448" s="12" t="n">
        <x:v>0</x:v>
      </x:c>
      <x:c r="M1448" s="2" t="str">
        <x:v>空仓</x:v>
      </x:c>
    </x:row>
    <x:row r="1449" ht="23" customHeight="1">
      <x:c r="A1449" s="11" t="d">
        <x:v>2020-09-25T00:00:00.000Z</x:v>
      </x:c>
      <x:c r="B1449" s="12" t="n">
        <x:v>109721.395075</x:v>
      </x:c>
      <x:c r="C1449" s="13" t="n">
        <x:v>0</x:v>
      </x:c>
      <x:c r="D1449" s="12" t="n">
        <x:v>0</x:v>
      </x:c>
      <x:c r="E1449" s="12" t="n">
        <x:v>448.64004</x:v>
      </x:c>
      <x:c r="F1449" s="12" t="n">
        <x:f>SUM(B1449,D1449:E1449)</x:f>
        <x:v>110170.03511499999</x:v>
      </x:c>
      <x:c r="G1449" s="12" t="n">
        <x:f>MAX(G1448,F1449)</x:f>
        <x:v>120550.504575</x:v>
      </x:c>
      <x:c r="H1449" s="14" t="n">
        <x:f>F1449/G1449-1</x:f>
        <x:v>-0.08610888437668751</x:v>
      </x:c>
      <x:c r="I1449" s="14" t="n">
        <x:f>F1449/F1448-1</x:f>
        <x:v>0</x:v>
      </x:c>
      <x:c r="J1449" s="12" t="n">
        <x:v>0</x:v>
      </x:c>
      <x:c r="K1449" s="12" t="n">
        <x:v>0</x:v>
      </x:c>
      <x:c r="L1449" s="12" t="n">
        <x:v>0</x:v>
      </x:c>
      <x:c r="M1449" s="2" t="str">
        <x:v>空仓</x:v>
      </x:c>
    </x:row>
    <x:row r="1450" ht="23" customHeight="1">
      <x:c r="A1450" s="11" t="d">
        <x:v>2020-09-28T00:00:00.000Z</x:v>
      </x:c>
      <x:c r="B1450" s="12" t="n">
        <x:v>109721.395075</x:v>
      </x:c>
      <x:c r="C1450" s="13" t="n">
        <x:v>0</x:v>
      </x:c>
      <x:c r="D1450" s="12" t="n">
        <x:v>0</x:v>
      </x:c>
      <x:c r="E1450" s="12" t="n">
        <x:v>448.64004</x:v>
      </x:c>
      <x:c r="F1450" s="12" t="n">
        <x:f>SUM(B1450,D1450:E1450)</x:f>
        <x:v>110170.03511499999</x:v>
      </x:c>
      <x:c r="G1450" s="12" t="n">
        <x:f>MAX(G1449,F1450)</x:f>
        <x:v>120550.504575</x:v>
      </x:c>
      <x:c r="H1450" s="14" t="n">
        <x:f>F1450/G1450-1</x:f>
        <x:v>-0.08610888437668751</x:v>
      </x:c>
      <x:c r="I1450" s="14" t="n">
        <x:f>F1450/F1449-1</x:f>
        <x:v>0</x:v>
      </x:c>
      <x:c r="J1450" s="12" t="n">
        <x:v>0</x:v>
      </x:c>
      <x:c r="K1450" s="12" t="n">
        <x:v>0</x:v>
      </x:c>
      <x:c r="L1450" s="12" t="n">
        <x:v>0</x:v>
      </x:c>
      <x:c r="M1450" s="2" t="str">
        <x:v>空仓</x:v>
      </x:c>
    </x:row>
    <x:row r="1451" ht="23" customHeight="1">
      <x:c r="A1451" s="11" t="d">
        <x:v>2020-09-29T00:00:00.000Z</x:v>
      </x:c>
      <x:c r="B1451" s="12" t="n">
        <x:v>109721.395075</x:v>
      </x:c>
      <x:c r="C1451" s="13" t="n">
        <x:v>0</x:v>
      </x:c>
      <x:c r="D1451" s="12" t="n">
        <x:v>0</x:v>
      </x:c>
      <x:c r="E1451" s="12" t="n">
        <x:v>448.64004</x:v>
      </x:c>
      <x:c r="F1451" s="12" t="n">
        <x:f>SUM(B1451,D1451:E1451)</x:f>
        <x:v>110170.03511499999</x:v>
      </x:c>
      <x:c r="G1451" s="12" t="n">
        <x:f>MAX(G1450,F1451)</x:f>
        <x:v>120550.504575</x:v>
      </x:c>
      <x:c r="H1451" s="14" t="n">
        <x:f>F1451/G1451-1</x:f>
        <x:v>-0.08610888437668751</x:v>
      </x:c>
      <x:c r="I1451" s="14" t="n">
        <x:f>F1451/F1450-1</x:f>
        <x:v>0</x:v>
      </x:c>
      <x:c r="J1451" s="12" t="n">
        <x:v>0</x:v>
      </x:c>
      <x:c r="K1451" s="12" t="n">
        <x:v>0</x:v>
      </x:c>
      <x:c r="L1451" s="12" t="n">
        <x:v>0</x:v>
      </x:c>
      <x:c r="M1451" s="2" t="str">
        <x:v>空仓</x:v>
      </x:c>
    </x:row>
    <x:row r="1452" ht="23" customHeight="1">
      <x:c r="A1452" s="11" t="d">
        <x:v>2020-09-30T00:00:00.000Z</x:v>
      </x:c>
      <x:c r="B1452" s="12" t="n">
        <x:v>109721.395075</x:v>
      </x:c>
      <x:c r="C1452" s="13" t="n">
        <x:v>0</x:v>
      </x:c>
      <x:c r="D1452" s="12" t="n">
        <x:v>0</x:v>
      </x:c>
      <x:c r="E1452" s="12" t="n">
        <x:v>448.64004</x:v>
      </x:c>
      <x:c r="F1452" s="12" t="n">
        <x:f>SUM(B1452,D1452:E1452)</x:f>
        <x:v>110170.03511499999</x:v>
      </x:c>
      <x:c r="G1452" s="12" t="n">
        <x:f>MAX(G1451,F1452)</x:f>
        <x:v>120550.504575</x:v>
      </x:c>
      <x:c r="H1452" s="14" t="n">
        <x:f>F1452/G1452-1</x:f>
        <x:v>-0.08610888437668751</x:v>
      </x:c>
      <x:c r="I1452" s="14" t="n">
        <x:f>F1452/F1451-1</x:f>
        <x:v>0</x:v>
      </x:c>
      <x:c r="J1452" s="12" t="n">
        <x:v>0</x:v>
      </x:c>
      <x:c r="K1452" s="12" t="n">
        <x:v>0</x:v>
      </x:c>
      <x:c r="L1452" s="12" t="n">
        <x:v>0</x:v>
      </x:c>
      <x:c r="M1452" s="2" t="str">
        <x:v>空仓</x:v>
      </x:c>
    </x:row>
    <x:row r="1453" ht="23" customHeight="1">
      <x:c r="A1453" s="11" t="d">
        <x:v>2020-10-01T00:00:00.000Z</x:v>
      </x:c>
      <x:c r="B1453" s="12" t="n">
        <x:v>109721.395075</x:v>
      </x:c>
      <x:c r="C1453" s="13" t="n">
        <x:v>0</x:v>
      </x:c>
      <x:c r="D1453" s="12" t="n">
        <x:v>0</x:v>
      </x:c>
      <x:c r="E1453" s="12" t="n">
        <x:v>448.64004</x:v>
      </x:c>
      <x:c r="F1453" s="12" t="n">
        <x:f>SUM(B1453,D1453:E1453)</x:f>
        <x:v>110170.03511499999</x:v>
      </x:c>
      <x:c r="G1453" s="12" t="n">
        <x:f>MAX(G1452,F1453)</x:f>
        <x:v>120550.504575</x:v>
      </x:c>
      <x:c r="H1453" s="14" t="n">
        <x:f>F1453/G1453-1</x:f>
        <x:v>-0.08610888437668751</x:v>
      </x:c>
      <x:c r="I1453" s="14" t="n">
        <x:f>F1453/F1452-1</x:f>
        <x:v>0</x:v>
      </x:c>
      <x:c r="J1453" s="12" t="n">
        <x:v>0</x:v>
      </x:c>
      <x:c r="K1453" s="12" t="n">
        <x:v>0</x:v>
      </x:c>
      <x:c r="L1453" s="12" t="n">
        <x:v>0</x:v>
      </x:c>
      <x:c r="M1453" s="2" t="str">
        <x:v>空仓</x:v>
      </x:c>
    </x:row>
    <x:row r="1454" ht="23" customHeight="1">
      <x:c r="A1454" s="11" t="d">
        <x:v>2020-10-02T00:00:00.000Z</x:v>
      </x:c>
      <x:c r="B1454" s="12" t="n">
        <x:v>150.934075</x:v>
      </x:c>
      <x:c r="C1454" s="13" t="n">
        <x:v>330</x:v>
      </x:c>
      <x:c r="D1454" s="12" t="n">
        <x:v>110167.2</x:v>
      </x:c>
      <x:c r="E1454" s="12" t="n">
        <x:v>448.64004</x:v>
      </x:c>
      <x:c r="F1454" s="12" t="n">
        <x:f>SUM(B1454,D1454:E1454)</x:f>
        <x:v>110766.774115</x:v>
      </x:c>
      <x:c r="G1454" s="12" t="n">
        <x:f>MAX(G1453,F1454)</x:f>
        <x:v>120550.504575</x:v>
      </x:c>
      <x:c r="H1454" s="14" t="n">
        <x:f>F1454/G1454-1</x:f>
        <x:v>-0.0811587682232644</x:v>
      </x:c>
      <x:c r="I1454" s="14" t="n">
        <x:f>F1454/F1453-1</x:f>
        <x:v>0.005416527274200389</x:v>
      </x:c>
      <x:c r="J1454" s="12" t="n">
        <x:v>0</x:v>
      </x:c>
      <x:c r="K1454" s="12" t="n">
        <x:v>0</x:v>
      </x:c>
      <x:c r="L1454" s="12" t="n">
        <x:v>330</x:v>
      </x:c>
      <x:c r="M1454" s="2" t="str">
        <x:v>买入</x:v>
      </x:c>
    </x:row>
    <x:row r="1455" ht="23" customHeight="1">
      <x:c r="A1455" s="11" t="d">
        <x:v>2020-10-05T00:00:00.000Z</x:v>
      </x:c>
      <x:c r="B1455" s="12" t="n">
        <x:v>110939.834275</x:v>
      </x:c>
      <x:c r="C1455" s="13" t="n">
        <x:v>0</x:v>
      </x:c>
      <x:c r="D1455" s="12" t="n">
        <x:v>0</x:v>
      </x:c>
      <x:c r="E1455" s="12" t="n">
        <x:v>448.64004</x:v>
      </x:c>
      <x:c r="F1455" s="12" t="n">
        <x:f>SUM(B1455,D1455:E1455)</x:f>
        <x:v>111388.474315</x:v>
      </x:c>
      <x:c r="G1455" s="12" t="n">
        <x:f>MAX(G1454,F1455)</x:f>
        <x:v>120550.504575</x:v>
      </x:c>
      <x:c r="H1455" s="14" t="n">
        <x:f>F1455/G1455-1</x:f>
        <x:v>-0.07600159196596212</x:v>
      </x:c>
      <x:c r="I1455" s="14" t="n">
        <x:f>F1455/F1454-1</x:f>
        <x:v>0.005612695729086958</x:v>
      </x:c>
      <x:c r="J1455" s="12" t="n">
        <x:v>0</x:v>
      </x:c>
      <x:c r="K1455" s="12" t="n">
        <x:v>0</x:v>
      </x:c>
      <x:c r="L1455" s="12" t="n">
        <x:v>-330</x:v>
      </x:c>
      <x:c r="M1455" s="2" t="str">
        <x:v>卖出</x:v>
      </x:c>
    </x:row>
    <x:row r="1456" ht="23" customHeight="1">
      <x:c r="A1456" s="11" t="d">
        <x:v>2020-10-06T00:00:00.000Z</x:v>
      </x:c>
      <x:c r="B1456" s="12" t="n">
        <x:v>18.363615</x:v>
      </x:c>
      <x:c r="C1456" s="13" t="n">
        <x:v>326</x:v>
      </x:c>
      <x:c r="D1456" s="12" t="n">
        <x:v>109187.18000000001</x:v>
      </x:c>
      <x:c r="E1456" s="12" t="n">
        <x:v>448.64004</x:v>
      </x:c>
      <x:c r="F1456" s="12" t="n">
        <x:f>SUM(B1456,D1456:E1456)</x:f>
        <x:v>109654.183655</x:v>
      </x:c>
      <x:c r="G1456" s="12" t="n">
        <x:f>MAX(G1455,F1456)</x:f>
        <x:v>120550.504575</x:v>
      </x:c>
      <x:c r="H1456" s="14" t="n">
        <x:f>F1456/G1456-1</x:f>
        <x:v>-0.09038801586451173</x:v>
      </x:c>
      <x:c r="I1456" s="14" t="n">
        <x:f>F1456/F1455-1</x:f>
        <x:v>-0.015569749659157028</x:v>
      </x:c>
      <x:c r="J1456" s="12" t="n">
        <x:v>0</x:v>
      </x:c>
      <x:c r="K1456" s="12" t="n">
        <x:v>0</x:v>
      </x:c>
      <x:c r="L1456" s="12" t="n">
        <x:v>326</x:v>
      </x:c>
      <x:c r="M1456" s="2" t="str">
        <x:v>买入</x:v>
      </x:c>
    </x:row>
    <x:row r="1457" ht="23" customHeight="1">
      <x:c r="A1457" s="11" t="d">
        <x:v>2020-10-07T00:00:00.000Z</x:v>
      </x:c>
      <x:c r="B1457" s="12" t="n">
        <x:v>110135.256495</x:v>
      </x:c>
      <x:c r="C1457" s="13" t="n">
        <x:v>0</x:v>
      </x:c>
      <x:c r="D1457" s="12" t="n">
        <x:v>0</x:v>
      </x:c>
      <x:c r="E1457" s="12" t="n">
        <x:v>448.64004</x:v>
      </x:c>
      <x:c r="F1457" s="12" t="n">
        <x:f>SUM(B1457,D1457:E1457)</x:f>
        <x:v>110583.89653499999</x:v>
      </x:c>
      <x:c r="G1457" s="12" t="n">
        <x:f>MAX(G1456,F1457)</x:f>
        <x:v>120550.504575</x:v>
      </x:c>
      <x:c r="H1457" s="14" t="n">
        <x:f>F1457/G1457-1</x:f>
        <x:v>-0.0826757886674736</x:v>
      </x:c>
      <x:c r="I1457" s="14" t="n">
        <x:f>F1457/F1456-1</x:f>
        <x:v>0.008478590136835162</x:v>
      </x:c>
      <x:c r="J1457" s="12" t="n">
        <x:v>0</x:v>
      </x:c>
      <x:c r="K1457" s="12" t="n">
        <x:v>0</x:v>
      </x:c>
      <x:c r="L1457" s="12" t="n">
        <x:v>-326</x:v>
      </x:c>
      <x:c r="M1457" s="2" t="str">
        <x:v>卖出</x:v>
      </x:c>
    </x:row>
    <x:row r="1458" ht="23" customHeight="1">
      <x:c r="A1458" s="11" t="d">
        <x:v>2020-10-08T00:00:00.000Z</x:v>
      </x:c>
      <x:c r="B1458" s="12" t="n">
        <x:v>313.544495</x:v>
      </x:c>
      <x:c r="C1458" s="13" t="n">
        <x:v>320</x:v>
      </x:c>
      <x:c r="D1458" s="12" t="n">
        <x:v>110009.59999999999</x:v>
      </x:c>
      <x:c r="E1458" s="12" t="n">
        <x:v>448.64004</x:v>
      </x:c>
      <x:c r="F1458" s="12" t="n">
        <x:f>SUM(B1458,D1458:E1458)</x:f>
        <x:v>110771.78453499998</x:v>
      </x:c>
      <x:c r="G1458" s="12" t="n">
        <x:f>MAX(G1457,F1458)</x:f>
        <x:v>120550.504575</x:v>
      </x:c>
      <x:c r="H1458" s="14" t="n">
        <x:f>F1458/G1458-1</x:f>
        <x:v>-0.08111720539432687</x:v>
      </x:c>
      <x:c r="I1458" s="14" t="n">
        <x:f>F1458/F1457-1</x:f>
        <x:v>0.0016990538938055355</x:v>
      </x:c>
      <x:c r="J1458" s="12" t="n">
        <x:v>0</x:v>
      </x:c>
      <x:c r="K1458" s="12" t="n">
        <x:v>0</x:v>
      </x:c>
      <x:c r="L1458" s="12" t="n">
        <x:v>320</x:v>
      </x:c>
      <x:c r="M1458" s="2" t="str">
        <x:v>买入</x:v>
      </x:c>
    </x:row>
    <x:row r="1459" ht="23" customHeight="1">
      <x:c r="A1459" s="11" t="d">
        <x:v>2020-10-09T00:00:00.000Z</x:v>
      </x:c>
      <x:c r="B1459" s="12" t="n">
        <x:v>313.544495</x:v>
      </x:c>
      <x:c r="C1459" s="13" t="n">
        <x:v>320</x:v>
      </x:c>
      <x:c r="D1459" s="12" t="n">
        <x:v>110992</x:v>
      </x:c>
      <x:c r="E1459" s="12" t="n">
        <x:v>448.64004</x:v>
      </x:c>
      <x:c r="F1459" s="12" t="n">
        <x:f>SUM(B1459,D1459:E1459)</x:f>
        <x:v>111754.184535</x:v>
      </x:c>
      <x:c r="G1459" s="12" t="n">
        <x:f>MAX(G1458,F1459)</x:f>
        <x:v>120550.504575</x:v>
      </x:c>
      <x:c r="H1459" s="14" t="n">
        <x:f>F1459/G1459-1</x:f>
        <x:v>-0.07296792386735651</x:v>
      </x:c>
      <x:c r="I1459" s="14" t="n">
        <x:f>F1459/F1458-1</x:f>
        <x:v>0.00886868442287847</x:v>
      </x:c>
      <x:c r="J1459" s="12" t="n">
        <x:v>0</x:v>
      </x:c>
      <x:c r="K1459" s="12" t="n">
        <x:v>0</x:v>
      </x:c>
      <x:c r="L1459" s="12" t="n">
        <x:v>0</x:v>
      </x:c>
      <x:c r="M1459" s="2" t="str">
        <x:v>持有</x:v>
      </x:c>
    </x:row>
    <x:row r="1460" ht="23" customHeight="1">
      <x:c r="A1460" s="11" t="d">
        <x:v>2020-10-12T00:00:00.000Z</x:v>
      </x:c>
      <x:c r="B1460" s="12" t="n">
        <x:v>313.544495</x:v>
      </x:c>
      <x:c r="C1460" s="13" t="n">
        <x:v>320</x:v>
      </x:c>
      <x:c r="D1460" s="12" t="n">
        <x:v>112777.6</x:v>
      </x:c>
      <x:c r="E1460" s="12" t="n">
        <x:v>448.64004</x:v>
      </x:c>
      <x:c r="F1460" s="12" t="n">
        <x:f>SUM(B1460,D1460:E1460)</x:f>
        <x:v>113539.784535</x:v>
      </x:c>
      <x:c r="G1460" s="12" t="n">
        <x:f>MAX(G1459,F1460)</x:f>
        <x:v>120550.504575</x:v>
      </x:c>
      <x:c r="H1460" s="14" t="n">
        <x:f>F1460/G1460-1</x:f>
        <x:v>-0.05815587470758621</x:v>
      </x:c>
      <x:c r="I1460" s="14" t="n">
        <x:f>F1460/F1459-1</x:f>
        <x:v>0.015977925188481734</x:v>
      </x:c>
      <x:c r="J1460" s="12" t="n">
        <x:v>0</x:v>
      </x:c>
      <x:c r="K1460" s="12" t="n">
        <x:v>0</x:v>
      </x:c>
      <x:c r="L1460" s="12" t="n">
        <x:v>0</x:v>
      </x:c>
      <x:c r="M1460" s="2" t="str">
        <x:v>持有</x:v>
      </x:c>
    </x:row>
    <x:row r="1461" ht="23" customHeight="1">
      <x:c r="A1461" s="11" t="d">
        <x:v>2020-10-13T00:00:00.000Z</x:v>
      </x:c>
      <x:c r="B1461" s="12" t="n">
        <x:v>313.544495</x:v>
      </x:c>
      <x:c r="C1461" s="13" t="n">
        <x:v>320</x:v>
      </x:c>
      <x:c r="D1461" s="12" t="n">
        <x:v>112041.6</x:v>
      </x:c>
      <x:c r="E1461" s="12" t="n">
        <x:v>448.64004</x:v>
      </x:c>
      <x:c r="F1461" s="12" t="n">
        <x:f>SUM(B1461,D1461:E1461)</x:f>
        <x:v>112803.784535</x:v>
      </x:c>
      <x:c r="G1461" s="12" t="n">
        <x:f>MAX(G1460,F1461)</x:f>
        <x:v>120550.504575</x:v>
      </x:c>
      <x:c r="H1461" s="14" t="n">
        <x:f>F1461/G1461-1</x:f>
        <x:v>-0.06426119963007215</x:v>
      </x:c>
      <x:c r="I1461" s="14" t="n">
        <x:f>F1461/F1460-1</x:f>
        <x:v>-0.006482309289332133</x:v>
      </x:c>
      <x:c r="J1461" s="12" t="n">
        <x:v>0</x:v>
      </x:c>
      <x:c r="K1461" s="12" t="n">
        <x:v>0</x:v>
      </x:c>
      <x:c r="L1461" s="12" t="n">
        <x:v>0</x:v>
      </x:c>
      <x:c r="M1461" s="2" t="str">
        <x:v>持有</x:v>
      </x:c>
    </x:row>
    <x:row r="1462" ht="23" customHeight="1">
      <x:c r="A1462" s="11" t="d">
        <x:v>2020-10-14T00:00:00.000Z</x:v>
      </x:c>
      <x:c r="B1462" s="12" t="n">
        <x:v>313.544495</x:v>
      </x:c>
      <x:c r="C1462" s="13" t="n">
        <x:v>320</x:v>
      </x:c>
      <x:c r="D1462" s="12" t="n">
        <x:v>111337.6</x:v>
      </x:c>
      <x:c r="E1462" s="12" t="n">
        <x:v>448.64004</x:v>
      </x:c>
      <x:c r="F1462" s="12" t="n">
        <x:f>SUM(B1462,D1462:E1462)</x:f>
        <x:v>112099.784535</x:v>
      </x:c>
      <x:c r="G1462" s="12" t="n">
        <x:f>MAX(G1461,F1462)</x:f>
        <x:v>120550.504575</x:v>
      </x:c>
      <x:c r="H1462" s="14" t="n">
        <x:f>F1462/G1462-1</x:f>
        <x:v>-0.07010107564288481</x:v>
      </x:c>
      <x:c r="I1462" s="14" t="n">
        <x:f>F1462/F1461-1</x:f>
        <x:v>-0.006240925363470984</x:v>
      </x:c>
      <x:c r="J1462" s="12" t="n">
        <x:v>0</x:v>
      </x:c>
      <x:c r="K1462" s="12" t="n">
        <x:v>0</x:v>
      </x:c>
      <x:c r="L1462" s="12" t="n">
        <x:v>0</x:v>
      </x:c>
      <x:c r="M1462" s="2" t="str">
        <x:v>持有</x:v>
      </x:c>
    </x:row>
    <x:row r="1463" ht="23" customHeight="1">
      <x:c r="A1463" s="11" t="d">
        <x:v>2020-10-15T00:00:00.000Z</x:v>
      </x:c>
      <x:c r="B1463" s="12" t="n">
        <x:v>313.544495</x:v>
      </x:c>
      <x:c r="C1463" s="13" t="n">
        <x:v>320</x:v>
      </x:c>
      <x:c r="D1463" s="12" t="n">
        <x:v>111200</x:v>
      </x:c>
      <x:c r="E1463" s="12" t="n">
        <x:v>448.64004</x:v>
      </x:c>
      <x:c r="F1463" s="12" t="n">
        <x:f>SUM(B1463,D1463:E1463)</x:f>
        <x:v>111962.184535</x:v>
      </x:c>
      <x:c r="G1463" s="12" t="n">
        <x:f>MAX(G1462,F1463)</x:f>
        <x:v>120550.504575</x:v>
      </x:c>
      <x:c r="H1463" s="14" t="n">
        <x:f>F1463/G1463-1</x:f>
        <x:v>-0.07124250595448</x:v>
      </x:c>
      <x:c r="I1463" s="14" t="n">
        <x:f>F1463/F1462-1</x:f>
        <x:v>-0.001227477827640655</x:v>
      </x:c>
      <x:c r="J1463" s="12" t="n">
        <x:v>0</x:v>
      </x:c>
      <x:c r="K1463" s="12" t="n">
        <x:v>0</x:v>
      </x:c>
      <x:c r="L1463" s="12" t="n">
        <x:v>0</x:v>
      </x:c>
      <x:c r="M1463" s="2" t="str">
        <x:v>持有</x:v>
      </x:c>
    </x:row>
    <x:row r="1464" ht="23" customHeight="1">
      <x:c r="A1464" s="11" t="d">
        <x:v>2020-10-16T00:00:00.000Z</x:v>
      </x:c>
      <x:c r="B1464" s="12" t="n">
        <x:v>313.544495</x:v>
      </x:c>
      <x:c r="C1464" s="13" t="n">
        <x:v>320</x:v>
      </x:c>
      <x:c r="D1464" s="12" t="n">
        <x:v>111132.8</x:v>
      </x:c>
      <x:c r="E1464" s="12" t="n">
        <x:v>448.64004</x:v>
      </x:c>
      <x:c r="F1464" s="12" t="n">
        <x:f>SUM(B1464,D1464:E1464)</x:f>
        <x:v>111894.984535</x:v>
      </x:c>
      <x:c r="G1464" s="12" t="n">
        <x:f>MAX(G1463,F1464)</x:f>
        <x:v>120550.504575</x:v>
      </x:c>
      <x:c r="H1464" s="14" t="n">
        <x:f>F1464/G1464-1</x:f>
        <x:v>-0.07179994866479389</x:v>
      </x:c>
      <x:c r="I1464" s="14" t="n">
        <x:f>F1464/F1463-1</x:f>
        <x:v>-0.0006002026512709202</x:v>
      </x:c>
      <x:c r="J1464" s="12" t="n">
        <x:v>0</x:v>
      </x:c>
      <x:c r="K1464" s="12" t="n">
        <x:v>0</x:v>
      </x:c>
      <x:c r="L1464" s="12" t="n">
        <x:v>0</x:v>
      </x:c>
      <x:c r="M1464" s="2" t="str">
        <x:v>持有</x:v>
      </x:c>
    </x:row>
    <x:row r="1465" ht="23" customHeight="1">
      <x:c r="A1465" s="11" t="d">
        <x:v>2020-10-19T00:00:00.000Z</x:v>
      </x:c>
      <x:c r="B1465" s="12" t="n">
        <x:v>313.544495</x:v>
      </x:c>
      <x:c r="C1465" s="13" t="n">
        <x:v>320</x:v>
      </x:c>
      <x:c r="D1465" s="12" t="n">
        <x:v>109443.2</x:v>
      </x:c>
      <x:c r="E1465" s="12" t="n">
        <x:v>448.64004</x:v>
      </x:c>
      <x:c r="F1465" s="12" t="n">
        <x:f>SUM(B1465,D1465:E1465)</x:f>
        <x:v>110205.38453499999</x:v>
      </x:c>
      <x:c r="G1465" s="12" t="n">
        <x:f>MAX(G1464,F1465)</x:f>
        <x:v>120550.504575</x:v>
      </x:c>
      <x:c r="H1465" s="14" t="n">
        <x:f>F1465/G1465-1</x:f>
        <x:v>-0.08581565109554423</x:v>
      </x:c>
      <x:c r="I1465" s="14" t="n">
        <x:f>F1465/F1464-1</x:f>
        <x:v>-0.015099872501179945</x:v>
      </x:c>
      <x:c r="J1465" s="12" t="n">
        <x:v>0</x:v>
      </x:c>
      <x:c r="K1465" s="12" t="n">
        <x:v>0</x:v>
      </x:c>
      <x:c r="L1465" s="12" t="n">
        <x:v>0</x:v>
      </x:c>
      <x:c r="M1465" s="2" t="str">
        <x:v>持有</x:v>
      </x:c>
    </x:row>
    <x:row r="1466" ht="23" customHeight="1">
      <x:c r="A1466" s="11" t="d">
        <x:v>2020-10-20T00:00:00.000Z</x:v>
      </x:c>
      <x:c r="B1466" s="12" t="n">
        <x:v>313.544495</x:v>
      </x:c>
      <x:c r="C1466" s="13" t="n">
        <x:v>320</x:v>
      </x:c>
      <x:c r="D1466" s="12" t="n">
        <x:v>109881.6</x:v>
      </x:c>
      <x:c r="E1466" s="12" t="n">
        <x:v>448.64004</x:v>
      </x:c>
      <x:c r="F1466" s="12" t="n">
        <x:f>SUM(B1466,D1466:E1466)</x:f>
        <x:v>110643.784535</x:v>
      </x:c>
      <x:c r="G1466" s="12" t="n">
        <x:f>MAX(G1465,F1466)</x:f>
        <x:v>120550.504575</x:v>
      </x:c>
      <x:c r="H1466" s="14" t="n">
        <x:f>F1466/G1466-1</x:f>
        <x:v>-0.0821790010330199</x:v>
      </x:c>
      <x:c r="I1466" s="14" t="n">
        <x:f>F1466/F1465-1</x:f>
        <x:v>0.003978027043322729</x:v>
      </x:c>
      <x:c r="J1466" s="12" t="n">
        <x:v>0</x:v>
      </x:c>
      <x:c r="K1466" s="12" t="n">
        <x:v>0</x:v>
      </x:c>
      <x:c r="L1466" s="12" t="n">
        <x:v>0</x:v>
      </x:c>
      <x:c r="M1466" s="2" t="str">
        <x:v>持有</x:v>
      </x:c>
    </x:row>
    <x:row r="1467" ht="23" customHeight="1">
      <x:c r="A1467" s="11" t="d">
        <x:v>2020-10-21T00:00:00.000Z</x:v>
      </x:c>
      <x:c r="B1467" s="12" t="n">
        <x:v>313.544495</x:v>
      </x:c>
      <x:c r="C1467" s="13" t="n">
        <x:v>320</x:v>
      </x:c>
      <x:c r="D1467" s="12" t="n">
        <x:v>109673.6</x:v>
      </x:c>
      <x:c r="E1467" s="12" t="n">
        <x:v>448.64004</x:v>
      </x:c>
      <x:c r="F1467" s="12" t="n">
        <x:f>SUM(B1467,D1467:E1467)</x:f>
        <x:v>110435.784535</x:v>
      </x:c>
      <x:c r="G1467" s="12" t="n">
        <x:f>MAX(G1466,F1467)</x:f>
        <x:v>120550.504575</x:v>
      </x:c>
      <x:c r="H1467" s="14" t="n">
        <x:f>F1467/G1467-1</x:f>
        <x:v>-0.0839044189458964</x:v>
      </x:c>
      <x:c r="I1467" s="14" t="n">
        <x:f>F1467/F1466-1</x:f>
        <x:v>-0.0018799067735630892</x:v>
      </x:c>
      <x:c r="J1467" s="12" t="n">
        <x:v>0</x:v>
      </x:c>
      <x:c r="K1467" s="12" t="n">
        <x:v>0</x:v>
      </x:c>
      <x:c r="L1467" s="12" t="n">
        <x:v>0</x:v>
      </x:c>
      <x:c r="M1467" s="2" t="str">
        <x:v>持有</x:v>
      </x:c>
    </x:row>
    <x:row r="1468" ht="23" customHeight="1">
      <x:c r="A1468" s="11" t="d">
        <x:v>2020-10-22T00:00:00.000Z</x:v>
      </x:c>
      <x:c r="B1468" s="12" t="n">
        <x:v>313.544495</x:v>
      </x:c>
      <x:c r="C1468" s="13" t="n">
        <x:v>320</x:v>
      </x:c>
      <x:c r="D1468" s="12" t="n">
        <x:v>110275.20000000001</x:v>
      </x:c>
      <x:c r="E1468" s="12" t="n">
        <x:v>448.64004</x:v>
      </x:c>
      <x:c r="F1468" s="12" t="n">
        <x:f>SUM(B1468,D1468:E1468)</x:f>
        <x:v>111037.384535</x:v>
      </x:c>
      <x:c r="G1468" s="12" t="n">
        <x:f>MAX(G1467,F1468)</x:f>
        <x:v>120550.504575</x:v>
      </x:c>
      <x:c r="H1468" s="14" t="n">
        <x:f>F1468/G1468-1</x:f>
        <x:v>-0.07891397944403833</x:v>
      </x:c>
      <x:c r="I1468" s="14" t="n">
        <x:f>F1468/F1467-1</x:f>
        <x:v>0.005447509632254599</x:v>
      </x:c>
      <x:c r="J1468" s="12" t="n">
        <x:v>0</x:v>
      </x:c>
      <x:c r="K1468" s="12" t="n">
        <x:v>0</x:v>
      </x:c>
      <x:c r="L1468" s="12" t="n">
        <x:v>0</x:v>
      </x:c>
      <x:c r="M1468" s="2" t="str">
        <x:v>持有</x:v>
      </x:c>
    </x:row>
    <x:row r="1469" ht="23" customHeight="1">
      <x:c r="A1469" s="11" t="d">
        <x:v>2020-10-23T00:00:00.000Z</x:v>
      </x:c>
      <x:c r="B1469" s="12" t="n">
        <x:v>313.544495</x:v>
      </x:c>
      <x:c r="C1469" s="13" t="n">
        <x:v>320</x:v>
      </x:c>
      <x:c r="D1469" s="12" t="n">
        <x:v>110649.59999999999</x:v>
      </x:c>
      <x:c r="E1469" s="12" t="n">
        <x:v>448.64004</x:v>
      </x:c>
      <x:c r="F1469" s="12" t="n">
        <x:f>SUM(B1469,D1469:E1469)</x:f>
        <x:v>111411.78453499998</x:v>
      </x:c>
      <x:c r="G1469" s="12" t="n">
        <x:f>MAX(G1468,F1469)</x:f>
        <x:v>120550.504575</x:v>
      </x:c>
      <x:c r="H1469" s="14" t="n">
        <x:f>F1469/G1469-1</x:f>
        <x:v>-0.07580822720086089</x:v>
      </x:c>
      <x:c r="I1469" s="14" t="n">
        <x:f>F1469/F1468-1</x:f>
        <x:v>0.003371837346204387</x:v>
      </x:c>
      <x:c r="J1469" s="12" t="n">
        <x:v>0</x:v>
      </x:c>
      <x:c r="K1469" s="12" t="n">
        <x:v>0</x:v>
      </x:c>
      <x:c r="L1469" s="12" t="n">
        <x:v>0</x:v>
      </x:c>
      <x:c r="M1469" s="2" t="str">
        <x:v>持有</x:v>
      </x:c>
    </x:row>
    <x:row r="1470" ht="23" customHeight="1">
      <x:c r="A1470" s="11" t="d">
        <x:v>2020-10-26T00:00:00.000Z</x:v>
      </x:c>
      <x:c r="B1470" s="12" t="n">
        <x:v>313.544495</x:v>
      </x:c>
      <x:c r="C1470" s="13" t="n">
        <x:v>320</x:v>
      </x:c>
      <x:c r="D1470" s="12" t="n">
        <x:v>108604.79999999999</x:v>
      </x:c>
      <x:c r="E1470" s="12" t="n">
        <x:v>448.64004</x:v>
      </x:c>
      <x:c r="F1470" s="12" t="n">
        <x:f>SUM(B1470,D1470:E1470)</x:f>
        <x:v>109366.98453499998</x:v>
      </x:c>
      <x:c r="G1470" s="12" t="n">
        <x:f>MAX(G1469,F1470)</x:f>
        <x:v>120550.504575</x:v>
      </x:c>
      <x:c r="H1470" s="14" t="n">
        <x:f>F1470/G1470-1</x:f>
        <x:v>-0.09277041252898477</x:v>
      </x:c>
      <x:c r="I1470" s="14" t="n">
        <x:f>F1470/F1469-1</x:f>
        <x:v>-0.018353534220229895</x:v>
      </x:c>
      <x:c r="J1470" s="12" t="n">
        <x:v>0</x:v>
      </x:c>
      <x:c r="K1470" s="12" t="n">
        <x:v>0</x:v>
      </x:c>
      <x:c r="L1470" s="12" t="n">
        <x:v>0</x:v>
      </x:c>
      <x:c r="M1470" s="2" t="str">
        <x:v>持有</x:v>
      </x:c>
    </x:row>
    <x:row r="1471" ht="23" customHeight="1">
      <x:c r="A1471" s="11" t="d">
        <x:v>2020-10-27T00:00:00.000Z</x:v>
      </x:c>
      <x:c r="B1471" s="12" t="n">
        <x:v>108928.021295</x:v>
      </x:c>
      <x:c r="C1471" s="13" t="n">
        <x:v>0</x:v>
      </x:c>
      <x:c r="D1471" s="12" t="n">
        <x:v>0</x:v>
      </x:c>
      <x:c r="E1471" s="12" t="n">
        <x:v>448.64004</x:v>
      </x:c>
      <x:c r="F1471" s="12" t="n">
        <x:f>SUM(B1471,D1471:E1471)</x:f>
        <x:v>109376.661335</x:v>
      </x:c>
      <x:c r="G1471" s="12" t="n">
        <x:f>MAX(G1470,F1471)</x:f>
        <x:v>120550.504575</x:v>
      </x:c>
      <x:c r="H1471" s="14" t="n">
        <x:f>F1471/G1471-1</x:f>
        <x:v>-0.09269014077869941</x:v>
      </x:c>
      <x:c r="I1471" s="14" t="n">
        <x:f>F1471/F1470-1</x:f>
        <x:v>0.0000884800841969291</x:v>
      </x:c>
      <x:c r="J1471" s="12" t="n">
        <x:v>0</x:v>
      </x:c>
      <x:c r="K1471" s="12" t="n">
        <x:v>0</x:v>
      </x:c>
      <x:c r="L1471" s="12" t="n">
        <x:v>-320</x:v>
      </x:c>
      <x:c r="M1471" s="2" t="str">
        <x:v>卖出</x:v>
      </x:c>
    </x:row>
    <x:row r="1472" ht="23" customHeight="1">
      <x:c r="A1472" s="11" t="d">
        <x:v>2020-10-28T00:00:00.000Z</x:v>
      </x:c>
      <x:c r="B1472" s="12" t="n">
        <x:v>108928.021295</x:v>
      </x:c>
      <x:c r="C1472" s="13" t="n">
        <x:v>0</x:v>
      </x:c>
      <x:c r="D1472" s="12" t="n">
        <x:v>0</x:v>
      </x:c>
      <x:c r="E1472" s="12" t="n">
        <x:v>448.64004</x:v>
      </x:c>
      <x:c r="F1472" s="12" t="n">
        <x:f>SUM(B1472,D1472:E1472)</x:f>
        <x:v>109376.661335</x:v>
      </x:c>
      <x:c r="G1472" s="12" t="n">
        <x:f>MAX(G1471,F1472)</x:f>
        <x:v>120550.504575</x:v>
      </x:c>
      <x:c r="H1472" s="14" t="n">
        <x:f>F1472/G1472-1</x:f>
        <x:v>-0.09269014077869941</x:v>
      </x:c>
      <x:c r="I1472" s="14" t="n">
        <x:f>F1472/F1471-1</x:f>
        <x:v>0</x:v>
      </x:c>
      <x:c r="J1472" s="12" t="n">
        <x:v>0</x:v>
      </x:c>
      <x:c r="K1472" s="12" t="n">
        <x:v>0</x:v>
      </x:c>
      <x:c r="L1472" s="12" t="n">
        <x:v>0</x:v>
      </x:c>
      <x:c r="M1472" s="2" t="str">
        <x:v>空仓</x:v>
      </x:c>
    </x:row>
    <x:row r="1473" ht="23" customHeight="1">
      <x:c r="A1473" s="11" t="d">
        <x:v>2020-10-29T00:00:00.000Z</x:v>
      </x:c>
      <x:c r="B1473" s="12" t="n">
        <x:v>108928.021295</x:v>
      </x:c>
      <x:c r="C1473" s="13" t="n">
        <x:v>0</x:v>
      </x:c>
      <x:c r="D1473" s="12" t="n">
        <x:v>0</x:v>
      </x:c>
      <x:c r="E1473" s="12" t="n">
        <x:v>448.64004</x:v>
      </x:c>
      <x:c r="F1473" s="12" t="n">
        <x:f>SUM(B1473,D1473:E1473)</x:f>
        <x:v>109376.661335</x:v>
      </x:c>
      <x:c r="G1473" s="12" t="n">
        <x:f>MAX(G1472,F1473)</x:f>
        <x:v>120550.504575</x:v>
      </x:c>
      <x:c r="H1473" s="14" t="n">
        <x:f>F1473/G1473-1</x:f>
        <x:v>-0.09269014077869941</x:v>
      </x:c>
      <x:c r="I1473" s="14" t="n">
        <x:f>F1473/F1472-1</x:f>
        <x:v>0</x:v>
      </x:c>
      <x:c r="J1473" s="12" t="n">
        <x:v>0</x:v>
      </x:c>
      <x:c r="K1473" s="12" t="n">
        <x:v>0</x:v>
      </x:c>
      <x:c r="L1473" s="12" t="n">
        <x:v>0</x:v>
      </x:c>
      <x:c r="M1473" s="2" t="str">
        <x:v>空仓</x:v>
      </x:c>
    </x:row>
    <x:row r="1474" ht="23" customHeight="1">
      <x:c r="A1474" s="11" t="d">
        <x:v>2020-10-30T00:00:00.000Z</x:v>
      </x:c>
      <x:c r="B1474" s="12" t="n">
        <x:v>109376.661335</x:v>
      </x:c>
      <x:c r="C1474" s="13" t="n">
        <x:v>0</x:v>
      </x:c>
      <x:c r="D1474" s="12" t="n">
        <x:v>0</x:v>
      </x:c>
      <x:c r="E1474" s="12" t="n">
        <x:v>0</x:v>
      </x:c>
      <x:c r="F1474" s="12" t="n">
        <x:f>SUM(B1474,D1474:E1474)</x:f>
        <x:v>109376.661335</x:v>
      </x:c>
      <x:c r="G1474" s="12" t="n">
        <x:f>MAX(G1473,F1474)</x:f>
        <x:v>120550.504575</x:v>
      </x:c>
      <x:c r="H1474" s="14" t="n">
        <x:f>F1474/G1474-1</x:f>
        <x:v>-0.09269014077869941</x:v>
      </x:c>
      <x:c r="I1474" s="14" t="n">
        <x:f>F1474/F1473-1</x:f>
        <x:v>0</x:v>
      </x:c>
      <x:c r="J1474" s="12" t="n">
        <x:v>0</x:v>
      </x:c>
      <x:c r="K1474" s="12" t="n">
        <x:v>448.64004</x:v>
      </x:c>
      <x:c r="L1474" s="12" t="n">
        <x:v>0</x:v>
      </x:c>
      <x:c r="M1474" s="2" t="str">
        <x:v>空仓</x:v>
      </x:c>
    </x:row>
    <x:row r="1475" ht="23" customHeight="1">
      <x:c r="A1475" s="11" t="d">
        <x:v>2020-11-02T00:00:00.000Z</x:v>
      </x:c>
      <x:c r="B1475" s="12" t="n">
        <x:v>109376.661335</x:v>
      </x:c>
      <x:c r="C1475" s="13" t="n">
        <x:v>0</x:v>
      </x:c>
      <x:c r="D1475" s="12" t="n">
        <x:v>0</x:v>
      </x:c>
      <x:c r="E1475" s="12" t="n">
        <x:v>0</x:v>
      </x:c>
      <x:c r="F1475" s="12" t="n">
        <x:f>SUM(B1475,D1475:E1475)</x:f>
        <x:v>109376.661335</x:v>
      </x:c>
      <x:c r="G1475" s="12" t="n">
        <x:f>MAX(G1474,F1475)</x:f>
        <x:v>120550.504575</x:v>
      </x:c>
      <x:c r="H1475" s="14" t="n">
        <x:f>F1475/G1475-1</x:f>
        <x:v>-0.09269014077869941</x:v>
      </x:c>
      <x:c r="I1475" s="14" t="n">
        <x:f>F1475/F1474-1</x:f>
        <x:v>0</x:v>
      </x:c>
      <x:c r="J1475" s="12" t="n">
        <x:v>0</x:v>
      </x:c>
      <x:c r="K1475" s="12" t="n">
        <x:v>0</x:v>
      </x:c>
      <x:c r="L1475" s="12" t="n">
        <x:v>0</x:v>
      </x:c>
      <x:c r="M1475" s="2" t="str">
        <x:v>空仓</x:v>
      </x:c>
    </x:row>
    <x:row r="1476" ht="23" customHeight="1">
      <x:c r="A1476" s="11" t="d">
        <x:v>2020-11-03T00:00:00.000Z</x:v>
      </x:c>
      <x:c r="B1476" s="12" t="n">
        <x:v>109376.661335</x:v>
      </x:c>
      <x:c r="C1476" s="13" t="n">
        <x:v>0</x:v>
      </x:c>
      <x:c r="D1476" s="12" t="n">
        <x:v>0</x:v>
      </x:c>
      <x:c r="E1476" s="12" t="n">
        <x:v>0</x:v>
      </x:c>
      <x:c r="F1476" s="12" t="n">
        <x:f>SUM(B1476,D1476:E1476)</x:f>
        <x:v>109376.661335</x:v>
      </x:c>
      <x:c r="G1476" s="12" t="n">
        <x:f>MAX(G1475,F1476)</x:f>
        <x:v>120550.504575</x:v>
      </x:c>
      <x:c r="H1476" s="14" t="n">
        <x:f>F1476/G1476-1</x:f>
        <x:v>-0.09269014077869941</x:v>
      </x:c>
      <x:c r="I1476" s="14" t="n">
        <x:f>F1476/F1475-1</x:f>
        <x:v>0</x:v>
      </x:c>
      <x:c r="J1476" s="12" t="n">
        <x:v>0</x:v>
      </x:c>
      <x:c r="K1476" s="12" t="n">
        <x:v>0</x:v>
      </x:c>
      <x:c r="L1476" s="12" t="n">
        <x:v>0</x:v>
      </x:c>
      <x:c r="M1476" s="2" t="str">
        <x:v>空仓</x:v>
      </x:c>
    </x:row>
    <x:row r="1477" ht="23" customHeight="1">
      <x:c r="A1477" s="11" t="d">
        <x:v>2020-11-04T00:00:00.000Z</x:v>
      </x:c>
      <x:c r="B1477" s="12" t="n">
        <x:v>109376.661335</x:v>
      </x:c>
      <x:c r="C1477" s="13" t="n">
        <x:v>0</x:v>
      </x:c>
      <x:c r="D1477" s="12" t="n">
        <x:v>0</x:v>
      </x:c>
      <x:c r="E1477" s="12" t="n">
        <x:v>0</x:v>
      </x:c>
      <x:c r="F1477" s="12" t="n">
        <x:f>SUM(B1477,D1477:E1477)</x:f>
        <x:v>109376.661335</x:v>
      </x:c>
      <x:c r="G1477" s="12" t="n">
        <x:f>MAX(G1476,F1477)</x:f>
        <x:v>120550.504575</x:v>
      </x:c>
      <x:c r="H1477" s="14" t="n">
        <x:f>F1477/G1477-1</x:f>
        <x:v>-0.09269014077869941</x:v>
      </x:c>
      <x:c r="I1477" s="14" t="n">
        <x:f>F1477/F1476-1</x:f>
        <x:v>0</x:v>
      </x:c>
      <x:c r="J1477" s="12" t="n">
        <x:v>0</x:v>
      </x:c>
      <x:c r="K1477" s="12" t="n">
        <x:v>0</x:v>
      </x:c>
      <x:c r="L1477" s="12" t="n">
        <x:v>0</x:v>
      </x:c>
      <x:c r="M1477" s="2" t="str">
        <x:v>空仓</x:v>
      </x:c>
    </x:row>
    <x:row r="1478" ht="23" customHeight="1">
      <x:c r="A1478" s="11" t="d">
        <x:v>2020-11-05T00:00:00.000Z</x:v>
      </x:c>
      <x:c r="B1478" s="12" t="n">
        <x:v>304.818455</x:v>
      </x:c>
      <x:c r="C1478" s="13" t="n">
        <x:v>312</x:v>
      </x:c>
      <x:c r="D1478" s="12" t="n">
        <x:v>109274.88</x:v>
      </x:c>
      <x:c r="E1478" s="12" t="n">
        <x:v>0</x:v>
      </x:c>
      <x:c r="F1478" s="12" t="n">
        <x:f>SUM(B1478,D1478:E1478)</x:f>
        <x:v>109579.698455</x:v>
      </x:c>
      <x:c r="G1478" s="12" t="n">
        <x:f>MAX(G1477,F1478)</x:f>
        <x:v>120550.504575</x:v>
      </x:c>
      <x:c r="H1478" s="14" t="n">
        <x:f>F1478/G1478-1</x:f>
        <x:v>-0.09100589133722414</x:v>
      </x:c>
      <x:c r="I1478" s="14" t="n">
        <x:f>F1478/F1477-1</x:f>
        <x:v>0.0018563111866995996</x:v>
      </x:c>
      <x:c r="J1478" s="12" t="n">
        <x:v>0</x:v>
      </x:c>
      <x:c r="K1478" s="12" t="n">
        <x:v>0</x:v>
      </x:c>
      <x:c r="L1478" s="12" t="n">
        <x:v>312</x:v>
      </x:c>
      <x:c r="M1478" s="2" t="str">
        <x:v>买入</x:v>
      </x:c>
    </x:row>
    <x:row r="1479" ht="23" customHeight="1">
      <x:c r="A1479" s="11" t="d">
        <x:v>2020-11-06T00:00:00.000Z</x:v>
      </x:c>
      <x:c r="B1479" s="12" t="n">
        <x:v>304.818455</x:v>
      </x:c>
      <x:c r="C1479" s="13" t="n">
        <x:v>312</x:v>
      </x:c>
      <x:c r="D1479" s="12" t="n">
        <x:v>109249.92000000001</x:v>
      </x:c>
      <x:c r="E1479" s="12" t="n">
        <x:v>0</x:v>
      </x:c>
      <x:c r="F1479" s="12" t="n">
        <x:f>SUM(B1479,D1479:E1479)</x:f>
        <x:v>109554.73845500001</x:v>
      </x:c>
      <x:c r="G1479" s="12" t="n">
        <x:f>MAX(G1478,F1479)</x:f>
        <x:v>120550.504575</x:v>
      </x:c>
      <x:c r="H1479" s="14" t="n">
        <x:f>F1479/G1479-1</x:f>
        <x:v>-0.09121294148676928</x:v>
      </x:c>
      <x:c r="I1479" s="14" t="n">
        <x:f>F1479/F1478-1</x:f>
        <x:v>-0.00022777941855933737</x:v>
      </x:c>
      <x:c r="J1479" s="12" t="n">
        <x:v>0</x:v>
      </x:c>
      <x:c r="K1479" s="12" t="n">
        <x:v>0</x:v>
      </x:c>
      <x:c r="L1479" s="12" t="n">
        <x:v>0</x:v>
      </x:c>
      <x:c r="M1479" s="2" t="str">
        <x:v>持有</x:v>
      </x:c>
    </x:row>
    <x:row r="1480" ht="23" customHeight="1">
      <x:c r="A1480" s="11" t="d">
        <x:v>2020-11-09T00:00:00.000Z</x:v>
      </x:c>
      <x:c r="B1480" s="12" t="n">
        <x:v>304.818455</x:v>
      </x:c>
      <x:c r="C1480" s="13" t="n">
        <x:v>312</x:v>
      </x:c>
      <x:c r="D1480" s="12" t="n">
        <x:v>110622.72</x:v>
      </x:c>
      <x:c r="E1480" s="12" t="n">
        <x:v>0</x:v>
      </x:c>
      <x:c r="F1480" s="12" t="n">
        <x:f>SUM(B1480,D1480:E1480)</x:f>
        <x:v>110927.538455</x:v>
      </x:c>
      <x:c r="G1480" s="12" t="n">
        <x:f>MAX(G1479,F1480)</x:f>
        <x:v>120550.504575</x:v>
      </x:c>
      <x:c r="H1480" s="14" t="n">
        <x:f>F1480/G1480-1</x:f>
        <x:v>-0.07982518326178478</x:v>
      </x:c>
      <x:c r="I1480" s="14" t="n">
        <x:f>F1480/F1479-1</x:f>
        <x:v>0.012530722261400618</x:v>
      </x:c>
      <x:c r="J1480" s="12" t="n">
        <x:v>0</x:v>
      </x:c>
      <x:c r="K1480" s="12" t="n">
        <x:v>0</x:v>
      </x:c>
      <x:c r="L1480" s="12" t="n">
        <x:v>0</x:v>
      </x:c>
      <x:c r="M1480" s="2" t="str">
        <x:v>持有</x:v>
      </x:c>
    </x:row>
    <x:row r="1481" ht="23" customHeight="1">
      <x:c r="A1481" s="11" t="d">
        <x:v>2020-11-10T00:00:00.000Z</x:v>
      </x:c>
      <x:c r="B1481" s="12" t="n">
        <x:v>304.818455</x:v>
      </x:c>
      <x:c r="C1481" s="13" t="n">
        <x:v>312</x:v>
      </x:c>
      <x:c r="D1481" s="12" t="n">
        <x:v>110460.48000000001</x:v>
      </x:c>
      <x:c r="E1481" s="12" t="n">
        <x:v>0</x:v>
      </x:c>
      <x:c r="F1481" s="12" t="n">
        <x:f>SUM(B1481,D1481:E1481)</x:f>
        <x:v>110765.29845500001</x:v>
      </x:c>
      <x:c r="G1481" s="12" t="n">
        <x:f>MAX(G1480,F1481)</x:f>
        <x:v>120550.504575</x:v>
      </x:c>
      <x:c r="H1481" s="14" t="n">
        <x:f>F1481/G1481-1</x:f>
        <x:v>-0.08117100923382836</x:v>
      </x:c>
      <x:c r="I1481" s="14" t="n">
        <x:f>F1481/F1480-1</x:f>
        <x:v>-0.001462576401312754</x:v>
      </x:c>
      <x:c r="J1481" s="12" t="n">
        <x:v>0</x:v>
      </x:c>
      <x:c r="K1481" s="12" t="n">
        <x:v>0</x:v>
      </x:c>
      <x:c r="L1481" s="12" t="n">
        <x:v>0</x:v>
      </x:c>
      <x:c r="M1481" s="2" t="str">
        <x:v>持有</x:v>
      </x:c>
    </x:row>
    <x:row r="1482" ht="23" customHeight="1">
      <x:c r="A1482" s="11" t="d">
        <x:v>2020-11-11T00:00:00.000Z</x:v>
      </x:c>
      <x:c r="B1482" s="12" t="n">
        <x:v>304.818455</x:v>
      </x:c>
      <x:c r="C1482" s="13" t="n">
        <x:v>312</x:v>
      </x:c>
      <x:c r="D1482" s="12" t="n">
        <x:v>111281.04000000001</x:v>
      </x:c>
      <x:c r="E1482" s="12" t="n">
        <x:v>0</x:v>
      </x:c>
      <x:c r="F1482" s="12" t="n">
        <x:f>SUM(B1482,D1482:E1482)</x:f>
        <x:v>111585.85845500001</x:v>
      </x:c>
      <x:c r="G1482" s="12" t="n">
        <x:f>MAX(G1481,F1482)</x:f>
        <x:v>120550.504575</x:v>
      </x:c>
      <x:c r="H1482" s="14" t="n">
        <x:f>F1482/G1482-1</x:f>
        <x:v>-0.07436423556753069</x:v>
      </x:c>
      <x:c r="I1482" s="14" t="n">
        <x:f>F1482/F1481-1</x:f>
        <x:v>0.007408096321189994</x:v>
      </x:c>
      <x:c r="J1482" s="12" t="n">
        <x:v>0</x:v>
      </x:c>
      <x:c r="K1482" s="12" t="n">
        <x:v>0</x:v>
      </x:c>
      <x:c r="L1482" s="12" t="n">
        <x:v>0</x:v>
      </x:c>
      <x:c r="M1482" s="2" t="str">
        <x:v>持有</x:v>
      </x:c>
    </x:row>
    <x:row r="1483" ht="23" customHeight="1">
      <x:c r="A1483" s="11" t="d">
        <x:v>2020-11-12T00:00:00.000Z</x:v>
      </x:c>
      <x:c r="B1483" s="12" t="n">
        <x:v>304.818455</x:v>
      </x:c>
      <x:c r="C1483" s="13" t="n">
        <x:v>312</x:v>
      </x:c>
      <x:c r="D1483" s="12" t="n">
        <x:v>110201.51999999999</x:v>
      </x:c>
      <x:c r="E1483" s="12" t="n">
        <x:v>0</x:v>
      </x:c>
      <x:c r="F1483" s="12" t="n">
        <x:f>SUM(B1483,D1483:E1483)</x:f>
        <x:v>110506.33845499999</x:v>
      </x:c>
      <x:c r="G1483" s="12" t="n">
        <x:f>MAX(G1482,F1483)</x:f>
        <x:v>120550.504575</x:v>
      </x:c>
      <x:c r="H1483" s="14" t="n">
        <x:f>F1483/G1483-1</x:f>
        <x:v>-0.08331915453535965</x:v>
      </x:c>
      <x:c r="I1483" s="14" t="n">
        <x:f>F1483/F1482-1</x:f>
        <x:v>-0.00967434417718227</x:v>
      </x:c>
      <x:c r="J1483" s="12" t="n">
        <x:v>0</x:v>
      </x:c>
      <x:c r="K1483" s="12" t="n">
        <x:v>0</x:v>
      </x:c>
      <x:c r="L1483" s="12" t="n">
        <x:v>0</x:v>
      </x:c>
      <x:c r="M1483" s="2" t="str">
        <x:v>持有</x:v>
      </x:c>
    </x:row>
    <x:row r="1484" ht="23" customHeight="1">
      <x:c r="A1484" s="11" t="d">
        <x:v>2020-11-13T00:00:00.000Z</x:v>
      </x:c>
      <x:c r="B1484" s="12" t="n">
        <x:v>304.818455</x:v>
      </x:c>
      <x:c r="C1484" s="13" t="n">
        <x:v>312</x:v>
      </x:c>
      <x:c r="D1484" s="12" t="n">
        <x:v>111727.20000000001</x:v>
      </x:c>
      <x:c r="E1484" s="12" t="n">
        <x:v>0</x:v>
      </x:c>
      <x:c r="F1484" s="12" t="n">
        <x:f>SUM(B1484,D1484:E1484)</x:f>
        <x:v>112032.01845500001</x:v>
      </x:c>
      <x:c r="G1484" s="12" t="n">
        <x:f>MAX(G1483,F1484)</x:f>
        <x:v>120550.504575</x:v>
      </x:c>
      <x:c r="H1484" s="14" t="n">
        <x:f>F1484/G1484-1</x:f>
        <x:v>-0.07066321414441068</x:v>
      </x:c>
      <x:c r="I1484" s="14" t="n">
        <x:f>F1484/F1483-1</x:f>
        <x:v>0.013806266874196504</x:v>
      </x:c>
      <x:c r="J1484" s="12" t="n">
        <x:v>0</x:v>
      </x:c>
      <x:c r="K1484" s="12" t="n">
        <x:v>0</x:v>
      </x:c>
      <x:c r="L1484" s="12" t="n">
        <x:v>0</x:v>
      </x:c>
      <x:c r="M1484" s="2" t="str">
        <x:v>持有</x:v>
      </x:c>
    </x:row>
    <x:row r="1485" ht="23" customHeight="1">
      <x:c r="A1485" s="11" t="d">
        <x:v>2020-11-16T00:00:00.000Z</x:v>
      </x:c>
      <x:c r="B1485" s="12" t="n">
        <x:v>304.818455</x:v>
      </x:c>
      <x:c r="C1485" s="13" t="n">
        <x:v>312</x:v>
      </x:c>
      <x:c r="D1485" s="12" t="n">
        <x:v>113121.84</x:v>
      </x:c>
      <x:c r="E1485" s="12" t="n">
        <x:v>0</x:v>
      </x:c>
      <x:c r="F1485" s="12" t="n">
        <x:f>SUM(B1485,D1485:E1485)</x:f>
        <x:v>113426.658455</x:v>
      </x:c>
      <x:c r="G1485" s="12" t="n">
        <x:f>MAX(G1484,F1485)</x:f>
        <x:v>120550.504575</x:v>
      </x:c>
      <x:c r="H1485" s="14" t="n">
        <x:f>F1485/G1485-1</x:f>
        <x:v>-0.05909428703857422</x:v>
      </x:c>
      <x:c r="I1485" s="14" t="n">
        <x:f>F1485/F1484-1</x:f>
        <x:v>0.012448584067600077</x:v>
      </x:c>
      <x:c r="J1485" s="12" t="n">
        <x:v>0</x:v>
      </x:c>
      <x:c r="K1485" s="12" t="n">
        <x:v>0</x:v>
      </x:c>
      <x:c r="L1485" s="12" t="n">
        <x:v>0</x:v>
      </x:c>
      <x:c r="M1485" s="2" t="str">
        <x:v>持有</x:v>
      </x:c>
    </x:row>
    <x:row r="1486" ht="23" customHeight="1">
      <x:c r="A1486" s="11" t="d">
        <x:v>2020-11-17T00:00:00.000Z</x:v>
      </x:c>
      <x:c r="B1486" s="12" t="n">
        <x:v>304.818455</x:v>
      </x:c>
      <x:c r="C1486" s="13" t="n">
        <x:v>312</x:v>
      </x:c>
      <x:c r="D1486" s="12" t="n">
        <x:v>112513.44</x:v>
      </x:c>
      <x:c r="E1486" s="12" t="n">
        <x:v>0</x:v>
      </x:c>
      <x:c r="F1486" s="12" t="n">
        <x:f>SUM(B1486,D1486:E1486)</x:f>
        <x:v>112818.258455</x:v>
      </x:c>
      <x:c r="G1486" s="12" t="n">
        <x:f>MAX(G1485,F1486)</x:f>
        <x:v>120550.504575</x:v>
      </x:c>
      <x:c r="H1486" s="14" t="n">
        <x:f>F1486/G1486-1</x:f>
        <x:v>-0.06414113443373781</x:v>
      </x:c>
      <x:c r="I1486" s="14" t="n">
        <x:f>F1486/F1485-1</x:f>
        <x:v>-0.005363818420529132</x:v>
      </x:c>
      <x:c r="J1486" s="12" t="n">
        <x:v>0</x:v>
      </x:c>
      <x:c r="K1486" s="12" t="n">
        <x:v>0</x:v>
      </x:c>
      <x:c r="L1486" s="12" t="n">
        <x:v>0</x:v>
      </x:c>
      <x:c r="M1486" s="2" t="str">
        <x:v>持有</x:v>
      </x:c>
    </x:row>
    <x:row r="1487" ht="23" customHeight="1">
      <x:c r="A1487" s="11" t="d">
        <x:v>2020-11-18T00:00:00.000Z</x:v>
      </x:c>
      <x:c r="B1487" s="12" t="n">
        <x:v>304.818455</x:v>
      </x:c>
      <x:c r="C1487" s="13" t="n">
        <x:v>312</x:v>
      </x:c>
      <x:c r="D1487" s="12" t="n">
        <x:v>111159.35999999999</x:v>
      </x:c>
      <x:c r="E1487" s="12" t="n">
        <x:v>0</x:v>
      </x:c>
      <x:c r="F1487" s="12" t="n">
        <x:f>SUM(B1487,D1487:E1487)</x:f>
        <x:v>111464.17845499999</x:v>
      </x:c>
      <x:c r="G1487" s="12" t="n">
        <x:f>MAX(G1486,F1487)</x:f>
        <x:v>120550.504575</x:v>
      </x:c>
      <x:c r="H1487" s="14" t="n">
        <x:f>F1487/G1487-1</x:f>
        <x:v>-0.07537360504656365</x:v>
      </x:c>
      <x:c r="I1487" s="14" t="n">
        <x:f>F1487/F1486-1</x:f>
        <x:v>-0.012002312555995709</x:v>
      </x:c>
      <x:c r="J1487" s="12" t="n">
        <x:v>0</x:v>
      </x:c>
      <x:c r="K1487" s="12" t="n">
        <x:v>0</x:v>
      </x:c>
      <x:c r="L1487" s="12" t="n">
        <x:v>0</x:v>
      </x:c>
      <x:c r="M1487" s="2" t="str">
        <x:v>持有</x:v>
      </x:c>
    </x:row>
    <x:row r="1488" ht="23" customHeight="1">
      <x:c r="A1488" s="11" t="d">
        <x:v>2020-11-19T00:00:00.000Z</x:v>
      </x:c>
      <x:c r="B1488" s="12" t="n">
        <x:v>304.818455</x:v>
      </x:c>
      <x:c r="C1488" s="13" t="n">
        <x:v>312</x:v>
      </x:c>
      <x:c r="D1488" s="12" t="n">
        <x:v>111627.35999999999</x:v>
      </x:c>
      <x:c r="E1488" s="12" t="n">
        <x:v>0</x:v>
      </x:c>
      <x:c r="F1488" s="12" t="n">
        <x:f>SUM(B1488,D1488:E1488)</x:f>
        <x:v>111932.17845499999</x:v>
      </x:c>
      <x:c r="G1488" s="12" t="n">
        <x:f>MAX(G1487,F1488)</x:f>
        <x:v>120550.504575</x:v>
      </x:c>
      <x:c r="H1488" s="14" t="n">
        <x:f>F1488/G1488-1</x:f>
        <x:v>-0.07149141474259157</x:v>
      </x:c>
      <x:c r="I1488" s="14" t="n">
        <x:f>F1488/F1487-1</x:f>
        <x:v>0.0041986583177386905</x:v>
      </x:c>
      <x:c r="J1488" s="12" t="n">
        <x:v>0</x:v>
      </x:c>
      <x:c r="K1488" s="12" t="n">
        <x:v>0</x:v>
      </x:c>
      <x:c r="L1488" s="12" t="n">
        <x:v>0</x:v>
      </x:c>
      <x:c r="M1488" s="2" t="str">
        <x:v>持有</x:v>
      </x:c>
    </x:row>
    <x:row r="1489" ht="23" customHeight="1">
      <x:c r="A1489" s="11" t="d">
        <x:v>2020-11-20T00:00:00.000Z</x:v>
      </x:c>
      <x:c r="B1489" s="12" t="n">
        <x:v>304.818455</x:v>
      </x:c>
      <x:c r="C1489" s="13" t="n">
        <x:v>312</x:v>
      </x:c>
      <x:c r="D1489" s="12" t="n">
        <x:v>110862.95999999999</x:v>
      </x:c>
      <x:c r="E1489" s="12" t="n">
        <x:v>0</x:v>
      </x:c>
      <x:c r="F1489" s="12" t="n">
        <x:f>SUM(B1489,D1489:E1489)</x:f>
        <x:v>111167.77845499999</x:v>
      </x:c>
      <x:c r="G1489" s="12" t="n">
        <x:f>MAX(G1488,F1489)</x:f>
        <x:v>120550.504575</x:v>
      </x:c>
      <x:c r="H1489" s="14" t="n">
        <x:f>F1489/G1489-1</x:f>
        <x:v>-0.07783232557241249</x:v>
      </x:c>
      <x:c r="I1489" s="14" t="n">
        <x:f>F1489/F1488-1</x:f>
        <x:v>-0.006829135379575413</x:v>
      </x:c>
      <x:c r="J1489" s="12" t="n">
        <x:v>0</x:v>
      </x:c>
      <x:c r="K1489" s="12" t="n">
        <x:v>0</x:v>
      </x:c>
      <x:c r="L1489" s="12" t="n">
        <x:v>0</x:v>
      </x:c>
      <x:c r="M1489" s="2" t="str">
        <x:v>持有</x:v>
      </x:c>
    </x:row>
    <x:row r="1490" ht="23" customHeight="1">
      <x:c r="A1490" s="11" t="d">
        <x:v>2020-11-23T00:00:00.000Z</x:v>
      </x:c>
      <x:c r="B1490" s="12" t="n">
        <x:v>304.818455</x:v>
      </x:c>
      <x:c r="C1490" s="13" t="n">
        <x:v>312</x:v>
      </x:c>
      <x:c r="D1490" s="12" t="n">
        <x:v>111527.51999999999</x:v>
      </x:c>
      <x:c r="E1490" s="12" t="n">
        <x:v>0</x:v>
      </x:c>
      <x:c r="F1490" s="12" t="n">
        <x:f>SUM(B1490,D1490:E1490)</x:f>
        <x:v>111832.33845499999</x:v>
      </x:c>
      <x:c r="G1490" s="12" t="n">
        <x:f>MAX(G1489,F1490)</x:f>
        <x:v>120550.504575</x:v>
      </x:c>
      <x:c r="H1490" s="14" t="n">
        <x:f>F1490/G1490-1</x:f>
        <x:v>-0.07231961534077225</x:v>
      </x:c>
      <x:c r="I1490" s="14" t="n">
        <x:f>F1490/F1489-1</x:f>
        <x:v>0.005977991188058196</x:v>
      </x:c>
      <x:c r="J1490" s="12" t="n">
        <x:v>0</x:v>
      </x:c>
      <x:c r="K1490" s="12" t="n">
        <x:v>0</x:v>
      </x:c>
      <x:c r="L1490" s="12" t="n">
        <x:v>0</x:v>
      </x:c>
      <x:c r="M1490" s="2" t="str">
        <x:v>持有</x:v>
      </x:c>
    </x:row>
    <x:row r="1491" ht="23" customHeight="1">
      <x:c r="A1491" s="11" t="d">
        <x:v>2020-11-24T00:00:00.000Z</x:v>
      </x:c>
      <x:c r="B1491" s="12" t="n">
        <x:v>304.818455</x:v>
      </x:c>
      <x:c r="C1491" s="13" t="n">
        <x:v>312</x:v>
      </x:c>
      <x:c r="D1491" s="12" t="n">
        <x:v>113324.64000000001</x:v>
      </x:c>
      <x:c r="E1491" s="12" t="n">
        <x:v>0</x:v>
      </x:c>
      <x:c r="F1491" s="12" t="n">
        <x:f>SUM(B1491,D1491:E1491)</x:f>
        <x:v>113629.45845500001</x:v>
      </x:c>
      <x:c r="G1491" s="12" t="n">
        <x:f>MAX(G1490,F1491)</x:f>
        <x:v>120550.504575</x:v>
      </x:c>
      <x:c r="H1491" s="14" t="n">
        <x:f>F1491/G1491-1</x:f>
        <x:v>-0.05741200457351947</x:v>
      </x:c>
      <x:c r="I1491" s="14" t="n">
        <x:f>F1491/F1490-1</x:f>
        <x:v>0.01606977037972923</x:v>
      </x:c>
      <x:c r="J1491" s="12" t="n">
        <x:v>0</x:v>
      </x:c>
      <x:c r="K1491" s="12" t="n">
        <x:v>0</x:v>
      </x:c>
      <x:c r="L1491" s="12" t="n">
        <x:v>0</x:v>
      </x:c>
      <x:c r="M1491" s="2" t="str">
        <x:v>持有</x:v>
      </x:c>
    </x:row>
    <x:row r="1492" ht="23" customHeight="1">
      <x:c r="A1492" s="11" t="d">
        <x:v>2020-11-25T00:00:00.000Z</x:v>
      </x:c>
      <x:c r="B1492" s="12" t="n">
        <x:v>304.818455</x:v>
      </x:c>
      <x:c r="C1492" s="13" t="n">
        <x:v>312</x:v>
      </x:c>
      <x:c r="D1492" s="12" t="n">
        <x:v>113149.92000000001</x:v>
      </x:c>
      <x:c r="E1492" s="12" t="n">
        <x:v>0</x:v>
      </x:c>
      <x:c r="F1492" s="12" t="n">
        <x:f>SUM(B1492,D1492:E1492)</x:f>
        <x:v>113454.73845500001</x:v>
      </x:c>
      <x:c r="G1492" s="12" t="n">
        <x:f>MAX(G1491,F1492)</x:f>
        <x:v>120550.504575</x:v>
      </x:c>
      <x:c r="H1492" s="14" t="n">
        <x:f>F1492/G1492-1</x:f>
        <x:v>-0.05886135562033579</x:v>
      </x:c>
      <x:c r="I1492" s="14" t="n">
        <x:f>F1492/F1491-1</x:f>
        <x:v>-0.0015376294349690456</x:v>
      </x:c>
      <x:c r="J1492" s="12" t="n">
        <x:v>0</x:v>
      </x:c>
      <x:c r="K1492" s="12" t="n">
        <x:v>0</x:v>
      </x:c>
      <x:c r="L1492" s="12" t="n">
        <x:v>0</x:v>
      </x:c>
      <x:c r="M1492" s="2" t="str">
        <x:v>持有</x:v>
      </x:c>
    </x:row>
    <x:row r="1493" ht="23" customHeight="1">
      <x:c r="A1493" s="11" t="d">
        <x:v>2020-11-27T00:00:00.000Z</x:v>
      </x:c>
      <x:c r="B1493" s="12" t="n">
        <x:v>304.818455</x:v>
      </x:c>
      <x:c r="C1493" s="13" t="n">
        <x:v>312</x:v>
      </x:c>
      <x:c r="D1493" s="12" t="n">
        <x:v>113465.04000000001</x:v>
      </x:c>
      <x:c r="E1493" s="12" t="n">
        <x:v>0</x:v>
      </x:c>
      <x:c r="F1493" s="12" t="n">
        <x:f>SUM(B1493,D1493:E1493)</x:f>
        <x:v>113769.85845500001</x:v>
      </x:c>
      <x:c r="G1493" s="12" t="n">
        <x:f>MAX(G1492,F1493)</x:f>
        <x:v>120550.504575</x:v>
      </x:c>
      <x:c r="H1493" s="14" t="n">
        <x:f>F1493/G1493-1</x:f>
        <x:v>-0.05624734748232796</x:v>
      </x:c>
      <x:c r="I1493" s="14" t="n">
        <x:f>F1493/F1492-1</x:f>
        <x:v>0.002777495275131159</x:v>
      </x:c>
      <x:c r="J1493" s="12" t="n">
        <x:v>0</x:v>
      </x:c>
      <x:c r="K1493" s="12" t="n">
        <x:v>0</x:v>
      </x:c>
      <x:c r="L1493" s="12" t="n">
        <x:v>0</x:v>
      </x:c>
      <x:c r="M1493" s="2" t="str">
        <x:v>持有</x:v>
      </x:c>
    </x:row>
    <x:row r="1494" ht="23" customHeight="1">
      <x:c r="A1494" s="11" t="d">
        <x:v>2020-11-30T00:00:00.000Z</x:v>
      </x:c>
      <x:c r="B1494" s="12" t="n">
        <x:v>304.818455</x:v>
      </x:c>
      <x:c r="C1494" s="13" t="n">
        <x:v>312</x:v>
      </x:c>
      <x:c r="D1494" s="12" t="n">
        <x:v>112962.72</x:v>
      </x:c>
      <x:c r="E1494" s="12" t="n">
        <x:v>0</x:v>
      </x:c>
      <x:c r="F1494" s="12" t="n">
        <x:f>SUM(B1494,D1494:E1494)</x:f>
        <x:v>113267.538455</x:v>
      </x:c>
      <x:c r="G1494" s="12" t="n">
        <x:f>MAX(G1493,F1494)</x:f>
        <x:v>120550.504575</x:v>
      </x:c>
      <x:c r="H1494" s="14" t="n">
        <x:f>F1494/G1494-1</x:f>
        <x:v>-0.06041423174192462</x:v>
      </x:c>
      <x:c r="I1494" s="14" t="n">
        <x:f>F1494/F1493-1</x:f>
        <x:v>-0.004415229190064318</x:v>
      </x:c>
      <x:c r="J1494" s="12" t="n">
        <x:v>0</x:v>
      </x:c>
      <x:c r="K1494" s="12" t="n">
        <x:v>0</x:v>
      </x:c>
      <x:c r="L1494" s="12" t="n">
        <x:v>0</x:v>
      </x:c>
      <x:c r="M1494" s="2" t="str">
        <x:v>持有</x:v>
      </x:c>
    </x:row>
    <x:row r="1495" ht="23" customHeight="1">
      <x:c r="A1495" s="11" t="d">
        <x:v>2020-12-01T00:00:00.000Z</x:v>
      </x:c>
      <x:c r="B1495" s="12" t="n">
        <x:v>304.818455</x:v>
      </x:c>
      <x:c r="C1495" s="13" t="n">
        <x:v>312</x:v>
      </x:c>
      <x:c r="D1495" s="12" t="n">
        <x:v>114198.23999999999</x:v>
      </x:c>
      <x:c r="E1495" s="12" t="n">
        <x:v>0</x:v>
      </x:c>
      <x:c r="F1495" s="12" t="n">
        <x:f>SUM(B1495,D1495:E1495)</x:f>
        <x:v>114503.05845499999</x:v>
      </x:c>
      <x:c r="G1495" s="12" t="n">
        <x:f>MAX(G1494,F1495)</x:f>
        <x:v>120550.504575</x:v>
      </x:c>
      <x:c r="H1495" s="14" t="n">
        <x:f>F1495/G1495-1</x:f>
        <x:v>-0.050165249339438556</x:v>
      </x:c>
      <x:c r="I1495" s="14" t="n">
        <x:f>F1495/F1494-1</x:f>
        <x:v>0.010907979610511598</x:v>
      </x:c>
      <x:c r="J1495" s="12" t="n">
        <x:v>0</x:v>
      </x:c>
      <x:c r="K1495" s="12" t="n">
        <x:v>0</x:v>
      </x:c>
      <x:c r="L1495" s="12" t="n">
        <x:v>0</x:v>
      </x:c>
      <x:c r="M1495" s="2" t="str">
        <x:v>持有</x:v>
      </x:c>
    </x:row>
    <x:row r="1496" ht="23" customHeight="1">
      <x:c r="A1496" s="11" t="d">
        <x:v>2020-12-02T00:00:00.000Z</x:v>
      </x:c>
      <x:c r="B1496" s="12" t="n">
        <x:v>304.818455</x:v>
      </x:c>
      <x:c r="C1496" s="13" t="n">
        <x:v>312</x:v>
      </x:c>
      <x:c r="D1496" s="12" t="n">
        <x:v>114438.48000000001</x:v>
      </x:c>
      <x:c r="E1496" s="12" t="n">
        <x:v>0</x:v>
      </x:c>
      <x:c r="F1496" s="12" t="n">
        <x:f>SUM(B1496,D1496:E1496)</x:f>
        <x:v>114743.29845500001</x:v>
      </x:c>
      <x:c r="G1496" s="12" t="n">
        <x:f>MAX(G1495,F1496)</x:f>
        <x:v>120550.504575</x:v>
      </x:c>
      <x:c r="H1496" s="14" t="n">
        <x:f>F1496/G1496-1</x:f>
        <x:v>-0.04817239165006615</x:v>
      </x:c>
      <x:c r="I1496" s="14" t="n">
        <x:f>F1496/F1495-1</x:f>
        <x:v>0.002098109895417588</x:v>
      </x:c>
      <x:c r="J1496" s="12" t="n">
        <x:v>0</x:v>
      </x:c>
      <x:c r="K1496" s="12" t="n">
        <x:v>0</x:v>
      </x:c>
      <x:c r="L1496" s="12" t="n">
        <x:v>0</x:v>
      </x:c>
      <x:c r="M1496" s="2" t="str">
        <x:v>持有</x:v>
      </x:c>
    </x:row>
    <x:row r="1497" ht="23" customHeight="1">
      <x:c r="A1497" s="11" t="d">
        <x:v>2020-12-03T00:00:00.000Z</x:v>
      </x:c>
      <x:c r="B1497" s="12" t="n">
        <x:v>304.818455</x:v>
      </x:c>
      <x:c r="C1497" s="13" t="n">
        <x:v>312</x:v>
      </x:c>
      <x:c r="D1497" s="12" t="n">
        <x:v>114407.28</x:v>
      </x:c>
      <x:c r="E1497" s="12" t="n">
        <x:v>0</x:v>
      </x:c>
      <x:c r="F1497" s="12" t="n">
        <x:f>SUM(B1497,D1497:E1497)</x:f>
        <x:v>114712.098455</x:v>
      </x:c>
      <x:c r="G1497" s="12" t="n">
        <x:f>MAX(G1496,F1497)</x:f>
        <x:v>120550.504575</x:v>
      </x:c>
      <x:c r="H1497" s="14" t="n">
        <x:f>F1497/G1497-1</x:f>
        <x:v>-0.04843120433699766</x:v>
      </x:c>
      <x:c r="I1497" s="14" t="n">
        <x:f>F1497/F1496-1</x:f>
        <x:v>-0.0002719113048005317</x:v>
      </x:c>
      <x:c r="J1497" s="12" t="n">
        <x:v>0</x:v>
      </x:c>
      <x:c r="K1497" s="12" t="n">
        <x:v>0</x:v>
      </x:c>
      <x:c r="L1497" s="12" t="n">
        <x:v>0</x:v>
      </x:c>
      <x:c r="M1497" s="2" t="str">
        <x:v>持有</x:v>
      </x:c>
    </x:row>
    <x:row r="1498" ht="23" customHeight="1">
      <x:c r="A1498" s="11" t="d">
        <x:v>2020-12-04T00:00:00.000Z</x:v>
      </x:c>
      <x:c r="B1498" s="12" t="n">
        <x:v>304.818455</x:v>
      </x:c>
      <x:c r="C1498" s="13" t="n">
        <x:v>312</x:v>
      </x:c>
      <x:c r="D1498" s="12" t="n">
        <x:v>115393.20000000001</x:v>
      </x:c>
      <x:c r="E1498" s="12" t="n">
        <x:v>0</x:v>
      </x:c>
      <x:c r="F1498" s="12" t="n">
        <x:f>SUM(B1498,D1498:E1498)</x:f>
        <x:v>115698.01845500001</x:v>
      </x:c>
      <x:c r="G1498" s="12" t="n">
        <x:f>MAX(G1497,F1498)</x:f>
        <x:v>120550.504575</x:v>
      </x:c>
      <x:c r="H1498" s="14" t="n">
        <x:f>F1498/G1498-1</x:f>
        <x:v>-0.04025272342996322</x:v>
      </x:c>
      <x:c r="I1498" s="14" t="n">
        <x:f>F1498/F1497-1</x:f>
        <x:v>0.008594734237093338</x:v>
      </x:c>
      <x:c r="J1498" s="12" t="n">
        <x:v>0</x:v>
      </x:c>
      <x:c r="K1498" s="12" t="n">
        <x:v>0</x:v>
      </x:c>
      <x:c r="L1498" s="12" t="n">
        <x:v>0</x:v>
      </x:c>
      <x:c r="M1498" s="2" t="str">
        <x:v>持有</x:v>
      </x:c>
    </x:row>
    <x:row r="1499" ht="23" customHeight="1">
      <x:c r="A1499" s="11" t="d">
        <x:v>2020-12-07T00:00:00.000Z</x:v>
      </x:c>
      <x:c r="B1499" s="12" t="n">
        <x:v>304.818455</x:v>
      </x:c>
      <x:c r="C1499" s="13" t="n">
        <x:v>312</x:v>
      </x:c>
      <x:c r="D1499" s="12" t="n">
        <x:v>115156.07999999999</x:v>
      </x:c>
      <x:c r="E1499" s="12" t="n">
        <x:v>0</x:v>
      </x:c>
      <x:c r="F1499" s="12" t="n">
        <x:f>SUM(B1499,D1499:E1499)</x:f>
        <x:v>115460.89845499999</x:v>
      </x:c>
      <x:c r="G1499" s="12" t="n">
        <x:f>MAX(G1498,F1499)</x:f>
        <x:v>120550.504575</x:v>
      </x:c>
      <x:c r="H1499" s="14" t="n">
        <x:f>F1499/G1499-1</x:f>
        <x:v>-0.042219699850642556</x:v>
      </x:c>
      <x:c r="I1499" s="14" t="n">
        <x:f>F1499/F1498-1</x:f>
        <x:v>-0.002049473302710436</x:v>
      </x:c>
      <x:c r="J1499" s="12" t="n">
        <x:v>0</x:v>
      </x:c>
      <x:c r="K1499" s="12" t="n">
        <x:v>0</x:v>
      </x:c>
      <x:c r="L1499" s="12" t="n">
        <x:v>0</x:v>
      </x:c>
      <x:c r="M1499" s="2" t="str">
        <x:v>持有</x:v>
      </x:c>
    </x:row>
    <x:row r="1500" ht="23" customHeight="1">
      <x:c r="A1500" s="11" t="d">
        <x:v>2020-12-08T00:00:00.000Z</x:v>
      </x:c>
      <x:c r="B1500" s="12" t="n">
        <x:v>304.818455</x:v>
      </x:c>
      <x:c r="C1500" s="13" t="n">
        <x:v>312</x:v>
      </x:c>
      <x:c r="D1500" s="12" t="n">
        <x:v>115493.04000000001</x:v>
      </x:c>
      <x:c r="E1500" s="12" t="n">
        <x:v>0</x:v>
      </x:c>
      <x:c r="F1500" s="12" t="n">
        <x:f>SUM(B1500,D1500:E1500)</x:f>
        <x:v>115797.85845500001</x:v>
      </x:c>
      <x:c r="G1500" s="12" t="n">
        <x:f>MAX(G1499,F1500)</x:f>
        <x:v>120550.504575</x:v>
      </x:c>
      <x:c r="H1500" s="14" t="n">
        <x:f>F1500/G1500-1</x:f>
        <x:v>-0.03942452283178255</x:v>
      </x:c>
      <x:c r="I1500" s="14" t="n">
        <x:f>F1500/F1499-1</x:f>
        <x:v>0.002918390593776188</x:v>
      </x:c>
      <x:c r="J1500" s="12" t="n">
        <x:v>0</x:v>
      </x:c>
      <x:c r="K1500" s="12" t="n">
        <x:v>0</x:v>
      </x:c>
      <x:c r="L1500" s="12" t="n">
        <x:v>0</x:v>
      </x:c>
      <x:c r="M1500" s="2" t="str">
        <x:v>持有</x:v>
      </x:c>
    </x:row>
    <x:row r="1501" ht="23" customHeight="1">
      <x:c r="A1501" s="11" t="d">
        <x:v>2020-12-09T00:00:00.000Z</x:v>
      </x:c>
      <x:c r="B1501" s="12" t="n">
        <x:v>304.818455</x:v>
      </x:c>
      <x:c r="C1501" s="13" t="n">
        <x:v>312</x:v>
      </x:c>
      <x:c r="D1501" s="12" t="n">
        <x:v>114457.20000000001</x:v>
      </x:c>
      <x:c r="E1501" s="12" t="n">
        <x:v>0</x:v>
      </x:c>
      <x:c r="F1501" s="12" t="n">
        <x:f>SUM(B1501,D1501:E1501)</x:f>
        <x:v>114762.01845500001</x:v>
      </x:c>
      <x:c r="G1501" s="12" t="n">
        <x:f>MAX(G1500,F1501)</x:f>
        <x:v>120550.504575</x:v>
      </x:c>
      <x:c r="H1501" s="14" t="n">
        <x:f>F1501/G1501-1</x:f>
        <x:v>-0.048017104037907266</x:v>
      </x:c>
      <x:c r="I1501" s="14" t="n">
        <x:f>F1501/F1500-1</x:f>
        <x:v>-0.008945243148883675</x:v>
      </x:c>
      <x:c r="J1501" s="12" t="n">
        <x:v>0</x:v>
      </x:c>
      <x:c r="K1501" s="12" t="n">
        <x:v>0</x:v>
      </x:c>
      <x:c r="L1501" s="12" t="n">
        <x:v>0</x:v>
      </x:c>
      <x:c r="M1501" s="2" t="str">
        <x:v>持有</x:v>
      </x:c>
    </x:row>
    <x:row r="1502" ht="23" customHeight="1">
      <x:c r="A1502" s="11" t="d">
        <x:v>2020-12-10T00:00:00.000Z</x:v>
      </x:c>
      <x:c r="B1502" s="12" t="n">
        <x:v>304.818455</x:v>
      </x:c>
      <x:c r="C1502" s="13" t="n">
        <x:v>312</x:v>
      </x:c>
      <x:c r="D1502" s="12" t="n">
        <x:v>114419.76000000001</x:v>
      </x:c>
      <x:c r="E1502" s="12" t="n">
        <x:v>0</x:v>
      </x:c>
      <x:c r="F1502" s="12" t="n">
        <x:f>SUM(B1502,D1502:E1502)</x:f>
        <x:v>114724.57845500001</x:v>
      </x:c>
      <x:c r="G1502" s="12" t="n">
        <x:f>MAX(G1501,F1502)</x:f>
        <x:v>120550.504575</x:v>
      </x:c>
      <x:c r="H1502" s="14" t="n">
        <x:f>F1502/G1502-1</x:f>
        <x:v>-0.04832767926222503</x:v>
      </x:c>
      <x:c r="I1502" s="14" t="n">
        <x:f>F1502/F1501-1</x:f>
        <x:v>-0.0003262403406985026</x:v>
      </x:c>
      <x:c r="J1502" s="12" t="n">
        <x:v>0</x:v>
      </x:c>
      <x:c r="K1502" s="12" t="n">
        <x:v>0</x:v>
      </x:c>
      <x:c r="L1502" s="12" t="n">
        <x:v>0</x:v>
      </x:c>
      <x:c r="M1502" s="2" t="str">
        <x:v>持有</x:v>
      </x:c>
    </x:row>
    <x:row r="1503" ht="23" customHeight="1">
      <x:c r="A1503" s="11" t="d">
        <x:v>2020-12-11T00:00:00.000Z</x:v>
      </x:c>
      <x:c r="B1503" s="12" t="n">
        <x:v>304.818455</x:v>
      </x:c>
      <x:c r="C1503" s="13" t="n">
        <x:v>312</x:v>
      </x:c>
      <x:c r="D1503" s="12" t="n">
        <x:v>114285.6</x:v>
      </x:c>
      <x:c r="E1503" s="12" t="n">
        <x:v>0</x:v>
      </x:c>
      <x:c r="F1503" s="12" t="n">
        <x:f>SUM(B1503,D1503:E1503)</x:f>
        <x:v>114590.418455</x:v>
      </x:c>
      <x:c r="G1503" s="12" t="n">
        <x:f>MAX(G1502,F1503)</x:f>
        <x:v>120550.504575</x:v>
      </x:c>
      <x:c r="H1503" s="14" t="n">
        <x:f>F1503/G1503-1</x:f>
        <x:v>-0.0494405738160304</x:v>
      </x:c>
      <x:c r="I1503" s="14" t="n">
        <x:f>F1503/F1502-1</x:f>
        <x:v>-0.0011694093960225027</x:v>
      </x:c>
      <x:c r="J1503" s="12" t="n">
        <x:v>0</x:v>
      </x:c>
      <x:c r="K1503" s="12" t="n">
        <x:v>0</x:v>
      </x:c>
      <x:c r="L1503" s="12" t="n">
        <x:v>0</x:v>
      </x:c>
      <x:c r="M1503" s="2" t="str">
        <x:v>持有</x:v>
      </x:c>
    </x:row>
    <x:row r="1504" ht="23" customHeight="1">
      <x:c r="A1504" s="11" t="d">
        <x:v>2020-12-14T00:00:00.000Z</x:v>
      </x:c>
      <x:c r="B1504" s="12" t="n">
        <x:v>304.818455</x:v>
      </x:c>
      <x:c r="C1504" s="13" t="n">
        <x:v>312</x:v>
      </x:c>
      <x:c r="D1504" s="12" t="n">
        <x:v>113773.92000000001</x:v>
      </x:c>
      <x:c r="E1504" s="12" t="n">
        <x:v>0</x:v>
      </x:c>
      <x:c r="F1504" s="12" t="n">
        <x:f>SUM(B1504,D1504:E1504)</x:f>
        <x:v>114078.73845500001</x:v>
      </x:c>
      <x:c r="G1504" s="12" t="n">
        <x:f>MAX(G1503,F1504)</x:f>
        <x:v>120550.504575</x:v>
      </x:c>
      <x:c r="H1504" s="14" t="n">
        <x:f>F1504/G1504-1</x:f>
        <x:v>-0.05368510188170639</x:v>
      </x:c>
      <x:c r="I1504" s="14" t="n">
        <x:f>F1504/F1503-1</x:f>
        <x:v>-0.004465294802993736</x:v>
      </x:c>
      <x:c r="J1504" s="12" t="n">
        <x:v>0</x:v>
      </x:c>
      <x:c r="K1504" s="12" t="n">
        <x:v>0</x:v>
      </x:c>
      <x:c r="L1504" s="12" t="n">
        <x:v>0</x:v>
      </x:c>
      <x:c r="M1504" s="2" t="str">
        <x:v>持有</x:v>
      </x:c>
    </x:row>
    <x:row r="1505" ht="23" customHeight="1">
      <x:c r="A1505" s="11" t="d">
        <x:v>2020-12-15T00:00:00.000Z</x:v>
      </x:c>
      <x:c r="B1505" s="12" t="n">
        <x:v>304.818455</x:v>
      </x:c>
      <x:c r="C1505" s="13" t="n">
        <x:v>312</x:v>
      </x:c>
      <x:c r="D1505" s="12" t="n">
        <x:v>115312.07999999999</x:v>
      </x:c>
      <x:c r="E1505" s="12" t="n">
        <x:v>0</x:v>
      </x:c>
      <x:c r="F1505" s="12" t="n">
        <x:f>SUM(B1505,D1505:E1505)</x:f>
        <x:v>115616.89845499999</x:v>
      </x:c>
      <x:c r="G1505" s="12" t="n">
        <x:f>MAX(G1504,F1505)</x:f>
        <x:v>120550.504575</x:v>
      </x:c>
      <x:c r="H1505" s="14" t="n">
        <x:f>F1505/G1505-1</x:f>
        <x:v>-0.040925636415985234</x:v>
      </x:c>
      <x:c r="I1505" s="14" t="n">
        <x:f>F1505/F1504-1</x:f>
        <x:v>0.013483318809724754</x:v>
      </x:c>
      <x:c r="J1505" s="12" t="n">
        <x:v>0</x:v>
      </x:c>
      <x:c r="K1505" s="12" t="n">
        <x:v>0</x:v>
      </x:c>
      <x:c r="L1505" s="12" t="n">
        <x:v>0</x:v>
      </x:c>
      <x:c r="M1505" s="2" t="str">
        <x:v>持有</x:v>
      </x:c>
    </x:row>
    <x:row r="1506" ht="23" customHeight="1">
      <x:c r="A1506" s="11" t="d">
        <x:v>2020-12-16T00:00:00.000Z</x:v>
      </x:c>
      <x:c r="B1506" s="12" t="n">
        <x:v>304.818455</x:v>
      </x:c>
      <x:c r="C1506" s="13" t="n">
        <x:v>312</x:v>
      </x:c>
      <x:c r="D1506" s="12" t="n">
        <x:v>115493.04000000001</x:v>
      </x:c>
      <x:c r="E1506" s="12" t="n">
        <x:v>0</x:v>
      </x:c>
      <x:c r="F1506" s="12" t="n">
        <x:f>SUM(B1506,D1506:E1506)</x:f>
        <x:v>115797.85845500001</x:v>
      </x:c>
      <x:c r="G1506" s="12" t="n">
        <x:f>MAX(G1505,F1506)</x:f>
        <x:v>120550.504575</x:v>
      </x:c>
      <x:c r="H1506" s="14" t="n">
        <x:f>F1506/G1506-1</x:f>
        <x:v>-0.03942452283178255</x:v>
      </x:c>
      <x:c r="I1506" s="14" t="n">
        <x:f>F1506/F1505-1</x:f>
        <x:v>0.001565169126816368</x:v>
      </x:c>
      <x:c r="J1506" s="12" t="n">
        <x:v>0</x:v>
      </x:c>
      <x:c r="K1506" s="12" t="n">
        <x:v>0</x:v>
      </x:c>
      <x:c r="L1506" s="12" t="n">
        <x:v>0</x:v>
      </x:c>
      <x:c r="M1506" s="2" t="str">
        <x:v>持有</x:v>
      </x:c>
    </x:row>
    <x:row r="1507" ht="23" customHeight="1">
      <x:c r="A1507" s="11" t="d">
        <x:v>2020-12-17T00:00:00.000Z</x:v>
      </x:c>
      <x:c r="B1507" s="12" t="n">
        <x:v>304.818455</x:v>
      </x:c>
      <x:c r="C1507" s="13" t="n">
        <x:v>312</x:v>
      </x:c>
      <x:c r="D1507" s="12" t="n">
        <x:v>116138.88</x:v>
      </x:c>
      <x:c r="E1507" s="12" t="n">
        <x:v>0</x:v>
      </x:c>
      <x:c r="F1507" s="12" t="n">
        <x:f>SUM(B1507,D1507:E1507)</x:f>
        <x:v>116443.698455</x:v>
      </x:c>
      <x:c r="G1507" s="12" t="n">
        <x:f>MAX(G1506,F1507)</x:f>
        <x:v>120550.504575</x:v>
      </x:c>
      <x:c r="H1507" s="14" t="n">
        <x:f>F1507/G1507-1</x:f>
        <x:v>-0.03406710021230119</x:v>
      </x:c>
      <x:c r="I1507" s="14" t="n">
        <x:f>F1507/F1506-1</x:f>
        <x:v>0.005577305216322159</x:v>
      </x:c>
      <x:c r="J1507" s="12" t="n">
        <x:v>0</x:v>
      </x:c>
      <x:c r="K1507" s="12" t="n">
        <x:v>0</x:v>
      </x:c>
      <x:c r="L1507" s="12" t="n">
        <x:v>0</x:v>
      </x:c>
      <x:c r="M1507" s="2" t="str">
        <x:v>持有</x:v>
      </x:c>
    </x:row>
    <x:row r="1508" ht="23" customHeight="1">
      <x:c r="A1508" s="11" t="d">
        <x:v>2020-12-18T00:00:00.000Z</x:v>
      </x:c>
      <x:c r="B1508" s="12" t="n">
        <x:v>304.818455</x:v>
      </x:c>
      <x:c r="C1508" s="13" t="n">
        <x:v>312</x:v>
      </x:c>
      <x:c r="D1508" s="12" t="n">
        <x:v>115184.16</x:v>
      </x:c>
      <x:c r="E1508" s="12" t="n">
        <x:v>492.96</x:v>
      </x:c>
      <x:c r="F1508" s="12" t="n">
        <x:f>SUM(B1508,D1508:E1508)</x:f>
        <x:v>115981.93845500001</x:v>
      </x:c>
      <x:c r="G1508" s="12" t="n">
        <x:f>MAX(G1507,F1508)</x:f>
        <x:v>120550.504575</x:v>
      </x:c>
      <x:c r="H1508" s="14" t="n">
        <x:f>F1508/G1508-1</x:f>
        <x:v>-0.03789752797888679</x:v>
      </x:c>
      <x:c r="I1508" s="14" t="n">
        <x:f>F1508/F1507-1</x:f>
        <x:v>-0.003965521587915188</x:v>
      </x:c>
      <x:c r="J1508" s="12" t="n">
        <x:v>492.96</x:v>
      </x:c>
      <x:c r="K1508" s="12" t="n">
        <x:v>0</x:v>
      </x:c>
      <x:c r="L1508" s="12" t="n">
        <x:v>0</x:v>
      </x:c>
      <x:c r="M1508" s="2" t="str">
        <x:v>持有</x:v>
      </x:c>
    </x:row>
    <x:row r="1509" ht="23" customHeight="1">
      <x:c r="A1509" s="11" t="d">
        <x:v>2020-12-21T00:00:00.000Z</x:v>
      </x:c>
      <x:c r="B1509" s="12" t="n">
        <x:v>304.818455</x:v>
      </x:c>
      <x:c r="C1509" s="13" t="n">
        <x:v>312</x:v>
      </x:c>
      <x:c r="D1509" s="12" t="n">
        <x:v>114772.32</x:v>
      </x:c>
      <x:c r="E1509" s="12" t="n">
        <x:v>492.96</x:v>
      </x:c>
      <x:c r="F1509" s="12" t="n">
        <x:f>SUM(B1509,D1509:E1509)</x:f>
        <x:v>115570.09845500001</x:v>
      </x:c>
      <x:c r="G1509" s="12" t="n">
        <x:f>MAX(G1508,F1509)</x:f>
        <x:v>120550.504575</x:v>
      </x:c>
      <x:c r="H1509" s="14" t="n">
        <x:f>F1509/G1509-1</x:f>
        <x:v>-0.04131385544638222</x:v>
      </x:c>
      <x:c r="I1509" s="14" t="n">
        <x:f>F1509/F1508-1</x:f>
        <x:v>-0.003550897712920942</x:v>
      </x:c>
      <x:c r="J1509" s="12" t="n">
        <x:v>0</x:v>
      </x:c>
      <x:c r="K1509" s="12" t="n">
        <x:v>0</x:v>
      </x:c>
      <x:c r="L1509" s="12" t="n">
        <x:v>0</x:v>
      </x:c>
      <x:c r="M1509" s="2" t="str">
        <x:v>持有</x:v>
      </x:c>
    </x:row>
    <x:row r="1510" ht="23" customHeight="1">
      <x:c r="A1510" s="11" t="d">
        <x:v>2020-12-22T00:00:00.000Z</x:v>
      </x:c>
      <x:c r="B1510" s="12" t="n">
        <x:v>304.818455</x:v>
      </x:c>
      <x:c r="C1510" s="13" t="n">
        <x:v>312</x:v>
      </x:c>
      <x:c r="D1510" s="12" t="n">
        <x:v>114578.88</x:v>
      </x:c>
      <x:c r="E1510" s="12" t="n">
        <x:v>492.96</x:v>
      </x:c>
      <x:c r="F1510" s="12" t="n">
        <x:f>SUM(B1510,D1510:E1510)</x:f>
        <x:v>115376.65845500001</x:v>
      </x:c>
      <x:c r="G1510" s="12" t="n">
        <x:f>MAX(G1509,F1510)</x:f>
        <x:v>120550.504575</x:v>
      </x:c>
      <x:c r="H1510" s="14" t="n">
        <x:f>F1510/G1510-1</x:f>
        <x:v>-0.04291849410535731</x:v>
      </x:c>
      <x:c r="I1510" s="14" t="n">
        <x:f>F1510/F1509-1</x:f>
        <x:v>-0.0016737893502385415</x:v>
      </x:c>
      <x:c r="J1510" s="12" t="n">
        <x:v>0</x:v>
      </x:c>
      <x:c r="K1510" s="12" t="n">
        <x:v>0</x:v>
      </x:c>
      <x:c r="L1510" s="12" t="n">
        <x:v>0</x:v>
      </x:c>
      <x:c r="M1510" s="2" t="str">
        <x:v>持有</x:v>
      </x:c>
    </x:row>
    <x:row r="1511" ht="23" customHeight="1">
      <x:c r="A1511" s="11" t="d">
        <x:v>2020-12-23T00:00:00.000Z</x:v>
      </x:c>
      <x:c r="B1511" s="12" t="n">
        <x:v>304.818455</x:v>
      </x:c>
      <x:c r="C1511" s="13" t="n">
        <x:v>312</x:v>
      </x:c>
      <x:c r="D1511" s="12" t="n">
        <x:v>114681.84</x:v>
      </x:c>
      <x:c r="E1511" s="12" t="n">
        <x:v>492.96</x:v>
      </x:c>
      <x:c r="F1511" s="12" t="n">
        <x:f>SUM(B1511,D1511:E1511)</x:f>
        <x:v>115479.618455</x:v>
      </x:c>
      <x:c r="G1511" s="12" t="n">
        <x:f>MAX(G1510,F1511)</x:f>
        <x:v>120550.504575</x:v>
      </x:c>
      <x:c r="H1511" s="14" t="n">
        <x:f>F1511/G1511-1</x:f>
        <x:v>-0.04206441223848356</x:v>
      </x:c>
      <x:c r="I1511" s="14" t="n">
        <x:f>F1511/F1510-1</x:f>
        <x:v>0.0008923815386814304</x:v>
      </x:c>
      <x:c r="J1511" s="12" t="n">
        <x:v>0</x:v>
      </x:c>
      <x:c r="K1511" s="12" t="n">
        <x:v>0</x:v>
      </x:c>
      <x:c r="L1511" s="12" t="n">
        <x:v>0</x:v>
      </x:c>
      <x:c r="M1511" s="2" t="str">
        <x:v>持有</x:v>
      </x:c>
    </x:row>
    <x:row r="1512" ht="23" customHeight="1">
      <x:c r="A1512" s="11" t="d">
        <x:v>2020-12-24T00:00:00.000Z</x:v>
      </x:c>
      <x:c r="B1512" s="12" t="n">
        <x:v>304.818455</x:v>
      </x:c>
      <x:c r="C1512" s="13" t="n">
        <x:v>312</x:v>
      </x:c>
      <x:c r="D1512" s="12" t="n">
        <x:v>115128</x:v>
      </x:c>
      <x:c r="E1512" s="12" t="n">
        <x:v>492.96</x:v>
      </x:c>
      <x:c r="F1512" s="12" t="n">
        <x:f>SUM(B1512,D1512:E1512)</x:f>
        <x:v>115925.778455</x:v>
      </x:c>
      <x:c r="G1512" s="12" t="n">
        <x:f>MAX(G1511,F1512)</x:f>
        <x:v>120550.504575</x:v>
      </x:c>
      <x:c r="H1512" s="14" t="n">
        <x:f>F1512/G1512-1</x:f>
        <x:v>-0.03836339081536355</x:v>
      </x:c>
      <x:c r="I1512" s="14" t="n">
        <x:f>F1512/F1511-1</x:f>
        <x:v>0.0038635389168164558</x:v>
      </x:c>
      <x:c r="J1512" s="12" t="n">
        <x:v>0</x:v>
      </x:c>
      <x:c r="K1512" s="12" t="n">
        <x:v>0</x:v>
      </x:c>
      <x:c r="L1512" s="12" t="n">
        <x:v>0</x:v>
      </x:c>
      <x:c r="M1512" s="2" t="str">
        <x:v>持有</x:v>
      </x:c>
    </x:row>
    <x:row r="1513" ht="23" customHeight="1">
      <x:c r="A1513" s="11" t="d">
        <x:v>2020-12-28T00:00:00.000Z</x:v>
      </x:c>
      <x:c r="B1513" s="12" t="n">
        <x:v>304.818455</x:v>
      </x:c>
      <x:c r="C1513" s="13" t="n">
        <x:v>312</x:v>
      </x:c>
      <x:c r="D1513" s="12" t="n">
        <x:v>116117.04000000001</x:v>
      </x:c>
      <x:c r="E1513" s="12" t="n">
        <x:v>492.96</x:v>
      </x:c>
      <x:c r="F1513" s="12" t="n">
        <x:f>SUM(B1513,D1513:E1513)</x:f>
        <x:v>116914.81845500002</x:v>
      </x:c>
      <x:c r="G1513" s="12" t="n">
        <x:f>MAX(G1512,F1513)</x:f>
        <x:v>120550.504575</x:v>
      </x:c>
      <x:c r="H1513" s="14" t="n">
        <x:f>F1513/G1513-1</x:f>
        <x:v>-0.030159028639635932</x:v>
      </x:c>
      <x:c r="I1513" s="14" t="n">
        <x:f>F1513/F1512-1</x:f>
        <x:v>0.008531665805323385</x:v>
      </x:c>
      <x:c r="J1513" s="12" t="n">
        <x:v>0</x:v>
      </x:c>
      <x:c r="K1513" s="12" t="n">
        <x:v>0</x:v>
      </x:c>
      <x:c r="L1513" s="12" t="n">
        <x:v>0</x:v>
      </x:c>
      <x:c r="M1513" s="2" t="str">
        <x:v>持有</x:v>
      </x:c>
    </x:row>
    <x:row r="1514" ht="23" customHeight="1">
      <x:c r="A1514" s="11" t="d">
        <x:v>2020-12-29T00:00:00.000Z</x:v>
      </x:c>
      <x:c r="B1514" s="12" t="n">
        <x:v>304.818455</x:v>
      </x:c>
      <x:c r="C1514" s="13" t="n">
        <x:v>312</x:v>
      </x:c>
      <x:c r="D1514" s="12" t="n">
        <x:v>115895.51999999999</x:v>
      </x:c>
      <x:c r="E1514" s="12" t="n">
        <x:v>492.96</x:v>
      </x:c>
      <x:c r="F1514" s="12" t="n">
        <x:f>SUM(B1514,D1514:E1514)</x:f>
        <x:v>116693.298455</x:v>
      </x:c>
      <x:c r="G1514" s="12" t="n">
        <x:f>MAX(G1513,F1514)</x:f>
        <x:v>120550.504575</x:v>
      </x:c>
      <x:c r="H1514" s="14" t="n">
        <x:f>F1514/G1514-1</x:f>
        <x:v>-0.031996598716849456</x:v>
      </x:c>
      <x:c r="I1514" s="14" t="n">
        <x:f>F1514/F1513-1</x:f>
        <x:v>-0.0018947127740294167</x:v>
      </x:c>
      <x:c r="J1514" s="12" t="n">
        <x:v>0</x:v>
      </x:c>
      <x:c r="K1514" s="12" t="n">
        <x:v>0</x:v>
      </x:c>
      <x:c r="L1514" s="12" t="n">
        <x:v>0</x:v>
      </x:c>
      <x:c r="M1514" s="2" t="str">
        <x:v>持有</x:v>
      </x:c>
    </x:row>
    <x:row r="1515" ht="23" customHeight="1">
      <x:c r="A1515" s="11" t="d">
        <x:v>2020-12-30T00:00:00.000Z</x:v>
      </x:c>
      <x:c r="B1515" s="12" t="n">
        <x:v>304.818455</x:v>
      </x:c>
      <x:c r="C1515" s="13" t="n">
        <x:v>312</x:v>
      </x:c>
      <x:c r="D1515" s="12" t="n">
        <x:v>116060.88</x:v>
      </x:c>
      <x:c r="E1515" s="12" t="n">
        <x:v>492.96</x:v>
      </x:c>
      <x:c r="F1515" s="12" t="n">
        <x:f>SUM(B1515,D1515:E1515)</x:f>
        <x:v>116858.65845500001</x:v>
      </x:c>
      <x:c r="G1515" s="12" t="n">
        <x:f>MAX(G1514,F1515)</x:f>
        <x:v>120550.504575</x:v>
      </x:c>
      <x:c r="H1515" s="14" t="n">
        <x:f>F1515/G1515-1</x:f>
        <x:v>-0.03062489147611258</x:v>
      </x:c>
      <x:c r="I1515" s="14" t="n">
        <x:f>F1515/F1514-1</x:f>
        <x:v>0.0014170479555326576</x:v>
      </x:c>
      <x:c r="J1515" s="12" t="n">
        <x:v>0</x:v>
      </x:c>
      <x:c r="K1515" s="12" t="n">
        <x:v>0</x:v>
      </x:c>
      <x:c r="L1515" s="12" t="n">
        <x:v>0</x:v>
      </x:c>
      <x:c r="M1515" s="2" t="str">
        <x:v>持有</x:v>
      </x:c>
    </x:row>
    <x:row r="1516" ht="23" customHeight="1">
      <x:c r="A1516" s="11" t="d">
        <x:v>2020-12-31T00:00:00.000Z</x:v>
      </x:c>
      <x:c r="B1516" s="12" t="n">
        <x:v>304.818455</x:v>
      </x:c>
      <x:c r="C1516" s="13" t="n">
        <x:v>312</x:v>
      </x:c>
      <x:c r="D1516" s="12" t="n">
        <x:v>116650.56</x:v>
      </x:c>
      <x:c r="E1516" s="12" t="n">
        <x:v>492.96</x:v>
      </x:c>
      <x:c r="F1516" s="12" t="n">
        <x:f>SUM(B1516,D1516:E1516)</x:f>
        <x:v>117448.338455</x:v>
      </x:c>
      <x:c r="G1516" s="12" t="n">
        <x:f>MAX(G1515,F1516)</x:f>
        <x:v>120550.504575</x:v>
      </x:c>
      <x:c r="H1516" s="14" t="n">
        <x:f>F1516/G1516-1</x:f>
        <x:v>-0.025733331693107875</x:v>
      </x:c>
      <x:c r="I1516" s="14" t="n">
        <x:f>F1516/F1515-1</x:f>
        <x:v>0.0050460959230254065</x:v>
      </x:c>
      <x:c r="J1516" s="12" t="n">
        <x:v>0</x:v>
      </x:c>
      <x:c r="K1516" s="12" t="n">
        <x:v>0</x:v>
      </x:c>
      <x:c r="L1516" s="12" t="n">
        <x:v>0</x:v>
      </x:c>
      <x:c r="M1516" s="2" t="str">
        <x:v>持有</x:v>
      </x:c>
    </x:row>
    <x:row r="1517" ht="23" customHeight="1">
      <x:c r="A1517" s="11" t="d">
        <x:v>2021-01-04T00:00:00.000Z</x:v>
      </x:c>
      <x:c r="B1517" s="12" t="n">
        <x:v>304.818455</x:v>
      </x:c>
      <x:c r="C1517" s="13" t="n">
        <x:v>312</x:v>
      </x:c>
      <x:c r="D1517" s="12" t="n">
        <x:v>115062.48000000001</x:v>
      </x:c>
      <x:c r="E1517" s="12" t="n">
        <x:v>492.96</x:v>
      </x:c>
      <x:c r="F1517" s="12" t="n">
        <x:f>SUM(B1517,D1517:E1517)</x:f>
        <x:v>115860.25845500002</x:v>
      </x:c>
      <x:c r="G1517" s="12" t="n">
        <x:f>MAX(G1516,F1517)</x:f>
        <x:v>120550.504575</x:v>
      </x:c>
      <x:c r="H1517" s="14" t="n">
        <x:f>F1517/G1517-1</x:f>
        <x:v>-0.03890689745791953</x:v>
      </x:c>
      <x:c r="I1517" s="14" t="n">
        <x:f>F1517/F1516-1</x:f>
        <x:v>-0.013521519511393132</x:v>
      </x:c>
      <x:c r="J1517" s="12" t="n">
        <x:v>0</x:v>
      </x:c>
      <x:c r="K1517" s="12" t="n">
        <x:v>0</x:v>
      </x:c>
      <x:c r="L1517" s="12" t="n">
        <x:v>0</x:v>
      </x:c>
      <x:c r="M1517" s="2" t="str">
        <x:v>持有</x:v>
      </x:c>
    </x:row>
    <x:row r="1518" ht="23" customHeight="1">
      <x:c r="A1518" s="11" t="d">
        <x:v>2021-01-05T00:00:00.000Z</x:v>
      </x:c>
      <x:c r="B1518" s="12" t="n">
        <x:v>304.818455</x:v>
      </x:c>
      <x:c r="C1518" s="13" t="n">
        <x:v>312</x:v>
      </x:c>
      <x:c r="D1518" s="12" t="n">
        <x:v>115854.95999999999</x:v>
      </x:c>
      <x:c r="E1518" s="12" t="n">
        <x:v>492.96</x:v>
      </x:c>
      <x:c r="F1518" s="12" t="n">
        <x:f>SUM(B1518,D1518:E1518)</x:f>
        <x:v>116652.738455</x:v>
      </x:c>
      <x:c r="G1518" s="12" t="n">
        <x:f>MAX(G1517,F1518)</x:f>
        <x:v>120550.504575</x:v>
      </x:c>
      <x:c r="H1518" s="14" t="n">
        <x:f>F1518/G1518-1</x:f>
        <x:v>-0.032333055209860406</x:v>
      </x:c>
      <x:c r="I1518" s="14" t="n">
        <x:f>F1518/F1517-1</x:f>
        <x:v>0.006839964027076428</x:v>
      </x:c>
      <x:c r="J1518" s="12" t="n">
        <x:v>0</x:v>
      </x:c>
      <x:c r="K1518" s="12" t="n">
        <x:v>0</x:v>
      </x:c>
      <x:c r="L1518" s="12" t="n">
        <x:v>0</x:v>
      </x:c>
      <x:c r="M1518" s="2" t="str">
        <x:v>持有</x:v>
      </x:c>
    </x:row>
    <x:row r="1519" ht="23" customHeight="1">
      <x:c r="A1519" s="11" t="d">
        <x:v>2021-01-06T00:00:00.000Z</x:v>
      </x:c>
      <x:c r="B1519" s="12" t="n">
        <x:v>304.818455</x:v>
      </x:c>
      <x:c r="C1519" s="13" t="n">
        <x:v>312</x:v>
      </x:c>
      <x:c r="D1519" s="12" t="n">
        <x:v>116547.6</x:v>
      </x:c>
      <x:c r="E1519" s="12" t="n">
        <x:v>492.96</x:v>
      </x:c>
      <x:c r="F1519" s="12" t="n">
        <x:f>SUM(B1519,D1519:E1519)</x:f>
        <x:v>117345.37845500001</x:v>
      </x:c>
      <x:c r="G1519" s="12" t="n">
        <x:f>MAX(G1518,F1519)</x:f>
        <x:v>120550.504575</x:v>
      </x:c>
      <x:c r="H1519" s="14" t="n">
        <x:f>F1519/G1519-1</x:f>
        <x:v>-0.02658741355998162</x:v>
      </x:c>
      <x:c r="I1519" s="14" t="n">
        <x:f>F1519/F1518-1</x:f>
        <x:v>0.005937623146902826</x:v>
      </x:c>
      <x:c r="J1519" s="12" t="n">
        <x:v>0</x:v>
      </x:c>
      <x:c r="K1519" s="12" t="n">
        <x:v>0</x:v>
      </x:c>
      <x:c r="L1519" s="12" t="n">
        <x:v>0</x:v>
      </x:c>
      <x:c r="M1519" s="2" t="str">
        <x:v>持有</x:v>
      </x:c>
    </x:row>
    <x:row r="1520" ht="23" customHeight="1">
      <x:c r="A1520" s="11" t="d">
        <x:v>2021-01-07T00:00:00.000Z</x:v>
      </x:c>
      <x:c r="B1520" s="12" t="n">
        <x:v>304.818455</x:v>
      </x:c>
      <x:c r="C1520" s="13" t="n">
        <x:v>312</x:v>
      </x:c>
      <x:c r="D1520" s="12" t="n">
        <x:v>118279.20000000001</x:v>
      </x:c>
      <x:c r="E1520" s="12" t="n">
        <x:v>492.96</x:v>
      </x:c>
      <x:c r="F1520" s="12" t="n">
        <x:f>SUM(B1520,D1520:E1520)</x:f>
        <x:v>119076.97845500002</x:v>
      </x:c>
      <x:c r="G1520" s="12" t="n">
        <x:f>MAX(G1519,F1520)</x:f>
        <x:v>120550.504575</x:v>
      </x:c>
      <x:c r="H1520" s="14" t="n">
        <x:f>F1520/G1520-1</x:f>
        <x:v>-0.012223309435285157</x:v>
      </x:c>
      <x:c r="I1520" s="14" t="n">
        <x:f>F1520/F1519-1</x:f>
        <x:v>0.014756439689391332</x:v>
      </x:c>
      <x:c r="J1520" s="12" t="n">
        <x:v>0</x:v>
      </x:c>
      <x:c r="K1520" s="12" t="n">
        <x:v>0</x:v>
      </x:c>
      <x:c r="L1520" s="12" t="n">
        <x:v>0</x:v>
      </x:c>
      <x:c r="M1520" s="2" t="str">
        <x:v>持有</x:v>
      </x:c>
    </x:row>
    <x:row r="1521" ht="23" customHeight="1">
      <x:c r="A1521" s="11" t="d">
        <x:v>2021-01-08T00:00:00.000Z</x:v>
      </x:c>
      <x:c r="B1521" s="12" t="n">
        <x:v>304.818455</x:v>
      </x:c>
      <x:c r="C1521" s="13" t="n">
        <x:v>312</x:v>
      </x:c>
      <x:c r="D1521" s="12" t="n">
        <x:v>118953.12</x:v>
      </x:c>
      <x:c r="E1521" s="12" t="n">
        <x:v>492.96</x:v>
      </x:c>
      <x:c r="F1521" s="12" t="n">
        <x:f>SUM(B1521,D1521:E1521)</x:f>
        <x:v>119750.898455</x:v>
      </x:c>
      <x:c r="G1521" s="12" t="n">
        <x:f>MAX(G1520,F1521)</x:f>
        <x:v>120550.504575</x:v>
      </x:c>
      <x:c r="H1521" s="14" t="n">
        <x:f>F1521/G1521-1</x:f>
        <x:v>-0.0066329553975655875</x:v>
      </x:c>
      <x:c r="I1521" s="14" t="n">
        <x:f>F1521/F1520-1</x:f>
        <x:v>0.005659532251691024</x:v>
      </x:c>
      <x:c r="J1521" s="12" t="n">
        <x:v>0</x:v>
      </x:c>
      <x:c r="K1521" s="12" t="n">
        <x:v>0</x:v>
      </x:c>
      <x:c r="L1521" s="12" t="n">
        <x:v>0</x:v>
      </x:c>
      <x:c r="M1521" s="2" t="str">
        <x:v>持有</x:v>
      </x:c>
    </x:row>
    <x:row r="1522" ht="23" customHeight="1">
      <x:c r="A1522" s="11" t="d">
        <x:v>2021-01-11T00:00:00.000Z</x:v>
      </x:c>
      <x:c r="B1522" s="12" t="n">
        <x:v>304.818455</x:v>
      </x:c>
      <x:c r="C1522" s="13" t="n">
        <x:v>312</x:v>
      </x:c>
      <x:c r="D1522" s="12" t="n">
        <x:v>118151.28</x:v>
      </x:c>
      <x:c r="E1522" s="12" t="n">
        <x:v>492.96</x:v>
      </x:c>
      <x:c r="F1522" s="12" t="n">
        <x:f>SUM(B1522,D1522:E1522)</x:f>
        <x:v>118949.058455</x:v>
      </x:c>
      <x:c r="G1522" s="12" t="n">
        <x:f>MAX(G1521,F1522)</x:f>
        <x:v>120550.504575</x:v>
      </x:c>
      <x:c r="H1522" s="14" t="n">
        <x:f>F1522/G1522-1</x:f>
        <x:v>-0.013284441451704265</x:v>
      </x:c>
      <x:c r="I1522" s="14" t="n">
        <x:f>F1522/F1521-1</x:f>
        <x:v>-0.006695899657916282</x:v>
      </x:c>
      <x:c r="J1522" s="12" t="n">
        <x:v>0</x:v>
      </x:c>
      <x:c r="K1522" s="12" t="n">
        <x:v>0</x:v>
      </x:c>
      <x:c r="L1522" s="12" t="n">
        <x:v>0</x:v>
      </x:c>
      <x:c r="M1522" s="2" t="str">
        <x:v>持有</x:v>
      </x:c>
    </x:row>
    <x:row r="1523" ht="23" customHeight="1">
      <x:c r="A1523" s="11" t="d">
        <x:v>2021-01-12T00:00:00.000Z</x:v>
      </x:c>
      <x:c r="B1523" s="12" t="n">
        <x:v>304.818455</x:v>
      </x:c>
      <x:c r="C1523" s="13" t="n">
        <x:v>312</x:v>
      </x:c>
      <x:c r="D1523" s="12" t="n">
        <x:v>118176.23999999999</x:v>
      </x:c>
      <x:c r="E1523" s="12" t="n">
        <x:v>492.96</x:v>
      </x:c>
      <x:c r="F1523" s="12" t="n">
        <x:f>SUM(B1523,D1523:E1523)</x:f>
        <x:v>118974.018455</x:v>
      </x:c>
      <x:c r="G1523" s="12" t="n">
        <x:f>MAX(G1522,F1523)</x:f>
        <x:v>120550.504575</x:v>
      </x:c>
      <x:c r="H1523" s="14" t="n">
        <x:f>F1523/G1523-1</x:f>
        <x:v>-0.013077391302159125</x:v>
      </x:c>
      <x:c r="I1523" s="14" t="n">
        <x:f>F1523/F1522-1</x:f>
        <x:v>0.00020983772653759836</x:v>
      </x:c>
      <x:c r="J1523" s="12" t="n">
        <x:v>0</x:v>
      </x:c>
      <x:c r="K1523" s="12" t="n">
        <x:v>0</x:v>
      </x:c>
      <x:c r="L1523" s="12" t="n">
        <x:v>0</x:v>
      </x:c>
      <x:c r="M1523" s="2" t="str">
        <x:v>持有</x:v>
      </x:c>
    </x:row>
    <x:row r="1524" ht="23" customHeight="1">
      <x:c r="A1524" s="11" t="d">
        <x:v>2021-01-13T00:00:00.000Z</x:v>
      </x:c>
      <x:c r="B1524" s="12" t="n">
        <x:v>304.818455</x:v>
      </x:c>
      <x:c r="C1524" s="13" t="n">
        <x:v>312</x:v>
      </x:c>
      <x:c r="D1524" s="12" t="n">
        <x:v>118494.48000000001</x:v>
      </x:c>
      <x:c r="E1524" s="12" t="n">
        <x:v>492.96</x:v>
      </x:c>
      <x:c r="F1524" s="12" t="n">
        <x:f>SUM(B1524,D1524:E1524)</x:f>
        <x:v>119292.25845500002</x:v>
      </x:c>
      <x:c r="G1524" s="12" t="n">
        <x:f>MAX(G1523,F1524)</x:f>
        <x:v>120550.504575</x:v>
      </x:c>
      <x:c r="H1524" s="14" t="n">
        <x:f>F1524/G1524-1</x:f>
        <x:v>-0.010437501895458001</x:v>
      </x:c>
      <x:c r="I1524" s="14" t="n">
        <x:f>F1524/F1523-1</x:f>
        <x:v>0.0026748697247742648</x:v>
      </x:c>
      <x:c r="J1524" s="12" t="n">
        <x:v>0</x:v>
      </x:c>
      <x:c r="K1524" s="12" t="n">
        <x:v>0</x:v>
      </x:c>
      <x:c r="L1524" s="12" t="n">
        <x:v>0</x:v>
      </x:c>
      <x:c r="M1524" s="2" t="str">
        <x:v>持有</x:v>
      </x:c>
    </x:row>
    <x:row r="1525" ht="23" customHeight="1">
      <x:c r="A1525" s="11" t="d">
        <x:v>2021-01-14T00:00:00.000Z</x:v>
      </x:c>
      <x:c r="B1525" s="12" t="n">
        <x:v>304.818455</x:v>
      </x:c>
      <x:c r="C1525" s="13" t="n">
        <x:v>312</x:v>
      </x:c>
      <x:c r="D1525" s="12" t="n">
        <x:v>118079.51999999999</x:v>
      </x:c>
      <x:c r="E1525" s="12" t="n">
        <x:v>492.96</x:v>
      </x:c>
      <x:c r="F1525" s="12" t="n">
        <x:f>SUM(B1525,D1525:E1525)</x:f>
        <x:v>118877.298455</x:v>
      </x:c>
      <x:c r="G1525" s="12" t="n">
        <x:f>MAX(G1524,F1525)</x:f>
        <x:v>120550.504575</x:v>
      </x:c>
      <x:c r="H1525" s="14" t="n">
        <x:f>F1525/G1525-1</x:f>
        <x:v>-0.013879710631646724</x:v>
      </x:c>
      <x:c r="I1525" s="14" t="n">
        <x:f>F1525/F1524-1</x:f>
        <x:v>-0.003478515750932387</x:v>
      </x:c>
      <x:c r="J1525" s="12" t="n">
        <x:v>0</x:v>
      </x:c>
      <x:c r="K1525" s="12" t="n">
        <x:v>0</x:v>
      </x:c>
      <x:c r="L1525" s="12" t="n">
        <x:v>0</x:v>
      </x:c>
      <x:c r="M1525" s="2" t="str">
        <x:v>持有</x:v>
      </x:c>
    </x:row>
    <x:row r="1526" ht="23" customHeight="1">
      <x:c r="A1526" s="11" t="d">
        <x:v>2021-01-15T00:00:00.000Z</x:v>
      </x:c>
      <x:c r="B1526" s="12" t="n">
        <x:v>304.818455</x:v>
      </x:c>
      <x:c r="C1526" s="13" t="n">
        <x:v>312</x:v>
      </x:c>
      <x:c r="D1526" s="12" t="n">
        <x:v>117218.4</x:v>
      </x:c>
      <x:c r="E1526" s="12" t="n">
        <x:v>492.96</x:v>
      </x:c>
      <x:c r="F1526" s="12" t="n">
        <x:f>SUM(B1526,D1526:E1526)</x:f>
        <x:v>118016.178455</x:v>
      </x:c>
      <x:c r="G1526" s="12" t="n">
        <x:f>MAX(G1525,F1526)</x:f>
        <x:v>120550.504575</x:v>
      </x:c>
      <x:c r="H1526" s="14" t="n">
        <x:f>F1526/G1526-1</x:f>
        <x:v>-0.021022940790955236</x:v>
      </x:c>
      <x:c r="I1526" s="14" t="n">
        <x:f>F1526/F1525-1</x:f>
        <x:v>-0.007243771613181127</x:v>
      </x:c>
      <x:c r="J1526" s="12" t="n">
        <x:v>0</x:v>
      </x:c>
      <x:c r="K1526" s="12" t="n">
        <x:v>0</x:v>
      </x:c>
      <x:c r="L1526" s="12" t="n">
        <x:v>0</x:v>
      </x:c>
      <x:c r="M1526" s="2" t="str">
        <x:v>持有</x:v>
      </x:c>
    </x:row>
    <x:row r="1527" ht="23" customHeight="1">
      <x:c r="A1527" s="11" t="d">
        <x:v>2021-01-19T00:00:00.000Z</x:v>
      </x:c>
      <x:c r="B1527" s="12" t="n">
        <x:v>304.818455</x:v>
      </x:c>
      <x:c r="C1527" s="13" t="n">
        <x:v>312</x:v>
      </x:c>
      <x:c r="D1527" s="12" t="n">
        <x:v>118138.79999999999</x:v>
      </x:c>
      <x:c r="E1527" s="12" t="n">
        <x:v>492.96</x:v>
      </x:c>
      <x:c r="F1527" s="12" t="n">
        <x:f>SUM(B1527,D1527:E1527)</x:f>
        <x:v>118936.578455</x:v>
      </x:c>
      <x:c r="G1527" s="12" t="n">
        <x:f>MAX(G1526,F1527)</x:f>
        <x:v>120550.504575</x:v>
      </x:c>
      <x:c r="H1527" s="14" t="n">
        <x:f>F1527/G1527-1</x:f>
        <x:v>-0.013387966526476891</x:v>
      </x:c>
      <x:c r="I1527" s="14" t="n">
        <x:f>F1527/F1526-1</x:f>
        <x:v>0.007798930723307063</x:v>
      </x:c>
      <x:c r="J1527" s="12" t="n">
        <x:v>0</x:v>
      </x:c>
      <x:c r="K1527" s="12" t="n">
        <x:v>0</x:v>
      </x:c>
      <x:c r="L1527" s="12" t="n">
        <x:v>0</x:v>
      </x:c>
      <x:c r="M1527" s="2" t="str">
        <x:v>持有</x:v>
      </x:c>
    </x:row>
    <x:row r="1528" ht="23" customHeight="1">
      <x:c r="A1528" s="11" t="d">
        <x:v>2021-01-20T00:00:00.000Z</x:v>
      </x:c>
      <x:c r="B1528" s="12" t="n">
        <x:v>304.818455</x:v>
      </x:c>
      <x:c r="C1528" s="13" t="n">
        <x:v>312</x:v>
      </x:c>
      <x:c r="D1528" s="12" t="n">
        <x:v>119773.68</x:v>
      </x:c>
      <x:c r="E1528" s="12" t="n">
        <x:v>492.96</x:v>
      </x:c>
      <x:c r="F1528" s="12" t="n">
        <x:f>SUM(B1528,D1528:E1528)</x:f>
        <x:v>120571.458455</x:v>
      </x:c>
      <x:c r="G1528" s="12" t="n">
        <x:f>MAX(G1527,F1528)</x:f>
        <x:v>120571.458455</x:v>
      </x:c>
      <x:c r="H1528" s="14" t="n">
        <x:f>F1528/G1528-1</x:f>
        <x:v>0</x:v>
      </x:c>
      <x:c r="I1528" s="14" t="n">
        <x:f>F1528/F1527-1</x:f>
        <x:v>0.013745813283325248</x:v>
      </x:c>
      <x:c r="J1528" s="12" t="n">
        <x:v>0</x:v>
      </x:c>
      <x:c r="K1528" s="12" t="n">
        <x:v>0</x:v>
      </x:c>
      <x:c r="L1528" s="12" t="n">
        <x:v>0</x:v>
      </x:c>
      <x:c r="M1528" s="2" t="str">
        <x:v>持有</x:v>
      </x:c>
    </x:row>
    <x:row r="1529" ht="23" customHeight="1">
      <x:c r="A1529" s="11" t="d">
        <x:v>2021-01-21T00:00:00.000Z</x:v>
      </x:c>
      <x:c r="B1529" s="12" t="n">
        <x:v>304.818455</x:v>
      </x:c>
      <x:c r="C1529" s="13" t="n">
        <x:v>312</x:v>
      </x:c>
      <x:c r="D1529" s="12" t="n">
        <x:v>119882.88</x:v>
      </x:c>
      <x:c r="E1529" s="12" t="n">
        <x:v>492.96</x:v>
      </x:c>
      <x:c r="F1529" s="12" t="n">
        <x:f>SUM(B1529,D1529:E1529)</x:f>
        <x:v>120680.65845500001</x:v>
      </x:c>
      <x:c r="G1529" s="12" t="n">
        <x:f>MAX(G1528,F1529)</x:f>
        <x:v>120680.65845500001</x:v>
      </x:c>
      <x:c r="H1529" s="14" t="n">
        <x:f>F1529/G1529-1</x:f>
        <x:v>0</x:v>
      </x:c>
      <x:c r="I1529" s="14" t="n">
        <x:f>F1529/F1528-1</x:f>
        <x:v>0.0009056869793175881</x:v>
      </x:c>
      <x:c r="J1529" s="12" t="n">
        <x:v>0</x:v>
      </x:c>
      <x:c r="K1529" s="12" t="n">
        <x:v>0</x:v>
      </x:c>
      <x:c r="L1529" s="12" t="n">
        <x:v>0</x:v>
      </x:c>
      <x:c r="M1529" s="2" t="str">
        <x:v>持有</x:v>
      </x:c>
    </x:row>
    <x:row r="1530" ht="23" customHeight="1">
      <x:c r="A1530" s="11" t="d">
        <x:v>2021-01-22T00:00:00.000Z</x:v>
      </x:c>
      <x:c r="B1530" s="12" t="n">
        <x:v>304.818455</x:v>
      </x:c>
      <x:c r="C1530" s="13" t="n">
        <x:v>312</x:v>
      </x:c>
      <x:c r="D1530" s="12" t="n">
        <x:v>119458.56</x:v>
      </x:c>
      <x:c r="E1530" s="12" t="n">
        <x:v>492.96</x:v>
      </x:c>
      <x:c r="F1530" s="12" t="n">
        <x:f>SUM(B1530,D1530:E1530)</x:f>
        <x:v>120256.338455</x:v>
      </x:c>
      <x:c r="G1530" s="12" t="n">
        <x:f>MAX(G1529,F1530)</x:f>
        <x:v>120680.65845500001</x:v>
      </x:c>
      <x:c r="H1530" s="14" t="n">
        <x:f>F1530/G1530-1</x:f>
        <x:v>-0.003516056387430355</x:v>
      </x:c>
      <x:c r="I1530" s="14" t="n">
        <x:f>F1530/F1529-1</x:f>
        <x:v>-0.003516056387430355</x:v>
      </x:c>
      <x:c r="J1530" s="12" t="n">
        <x:v>0</x:v>
      </x:c>
      <x:c r="K1530" s="12" t="n">
        <x:v>0</x:v>
      </x:c>
      <x:c r="L1530" s="12" t="n">
        <x:v>0</x:v>
      </x:c>
      <x:c r="M1530" s="2" t="str">
        <x:v>持有</x:v>
      </x:c>
    </x:row>
    <x:row r="1531" ht="23" customHeight="1">
      <x:c r="A1531" s="11" t="d">
        <x:v>2021-01-25T00:00:00.000Z</x:v>
      </x:c>
      <x:c r="B1531" s="12" t="n">
        <x:v>304.818455</x:v>
      </x:c>
      <x:c r="C1531" s="13" t="n">
        <x:v>312</x:v>
      </x:c>
      <x:c r="D1531" s="12" t="n">
        <x:v>119929.68</x:v>
      </x:c>
      <x:c r="E1531" s="12" t="n">
        <x:v>492.96</x:v>
      </x:c>
      <x:c r="F1531" s="12" t="n">
        <x:f>SUM(B1531,D1531:E1531)</x:f>
        <x:v>120727.458455</x:v>
      </x:c>
      <x:c r="G1531" s="12" t="n">
        <x:f>MAX(G1530,F1531)</x:f>
        <x:v>120727.458455</x:v>
      </x:c>
      <x:c r="H1531" s="14" t="n">
        <x:f>F1531/G1531-1</x:f>
        <x:v>0</x:v>
      </x:c>
      <x:c r="I1531" s="14" t="n">
        <x:f>F1531/F1530-1</x:f>
        <x:v>0.0039176313369650995</x:v>
      </x:c>
      <x:c r="J1531" s="12" t="n">
        <x:v>0</x:v>
      </x:c>
      <x:c r="K1531" s="12" t="n">
        <x:v>0</x:v>
      </x:c>
      <x:c r="L1531" s="12" t="n">
        <x:v>0</x:v>
      </x:c>
      <x:c r="M1531" s="2" t="str">
        <x:v>持有</x:v>
      </x:c>
    </x:row>
    <x:row r="1532" ht="23" customHeight="1">
      <x:c r="A1532" s="11" t="d">
        <x:v>2021-01-26T00:00:00.000Z</x:v>
      </x:c>
      <x:c r="B1532" s="12" t="n">
        <x:v>304.818455</x:v>
      </x:c>
      <x:c r="C1532" s="13" t="n">
        <x:v>312</x:v>
      </x:c>
      <x:c r="D1532" s="12" t="n">
        <x:v>119742.48000000001</x:v>
      </x:c>
      <x:c r="E1532" s="12" t="n">
        <x:v>492.96</x:v>
      </x:c>
      <x:c r="F1532" s="12" t="n">
        <x:f>SUM(B1532,D1532:E1532)</x:f>
        <x:v>120540.25845500002</x:v>
      </x:c>
      <x:c r="G1532" s="12" t="n">
        <x:f>MAX(G1531,F1532)</x:f>
        <x:v>120727.458455</x:v>
      </x:c>
      <x:c r="H1532" s="14" t="n">
        <x:f>F1532/G1532-1</x:f>
        <x:v>-0.0015506000241838347</x:v>
      </x:c>
      <x:c r="I1532" s="14" t="n">
        <x:f>F1532/F1531-1</x:f>
        <x:v>-0.0015506000241838347</x:v>
      </x:c>
      <x:c r="J1532" s="12" t="n">
        <x:v>0</x:v>
      </x:c>
      <x:c r="K1532" s="12" t="n">
        <x:v>0</x:v>
      </x:c>
      <x:c r="L1532" s="12" t="n">
        <x:v>0</x:v>
      </x:c>
      <x:c r="M1532" s="2" t="str">
        <x:v>持有</x:v>
      </x:c>
    </x:row>
    <x:row r="1533" ht="23" customHeight="1">
      <x:c r="A1533" s="11" t="d">
        <x:v>2021-01-27T00:00:00.000Z</x:v>
      </x:c>
      <x:c r="B1533" s="12" t="n">
        <x:v>304.818455</x:v>
      </x:c>
      <x:c r="C1533" s="13" t="n">
        <x:v>312</x:v>
      </x:c>
      <x:c r="D1533" s="12" t="n">
        <x:v>116815.92000000001</x:v>
      </x:c>
      <x:c r="E1533" s="12" t="n">
        <x:v>492.96</x:v>
      </x:c>
      <x:c r="F1533" s="12" t="n">
        <x:f>SUM(B1533,D1533:E1533)</x:f>
        <x:v>117613.69845500002</x:v>
      </x:c>
      <x:c r="G1533" s="12" t="n">
        <x:f>MAX(G1532,F1533)</x:f>
        <x:v>120727.458455</x:v>
      </x:c>
      <x:c r="H1533" s="14" t="n">
        <x:f>F1533/G1533-1</x:f>
        <x:v>-0.02579164706892756</x:v>
      </x:c>
      <x:c r="I1533" s="14" t="n">
        <x:f>F1533/F1532-1</x:f>
        <x:v>-0.024278693587607814</x:v>
      </x:c>
      <x:c r="J1533" s="12" t="n">
        <x:v>0</x:v>
      </x:c>
      <x:c r="K1533" s="12" t="n">
        <x:v>0</x:v>
      </x:c>
      <x:c r="L1533" s="12" t="n">
        <x:v>0</x:v>
      </x:c>
      <x:c r="M1533" s="2" t="str">
        <x:v>持有</x:v>
      </x:c>
    </x:row>
    <x:row r="1534" ht="23" customHeight="1">
      <x:c r="A1534" s="11" t="d">
        <x:v>2021-01-28T00:00:00.000Z</x:v>
      </x:c>
      <x:c r="B1534" s="12" t="n">
        <x:v>304.818455</x:v>
      </x:c>
      <x:c r="C1534" s="13" t="n">
        <x:v>312</x:v>
      </x:c>
      <x:c r="D1534" s="12" t="n">
        <x:v>117820.56</x:v>
      </x:c>
      <x:c r="E1534" s="12" t="n">
        <x:v>492.96</x:v>
      </x:c>
      <x:c r="F1534" s="12" t="n">
        <x:f>SUM(B1534,D1534:E1534)</x:f>
        <x:v>118618.338455</x:v>
      </x:c>
      <x:c r="G1534" s="12" t="n">
        <x:f>MAX(G1533,F1534)</x:f>
        <x:v>120727.458455</x:v>
      </x:c>
      <x:c r="H1534" s="14" t="n">
        <x:f>F1534/G1534-1</x:f>
        <x:v>-0.017470093605806758</x:v>
      </x:c>
      <x:c r="I1534" s="14" t="n">
        <x:f>F1534/F1533-1</x:f>
        <x:v>0.008541862157190439</x:v>
      </x:c>
      <x:c r="J1534" s="12" t="n">
        <x:v>0</x:v>
      </x:c>
      <x:c r="K1534" s="12" t="n">
        <x:v>0</x:v>
      </x:c>
      <x:c r="L1534" s="12" t="n">
        <x:v>0</x:v>
      </x:c>
      <x:c r="M1534" s="2" t="str">
        <x:v>持有</x:v>
      </x:c>
    </x:row>
    <x:row r="1535" ht="23" customHeight="1">
      <x:c r="A1535" s="11" t="d">
        <x:v>2021-01-29T00:00:00.000Z</x:v>
      </x:c>
      <x:c r="B1535" s="12" t="n">
        <x:v>797.778455</x:v>
      </x:c>
      <x:c r="C1535" s="13" t="n">
        <x:v>312</x:v>
      </x:c>
      <x:c r="D1535" s="12" t="n">
        <x:v>115461.84</x:v>
      </x:c>
      <x:c r="E1535" s="12" t="n">
        <x:v>0</x:v>
      </x:c>
      <x:c r="F1535" s="12" t="n">
        <x:f>SUM(B1535,D1535:E1535)</x:f>
        <x:v>116259.618455</x:v>
      </x:c>
      <x:c r="G1535" s="12" t="n">
        <x:f>MAX(G1534,F1535)</x:f>
        <x:v>120727.458455</x:v>
      </x:c>
      <x:c r="H1535" s="14" t="n">
        <x:f>F1535/G1535-1</x:f>
        <x:v>-0.03700765391052563</x:v>
      </x:c>
      <x:c r="I1535" s="14" t="n">
        <x:f>F1535/F1534-1</x:f>
        <x:v>-0.019884952282440027</x:v>
      </x:c>
      <x:c r="J1535" s="12" t="n">
        <x:v>0</x:v>
      </x:c>
      <x:c r="K1535" s="12" t="n">
        <x:v>492.96</x:v>
      </x:c>
      <x:c r="L1535" s="12" t="n">
        <x:v>0</x:v>
      </x:c>
      <x:c r="M1535" s="2" t="str">
        <x:v>持有</x:v>
      </x:c>
    </x:row>
    <x:row r="1536" ht="23" customHeight="1">
      <x:c r="A1536" s="11" t="d">
        <x:v>2021-02-01T00:00:00.000Z</x:v>
      </x:c>
      <x:c r="B1536" s="12" t="n">
        <x:v>117281.817815</x:v>
      </x:c>
      <x:c r="C1536" s="13" t="n">
        <x:v>0</x:v>
      </x:c>
      <x:c r="D1536" s="12" t="n">
        <x:v>0</x:v>
      </x:c>
      <x:c r="E1536" s="12" t="n">
        <x:v>0</x:v>
      </x:c>
      <x:c r="F1536" s="12" t="n">
        <x:f>SUM(B1536,D1536:E1536)</x:f>
        <x:v>117281.817815</x:v>
      </x:c>
      <x:c r="G1536" s="12" t="n">
        <x:f>MAX(G1535,F1536)</x:f>
        <x:v>120727.458455</x:v>
      </x:c>
      <x:c r="H1536" s="14" t="n">
        <x:f>F1536/G1536-1</x:f>
        <x:v>-0.02854065416513618</x:v>
      </x:c>
      <x:c r="I1536" s="14" t="n">
        <x:f>F1536/F1535-1</x:f>
        <x:v>0.00879238529752846</x:v>
      </x:c>
      <x:c r="J1536" s="12" t="n">
        <x:v>0</x:v>
      </x:c>
      <x:c r="K1536" s="12" t="n">
        <x:v>0</x:v>
      </x:c>
      <x:c r="L1536" s="12" t="n">
        <x:v>-312</x:v>
      </x:c>
      <x:c r="M1536" s="2" t="str">
        <x:v>卖出</x:v>
      </x:c>
    </x:row>
    <x:row r="1537" ht="23" customHeight="1">
      <x:c r="A1537" s="11" t="d">
        <x:v>2021-02-02T00:00:00.000Z</x:v>
      </x:c>
      <x:c r="B1537" s="12" t="n">
        <x:v>232.685615</x:v>
      </x:c>
      <x:c r="C1537" s="13" t="n">
        <x:v>308</x:v>
      </x:c>
      <x:c r="D1537" s="12" t="n">
        <x:v>117517.40000000001</x:v>
      </x:c>
      <x:c r="E1537" s="12" t="n">
        <x:v>0</x:v>
      </x:c>
      <x:c r="F1537" s="12" t="n">
        <x:f>SUM(B1537,D1537:E1537)</x:f>
        <x:v>117750.085615</x:v>
      </x:c>
      <x:c r="G1537" s="12" t="n">
        <x:f>MAX(G1536,F1537)</x:f>
        <x:v>120727.458455</x:v>
      </x:c>
      <x:c r="H1537" s="14" t="n">
        <x:f>F1537/G1537-1</x:f>
        <x:v>-0.02466193588519705</x:v>
      </x:c>
      <x:c r="I1537" s="14" t="n">
        <x:f>F1537/F1536-1</x:f>
        <x:v>0.003992671743361376</x:v>
      </x:c>
      <x:c r="J1537" s="12" t="n">
        <x:v>0</x:v>
      </x:c>
      <x:c r="K1537" s="12" t="n">
        <x:v>0</x:v>
      </x:c>
      <x:c r="L1537" s="12" t="n">
        <x:v>308</x:v>
      </x:c>
      <x:c r="M1537" s="2" t="str">
        <x:v>买入</x:v>
      </x:c>
    </x:row>
    <x:row r="1538" ht="23" customHeight="1">
      <x:c r="A1538" s="11" t="d">
        <x:v>2021-02-03T00:00:00.000Z</x:v>
      </x:c>
      <x:c r="B1538" s="12" t="n">
        <x:v>232.685615</x:v>
      </x:c>
      <x:c r="C1538" s="13" t="n">
        <x:v>308</x:v>
      </x:c>
      <x:c r="D1538" s="12" t="n">
        <x:v>117609.8</x:v>
      </x:c>
      <x:c r="E1538" s="12" t="n">
        <x:v>0</x:v>
      </x:c>
      <x:c r="F1538" s="12" t="n">
        <x:f>SUM(B1538,D1538:E1538)</x:f>
        <x:v>117842.485615</x:v>
      </x:c>
      <x:c r="G1538" s="12" t="n">
        <x:f>MAX(G1537,F1538)</x:f>
        <x:v>120727.458455</x:v>
      </x:c>
      <x:c r="H1538" s="14" t="n">
        <x:f>F1538/G1538-1</x:f>
        <x:v>-0.02389657561684977</x:v>
      </x:c>
      <x:c r="I1538" s="14" t="n">
        <x:f>F1538/F1537-1</x:f>
        <x:v>0.0007847128052382857</x:v>
      </x:c>
      <x:c r="J1538" s="12" t="n">
        <x:v>0</x:v>
      </x:c>
      <x:c r="K1538" s="12" t="n">
        <x:v>0</x:v>
      </x:c>
      <x:c r="L1538" s="12" t="n">
        <x:v>0</x:v>
      </x:c>
      <x:c r="M1538" s="2" t="str">
        <x:v>持有</x:v>
      </x:c>
    </x:row>
    <x:row r="1539" ht="23" customHeight="1">
      <x:c r="A1539" s="11" t="d">
        <x:v>2021-02-04T00:00:00.000Z</x:v>
      </x:c>
      <x:c r="B1539" s="12" t="n">
        <x:v>232.685615</x:v>
      </x:c>
      <x:c r="C1539" s="13" t="n">
        <x:v>308</x:v>
      </x:c>
      <x:c r="D1539" s="12" t="n">
        <x:v>118946.52</x:v>
      </x:c>
      <x:c r="E1539" s="12" t="n">
        <x:v>0</x:v>
      </x:c>
      <x:c r="F1539" s="12" t="n">
        <x:f>SUM(B1539,D1539:E1539)</x:f>
        <x:v>119179.205615</x:v>
      </x:c>
      <x:c r="G1539" s="12" t="n">
        <x:f>MAX(G1538,F1539)</x:f>
        <x:v>120727.458455</x:v>
      </x:c>
      <x:c r="H1539" s="14" t="n">
        <x:f>F1539/G1539-1</x:f>
        <x:v>-0.012824363734759592</x:v>
      </x:c>
      <x:c r="I1539" s="14" t="n">
        <x:f>F1539/F1538-1</x:f>
        <x:v>0.011343277367444227</x:v>
      </x:c>
      <x:c r="J1539" s="12" t="n">
        <x:v>0</x:v>
      </x:c>
      <x:c r="K1539" s="12" t="n">
        <x:v>0</x:v>
      </x:c>
      <x:c r="L1539" s="12" t="n">
        <x:v>0</x:v>
      </x:c>
      <x:c r="M1539" s="2" t="str">
        <x:v>持有</x:v>
      </x:c>
    </x:row>
    <x:row r="1540" ht="23" customHeight="1">
      <x:c r="A1540" s="11" t="d">
        <x:v>2021-02-05T00:00:00.000Z</x:v>
      </x:c>
      <x:c r="B1540" s="12" t="n">
        <x:v>232.685615</x:v>
      </x:c>
      <x:c r="C1540" s="13" t="n">
        <x:v>308</x:v>
      </x:c>
      <x:c r="D1540" s="12" t="n">
        <x:v>119414.68</x:v>
      </x:c>
      <x:c r="E1540" s="12" t="n">
        <x:v>0</x:v>
      </x:c>
      <x:c r="F1540" s="12" t="n">
        <x:f>SUM(B1540,D1540:E1540)</x:f>
        <x:v>119647.36561499999</x:v>
      </x:c>
      <x:c r="G1540" s="12" t="n">
        <x:f>MAX(G1539,F1540)</x:f>
        <x:v>120727.458455</x:v>
      </x:c>
      <x:c r="H1540" s="14" t="n">
        <x:f>F1540/G1540-1</x:f>
        <x:v>-0.008946538375133706</x:v>
      </x:c>
      <x:c r="I1540" s="14" t="n">
        <x:f>F1540/F1539-1</x:f>
        <x:v>0.003928202051558749</x:v>
      </x:c>
      <x:c r="J1540" s="12" t="n">
        <x:v>0</x:v>
      </x:c>
      <x:c r="K1540" s="12" t="n">
        <x:v>0</x:v>
      </x:c>
      <x:c r="L1540" s="12" t="n">
        <x:v>0</x:v>
      </x:c>
      <x:c r="M1540" s="2" t="str">
        <x:v>持有</x:v>
      </x:c>
    </x:row>
    <x:row r="1541" ht="23" customHeight="1">
      <x:c r="A1541" s="11" t="d">
        <x:v>2021-02-08T00:00:00.000Z</x:v>
      </x:c>
      <x:c r="B1541" s="12" t="n">
        <x:v>232.685615</x:v>
      </x:c>
      <x:c r="C1541" s="13" t="n">
        <x:v>308</x:v>
      </x:c>
      <x:c r="D1541" s="12" t="n">
        <x:v>120277.08</x:v>
      </x:c>
      <x:c r="E1541" s="12" t="n">
        <x:v>0</x:v>
      </x:c>
      <x:c r="F1541" s="12" t="n">
        <x:f>SUM(B1541,D1541:E1541)</x:f>
        <x:v>120509.765615</x:v>
      </x:c>
      <x:c r="G1541" s="12" t="n">
        <x:f>MAX(G1540,F1541)</x:f>
        <x:v>120727.458455</x:v>
      </x:c>
      <x:c r="H1541" s="14" t="n">
        <x:f>F1541/G1541-1</x:f>
        <x:v>-0.001803175870559226</x:v>
      </x:c>
      <x:c r="I1541" s="14" t="n">
        <x:f>F1541/F1540-1</x:f>
        <x:v>0.007207847791442568</x:v>
      </x:c>
      <x:c r="J1541" s="12" t="n">
        <x:v>0</x:v>
      </x:c>
      <x:c r="K1541" s="12" t="n">
        <x:v>0</x:v>
      </x:c>
      <x:c r="L1541" s="12" t="n">
        <x:v>0</x:v>
      </x:c>
      <x:c r="M1541" s="2" t="str">
        <x:v>持有</x:v>
      </x:c>
    </x:row>
    <x:row r="1542" ht="23" customHeight="1">
      <x:c r="A1542" s="11" t="d">
        <x:v>2021-02-09T00:00:00.000Z</x:v>
      </x:c>
      <x:c r="B1542" s="12" t="n">
        <x:v>232.685615</x:v>
      </x:c>
      <x:c r="C1542" s="13" t="n">
        <x:v>308</x:v>
      </x:c>
      <x:c r="D1542" s="12" t="n">
        <x:v>120197</x:v>
      </x:c>
      <x:c r="E1542" s="12" t="n">
        <x:v>0</x:v>
      </x:c>
      <x:c r="F1542" s="12" t="n">
        <x:f>SUM(B1542,D1542:E1542)</x:f>
        <x:v>120429.685615</x:v>
      </x:c>
      <x:c r="G1542" s="12" t="n">
        <x:f>MAX(G1541,F1542)</x:f>
        <x:v>120727.458455</x:v>
      </x:c>
      <x:c r="H1542" s="14" t="n">
        <x:f>F1542/G1542-1</x:f>
        <x:v>-0.002466488103126885</x:v>
      </x:c>
      <x:c r="I1542" s="14" t="n">
        <x:f>F1542/F1541-1</x:f>
        <x:v>-0.0006645104617980513</x:v>
      </x:c>
      <x:c r="J1542" s="12" t="n">
        <x:v>0</x:v>
      </x:c>
      <x:c r="K1542" s="12" t="n">
        <x:v>0</x:v>
      </x:c>
      <x:c r="L1542" s="12" t="n">
        <x:v>0</x:v>
      </x:c>
      <x:c r="M1542" s="2" t="str">
        <x:v>持有</x:v>
      </x:c>
    </x:row>
    <x:row r="1543" ht="23" customHeight="1">
      <x:c r="A1543" s="11" t="d">
        <x:v>2021-02-10T00:00:00.000Z</x:v>
      </x:c>
      <x:c r="B1543" s="12" t="n">
        <x:v>232.685615</x:v>
      </x:c>
      <x:c r="C1543" s="13" t="n">
        <x:v>308</x:v>
      </x:c>
      <x:c r="D1543" s="12" t="n">
        <x:v>120144.64</x:v>
      </x:c>
      <x:c r="E1543" s="12" t="n">
        <x:v>0</x:v>
      </x:c>
      <x:c r="F1543" s="12" t="n">
        <x:f>SUM(B1543,D1543:E1543)</x:f>
        <x:v>120377.325615</x:v>
      </x:c>
      <x:c r="G1543" s="12" t="n">
        <x:f>MAX(G1542,F1543)</x:f>
        <x:v>120727.458455</x:v>
      </x:c>
      <x:c r="H1543" s="14" t="n">
        <x:f>F1543/G1543-1</x:f>
        <x:v>-0.002900192255190337</x:v>
      </x:c>
      <x:c r="I1543" s="14" t="n">
        <x:f>F1543/F1542-1</x:f>
        <x:v>-0.000434776523185354</x:v>
      </x:c>
      <x:c r="J1543" s="12" t="n">
        <x:v>0</x:v>
      </x:c>
      <x:c r="K1543" s="12" t="n">
        <x:v>0</x:v>
      </x:c>
      <x:c r="L1543" s="12" t="n">
        <x:v>0</x:v>
      </x:c>
      <x:c r="M1543" s="2" t="str">
        <x:v>持有</x:v>
      </x:c>
    </x:row>
    <x:row r="1544" ht="23" customHeight="1">
      <x:c r="A1544" s="11" t="d">
        <x:v>2021-02-11T00:00:00.000Z</x:v>
      </x:c>
      <x:c r="B1544" s="12" t="n">
        <x:v>232.685615</x:v>
      </x:c>
      <x:c r="C1544" s="13" t="n">
        <x:v>308</x:v>
      </x:c>
      <x:c r="D1544" s="12" t="n">
        <x:v>120338.68</x:v>
      </x:c>
      <x:c r="E1544" s="12" t="n">
        <x:v>0</x:v>
      </x:c>
      <x:c r="F1544" s="12" t="n">
        <x:f>SUM(B1544,D1544:E1544)</x:f>
        <x:v>120571.36561499999</x:v>
      </x:c>
      <x:c r="G1544" s="12" t="n">
        <x:f>MAX(G1543,F1544)</x:f>
        <x:v>120727.458455</x:v>
      </x:c>
      <x:c r="H1544" s="14" t="n">
        <x:f>F1544/G1544-1</x:f>
        <x:v>-0.0012929356916612234</x:v>
      </x:c>
      <x:c r="I1544" s="14" t="n">
        <x:f>F1544/F1543-1</x:f>
        <x:v>0.0016119314747080615</x:v>
      </x:c>
      <x:c r="J1544" s="12" t="n">
        <x:v>0</x:v>
      </x:c>
      <x:c r="K1544" s="12" t="n">
        <x:v>0</x:v>
      </x:c>
      <x:c r="L1544" s="12" t="n">
        <x:v>0</x:v>
      </x:c>
      <x:c r="M1544" s="2" t="str">
        <x:v>持有</x:v>
      </x:c>
    </x:row>
    <x:row r="1545" ht="23" customHeight="1">
      <x:c r="A1545" s="11" t="d">
        <x:v>2021-02-12T00:00:00.000Z</x:v>
      </x:c>
      <x:c r="B1545" s="12" t="n">
        <x:v>232.685615</x:v>
      </x:c>
      <x:c r="C1545" s="13" t="n">
        <x:v>308</x:v>
      </x:c>
      <x:c r="D1545" s="12" t="n">
        <x:v>120933.12</x:v>
      </x:c>
      <x:c r="E1545" s="12" t="n">
        <x:v>0</x:v>
      </x:c>
      <x:c r="F1545" s="12" t="n">
        <x:f>SUM(B1545,D1545:E1545)</x:f>
        <x:v>121165.80561499999</x:v>
      </x:c>
      <x:c r="G1545" s="12" t="n">
        <x:f>MAX(G1544,F1545)</x:f>
        <x:v>121165.80561499999</x:v>
      </x:c>
      <x:c r="H1545" s="14" t="n">
        <x:f>F1545/G1545-1</x:f>
        <x:v>0</x:v>
      </x:c>
      <x:c r="I1545" s="14" t="n">
        <x:f>F1545/F1544-1</x:f>
        <x:v>0.004930192147761803</x:v>
      </x:c>
      <x:c r="J1545" s="12" t="n">
        <x:v>0</x:v>
      </x:c>
      <x:c r="K1545" s="12" t="n">
        <x:v>0</x:v>
      </x:c>
      <x:c r="L1545" s="12" t="n">
        <x:v>0</x:v>
      </x:c>
      <x:c r="M1545" s="2" t="str">
        <x:v>持有</x:v>
      </x:c>
    </x:row>
    <x:row r="1546" ht="23" customHeight="1">
      <x:c r="A1546" s="11" t="d">
        <x:v>2021-02-16T00:00:00.000Z</x:v>
      </x:c>
      <x:c r="B1546" s="12" t="n">
        <x:v>232.685615</x:v>
      </x:c>
      <x:c r="C1546" s="13" t="n">
        <x:v>308</x:v>
      </x:c>
      <x:c r="D1546" s="12" t="n">
        <x:v>120828.40000000001</x:v>
      </x:c>
      <x:c r="E1546" s="12" t="n">
        <x:v>0</x:v>
      </x:c>
      <x:c r="F1546" s="12" t="n">
        <x:f>SUM(B1546,D1546:E1546)</x:f>
        <x:v>121061.085615</x:v>
      </x:c>
      <x:c r="G1546" s="12" t="n">
        <x:f>MAX(G1545,F1546)</x:f>
        <x:v>121165.80561499999</x:v>
      </x:c>
      <x:c r="H1546" s="14" t="n">
        <x:f>F1546/G1546-1</x:f>
        <x:v>-0.0008642702408362402</x:v>
      </x:c>
      <x:c r="I1546" s="14" t="n">
        <x:f>F1546/F1545-1</x:f>
        <x:v>-0.0008642702408362402</x:v>
      </x:c>
      <x:c r="J1546" s="12" t="n">
        <x:v>0</x:v>
      </x:c>
      <x:c r="K1546" s="12" t="n">
        <x:v>0</x:v>
      </x:c>
      <x:c r="L1546" s="12" t="n">
        <x:v>0</x:v>
      </x:c>
      <x:c r="M1546" s="2" t="str">
        <x:v>持有</x:v>
      </x:c>
    </x:row>
    <x:row r="1547" ht="23" customHeight="1">
      <x:c r="A1547" s="11" t="d">
        <x:v>2021-02-17T00:00:00.000Z</x:v>
      </x:c>
      <x:c r="B1547" s="12" t="n">
        <x:v>232.685615</x:v>
      </x:c>
      <x:c r="C1547" s="13" t="n">
        <x:v>308</x:v>
      </x:c>
      <x:c r="D1547" s="12" t="n">
        <x:v>120856.12</x:v>
      </x:c>
      <x:c r="E1547" s="12" t="n">
        <x:v>0</x:v>
      </x:c>
      <x:c r="F1547" s="12" t="n">
        <x:f>SUM(B1547,D1547:E1547)</x:f>
        <x:v>121088.80561499999</x:v>
      </x:c>
      <x:c r="G1547" s="12" t="n">
        <x:f>MAX(G1546,F1547)</x:f>
        <x:v>121165.80561499999</x:v>
      </x:c>
      <x:c r="H1547" s="14" t="n">
        <x:f>F1547/G1547-1</x:f>
        <x:v>-0.0006354928241443236</x:v>
      </x:c>
      <x:c r="I1547" s="14" t="n">
        <x:f>F1547/F1546-1</x:f>
        <x:v>0.00022897531324095333</x:v>
      </x:c>
      <x:c r="J1547" s="12" t="n">
        <x:v>0</x:v>
      </x:c>
      <x:c r="K1547" s="12" t="n">
        <x:v>0</x:v>
      </x:c>
      <x:c r="L1547" s="12" t="n">
        <x:v>0</x:v>
      </x:c>
      <x:c r="M1547" s="2" t="str">
        <x:v>持有</x:v>
      </x:c>
    </x:row>
    <x:row r="1548" ht="23" customHeight="1">
      <x:c r="A1548" s="11" t="d">
        <x:v>2021-02-18T00:00:00.000Z</x:v>
      </x:c>
      <x:c r="B1548" s="12" t="n">
        <x:v>232.685615</x:v>
      </x:c>
      <x:c r="C1548" s="13" t="n">
        <x:v>308</x:v>
      </x:c>
      <x:c r="D1548" s="12" t="n">
        <x:v>120341.76000000001</x:v>
      </x:c>
      <x:c r="E1548" s="12" t="n">
        <x:v>0</x:v>
      </x:c>
      <x:c r="F1548" s="12" t="n">
        <x:f>SUM(B1548,D1548:E1548)</x:f>
        <x:v>120574.445615</x:v>
      </x:c>
      <x:c r="G1548" s="12" t="n">
        <x:f>MAX(G1547,F1548)</x:f>
        <x:v>121165.80561499999</x:v>
      </x:c>
      <x:c r="H1548" s="14" t="n">
        <x:f>F1548/G1548-1</x:f>
        <x:v>-0.004880584889428441</x:v>
      </x:c>
      <x:c r="I1548" s="14" t="n">
        <x:f>F1548/F1547-1</x:f>
        <x:v>-0.004247791506304721</x:v>
      </x:c>
      <x:c r="J1548" s="12" t="n">
        <x:v>0</x:v>
      </x:c>
      <x:c r="K1548" s="12" t="n">
        <x:v>0</x:v>
      </x:c>
      <x:c r="L1548" s="12" t="n">
        <x:v>0</x:v>
      </x:c>
      <x:c r="M1548" s="2" t="str">
        <x:v>持有</x:v>
      </x:c>
    </x:row>
    <x:row r="1549" ht="23" customHeight="1">
      <x:c r="A1549" s="11" t="d">
        <x:v>2021-02-19T00:00:00.000Z</x:v>
      </x:c>
      <x:c r="B1549" s="12" t="n">
        <x:v>232.685615</x:v>
      </x:c>
      <x:c r="C1549" s="13" t="n">
        <x:v>308</x:v>
      </x:c>
      <x:c r="D1549" s="12" t="n">
        <x:v>120129.23999999999</x:v>
      </x:c>
      <x:c r="E1549" s="12" t="n">
        <x:v>0</x:v>
      </x:c>
      <x:c r="F1549" s="12" t="n">
        <x:f>SUM(B1549,D1549:E1549)</x:f>
        <x:v>120361.92561499999</x:v>
      </x:c>
      <x:c r="G1549" s="12" t="n">
        <x:f>MAX(G1548,F1549)</x:f>
        <x:v>121165.80561499999</x:v>
      </x:c>
      <x:c r="H1549" s="14" t="n">
        <x:f>F1549/G1549-1</x:f>
        <x:v>-0.006634545084066912</x:v>
      </x:c>
      <x:c r="I1549" s="14" t="n">
        <x:f>F1549/F1548-1</x:f>
        <x:v>-0.001762562530692513</x:v>
      </x:c>
      <x:c r="J1549" s="12" t="n">
        <x:v>0</x:v>
      </x:c>
      <x:c r="K1549" s="12" t="n">
        <x:v>0</x:v>
      </x:c>
      <x:c r="L1549" s="12" t="n">
        <x:v>0</x:v>
      </x:c>
      <x:c r="M1549" s="2" t="str">
        <x:v>持有</x:v>
      </x:c>
    </x:row>
    <x:row r="1550" ht="23" customHeight="1">
      <x:c r="A1550" s="11" t="d">
        <x:v>2021-02-22T00:00:00.000Z</x:v>
      </x:c>
      <x:c r="B1550" s="12" t="n">
        <x:v>232.685615</x:v>
      </x:c>
      <x:c r="C1550" s="13" t="n">
        <x:v>308</x:v>
      </x:c>
      <x:c r="D1550" s="12" t="n">
        <x:v>119205.23999999999</x:v>
      </x:c>
      <x:c r="E1550" s="12" t="n">
        <x:v>0</x:v>
      </x:c>
      <x:c r="F1550" s="12" t="n">
        <x:f>SUM(B1550,D1550:E1550)</x:f>
        <x:v>119437.92561499999</x:v>
      </x:c>
      <x:c r="G1550" s="12" t="n">
        <x:f>MAX(G1549,F1550)</x:f>
        <x:v>121165.80561499999</x:v>
      </x:c>
      <x:c r="H1550" s="14" t="n">
        <x:f>F1550/G1550-1</x:f>
        <x:v>-0.014260458973798906</x:v>
      </x:c>
      <x:c r="I1550" s="14" t="n">
        <x:f>F1550/F1549-1</x:f>
        <x:v>-0.007676846272429927</x:v>
      </x:c>
      <x:c r="J1550" s="12" t="n">
        <x:v>0</x:v>
      </x:c>
      <x:c r="K1550" s="12" t="n">
        <x:v>0</x:v>
      </x:c>
      <x:c r="L1550" s="12" t="n">
        <x:v>0</x:v>
      </x:c>
      <x:c r="M1550" s="2" t="str">
        <x:v>持有</x:v>
      </x:c>
    </x:row>
    <x:row r="1551" ht="23" customHeight="1">
      <x:c r="A1551" s="11" t="d">
        <x:v>2021-02-23T00:00:00.000Z</x:v>
      </x:c>
      <x:c r="B1551" s="12" t="n">
        <x:v>232.685615</x:v>
      </x:c>
      <x:c r="C1551" s="13" t="n">
        <x:v>308</x:v>
      </x:c>
      <x:c r="D1551" s="12" t="n">
        <x:v>119350</x:v>
      </x:c>
      <x:c r="E1551" s="12" t="n">
        <x:v>0</x:v>
      </x:c>
      <x:c r="F1551" s="12" t="n">
        <x:f>SUM(B1551,D1551:E1551)</x:f>
        <x:v>119582.685615</x:v>
      </x:c>
      <x:c r="G1551" s="12" t="n">
        <x:f>MAX(G1550,F1551)</x:f>
        <x:v>121165.80561499999</x:v>
      </x:c>
      <x:c r="H1551" s="14" t="n">
        <x:f>F1551/G1551-1</x:f>
        <x:v>-0.013065732464407565</x:v>
      </x:c>
      <x:c r="I1551" s="14" t="n">
        <x:f>F1551/F1550-1</x:f>
        <x:v>0.0012120103330213183</x:v>
      </x:c>
      <x:c r="J1551" s="12" t="n">
        <x:v>0</x:v>
      </x:c>
      <x:c r="K1551" s="12" t="n">
        <x:v>0</x:v>
      </x:c>
      <x:c r="L1551" s="12" t="n">
        <x:v>0</x:v>
      </x:c>
      <x:c r="M1551" s="2" t="str">
        <x:v>持有</x:v>
      </x:c>
    </x:row>
    <x:row r="1552" ht="23" customHeight="1">
      <x:c r="A1552" s="11" t="d">
        <x:v>2021-02-24T00:00:00.000Z</x:v>
      </x:c>
      <x:c r="B1552" s="12" t="n">
        <x:v>232.685615</x:v>
      </x:c>
      <x:c r="C1552" s="13" t="n">
        <x:v>308</x:v>
      </x:c>
      <x:c r="D1552" s="12" t="n">
        <x:v>120665.15999999999</x:v>
      </x:c>
      <x:c r="E1552" s="12" t="n">
        <x:v>0</x:v>
      </x:c>
      <x:c r="F1552" s="12" t="n">
        <x:f>SUM(B1552,D1552:E1552)</x:f>
        <x:v>120897.84561499998</x:v>
      </x:c>
      <x:c r="G1552" s="12" t="n">
        <x:f>MAX(G1551,F1552)</x:f>
        <x:v>121165.80561499999</x:v>
      </x:c>
      <x:c r="H1552" s="14" t="n">
        <x:f>F1552/G1552-1</x:f>
        <x:v>-0.002211515028022304</x:v>
      </x:c>
      <x:c r="I1552" s="14" t="n">
        <x:f>F1552/F1551-1</x:f>
        <x:v>0.01099791322829291</x:v>
      </x:c>
      <x:c r="J1552" s="12" t="n">
        <x:v>0</x:v>
      </x:c>
      <x:c r="K1552" s="12" t="n">
        <x:v>0</x:v>
      </x:c>
      <x:c r="L1552" s="12" t="n">
        <x:v>0</x:v>
      </x:c>
      <x:c r="M1552" s="2" t="str">
        <x:v>持有</x:v>
      </x:c>
    </x:row>
    <x:row r="1553" ht="23" customHeight="1">
      <x:c r="A1553" s="11" t="d">
        <x:v>2021-02-25T00:00:00.000Z</x:v>
      </x:c>
      <x:c r="B1553" s="12" t="n">
        <x:v>232.685615</x:v>
      </x:c>
      <x:c r="C1553" s="13" t="n">
        <x:v>308</x:v>
      </x:c>
      <x:c r="D1553" s="12" t="n">
        <x:v>117757.64</x:v>
      </x:c>
      <x:c r="E1553" s="12" t="n">
        <x:v>0</x:v>
      </x:c>
      <x:c r="F1553" s="12" t="n">
        <x:f>SUM(B1553,D1553:E1553)</x:f>
        <x:v>117990.325615</x:v>
      </x:c>
      <x:c r="G1553" s="12" t="n">
        <x:f>MAX(G1552,F1553)</x:f>
        <x:v>121165.80561499999</x:v>
      </x:c>
      <x:c r="H1553" s="14" t="n">
        <x:f>F1553/G1553-1</x:f>
        <x:v>-0.026207724067712435</x:v>
      </x:c>
      <x:c r="I1553" s="14" t="n">
        <x:f>F1553/F1552-1</x:f>
        <x:v>-0.024049394637345345</x:v>
      </x:c>
      <x:c r="J1553" s="12" t="n">
        <x:v>0</x:v>
      </x:c>
      <x:c r="K1553" s="12" t="n">
        <x:v>0</x:v>
      </x:c>
      <x:c r="L1553" s="12" t="n">
        <x:v>0</x:v>
      </x:c>
      <x:c r="M1553" s="2" t="str">
        <x:v>持有</x:v>
      </x:c>
    </x:row>
    <x:row r="1554" ht="23" customHeight="1">
      <x:c r="A1554" s="11" t="d">
        <x:v>2021-02-26T00:00:00.000Z</x:v>
      </x:c>
      <x:c r="B1554" s="12" t="n">
        <x:v>232.685615</x:v>
      </x:c>
      <x:c r="C1554" s="13" t="n">
        <x:v>308</x:v>
      </x:c>
      <x:c r="D1554" s="12" t="n">
        <x:v>117150.88</x:v>
      </x:c>
      <x:c r="E1554" s="12" t="n">
        <x:v>0</x:v>
      </x:c>
      <x:c r="F1554" s="12" t="n">
        <x:f>SUM(B1554,D1554:E1554)</x:f>
        <x:v>117383.565615</x:v>
      </x:c>
      <x:c r="G1554" s="12" t="n">
        <x:f>MAX(G1553,F1554)</x:f>
        <x:v>121165.80561499999</x:v>
      </x:c>
      <x:c r="H1554" s="14" t="n">
        <x:f>F1554/G1554-1</x:f>
        <x:v>-0.031215407521969718</x:v>
      </x:c>
      <x:c r="I1554" s="14" t="n">
        <x:f>F1554/F1553-1</x:f>
        <x:v>-0.005142455509274835</x:v>
      </x:c>
      <x:c r="J1554" s="12" t="n">
        <x:v>0</x:v>
      </x:c>
      <x:c r="K1554" s="12" t="n">
        <x:v>0</x:v>
      </x:c>
      <x:c r="L1554" s="12" t="n">
        <x:v>0</x:v>
      </x:c>
      <x:c r="M1554" s="2" t="str">
        <x:v>持有</x:v>
      </x:c>
    </x:row>
    <x:row r="1555" ht="23" customHeight="1">
      <x:c r="A1555" s="11" t="d">
        <x:v>2021-03-01T00:00:00.000Z</x:v>
      </x:c>
      <x:c r="B1555" s="12" t="n">
        <x:v>232.685615</x:v>
      </x:c>
      <x:c r="C1555" s="13" t="n">
        <x:v>308</x:v>
      </x:c>
      <x:c r="D1555" s="12" t="n">
        <x:v>119990.64</x:v>
      </x:c>
      <x:c r="E1555" s="12" t="n">
        <x:v>0</x:v>
      </x:c>
      <x:c r="F1555" s="12" t="n">
        <x:f>SUM(B1555,D1555:E1555)</x:f>
        <x:v>120223.325615</x:v>
      </x:c>
      <x:c r="G1555" s="12" t="n">
        <x:f>MAX(G1554,F1555)</x:f>
        <x:v>121165.80561499999</x:v>
      </x:c>
      <x:c r="H1555" s="14" t="n">
        <x:f>F1555/G1555-1</x:f>
        <x:v>-0.0077784321675266055</x:v>
      </x:c>
      <x:c r="I1555" s="14" t="n">
        <x:f>F1555/F1554-1</x:f>
        <x:v>0.024192142955632878</x:v>
      </x:c>
      <x:c r="J1555" s="12" t="n">
        <x:v>0</x:v>
      </x:c>
      <x:c r="K1555" s="12" t="n">
        <x:v>0</x:v>
      </x:c>
      <x:c r="L1555" s="12" t="n">
        <x:v>0</x:v>
      </x:c>
      <x:c r="M1555" s="2" t="str">
        <x:v>持有</x:v>
      </x:c>
    </x:row>
    <x:row r="1556" ht="23" customHeight="1">
      <x:c r="A1556" s="11" t="d">
        <x:v>2021-03-02T00:00:00.000Z</x:v>
      </x:c>
      <x:c r="B1556" s="12" t="n">
        <x:v>232.685615</x:v>
      </x:c>
      <x:c r="C1556" s="13" t="n">
        <x:v>308</x:v>
      </x:c>
      <x:c r="D1556" s="12" t="n">
        <x:v>119054.32</x:v>
      </x:c>
      <x:c r="E1556" s="12" t="n">
        <x:v>0</x:v>
      </x:c>
      <x:c r="F1556" s="12" t="n">
        <x:f>SUM(B1556,D1556:E1556)</x:f>
        <x:v>119287.005615</x:v>
      </x:c>
      <x:c r="G1556" s="12" t="n">
        <x:f>MAX(G1555,F1556)</x:f>
        <x:v>121165.80561499999</x:v>
      </x:c>
      <x:c r="H1556" s="14" t="n">
        <x:f>F1556/G1556-1</x:f>
        <x:v>-0.015506024909121674</x:v>
      </x:c>
      <x:c r="I1556" s="14" t="n">
        <x:f>F1556/F1555-1</x:f>
        <x:v>-0.007788172513197966</x:v>
      </x:c>
      <x:c r="J1556" s="12" t="n">
        <x:v>0</x:v>
      </x:c>
      <x:c r="K1556" s="12" t="n">
        <x:v>0</x:v>
      </x:c>
      <x:c r="L1556" s="12" t="n">
        <x:v>0</x:v>
      </x:c>
      <x:c r="M1556" s="2" t="str">
        <x:v>持有</x:v>
      </x:c>
    </x:row>
    <x:row r="1557" ht="23" customHeight="1">
      <x:c r="A1557" s="11" t="d">
        <x:v>2021-03-03T00:00:00.000Z</x:v>
      </x:c>
      <x:c r="B1557" s="12" t="n">
        <x:v>232.685615</x:v>
      </x:c>
      <x:c r="C1557" s="13" t="n">
        <x:v>308</x:v>
      </x:c>
      <x:c r="D1557" s="12" t="n">
        <x:v>117477.36</x:v>
      </x:c>
      <x:c r="E1557" s="12" t="n">
        <x:v>0</x:v>
      </x:c>
      <x:c r="F1557" s="12" t="n">
        <x:f>SUM(B1557,D1557:E1557)</x:f>
        <x:v>117710.045615</x:v>
      </x:c>
      <x:c r="G1557" s="12" t="n">
        <x:f>MAX(G1556,F1557)</x:f>
        <x:v>121165.80561499999</x:v>
      </x:c>
      <x:c r="H1557" s="14" t="n">
        <x:f>F1557/G1557-1</x:f>
        <x:v>-0.028520917947597813</x:v>
      </x:c>
      <x:c r="I1557" s="14" t="n">
        <x:f>F1557/F1556-1</x:f>
        <x:v>-0.013219880840077969</x:v>
      </x:c>
      <x:c r="J1557" s="12" t="n">
        <x:v>0</x:v>
      </x:c>
      <x:c r="K1557" s="12" t="n">
        <x:v>0</x:v>
      </x:c>
      <x:c r="L1557" s="12" t="n">
        <x:v>0</x:v>
      </x:c>
      <x:c r="M1557" s="2" t="str">
        <x:v>持有</x:v>
      </x:c>
    </x:row>
    <x:row r="1558" ht="23" customHeight="1">
      <x:c r="A1558" s="11" t="d">
        <x:v>2021-03-04T00:00:00.000Z</x:v>
      </x:c>
      <x:c r="B1558" s="12" t="n">
        <x:v>232.685615</x:v>
      </x:c>
      <x:c r="C1558" s="13" t="n">
        <x:v>308</x:v>
      </x:c>
      <x:c r="D1558" s="12" t="n">
        <x:v>116023.59999999999</x:v>
      </x:c>
      <x:c r="E1558" s="12" t="n">
        <x:v>0</x:v>
      </x:c>
      <x:c r="F1558" s="12" t="n">
        <x:f>SUM(B1558,D1558:E1558)</x:f>
        <x:v>116256.28561499999</x:v>
      </x:c>
      <x:c r="G1558" s="12" t="n">
        <x:f>MAX(G1557,F1558)</x:f>
        <x:v>121165.80561499999</x:v>
      </x:c>
      <x:c r="H1558" s="14" t="n">
        <x:f>F1558/G1558-1</x:f>
        <x:v>-0.04051902246744288</x:v>
      </x:c>
      <x:c r="I1558" s="14" t="n">
        <x:f>F1558/F1557-1</x:f>
        <x:v>-0.012350347775370807</x:v>
      </x:c>
      <x:c r="J1558" s="12" t="n">
        <x:v>0</x:v>
      </x:c>
      <x:c r="K1558" s="12" t="n">
        <x:v>0</x:v>
      </x:c>
      <x:c r="L1558" s="12" t="n">
        <x:v>0</x:v>
      </x:c>
      <x:c r="M1558" s="2" t="str">
        <x:v>持有</x:v>
      </x:c>
    </x:row>
    <x:row r="1559" ht="23" customHeight="1">
      <x:c r="A1559" s="11" t="d">
        <x:v>2021-03-05T00:00:00.000Z</x:v>
      </x:c>
      <x:c r="B1559" s="12" t="n">
        <x:v>117297.183935</x:v>
      </x:c>
      <x:c r="C1559" s="13" t="n">
        <x:v>0</x:v>
      </x:c>
      <x:c r="D1559" s="12" t="n">
        <x:v>0</x:v>
      </x:c>
      <x:c r="E1559" s="12" t="n">
        <x:v>0</x:v>
      </x:c>
      <x:c r="F1559" s="12" t="n">
        <x:f>SUM(B1559,D1559:E1559)</x:f>
        <x:v>117297.183935</x:v>
      </x:c>
      <x:c r="G1559" s="12" t="n">
        <x:f>MAX(G1558,F1559)</x:f>
        <x:v>121165.80561499999</x:v>
      </x:c>
      <x:c r="H1559" s="14" t="n">
        <x:f>F1559/G1559-1</x:f>
        <x:v>-0.03192832879180785</x:v>
      </x:c>
      <x:c r="I1559" s="14" t="n">
        <x:f>F1559/F1558-1</x:f>
        <x:v>0.008953479930083885</x:v>
      </x:c>
      <x:c r="J1559" s="12" t="n">
        <x:v>0</x:v>
      </x:c>
      <x:c r="K1559" s="12" t="n">
        <x:v>0</x:v>
      </x:c>
      <x:c r="L1559" s="12" t="n">
        <x:v>-308</x:v>
      </x:c>
      <x:c r="M1559" s="2" t="str">
        <x:v>卖出</x:v>
      </x:c>
    </x:row>
    <x:row r="1560" ht="23" customHeight="1">
      <x:c r="A1560" s="11" t="d">
        <x:v>2021-03-08T00:00:00.000Z</x:v>
      </x:c>
      <x:c r="B1560" s="12" t="n">
        <x:v>243.607295</x:v>
      </x:c>
      <x:c r="C1560" s="13" t="n">
        <x:v>304</x:v>
      </x:c>
      <x:c r="D1560" s="12" t="n">
        <x:v>116042.88</x:v>
      </x:c>
      <x:c r="E1560" s="12" t="n">
        <x:v>0</x:v>
      </x:c>
      <x:c r="F1560" s="12" t="n">
        <x:f>SUM(B1560,D1560:E1560)</x:f>
        <x:v>116286.487295</x:v>
      </x:c>
      <x:c r="G1560" s="12" t="n">
        <x:f>MAX(G1559,F1560)</x:f>
        <x:v>121165.80561499999</x:v>
      </x:c>
      <x:c r="H1560" s="14" t="n">
        <x:f>F1560/G1560-1</x:f>
        <x:v>-0.04026976336462329</x:v>
      </x:c>
      <x:c r="I1560" s="14" t="n">
        <x:f>F1560/F1559-1</x:f>
        <x:v>-0.008616546502600353</x:v>
      </x:c>
      <x:c r="J1560" s="12" t="n">
        <x:v>0</x:v>
      </x:c>
      <x:c r="K1560" s="12" t="n">
        <x:v>0</x:v>
      </x:c>
      <x:c r="L1560" s="12" t="n">
        <x:v>304</x:v>
      </x:c>
      <x:c r="M1560" s="2" t="str">
        <x:v>买入</x:v>
      </x:c>
    </x:row>
    <x:row r="1561" ht="23" customHeight="1">
      <x:c r="A1561" s="11" t="d">
        <x:v>2021-03-09T00:00:00.000Z</x:v>
      </x:c>
      <x:c r="B1561" s="12" t="n">
        <x:v>243.607295</x:v>
      </x:c>
      <x:c r="C1561" s="13" t="n">
        <x:v>304</x:v>
      </x:c>
      <x:c r="D1561" s="12" t="n">
        <x:v>117699.68000000001</x:v>
      </x:c>
      <x:c r="E1561" s="12" t="n">
        <x:v>0</x:v>
      </x:c>
      <x:c r="F1561" s="12" t="n">
        <x:f>SUM(B1561,D1561:E1561)</x:f>
        <x:v>117943.287295</x:v>
      </x:c>
      <x:c r="G1561" s="12" t="n">
        <x:f>MAX(G1560,F1561)</x:f>
        <x:v>121165.80561499999</x:v>
      </x:c>
      <x:c r="H1561" s="14" t="n">
        <x:f>F1561/G1561-1</x:f>
        <x:v>-0.026595938545891595</x:v>
      </x:c>
      <x:c r="I1561" s="14" t="n">
        <x:f>F1561/F1560-1</x:f>
        <x:v>0.014247571136936754</x:v>
      </x:c>
      <x:c r="J1561" s="12" t="n">
        <x:v>0</x:v>
      </x:c>
      <x:c r="K1561" s="12" t="n">
        <x:v>0</x:v>
      </x:c>
      <x:c r="L1561" s="12" t="n">
        <x:v>0</x:v>
      </x:c>
      <x:c r="M1561" s="2" t="str">
        <x:v>持有</x:v>
      </x:c>
    </x:row>
    <x:row r="1562" ht="23" customHeight="1">
      <x:c r="A1562" s="11" t="d">
        <x:v>2021-03-10T00:00:00.000Z</x:v>
      </x:c>
      <x:c r="B1562" s="12" t="n">
        <x:v>243.607295</x:v>
      </x:c>
      <x:c r="C1562" s="13" t="n">
        <x:v>304</x:v>
      </x:c>
      <x:c r="D1562" s="12" t="n">
        <x:v>118432.31999999999</x:v>
      </x:c>
      <x:c r="E1562" s="12" t="n">
        <x:v>0</x:v>
      </x:c>
      <x:c r="F1562" s="12" t="n">
        <x:f>SUM(B1562,D1562:E1562)</x:f>
        <x:v>118675.92729499999</x:v>
      </x:c>
      <x:c r="G1562" s="12" t="n">
        <x:f>MAX(G1561,F1562)</x:f>
        <x:v>121165.80561499999</x:v>
      </x:c>
      <x:c r="H1562" s="14" t="n">
        <x:f>F1562/G1562-1</x:f>
        <x:v>-0.020549348121461808</x:v>
      </x:c>
      <x:c r="I1562" s="14" t="n">
        <x:f>F1562/F1561-1</x:f>
        <x:v>0.006211799050229061</x:v>
      </x:c>
      <x:c r="J1562" s="12" t="n">
        <x:v>0</x:v>
      </x:c>
      <x:c r="K1562" s="12" t="n">
        <x:v>0</x:v>
      </x:c>
      <x:c r="L1562" s="12" t="n">
        <x:v>0</x:v>
      </x:c>
      <x:c r="M1562" s="2" t="str">
        <x:v>持有</x:v>
      </x:c>
    </x:row>
    <x:row r="1563" ht="23" customHeight="1">
      <x:c r="A1563" s="11" t="d">
        <x:v>2021-03-11T00:00:00.000Z</x:v>
      </x:c>
      <x:c r="B1563" s="12" t="n">
        <x:v>243.607295</x:v>
      </x:c>
      <x:c r="C1563" s="13" t="n">
        <x:v>304</x:v>
      </x:c>
      <x:c r="D1563" s="12" t="n">
        <x:v>119633.12</x:v>
      </x:c>
      <x:c r="E1563" s="12" t="n">
        <x:v>0</x:v>
      </x:c>
      <x:c r="F1563" s="12" t="n">
        <x:f>SUM(B1563,D1563:E1563)</x:f>
        <x:v>119876.72729499999</x:v>
      </x:c>
      <x:c r="G1563" s="12" t="n">
        <x:f>MAX(G1562,F1563)</x:f>
        <x:v>121165.80561499999</x:v>
      </x:c>
      <x:c r="H1563" s="14" t="n">
        <x:f>F1563/G1563-1</x:f>
        <x:v>-0.010638961326234209</x:v>
      </x:c>
      <x:c r="I1563" s="14" t="n">
        <x:f>F1563/F1562-1</x:f>
        <x:v>0.010118311500656008</x:v>
      </x:c>
      <x:c r="J1563" s="12" t="n">
        <x:v>0</x:v>
      </x:c>
      <x:c r="K1563" s="12" t="n">
        <x:v>0</x:v>
      </x:c>
      <x:c r="L1563" s="12" t="n">
        <x:v>0</x:v>
      </x:c>
      <x:c r="M1563" s="2" t="str">
        <x:v>持有</x:v>
      </x:c>
    </x:row>
    <x:row r="1564" ht="23" customHeight="1">
      <x:c r="A1564" s="11" t="d">
        <x:v>2021-03-12T00:00:00.000Z</x:v>
      </x:c>
      <x:c r="B1564" s="12" t="n">
        <x:v>243.607295</x:v>
      </x:c>
      <x:c r="C1564" s="13" t="n">
        <x:v>304</x:v>
      </x:c>
      <x:c r="D1564" s="12" t="n">
        <x:v>119794.24</x:v>
      </x:c>
      <x:c r="E1564" s="12" t="n">
        <x:v>0</x:v>
      </x:c>
      <x:c r="F1564" s="12" t="n">
        <x:f>SUM(B1564,D1564:E1564)</x:f>
        <x:v>120037.847295</x:v>
      </x:c>
      <x:c r="G1564" s="12" t="n">
        <x:f>MAX(G1563,F1564)</x:f>
        <x:v>121165.80561499999</x:v>
      </x:c>
      <x:c r="H1564" s="14" t="n">
        <x:f>F1564/G1564-1</x:f>
        <x:v>-0.009309213224595991</x:v>
      </x:c>
      <x:c r="I1564" s="14" t="n">
        <x:f>F1564/F1563-1</x:f>
        <x:v>0.001344047369624235</x:v>
      </x:c>
      <x:c r="J1564" s="12" t="n">
        <x:v>0</x:v>
      </x:c>
      <x:c r="K1564" s="12" t="n">
        <x:v>0</x:v>
      </x:c>
      <x:c r="L1564" s="12" t="n">
        <x:v>0</x:v>
      </x:c>
      <x:c r="M1564" s="2" t="str">
        <x:v>持有</x:v>
      </x:c>
    </x:row>
    <x:row r="1565" ht="23" customHeight="1">
      <x:c r="A1565" s="11" t="d">
        <x:v>2021-03-15T00:00:00.000Z</x:v>
      </x:c>
      <x:c r="B1565" s="12" t="n">
        <x:v>243.607295</x:v>
      </x:c>
      <x:c r="C1565" s="13" t="n">
        <x:v>304</x:v>
      </x:c>
      <x:c r="D1565" s="12" t="n">
        <x:v>120508.64000000001</x:v>
      </x:c>
      <x:c r="E1565" s="12" t="n">
        <x:v>0</x:v>
      </x:c>
      <x:c r="F1565" s="12" t="n">
        <x:f>SUM(B1565,D1565:E1565)</x:f>
        <x:v>120752.24729500001</x:v>
      </x:c>
      <x:c r="G1565" s="12" t="n">
        <x:f>MAX(G1564,F1565)</x:f>
        <x:v>121165.80561499999</x:v>
      </x:c>
      <x:c r="H1565" s="14" t="n">
        <x:f>F1565/G1565-1</x:f>
        <x:v>-0.003413160321106168</x:v>
      </x:c>
      <x:c r="I1565" s="14" t="n">
        <x:f>F1565/F1564-1</x:f>
        <x:v>0.005951456278987743</x:v>
      </x:c>
      <x:c r="J1565" s="12" t="n">
        <x:v>0</x:v>
      </x:c>
      <x:c r="K1565" s="12" t="n">
        <x:v>0</x:v>
      </x:c>
      <x:c r="L1565" s="12" t="n">
        <x:v>0</x:v>
      </x:c>
      <x:c r="M1565" s="2" t="str">
        <x:v>持有</x:v>
      </x:c>
    </x:row>
    <x:row r="1566" ht="23" customHeight="1">
      <x:c r="A1566" s="11" t="d">
        <x:v>2021-03-16T00:00:00.000Z</x:v>
      </x:c>
      <x:c r="B1566" s="12" t="n">
        <x:v>243.607295</x:v>
      </x:c>
      <x:c r="C1566" s="13" t="n">
        <x:v>304</x:v>
      </x:c>
      <x:c r="D1566" s="12" t="n">
        <x:v>120356.64000000001</x:v>
      </x:c>
      <x:c r="E1566" s="12" t="n">
        <x:v>0</x:v>
      </x:c>
      <x:c r="F1566" s="12" t="n">
        <x:f>SUM(B1566,D1566:E1566)</x:f>
        <x:v>120600.24729500001</x:v>
      </x:c>
      <x:c r="G1566" s="12" t="n">
        <x:f>MAX(G1565,F1566)</x:f>
        <x:v>121165.80561499999</x:v>
      </x:c>
      <x:c r="H1566" s="14" t="n">
        <x:f>F1566/G1566-1</x:f>
        <x:v>-0.004667639662274237</x:v>
      </x:c>
      <x:c r="I1566" s="14" t="n">
        <x:f>F1566/F1565-1</x:f>
        <x:v>-0.001258775744592655</x:v>
      </x:c>
      <x:c r="J1566" s="12" t="n">
        <x:v>0</x:v>
      </x:c>
      <x:c r="K1566" s="12" t="n">
        <x:v>0</x:v>
      </x:c>
      <x:c r="L1566" s="12" t="n">
        <x:v>0</x:v>
      </x:c>
      <x:c r="M1566" s="2" t="str">
        <x:v>持有</x:v>
      </x:c>
    </x:row>
    <x:row r="1567" ht="23" customHeight="1">
      <x:c r="A1567" s="11" t="d">
        <x:v>2021-03-17T00:00:00.000Z</x:v>
      </x:c>
      <x:c r="B1567" s="12" t="n">
        <x:v>243.607295</x:v>
      </x:c>
      <x:c r="C1567" s="13" t="n">
        <x:v>304</x:v>
      </x:c>
      <x:c r="D1567" s="12" t="n">
        <x:v>120767.04</x:v>
      </x:c>
      <x:c r="E1567" s="12" t="n">
        <x:v>0</x:v>
      </x:c>
      <x:c r="F1567" s="12" t="n">
        <x:f>SUM(B1567,D1567:E1567)</x:f>
        <x:v>121010.64729499999</x:v>
      </x:c>
      <x:c r="G1567" s="12" t="n">
        <x:f>MAX(G1566,F1567)</x:f>
        <x:v>121165.80561499999</x:v>
      </x:c>
      <x:c r="H1567" s="14" t="n">
        <x:f>F1567/G1567-1</x:f>
        <x:v>-0.0012805454411206618</x:v>
      </x:c>
      <x:c r="I1567" s="14" t="n">
        <x:f>F1567/F1566-1</x:f>
        <x:v>0.003402978096687548</x:v>
      </x:c>
      <x:c r="J1567" s="12" t="n">
        <x:v>0</x:v>
      </x:c>
      <x:c r="K1567" s="12" t="n">
        <x:v>0</x:v>
      </x:c>
      <x:c r="L1567" s="12" t="n">
        <x:v>0</x:v>
      </x:c>
      <x:c r="M1567" s="2" t="str">
        <x:v>持有</x:v>
      </x:c>
    </x:row>
    <x:row r="1568" ht="23" customHeight="1">
      <x:c r="A1568" s="11" t="d">
        <x:v>2021-03-18T00:00:00.000Z</x:v>
      </x:c>
      <x:c r="B1568" s="12" t="n">
        <x:v>243.607295</x:v>
      </x:c>
      <x:c r="C1568" s="13" t="n">
        <x:v>304</x:v>
      </x:c>
      <x:c r="D1568" s="12" t="n">
        <x:v>119009.92000000001</x:v>
      </x:c>
      <x:c r="E1568" s="12" t="n">
        <x:v>0</x:v>
      </x:c>
      <x:c r="F1568" s="12" t="n">
        <x:f>SUM(B1568,D1568:E1568)</x:f>
        <x:v>119253.527295</x:v>
      </x:c>
      <x:c r="G1568" s="12" t="n">
        <x:f>MAX(G1567,F1568)</x:f>
        <x:v>121165.80561499999</x:v>
      </x:c>
      <x:c r="H1568" s="14" t="n">
        <x:f>F1568/G1568-1</x:f>
        <x:v>-0.015782326625023102</x:v>
      </x:c>
      <x:c r="I1568" s="14" t="n">
        <x:f>F1568/F1567-1</x:f>
        <x:v>-0.014520375184147838</x:v>
      </x:c>
      <x:c r="J1568" s="12" t="n">
        <x:v>0</x:v>
      </x:c>
      <x:c r="K1568" s="12" t="n">
        <x:v>0</x:v>
      </x:c>
      <x:c r="L1568" s="12" t="n">
        <x:v>0</x:v>
      </x:c>
      <x:c r="M1568" s="2" t="str">
        <x:v>持有</x:v>
      </x:c>
    </x:row>
    <x:row r="1569" ht="23" customHeight="1">
      <x:c r="A1569" s="11" t="d">
        <x:v>2021-03-19T00:00:00.000Z</x:v>
      </x:c>
      <x:c r="B1569" s="12" t="n">
        <x:v>243.607295</x:v>
      </x:c>
      <x:c r="C1569" s="13" t="n">
        <x:v>304</x:v>
      </x:c>
      <x:c r="D1569" s="12" t="n">
        <x:v>118401.92000000001</x:v>
      </x:c>
      <x:c r="E1569" s="12" t="n">
        <x:v>388.447552</x:v>
      </x:c>
      <x:c r="F1569" s="12" t="n">
        <x:f>SUM(B1569,D1569:E1569)</x:f>
        <x:v>119033.974847</x:v>
      </x:c>
      <x:c r="G1569" s="12" t="n">
        <x:f>MAX(G1568,F1569)</x:f>
        <x:v>121165.80561499999</x:v>
      </x:c>
      <x:c r="H1569" s="14" t="n">
        <x:f>F1569/G1569-1</x:f>
        <x:v>-0.01759432669291039</x:v>
      </x:c>
      <x:c r="I1569" s="14" t="n">
        <x:f>F1569/F1568-1</x:f>
        <x:v>-0.0018410562184620893</x:v>
      </x:c>
      <x:c r="J1569" s="12" t="n">
        <x:v>388.447552</x:v>
      </x:c>
      <x:c r="K1569" s="12" t="n">
        <x:v>0</x:v>
      </x:c>
      <x:c r="L1569" s="12" t="n">
        <x:v>0</x:v>
      </x:c>
      <x:c r="M1569" s="2" t="str">
        <x:v>持有</x:v>
      </x:c>
    </x:row>
    <x:row r="1570" ht="23" customHeight="1">
      <x:c r="A1570" s="11" t="d">
        <x:v>2021-03-22T00:00:00.000Z</x:v>
      </x:c>
      <x:c r="B1570" s="12" t="n">
        <x:v>243.607295</x:v>
      </x:c>
      <x:c r="C1570" s="13" t="n">
        <x:v>304</x:v>
      </x:c>
      <x:c r="D1570" s="12" t="n">
        <x:v>119347.35999999999</x:v>
      </x:c>
      <x:c r="E1570" s="12" t="n">
        <x:v>388.447552</x:v>
      </x:c>
      <x:c r="F1570" s="12" t="n">
        <x:f>SUM(B1570,D1570:E1570)</x:f>
        <x:v>119979.41484699998</x:v>
      </x:c>
      <x:c r="G1570" s="12" t="n">
        <x:f>MAX(G1569,F1570)</x:f>
        <x:v>121165.80561499999</x:v>
      </x:c>
      <x:c r="H1570" s="14" t="n">
        <x:f>F1570/G1570-1</x:f>
        <x:v>-0.009791465190845394</x:v>
      </x:c>
      <x:c r="I1570" s="14" t="n">
        <x:f>F1570/F1569-1</x:f>
        <x:v>0.007942606312317135</x:v>
      </x:c>
      <x:c r="J1570" s="12" t="n">
        <x:v>0</x:v>
      </x:c>
      <x:c r="K1570" s="12" t="n">
        <x:v>0</x:v>
      </x:c>
      <x:c r="L1570" s="12" t="n">
        <x:v>0</x:v>
      </x:c>
      <x:c r="M1570" s="2" t="str">
        <x:v>持有</x:v>
      </x:c>
    </x:row>
    <x:row r="1571" ht="23" customHeight="1">
      <x:c r="A1571" s="11" t="d">
        <x:v>2021-03-23T00:00:00.000Z</x:v>
      </x:c>
      <x:c r="B1571" s="12" t="n">
        <x:v>243.607295</x:v>
      </x:c>
      <x:c r="C1571" s="13" t="n">
        <x:v>304</x:v>
      </x:c>
      <x:c r="D1571" s="12" t="n">
        <x:v>118408</x:v>
      </x:c>
      <x:c r="E1571" s="12" t="n">
        <x:v>388.447552</x:v>
      </x:c>
      <x:c r="F1571" s="12" t="n">
        <x:f>SUM(B1571,D1571:E1571)</x:f>
        <x:v>119040.05484699999</x:v>
      </x:c>
      <x:c r="G1571" s="12" t="n">
        <x:f>MAX(G1570,F1571)</x:f>
        <x:v>121165.80561499999</x:v>
      </x:c>
      <x:c r="H1571" s="14" t="n">
        <x:f>F1571/G1571-1</x:f>
        <x:v>-0.01754414751926381</x:v>
      </x:c>
      <x:c r="I1571" s="14" t="n">
        <x:f>F1571/F1570-1</x:f>
        <x:v>-0.007829343068541217</x:v>
      </x:c>
      <x:c r="J1571" s="12" t="n">
        <x:v>0</x:v>
      </x:c>
      <x:c r="K1571" s="12" t="n">
        <x:v>0</x:v>
      </x:c>
      <x:c r="L1571" s="12" t="n">
        <x:v>0</x:v>
      </x:c>
      <x:c r="M1571" s="2" t="str">
        <x:v>持有</x:v>
      </x:c>
    </x:row>
    <x:row r="1572" ht="23" customHeight="1">
      <x:c r="A1572" s="11" t="d">
        <x:v>2021-03-24T00:00:00.000Z</x:v>
      </x:c>
      <x:c r="B1572" s="12" t="n">
        <x:v>243.607295</x:v>
      </x:c>
      <x:c r="C1572" s="13" t="n">
        <x:v>304</x:v>
      </x:c>
      <x:c r="D1572" s="12" t="n">
        <x:v>117806.07999999999</x:v>
      </x:c>
      <x:c r="E1572" s="12" t="n">
        <x:v>388.447552</x:v>
      </x:c>
      <x:c r="F1572" s="12" t="n">
        <x:f>SUM(B1572,D1572:E1572)</x:f>
        <x:v>118438.13484699998</x:v>
      </x:c>
      <x:c r="G1572" s="12" t="n">
        <x:f>MAX(G1571,F1572)</x:f>
        <x:v>121165.80561499999</x:v>
      </x:c>
      <x:c r="H1572" s="14" t="n">
        <x:f>F1572/G1572-1</x:f>
        <x:v>-0.02251188571028928</x:v>
      </x:c>
      <x:c r="I1572" s="14" t="n">
        <x:f>F1572/F1571-1</x:f>
        <x:v>-0.00505644928317317</x:v>
      </x:c>
      <x:c r="J1572" s="12" t="n">
        <x:v>0</x:v>
      </x:c>
      <x:c r="K1572" s="12" t="n">
        <x:v>0</x:v>
      </x:c>
      <x:c r="L1572" s="12" t="n">
        <x:v>0</x:v>
      </x:c>
      <x:c r="M1572" s="2" t="str">
        <x:v>持有</x:v>
      </x:c>
    </x:row>
    <x:row r="1573" ht="23" customHeight="1">
      <x:c r="A1573" s="11" t="d">
        <x:v>2021-03-25T00:00:00.000Z</x:v>
      </x:c>
      <x:c r="B1573" s="12" t="n">
        <x:v>243.607295</x:v>
      </x:c>
      <x:c r="C1573" s="13" t="n">
        <x:v>304</x:v>
      </x:c>
      <x:c r="D1573" s="12" t="n">
        <x:v>118468.8</x:v>
      </x:c>
      <x:c r="E1573" s="12" t="n">
        <x:v>388.447552</x:v>
      </x:c>
      <x:c r="F1573" s="12" t="n">
        <x:f>SUM(B1573,D1573:E1573)</x:f>
        <x:v>119100.854847</x:v>
      </x:c>
      <x:c r="G1573" s="12" t="n">
        <x:f>MAX(G1572,F1573)</x:f>
        <x:v>121165.80561499999</x:v>
      </x:c>
      <x:c r="H1573" s="14" t="n">
        <x:f>F1573/G1573-1</x:f>
        <x:v>-0.01704235578279656</x:v>
      </x:c>
      <x:c r="I1573" s="14" t="n">
        <x:f>F1573/F1572-1</x:f>
        <x:v>0.0055954950730703334</x:v>
      </x:c>
      <x:c r="J1573" s="12" t="n">
        <x:v>0</x:v>
      </x:c>
      <x:c r="K1573" s="12" t="n">
        <x:v>0</x:v>
      </x:c>
      <x:c r="L1573" s="12" t="n">
        <x:v>0</x:v>
      </x:c>
      <x:c r="M1573" s="2" t="str">
        <x:v>持有</x:v>
      </x:c>
    </x:row>
    <x:row r="1574" ht="23" customHeight="1">
      <x:c r="A1574" s="11" t="d">
        <x:v>2021-03-26T00:00:00.000Z</x:v>
      </x:c>
      <x:c r="B1574" s="12" t="n">
        <x:v>243.607295</x:v>
      </x:c>
      <x:c r="C1574" s="13" t="n">
        <x:v>304</x:v>
      </x:c>
      <x:c r="D1574" s="12" t="n">
        <x:v>120377.92000000001</x:v>
      </x:c>
      <x:c r="E1574" s="12" t="n">
        <x:v>388.447552</x:v>
      </x:c>
      <x:c r="F1574" s="12" t="n">
        <x:f>SUM(B1574,D1574:E1574)</x:f>
        <x:v>121009.974847</x:v>
      </x:c>
      <x:c r="G1574" s="12" t="n">
        <x:f>MAX(G1573,F1574)</x:f>
        <x:v>121165.80561499999</x:v>
      </x:c>
      <x:c r="H1574" s="14" t="n">
        <x:f>F1574/G1574-1</x:f>
        <x:v>-0.0012860952577258278</x:v>
      </x:c>
      <x:c r="I1574" s="14" t="n">
        <x:f>F1574/F1573-1</x:f>
        <x:v>0.016029439943588297</x:v>
      </x:c>
      <x:c r="J1574" s="12" t="n">
        <x:v>0</x:v>
      </x:c>
      <x:c r="K1574" s="12" t="n">
        <x:v>0</x:v>
      </x:c>
      <x:c r="L1574" s="12" t="n">
        <x:v>0</x:v>
      </x:c>
      <x:c r="M1574" s="2" t="str">
        <x:v>持有</x:v>
      </x:c>
    </x:row>
    <x:row r="1575" ht="23" customHeight="1">
      <x:c r="A1575" s="11" t="d">
        <x:v>2021-03-29T00:00:00.000Z</x:v>
      </x:c>
      <x:c r="B1575" s="12" t="n">
        <x:v>243.607295</x:v>
      </x:c>
      <x:c r="C1575" s="13" t="n">
        <x:v>304</x:v>
      </x:c>
      <x:c r="D1575" s="12" t="n">
        <x:v>120317.12</x:v>
      </x:c>
      <x:c r="E1575" s="12" t="n">
        <x:v>388.447552</x:v>
      </x:c>
      <x:c r="F1575" s="12" t="n">
        <x:f>SUM(B1575,D1575:E1575)</x:f>
        <x:v>120949.17484699999</x:v>
      </x:c>
      <x:c r="G1575" s="12" t="n">
        <x:f>MAX(G1574,F1575)</x:f>
        <x:v>121165.80561499999</x:v>
      </x:c>
      <x:c r="H1575" s="14" t="n">
        <x:f>F1575/G1575-1</x:f>
        <x:v>-0.0017878869941931885</x:v>
      </x:c>
      <x:c r="I1575" s="14" t="n">
        <x:f>F1575/F1574-1</x:f>
        <x:v>-0.000502437919492893</x:v>
      </x:c>
      <x:c r="J1575" s="12" t="n">
        <x:v>0</x:v>
      </x:c>
      <x:c r="K1575" s="12" t="n">
        <x:v>0</x:v>
      </x:c>
      <x:c r="L1575" s="12" t="n">
        <x:v>0</x:v>
      </x:c>
      <x:c r="M1575" s="2" t="str">
        <x:v>持有</x:v>
      </x:c>
    </x:row>
    <x:row r="1576" ht="23" customHeight="1">
      <x:c r="A1576" s="11" t="d">
        <x:v>2021-03-30T00:00:00.000Z</x:v>
      </x:c>
      <x:c r="B1576" s="12" t="n">
        <x:v>243.607295</x:v>
      </x:c>
      <x:c r="C1576" s="13" t="n">
        <x:v>304</x:v>
      </x:c>
      <x:c r="D1576" s="12" t="n">
        <x:v>119997.92000000001</x:v>
      </x:c>
      <x:c r="E1576" s="12" t="n">
        <x:v>388.447552</x:v>
      </x:c>
      <x:c r="F1576" s="12" t="n">
        <x:f>SUM(B1576,D1576:E1576)</x:f>
        <x:v>120629.974847</x:v>
      </x:c>
      <x:c r="G1576" s="12" t="n">
        <x:f>MAX(G1575,F1576)</x:f>
        <x:v>121165.80561499999</x:v>
      </x:c>
      <x:c r="H1576" s="14" t="n">
        <x:f>F1576/G1576-1</x:f>
        <x:v>-0.004422293610645944</x:v>
      </x:c>
      <x:c r="I1576" s="14" t="n">
        <x:f>F1576/F1575-1</x:f>
        <x:v>-0.0026391250738483363</x:v>
      </x:c>
      <x:c r="J1576" s="12" t="n">
        <x:v>0</x:v>
      </x:c>
      <x:c r="K1576" s="12" t="n">
        <x:v>0</x:v>
      </x:c>
      <x:c r="L1576" s="12" t="n">
        <x:v>0</x:v>
      </x:c>
      <x:c r="M1576" s="2" t="str">
        <x:v>持有</x:v>
      </x:c>
    </x:row>
    <x:row r="1577" ht="23" customHeight="1">
      <x:c r="A1577" s="11" t="d">
        <x:v>2021-03-31T00:00:00.000Z</x:v>
      </x:c>
      <x:c r="B1577" s="12" t="n">
        <x:v>243.607295</x:v>
      </x:c>
      <x:c r="C1577" s="13" t="n">
        <x:v>304</x:v>
      </x:c>
      <x:c r="D1577" s="12" t="n">
        <x:v>120484.31999999999</x:v>
      </x:c>
      <x:c r="E1577" s="12" t="n">
        <x:v>388.447552</x:v>
      </x:c>
      <x:c r="F1577" s="12" t="n">
        <x:f>SUM(B1577,D1577:E1577)</x:f>
        <x:v>121116.37484699998</x:v>
      </x:c>
      <x:c r="G1577" s="12" t="n">
        <x:f>MAX(G1576,F1577)</x:f>
        <x:v>121165.80561499999</x:v>
      </x:c>
      <x:c r="H1577" s="14" t="n">
        <x:f>F1577/G1577-1</x:f>
        <x:v>-0.00040795971890839056</x:v>
      </x:c>
      <x:c r="I1577" s="14" t="n">
        <x:f>F1577/F1576-1</x:f>
        <x:v>0.004032165310627889</x:v>
      </x:c>
      <x:c r="J1577" s="12" t="n">
        <x:v>0</x:v>
      </x:c>
      <x:c r="K1577" s="12" t="n">
        <x:v>0</x:v>
      </x:c>
      <x:c r="L1577" s="12" t="n">
        <x:v>0</x:v>
      </x:c>
      <x:c r="M1577" s="2" t="str">
        <x:v>持有</x:v>
      </x:c>
    </x:row>
    <x:row r="1578" ht="23" customHeight="1">
      <x:c r="A1578" s="11" t="d">
        <x:v>2021-04-01T00:00:00.000Z</x:v>
      </x:c>
      <x:c r="B1578" s="12" t="n">
        <x:v>243.607295</x:v>
      </x:c>
      <x:c r="C1578" s="13" t="n">
        <x:v>304</x:v>
      </x:c>
      <x:c r="D1578" s="12" t="n">
        <x:v>121785.44</x:v>
      </x:c>
      <x:c r="E1578" s="12" t="n">
        <x:v>388.447552</x:v>
      </x:c>
      <x:c r="F1578" s="12" t="n">
        <x:f>SUM(B1578,D1578:E1578)</x:f>
        <x:v>122417.494847</x:v>
      </x:c>
      <x:c r="G1578" s="12" t="n">
        <x:f>MAX(G1577,F1578)</x:f>
        <x:v>122417.494847</x:v>
      </x:c>
      <x:c r="H1578" s="14" t="n">
        <x:f>F1578/G1578-1</x:f>
        <x:v>0</x:v>
      </x:c>
      <x:c r="I1578" s="14" t="n">
        <x:f>F1578/F1577-1</x:f>
        <x:v>0.010742725759779859</x:v>
      </x:c>
      <x:c r="J1578" s="12" t="n">
        <x:v>0</x:v>
      </x:c>
      <x:c r="K1578" s="12" t="n">
        <x:v>0</x:v>
      </x:c>
      <x:c r="L1578" s="12" t="n">
        <x:v>0</x:v>
      </x:c>
      <x:c r="M1578" s="2" t="str">
        <x:v>持有</x:v>
      </x:c>
    </x:row>
    <x:row r="1579" ht="23" customHeight="1">
      <x:c r="A1579" s="11" t="d">
        <x:v>2021-04-05T00:00:00.000Z</x:v>
      </x:c>
      <x:c r="B1579" s="12" t="n">
        <x:v>243.607295</x:v>
      </x:c>
      <x:c r="C1579" s="13" t="n">
        <x:v>304</x:v>
      </x:c>
      <x:c r="D1579" s="12" t="n">
        <x:v>123533.44</x:v>
      </x:c>
      <x:c r="E1579" s="12" t="n">
        <x:v>388.447552</x:v>
      </x:c>
      <x:c r="F1579" s="12" t="n">
        <x:f>SUM(B1579,D1579:E1579)</x:f>
        <x:v>124165.494847</x:v>
      </x:c>
      <x:c r="G1579" s="12" t="n">
        <x:f>MAX(G1578,F1579)</x:f>
        <x:v>124165.494847</x:v>
      </x:c>
      <x:c r="H1579" s="14" t="n">
        <x:f>F1579/G1579-1</x:f>
        <x:v>0</x:v>
      </x:c>
      <x:c r="I1579" s="14" t="n">
        <x:f>F1579/F1578-1</x:f>
        <x:v>0.014279004828392283</x:v>
      </x:c>
      <x:c r="J1579" s="12" t="n">
        <x:v>0</x:v>
      </x:c>
      <x:c r="K1579" s="12" t="n">
        <x:v>0</x:v>
      </x:c>
      <x:c r="L1579" s="12" t="n">
        <x:v>0</x:v>
      </x:c>
      <x:c r="M1579" s="2" t="str">
        <x:v>持有</x:v>
      </x:c>
    </x:row>
    <x:row r="1580" ht="23" customHeight="1">
      <x:c r="A1580" s="11" t="d">
        <x:v>2021-04-06T00:00:00.000Z</x:v>
      </x:c>
      <x:c r="B1580" s="12" t="n">
        <x:v>243.607295</x:v>
      </x:c>
      <x:c r="C1580" s="13" t="n">
        <x:v>304</x:v>
      </x:c>
      <x:c r="D1580" s="12" t="n">
        <x:v>123460.48</x:v>
      </x:c>
      <x:c r="E1580" s="12" t="n">
        <x:v>388.447552</x:v>
      </x:c>
      <x:c r="F1580" s="12" t="n">
        <x:f>SUM(B1580,D1580:E1580)</x:f>
        <x:v>124092.53484699999</x:v>
      </x:c>
      <x:c r="G1580" s="12" t="n">
        <x:f>MAX(G1579,F1580)</x:f>
        <x:v>124165.494847</x:v>
      </x:c>
      <x:c r="H1580" s="14" t="n">
        <x:f>F1580/G1580-1</x:f>
        <x:v>-0.0005876028609229644</x:v>
      </x:c>
      <x:c r="I1580" s="14" t="n">
        <x:f>F1580/F1579-1</x:f>
        <x:v>-0.0005876028609229644</x:v>
      </x:c>
      <x:c r="J1580" s="12" t="n">
        <x:v>0</x:v>
      </x:c>
      <x:c r="K1580" s="12" t="n">
        <x:v>0</x:v>
      </x:c>
      <x:c r="L1580" s="12" t="n">
        <x:v>0</x:v>
      </x:c>
      <x:c r="M1580" s="2" t="str">
        <x:v>持有</x:v>
      </x:c>
    </x:row>
    <x:row r="1581" ht="23" customHeight="1">
      <x:c r="A1581" s="11" t="d">
        <x:v>2021-04-07T00:00:00.000Z</x:v>
      </x:c>
      <x:c r="B1581" s="12" t="n">
        <x:v>243.607295</x:v>
      </x:c>
      <x:c r="C1581" s="13" t="n">
        <x:v>304</x:v>
      </x:c>
      <x:c r="D1581" s="12" t="n">
        <x:v>123603.35999999999</x:v>
      </x:c>
      <x:c r="E1581" s="12" t="n">
        <x:v>388.447552</x:v>
      </x:c>
      <x:c r="F1581" s="12" t="n">
        <x:f>SUM(B1581,D1581:E1581)</x:f>
        <x:v>124235.41484699998</x:v>
      </x:c>
      <x:c r="G1581" s="12" t="n">
        <x:f>MAX(G1580,F1581)</x:f>
        <x:v>124235.41484699998</x:v>
      </x:c>
      <x:c r="H1581" s="14" t="n">
        <x:f>F1581/G1581-1</x:f>
        <x:v>0</x:v>
      </x:c>
      <x:c r="I1581" s="14" t="n">
        <x:f>F1581/F1580-1</x:f>
        <x:v>0.0011513988345563941</x:v>
      </x:c>
      <x:c r="J1581" s="12" t="n">
        <x:v>0</x:v>
      </x:c>
      <x:c r="K1581" s="12" t="n">
        <x:v>0</x:v>
      </x:c>
      <x:c r="L1581" s="12" t="n">
        <x:v>0</x:v>
      </x:c>
      <x:c r="M1581" s="2" t="str">
        <x:v>持有</x:v>
      </x:c>
    </x:row>
    <x:row r="1582" ht="23" customHeight="1">
      <x:c r="A1582" s="11" t="d">
        <x:v>2021-04-08T00:00:00.000Z</x:v>
      </x:c>
      <x:c r="B1582" s="12" t="n">
        <x:v>243.607295</x:v>
      </x:c>
      <x:c r="C1582" s="13" t="n">
        <x:v>304</x:v>
      </x:c>
      <x:c r="D1582" s="12" t="n">
        <x:v>124190.07999999999</x:v>
      </x:c>
      <x:c r="E1582" s="12" t="n">
        <x:v>388.447552</x:v>
      </x:c>
      <x:c r="F1582" s="12" t="n">
        <x:f>SUM(B1582,D1582:E1582)</x:f>
        <x:v>124822.13484699998</x:v>
      </x:c>
      <x:c r="G1582" s="12" t="n">
        <x:f>MAX(G1581,F1582)</x:f>
        <x:v>124822.13484699998</x:v>
      </x:c>
      <x:c r="H1582" s="14" t="n">
        <x:f>F1582/G1582-1</x:f>
        <x:v>0</x:v>
      </x:c>
      <x:c r="I1582" s="14" t="n">
        <x:f>F1582/F1581-1</x:f>
        <x:v>0.004722646925778395</x:v>
      </x:c>
      <x:c r="J1582" s="12" t="n">
        <x:v>0</x:v>
      </x:c>
      <x:c r="K1582" s="12" t="n">
        <x:v>0</x:v>
      </x:c>
      <x:c r="L1582" s="12" t="n">
        <x:v>0</x:v>
      </x:c>
      <x:c r="M1582" s="2" t="str">
        <x:v>持有</x:v>
      </x:c>
    </x:row>
    <x:row r="1583" ht="23" customHeight="1">
      <x:c r="A1583" s="11" t="d">
        <x:v>2021-04-09T00:00:00.000Z</x:v>
      </x:c>
      <x:c r="B1583" s="12" t="n">
        <x:v>243.607295</x:v>
      </x:c>
      <x:c r="C1583" s="13" t="n">
        <x:v>304</x:v>
      </x:c>
      <x:c r="D1583" s="12" t="n">
        <x:v>125092.96</x:v>
      </x:c>
      <x:c r="E1583" s="12" t="n">
        <x:v>388.447552</x:v>
      </x:c>
      <x:c r="F1583" s="12" t="n">
        <x:f>SUM(B1583,D1583:E1583)</x:f>
        <x:v>125725.014847</x:v>
      </x:c>
      <x:c r="G1583" s="12" t="n">
        <x:f>MAX(G1582,F1583)</x:f>
        <x:v>125725.014847</x:v>
      </x:c>
      <x:c r="H1583" s="14" t="n">
        <x:f>F1583/G1583-1</x:f>
        <x:v>0</x:v>
      </x:c>
      <x:c r="I1583" s="14" t="n">
        <x:f>F1583/F1582-1</x:f>
        <x:v>0.0072333324622810835</x:v>
      </x:c>
      <x:c r="J1583" s="12" t="n">
        <x:v>0</x:v>
      </x:c>
      <x:c r="K1583" s="12" t="n">
        <x:v>0</x:v>
      </x:c>
      <x:c r="L1583" s="12" t="n">
        <x:v>0</x:v>
      </x:c>
      <x:c r="M1583" s="2" t="str">
        <x:v>持有</x:v>
      </x:c>
    </x:row>
    <x:row r="1584" ht="23" customHeight="1">
      <x:c r="A1584" s="11" t="d">
        <x:v>2021-04-12T00:00:00.000Z</x:v>
      </x:c>
      <x:c r="B1584" s="12" t="n">
        <x:v>243.607295</x:v>
      </x:c>
      <x:c r="C1584" s="13" t="n">
        <x:v>304</x:v>
      </x:c>
      <x:c r="D1584" s="12" t="n">
        <x:v>125138.56</x:v>
      </x:c>
      <x:c r="E1584" s="12" t="n">
        <x:v>388.447552</x:v>
      </x:c>
      <x:c r="F1584" s="12" t="n">
        <x:f>SUM(B1584,D1584:E1584)</x:f>
        <x:v>125770.61484699999</x:v>
      </x:c>
      <x:c r="G1584" s="12" t="n">
        <x:f>MAX(G1583,F1584)</x:f>
        <x:v>125770.61484699999</x:v>
      </x:c>
      <x:c r="H1584" s="14" t="n">
        <x:f>F1584/G1584-1</x:f>
        <x:v>0</x:v>
      </x:c>
      <x:c r="I1584" s="14" t="n">
        <x:f>F1584/F1583-1</x:f>
        <x:v>0.000362696318274347</x:v>
      </x:c>
      <x:c r="J1584" s="12" t="n">
        <x:v>0</x:v>
      </x:c>
      <x:c r="K1584" s="12" t="n">
        <x:v>0</x:v>
      </x:c>
      <x:c r="L1584" s="12" t="n">
        <x:v>0</x:v>
      </x:c>
      <x:c r="M1584" s="2" t="str">
        <x:v>持有</x:v>
      </x:c>
    </x:row>
    <x:row r="1585" ht="23" customHeight="1">
      <x:c r="A1585" s="11" t="d">
        <x:v>2021-04-13T00:00:00.000Z</x:v>
      </x:c>
      <x:c r="B1585" s="12" t="n">
        <x:v>243.607295</x:v>
      </x:c>
      <x:c r="C1585" s="13" t="n">
        <x:v>304</x:v>
      </x:c>
      <x:c r="D1585" s="12" t="n">
        <x:v>125509.44</x:v>
      </x:c>
      <x:c r="E1585" s="12" t="n">
        <x:v>388.447552</x:v>
      </x:c>
      <x:c r="F1585" s="12" t="n">
        <x:f>SUM(B1585,D1585:E1585)</x:f>
        <x:v>126141.494847</x:v>
      </x:c>
      <x:c r="G1585" s="12" t="n">
        <x:f>MAX(G1584,F1585)</x:f>
        <x:v>126141.494847</x:v>
      </x:c>
      <x:c r="H1585" s="14" t="n">
        <x:f>F1585/G1585-1</x:f>
        <x:v>0</x:v>
      </x:c>
      <x:c r="I1585" s="14" t="n">
        <x:f>F1585/F1584-1</x:f>
        <x:v>0.0029488605144467606</x:v>
      </x:c>
      <x:c r="J1585" s="12" t="n">
        <x:v>0</x:v>
      </x:c>
      <x:c r="K1585" s="12" t="n">
        <x:v>0</x:v>
      </x:c>
      <x:c r="L1585" s="12" t="n">
        <x:v>0</x:v>
      </x:c>
      <x:c r="M1585" s="2" t="str">
        <x:v>持有</x:v>
      </x:c>
    </x:row>
    <x:row r="1586" ht="23" customHeight="1">
      <x:c r="A1586" s="11" t="d">
        <x:v>2021-04-14T00:00:00.000Z</x:v>
      </x:c>
      <x:c r="B1586" s="12" t="n">
        <x:v>243.607295</x:v>
      </x:c>
      <x:c r="C1586" s="13" t="n">
        <x:v>304</x:v>
      </x:c>
      <x:c r="D1586" s="12" t="n">
        <x:v>125080.8</x:v>
      </x:c>
      <x:c r="E1586" s="12" t="n">
        <x:v>388.447552</x:v>
      </x:c>
      <x:c r="F1586" s="12" t="n">
        <x:f>SUM(B1586,D1586:E1586)</x:f>
        <x:v>125712.854847</x:v>
      </x:c>
      <x:c r="G1586" s="12" t="n">
        <x:f>MAX(G1585,F1586)</x:f>
        <x:v>126141.494847</x:v>
      </x:c>
      <x:c r="H1586" s="14" t="n">
        <x:f>F1586/G1586-1</x:f>
        <x:v>-0.0033980887932231196</x:v>
      </x:c>
      <x:c r="I1586" s="14" t="n">
        <x:f>F1586/F1585-1</x:f>
        <x:v>-0.0033980887932231196</x:v>
      </x:c>
      <x:c r="J1586" s="12" t="n">
        <x:v>0</x:v>
      </x:c>
      <x:c r="K1586" s="12" t="n">
        <x:v>0</x:v>
      </x:c>
      <x:c r="L1586" s="12" t="n">
        <x:v>0</x:v>
      </x:c>
      <x:c r="M1586" s="2" t="str">
        <x:v>持有</x:v>
      </x:c>
    </x:row>
    <x:row r="1587" ht="23" customHeight="1">
      <x:c r="A1587" s="11" t="d">
        <x:v>2021-04-15T00:00:00.000Z</x:v>
      </x:c>
      <x:c r="B1587" s="12" t="n">
        <x:v>243.607295</x:v>
      </x:c>
      <x:c r="C1587" s="13" t="n">
        <x:v>304</x:v>
      </x:c>
      <x:c r="D1587" s="12" t="n">
        <x:v>126424.48</x:v>
      </x:c>
      <x:c r="E1587" s="12" t="n">
        <x:v>388.447552</x:v>
      </x:c>
      <x:c r="F1587" s="12" t="n">
        <x:f>SUM(B1587,D1587:E1587)</x:f>
        <x:v>127056.53484699999</x:v>
      </x:c>
      <x:c r="G1587" s="12" t="n">
        <x:f>MAX(G1586,F1587)</x:f>
        <x:v>127056.53484699999</x:v>
      </x:c>
      <x:c r="H1587" s="14" t="n">
        <x:f>F1587/G1587-1</x:f>
        <x:v>0</x:v>
      </x:c>
      <x:c r="I1587" s="14" t="n">
        <x:f>F1587/F1586-1</x:f>
        <x:v>0.010688485291622252</x:v>
      </x:c>
      <x:c r="J1587" s="12" t="n">
        <x:v>0</x:v>
      </x:c>
      <x:c r="K1587" s="12" t="n">
        <x:v>0</x:v>
      </x:c>
      <x:c r="L1587" s="12" t="n">
        <x:v>0</x:v>
      </x:c>
      <x:c r="M1587" s="2" t="str">
        <x:v>持有</x:v>
      </x:c>
    </x:row>
    <x:row r="1588" ht="23" customHeight="1">
      <x:c r="A1588" s="11" t="d">
        <x:v>2021-04-16T00:00:00.000Z</x:v>
      </x:c>
      <x:c r="B1588" s="12" t="n">
        <x:v>243.607295</x:v>
      </x:c>
      <x:c r="C1588" s="13" t="n">
        <x:v>304</x:v>
      </x:c>
      <x:c r="D1588" s="12" t="n">
        <x:v>126847.04</x:v>
      </x:c>
      <x:c r="E1588" s="12" t="n">
        <x:v>388.447552</x:v>
      </x:c>
      <x:c r="F1588" s="12" t="n">
        <x:f>SUM(B1588,D1588:E1588)</x:f>
        <x:v>127479.09484699999</x:v>
      </x:c>
      <x:c r="G1588" s="12" t="n">
        <x:f>MAX(G1587,F1588)</x:f>
        <x:v>127479.09484699999</x:v>
      </x:c>
      <x:c r="H1588" s="14" t="n">
        <x:f>F1588/G1588-1</x:f>
        <x:v>0</x:v>
      </x:c>
      <x:c r="I1588" s="14" t="n">
        <x:f>F1588/F1587-1</x:f>
        <x:v>0.003325763609945964</x:v>
      </x:c>
      <x:c r="J1588" s="12" t="n">
        <x:v>0</x:v>
      </x:c>
      <x:c r="K1588" s="12" t="n">
        <x:v>0</x:v>
      </x:c>
      <x:c r="L1588" s="12" t="n">
        <x:v>0</x:v>
      </x:c>
      <x:c r="M1588" s="2" t="str">
        <x:v>持有</x:v>
      </x:c>
    </x:row>
    <x:row r="1589" ht="23" customHeight="1">
      <x:c r="A1589" s="11" t="d">
        <x:v>2021-04-19T00:00:00.000Z</x:v>
      </x:c>
      <x:c r="B1589" s="12" t="n">
        <x:v>243.607295</x:v>
      </x:c>
      <x:c r="C1589" s="13" t="n">
        <x:v>304</x:v>
      </x:c>
      <x:c r="D1589" s="12" t="n">
        <x:v>126223.84</x:v>
      </x:c>
      <x:c r="E1589" s="12" t="n">
        <x:v>388.447552</x:v>
      </x:c>
      <x:c r="F1589" s="12" t="n">
        <x:f>SUM(B1589,D1589:E1589)</x:f>
        <x:v>126855.89484699999</x:v>
      </x:c>
      <x:c r="G1589" s="12" t="n">
        <x:f>MAX(G1588,F1589)</x:f>
        <x:v>127479.09484699999</x:v>
      </x:c>
      <x:c r="H1589" s="14" t="n">
        <x:f>F1589/G1589-1</x:f>
        <x:v>-0.004888644689138744</x:v>
      </x:c>
      <x:c r="I1589" s="14" t="n">
        <x:f>F1589/F1588-1</x:f>
        <x:v>-0.004888644689138744</x:v>
      </x:c>
      <x:c r="J1589" s="12" t="n">
        <x:v>0</x:v>
      </x:c>
      <x:c r="K1589" s="12" t="n">
        <x:v>0</x:v>
      </x:c>
      <x:c r="L1589" s="12" t="n">
        <x:v>0</x:v>
      </x:c>
      <x:c r="M1589" s="2" t="str">
        <x:v>持有</x:v>
      </x:c>
    </x:row>
    <x:row r="1590" ht="23" customHeight="1">
      <x:c r="A1590" s="11" t="d">
        <x:v>2021-04-20T00:00:00.000Z</x:v>
      </x:c>
      <x:c r="B1590" s="12" t="n">
        <x:v>243.607295</x:v>
      </x:c>
      <x:c r="C1590" s="13" t="n">
        <x:v>304</x:v>
      </x:c>
      <x:c r="D1590" s="12" t="n">
        <x:v>125299.68000000001</x:v>
      </x:c>
      <x:c r="E1590" s="12" t="n">
        <x:v>388.447552</x:v>
      </x:c>
      <x:c r="F1590" s="12" t="n">
        <x:f>SUM(B1590,D1590:E1590)</x:f>
        <x:v>125931.734847</x:v>
      </x:c>
      <x:c r="G1590" s="12" t="n">
        <x:f>MAX(G1589,F1590)</x:f>
        <x:v>127479.09484699999</x:v>
      </x:c>
      <x:c r="H1590" s="14" t="n">
        <x:f>F1590/G1590-1</x:f>
        <x:v>-0.012138147057422444</x:v>
      </x:c>
      <x:c r="I1590" s="14" t="n">
        <x:f>F1590/F1589-1</x:f>
        <x:v>-0.007285116715424311</x:v>
      </x:c>
      <x:c r="J1590" s="12" t="n">
        <x:v>0</x:v>
      </x:c>
      <x:c r="K1590" s="12" t="n">
        <x:v>0</x:v>
      </x:c>
      <x:c r="L1590" s="12" t="n">
        <x:v>0</x:v>
      </x:c>
      <x:c r="M1590" s="2" t="str">
        <x:v>持有</x:v>
      </x:c>
    </x:row>
    <x:row r="1591" ht="23" customHeight="1">
      <x:c r="A1591" s="11" t="d">
        <x:v>2021-04-21T00:00:00.000Z</x:v>
      </x:c>
      <x:c r="B1591" s="12" t="n">
        <x:v>243.607295</x:v>
      </x:c>
      <x:c r="C1591" s="13" t="n">
        <x:v>304</x:v>
      </x:c>
      <x:c r="D1591" s="12" t="n">
        <x:v>126485.28</x:v>
      </x:c>
      <x:c r="E1591" s="12" t="n">
        <x:v>388.447552</x:v>
      </x:c>
      <x:c r="F1591" s="12" t="n">
        <x:f>SUM(B1591,D1591:E1591)</x:f>
        <x:v>127117.33484699999</x:v>
      </x:c>
      <x:c r="G1591" s="12" t="n">
        <x:f>MAX(G1590,F1591)</x:f>
        <x:v>127479.09484699999</x:v>
      </x:c>
      <x:c r="H1591" s="14" t="n">
        <x:f>F1591/G1591-1</x:f>
        <x:v>-0.0028377986244267905</x:v>
      </x:c>
      <x:c r="I1591" s="14" t="n">
        <x:f>F1591/F1590-1</x:f>
        <x:v>0.009414624530031501</x:v>
      </x:c>
      <x:c r="J1591" s="12" t="n">
        <x:v>0</x:v>
      </x:c>
      <x:c r="K1591" s="12" t="n">
        <x:v>0</x:v>
      </x:c>
      <x:c r="L1591" s="12" t="n">
        <x:v>0</x:v>
      </x:c>
      <x:c r="M1591" s="2" t="str">
        <x:v>持有</x:v>
      </x:c>
    </x:row>
    <x:row r="1592" ht="23" customHeight="1">
      <x:c r="A1592" s="11" t="d">
        <x:v>2021-04-22T00:00:00.000Z</x:v>
      </x:c>
      <x:c r="B1592" s="12" t="n">
        <x:v>243.607295</x:v>
      </x:c>
      <x:c r="C1592" s="13" t="n">
        <x:v>304</x:v>
      </x:c>
      <x:c r="D1592" s="12" t="n">
        <x:v>125330.07999999999</x:v>
      </x:c>
      <x:c r="E1592" s="12" t="n">
        <x:v>388.447552</x:v>
      </x:c>
      <x:c r="F1592" s="12" t="n">
        <x:f>SUM(B1592,D1592:E1592)</x:f>
        <x:v>125962.13484699998</x:v>
      </x:c>
      <x:c r="G1592" s="12" t="n">
        <x:f>MAX(G1591,F1592)</x:f>
        <x:v>127479.09484699999</x:v>
      </x:c>
      <x:c r="H1592" s="14" t="n">
        <x:f>F1592/G1592-1</x:f>
        <x:v>-0.011899676584781638</x:v>
      </x:c>
      <x:c r="I1592" s="14" t="n">
        <x:f>F1592/F1591-1</x:f>
        <x:v>-0.009087666929065374</x:v>
      </x:c>
      <x:c r="J1592" s="12" t="n">
        <x:v>0</x:v>
      </x:c>
      <x:c r="K1592" s="12" t="n">
        <x:v>0</x:v>
      </x:c>
      <x:c r="L1592" s="12" t="n">
        <x:v>0</x:v>
      </x:c>
      <x:c r="M1592" s="2" t="str">
        <x:v>持有</x:v>
      </x:c>
    </x:row>
    <x:row r="1593" ht="23" customHeight="1">
      <x:c r="A1593" s="11" t="d">
        <x:v>2021-04-23T00:00:00.000Z</x:v>
      </x:c>
      <x:c r="B1593" s="12" t="n">
        <x:v>243.607295</x:v>
      </x:c>
      <x:c r="C1593" s="13" t="n">
        <x:v>304</x:v>
      </x:c>
      <x:c r="D1593" s="12" t="n">
        <x:v>126688.96</x:v>
      </x:c>
      <x:c r="E1593" s="12" t="n">
        <x:v>388.447552</x:v>
      </x:c>
      <x:c r="F1593" s="12" t="n">
        <x:f>SUM(B1593,D1593:E1593)</x:f>
        <x:v>127321.014847</x:v>
      </x:c>
      <x:c r="G1593" s="12" t="n">
        <x:f>MAX(G1592,F1593)</x:f>
        <x:v>127479.09484699999</x:v>
      </x:c>
      <x:c r="H1593" s="14" t="n">
        <x:f>F1593/G1593-1</x:f>
        <x:v>-0.0012400464577326797</x:v>
      </x:c>
      <x:c r="I1593" s="14" t="n">
        <x:f>F1593/F1592-1</x:f>
        <x:v>0.01078800388426715</x:v>
      </x:c>
      <x:c r="J1593" s="12" t="n">
        <x:v>0</x:v>
      </x:c>
      <x:c r="K1593" s="12" t="n">
        <x:v>0</x:v>
      </x:c>
      <x:c r="L1593" s="12" t="n">
        <x:v>0</x:v>
      </x:c>
      <x:c r="M1593" s="2" t="str">
        <x:v>持有</x:v>
      </x:c>
    </x:row>
    <x:row r="1594" ht="23" customHeight="1">
      <x:c r="A1594" s="11" t="d">
        <x:v>2021-04-26T00:00:00.000Z</x:v>
      </x:c>
      <x:c r="B1594" s="12" t="n">
        <x:v>243.607295</x:v>
      </x:c>
      <x:c r="C1594" s="13" t="n">
        <x:v>304</x:v>
      </x:c>
      <x:c r="D1594" s="12" t="n">
        <x:v>126953.44</x:v>
      </x:c>
      <x:c r="E1594" s="12" t="n">
        <x:v>388.447552</x:v>
      </x:c>
      <x:c r="F1594" s="12" t="n">
        <x:f>SUM(B1594,D1594:E1594)</x:f>
        <x:v>127585.494847</x:v>
      </x:c>
      <x:c r="G1594" s="12" t="n">
        <x:f>MAX(G1593,F1594)</x:f>
        <x:v>127585.494847</x:v>
      </x:c>
      <x:c r="H1594" s="14" t="n">
        <x:f>F1594/G1594-1</x:f>
        <x:v>0</x:v>
      </x:c>
      <x:c r="I1594" s="14" t="n">
        <x:f>F1594/F1593-1</x:f>
        <x:v>0.0020772690220685064</x:v>
      </x:c>
      <x:c r="J1594" s="12" t="n">
        <x:v>0</x:v>
      </x:c>
      <x:c r="K1594" s="12" t="n">
        <x:v>0</x:v>
      </x:c>
      <x:c r="L1594" s="12" t="n">
        <x:v>0</x:v>
      </x:c>
      <x:c r="M1594" s="2" t="str">
        <x:v>持有</x:v>
      </x:c>
    </x:row>
    <x:row r="1595" ht="23" customHeight="1">
      <x:c r="A1595" s="11" t="d">
        <x:v>2021-04-27T00:00:00.000Z</x:v>
      </x:c>
      <x:c r="B1595" s="12" t="n">
        <x:v>243.607295</x:v>
      </x:c>
      <x:c r="C1595" s="13" t="n">
        <x:v>304</x:v>
      </x:c>
      <x:c r="D1595" s="12" t="n">
        <x:v>126926.07999999999</x:v>
      </x:c>
      <x:c r="E1595" s="12" t="n">
        <x:v>388.447552</x:v>
      </x:c>
      <x:c r="F1595" s="12" t="n">
        <x:f>SUM(B1595,D1595:E1595)</x:f>
        <x:v>127558.13484699998</x:v>
      </x:c>
      <x:c r="G1595" s="12" t="n">
        <x:f>MAX(G1594,F1595)</x:f>
        <x:v>127585.494847</x:v>
      </x:c>
      <x:c r="H1595" s="14" t="n">
        <x:f>F1595/G1595-1</x:f>
        <x:v>-0.00021444444004259378</x:v>
      </x:c>
      <x:c r="I1595" s="14" t="n">
        <x:f>F1595/F1594-1</x:f>
        <x:v>-0.00021444444004259378</x:v>
      </x:c>
      <x:c r="J1595" s="12" t="n">
        <x:v>0</x:v>
      </x:c>
      <x:c r="K1595" s="12" t="n">
        <x:v>0</x:v>
      </x:c>
      <x:c r="L1595" s="12" t="n">
        <x:v>0</x:v>
      </x:c>
      <x:c r="M1595" s="2" t="str">
        <x:v>持有</x:v>
      </x:c>
    </x:row>
    <x:row r="1596" ht="23" customHeight="1">
      <x:c r="A1596" s="11" t="d">
        <x:v>2021-04-28T00:00:00.000Z</x:v>
      </x:c>
      <x:c r="B1596" s="12" t="n">
        <x:v>243.607295</x:v>
      </x:c>
      <x:c r="C1596" s="13" t="n">
        <x:v>304</x:v>
      </x:c>
      <x:c r="D1596" s="12" t="n">
        <x:v>126889.59999999999</x:v>
      </x:c>
      <x:c r="E1596" s="12" t="n">
        <x:v>388.447552</x:v>
      </x:c>
      <x:c r="F1596" s="12" t="n">
        <x:f>SUM(B1596,D1596:E1596)</x:f>
        <x:v>127521.65484699998</x:v>
      </x:c>
      <x:c r="G1596" s="12" t="n">
        <x:f>MAX(G1595,F1596)</x:f>
        <x:v>127585.494847</x:v>
      </x:c>
      <x:c r="H1596" s="14" t="n">
        <x:f>F1596/G1596-1</x:f>
        <x:v>-0.0005003703600990894</x:v>
      </x:c>
      <x:c r="I1596" s="14" t="n">
        <x:f>F1596/F1595-1</x:f>
        <x:v>-0.00028598724843187373</x:v>
      </x:c>
      <x:c r="J1596" s="12" t="n">
        <x:v>0</x:v>
      </x:c>
      <x:c r="K1596" s="12" t="n">
        <x:v>0</x:v>
      </x:c>
      <x:c r="L1596" s="12" t="n">
        <x:v>0</x:v>
      </x:c>
      <x:c r="M1596" s="2" t="str">
        <x:v>持有</x:v>
      </x:c>
    </x:row>
    <x:row r="1597" ht="23" customHeight="1">
      <x:c r="A1597" s="11" t="d">
        <x:v>2021-04-29T00:00:00.000Z</x:v>
      </x:c>
      <x:c r="B1597" s="12" t="n">
        <x:v>243.607295</x:v>
      </x:c>
      <x:c r="C1597" s="13" t="n">
        <x:v>304</x:v>
      </x:c>
      <x:c r="D1597" s="12" t="n">
        <x:v>127698.24</x:v>
      </x:c>
      <x:c r="E1597" s="12" t="n">
        <x:v>388.447552</x:v>
      </x:c>
      <x:c r="F1597" s="12" t="n">
        <x:f>SUM(B1597,D1597:E1597)</x:f>
        <x:v>128330.294847</x:v>
      </x:c>
      <x:c r="G1597" s="12" t="n">
        <x:f>MAX(G1596,F1597)</x:f>
        <x:v>128330.294847</x:v>
      </x:c>
      <x:c r="H1597" s="14" t="n">
        <x:f>F1597/G1597-1</x:f>
        <x:v>0</x:v>
      </x:c>
      <x:c r="I1597" s="14" t="n">
        <x:f>F1597/F1596-1</x:f>
        <x:v>0.006341197508534568</x:v>
      </x:c>
      <x:c r="J1597" s="12" t="n">
        <x:v>0</x:v>
      </x:c>
      <x:c r="K1597" s="12" t="n">
        <x:v>0</x:v>
      </x:c>
      <x:c r="L1597" s="12" t="n">
        <x:v>0</x:v>
      </x:c>
      <x:c r="M1597" s="2" t="str">
        <x:v>持有</x:v>
      </x:c>
    </x:row>
    <x:row r="1598" ht="23" customHeight="1">
      <x:c r="A1598" s="11" t="d">
        <x:v>2021-04-30T00:00:00.000Z</x:v>
      </x:c>
      <x:c r="B1598" s="12" t="n">
        <x:v>632.054847</x:v>
      </x:c>
      <x:c r="C1598" s="13" t="n">
        <x:v>304</x:v>
      </x:c>
      <x:c r="D1598" s="12" t="n">
        <x:v>126859.2</x:v>
      </x:c>
      <x:c r="E1598" s="12" t="n">
        <x:v>0</x:v>
      </x:c>
      <x:c r="F1598" s="12" t="n">
        <x:f>SUM(B1598,D1598:E1598)</x:f>
        <x:v>127491.254847</x:v>
      </x:c>
      <x:c r="G1598" s="12" t="n">
        <x:f>MAX(G1597,F1598)</x:f>
        <x:v>128330.294847</x:v>
      </x:c>
      <x:c r="H1598" s="14" t="n">
        <x:f>F1598/G1598-1</x:f>
        <x:v>-0.006538128826091505</x:v>
      </x:c>
      <x:c r="I1598" s="14" t="n">
        <x:f>F1598/F1597-1</x:f>
        <x:v>-0.006538128826091505</x:v>
      </x:c>
      <x:c r="J1598" s="12" t="n">
        <x:v>0</x:v>
      </x:c>
      <x:c r="K1598" s="12" t="n">
        <x:v>388.447552</x:v>
      </x:c>
      <x:c r="L1598" s="12" t="n">
        <x:v>0</x:v>
      </x:c>
      <x:c r="M1598" s="2" t="str">
        <x:v>持有</x:v>
      </x:c>
    </x:row>
    <x:row r="1599" ht="23" customHeight="1">
      <x:c r="A1599" s="11" t="d">
        <x:v>2021-05-03T00:00:00.000Z</x:v>
      </x:c>
      <x:c r="B1599" s="12" t="n">
        <x:v>632.054847</x:v>
      </x:c>
      <x:c r="C1599" s="13" t="n">
        <x:v>304</x:v>
      </x:c>
      <x:c r="D1599" s="12" t="n">
        <x:v>127132.8</x:v>
      </x:c>
      <x:c r="E1599" s="12" t="n">
        <x:v>0</x:v>
      </x:c>
      <x:c r="F1599" s="12" t="n">
        <x:f>SUM(B1599,D1599:E1599)</x:f>
        <x:v>127764.85484700001</x:v>
      </x:c>
      <x:c r="G1599" s="12" t="n">
        <x:f>MAX(G1598,F1599)</x:f>
        <x:v>128330.294847</x:v>
      </x:c>
      <x:c r="H1599" s="14" t="n">
        <x:f>F1599/G1599-1</x:f>
        <x:v>-0.004406130295844246</x:v>
      </x:c>
      <x:c r="I1599" s="14" t="n">
        <x:f>F1599/F1598-1</x:f>
        <x:v>0.002146029547896111</x:v>
      </x:c>
      <x:c r="J1599" s="12" t="n">
        <x:v>0</x:v>
      </x:c>
      <x:c r="K1599" s="12" t="n">
        <x:v>0</x:v>
      </x:c>
      <x:c r="L1599" s="12" t="n">
        <x:v>0</x:v>
      </x:c>
      <x:c r="M1599" s="2" t="str">
        <x:v>持有</x:v>
      </x:c>
    </x:row>
    <x:row r="1600" ht="23" customHeight="1">
      <x:c r="A1600" s="11" t="d">
        <x:v>2021-05-04T00:00:00.000Z</x:v>
      </x:c>
      <x:c r="B1600" s="12" t="n">
        <x:v>632.054847</x:v>
      </x:c>
      <x:c r="C1600" s="13" t="n">
        <x:v>304</x:v>
      </x:c>
      <x:c r="D1600" s="12" t="n">
        <x:v>126348.48</x:v>
      </x:c>
      <x:c r="E1600" s="12" t="n">
        <x:v>0</x:v>
      </x:c>
      <x:c r="F1600" s="12" t="n">
        <x:f>SUM(B1600,D1600:E1600)</x:f>
        <x:v>126980.534847</x:v>
      </x:c>
      <x:c r="G1600" s="12" t="n">
        <x:f>MAX(G1599,F1600)</x:f>
        <x:v>128330.294847</x:v>
      </x:c>
      <x:c r="H1600" s="14" t="n">
        <x:f>F1600/G1600-1</x:f>
        <x:v>-0.010517859415886344</x:v>
      </x:c>
      <x:c r="I1600" s="14" t="n">
        <x:f>F1600/F1599-1</x:f>
        <x:v>-0.006138777373004833</x:v>
      </x:c>
      <x:c r="J1600" s="12" t="n">
        <x:v>0</x:v>
      </x:c>
      <x:c r="K1600" s="12" t="n">
        <x:v>0</x:v>
      </x:c>
      <x:c r="L1600" s="12" t="n">
        <x:v>0</x:v>
      </x:c>
      <x:c r="M1600" s="2" t="str">
        <x:v>持有</x:v>
      </x:c>
    </x:row>
    <x:row r="1601" ht="23" customHeight="1">
      <x:c r="A1601" s="11" t="d">
        <x:v>2021-05-05T00:00:00.000Z</x:v>
      </x:c>
      <x:c r="B1601" s="12" t="n">
        <x:v>632.054847</x:v>
      </x:c>
      <x:c r="C1601" s="13" t="n">
        <x:v>304</x:v>
      </x:c>
      <x:c r="D1601" s="12" t="n">
        <x:v>126388</x:v>
      </x:c>
      <x:c r="E1601" s="12" t="n">
        <x:v>0</x:v>
      </x:c>
      <x:c r="F1601" s="12" t="n">
        <x:f>SUM(B1601,D1601:E1601)</x:f>
        <x:v>127020.054847</x:v>
      </x:c>
      <x:c r="G1601" s="12" t="n">
        <x:f>MAX(G1600,F1601)</x:f>
        <x:v>128330.294847</x:v>
      </x:c>
      <x:c r="H1601" s="14" t="n">
        <x:f>F1601/G1601-1</x:f>
        <x:v>-0.01020990407262845</x:v>
      </x:c>
      <x:c r="I1601" s="14" t="n">
        <x:f>F1601/F1600-1</x:f>
        <x:v>0.00031122880406520004</x:v>
      </x:c>
      <x:c r="J1601" s="12" t="n">
        <x:v>0</x:v>
      </x:c>
      <x:c r="K1601" s="12" t="n">
        <x:v>0</x:v>
      </x:c>
      <x:c r="L1601" s="12" t="n">
        <x:v>0</x:v>
      </x:c>
      <x:c r="M1601" s="2" t="str">
        <x:v>持有</x:v>
      </x:c>
    </x:row>
    <x:row r="1602" ht="23" customHeight="1">
      <x:c r="A1602" s="11" t="d">
        <x:v>2021-05-06T00:00:00.000Z</x:v>
      </x:c>
      <x:c r="B1602" s="12" t="n">
        <x:v>632.054847</x:v>
      </x:c>
      <x:c r="C1602" s="13" t="n">
        <x:v>304</x:v>
      </x:c>
      <x:c r="D1602" s="12" t="n">
        <x:v>127397.28</x:v>
      </x:c>
      <x:c r="E1602" s="12" t="n">
        <x:v>0</x:v>
      </x:c>
      <x:c r="F1602" s="12" t="n">
        <x:f>SUM(B1602,D1602:E1602)</x:f>
        <x:v>128029.334847</x:v>
      </x:c>
      <x:c r="G1602" s="12" t="n">
        <x:f>MAX(G1601,F1602)</x:f>
        <x:v>128330.294847</x:v>
      </x:c>
      <x:c r="H1602" s="14" t="n">
        <x:f>F1602/G1602-1</x:f>
        <x:v>-0.0023451983832719625</x:v>
      </x:c>
      <x:c r="I1602" s="14" t="n">
        <x:f>F1602/F1601-1</x:f>
        <x:v>0.007945831870531883</x:v>
      </x:c>
      <x:c r="J1602" s="12" t="n">
        <x:v>0</x:v>
      </x:c>
      <x:c r="K1602" s="12" t="n">
        <x:v>0</x:v>
      </x:c>
      <x:c r="L1602" s="12" t="n">
        <x:v>0</x:v>
      </x:c>
      <x:c r="M1602" s="2" t="str">
        <x:v>持有</x:v>
      </x:c>
    </x:row>
    <x:row r="1603" ht="23" customHeight="1">
      <x:c r="A1603" s="11" t="d">
        <x:v>2021-05-07T00:00:00.000Z</x:v>
      </x:c>
      <x:c r="B1603" s="12" t="n">
        <x:v>632.054847</x:v>
      </x:c>
      <x:c r="C1603" s="13" t="n">
        <x:v>304</x:v>
      </x:c>
      <x:c r="D1603" s="12" t="n">
        <x:v>128324.48</x:v>
      </x:c>
      <x:c r="E1603" s="12" t="n">
        <x:v>0</x:v>
      </x:c>
      <x:c r="F1603" s="12" t="n">
        <x:f>SUM(B1603,D1603:E1603)</x:f>
        <x:v>128956.534847</x:v>
      </x:c>
      <x:c r="G1603" s="12" t="n">
        <x:f>MAX(G1602,F1603)</x:f>
        <x:v>128956.534847</x:v>
      </x:c>
      <x:c r="H1603" s="14" t="n">
        <x:f>F1603/G1603-1</x:f>
        <x:v>0</x:v>
      </x:c>
      <x:c r="I1603" s="14" t="n">
        <x:f>F1603/F1602-1</x:f>
        <x:v>0.007242090268671841</x:v>
      </x:c>
      <x:c r="J1603" s="12" t="n">
        <x:v>0</x:v>
      </x:c>
      <x:c r="K1603" s="12" t="n">
        <x:v>0</x:v>
      </x:c>
      <x:c r="L1603" s="12" t="n">
        <x:v>0</x:v>
      </x:c>
      <x:c r="M1603" s="2" t="str">
        <x:v>持有</x:v>
      </x:c>
    </x:row>
    <x:row r="1604" ht="23" customHeight="1">
      <x:c r="A1604" s="11" t="d">
        <x:v>2021-05-10T00:00:00.000Z</x:v>
      </x:c>
      <x:c r="B1604" s="12" t="n">
        <x:v>632.054847</x:v>
      </x:c>
      <x:c r="C1604" s="13" t="n">
        <x:v>304</x:v>
      </x:c>
      <x:c r="D1604" s="12" t="n">
        <x:v>127053.76</x:v>
      </x:c>
      <x:c r="E1604" s="12" t="n">
        <x:v>0</x:v>
      </x:c>
      <x:c r="F1604" s="12" t="n">
        <x:f>SUM(B1604,D1604:E1604)</x:f>
        <x:v>127685.814847</x:v>
      </x:c>
      <x:c r="G1604" s="12" t="n">
        <x:f>MAX(G1603,F1604)</x:f>
        <x:v>128956.534847</x:v>
      </x:c>
      <x:c r="H1604" s="14" t="n">
        <x:f>F1604/G1604-1</x:f>
        <x:v>-0.009853862788013368</x:v>
      </x:c>
      <x:c r="I1604" s="14" t="n">
        <x:f>F1604/F1603-1</x:f>
        <x:v>-0.009853862788013368</x:v>
      </x:c>
      <x:c r="J1604" s="12" t="n">
        <x:v>0</x:v>
      </x:c>
      <x:c r="K1604" s="12" t="n">
        <x:v>0</x:v>
      </x:c>
      <x:c r="L1604" s="12" t="n">
        <x:v>0</x:v>
      </x:c>
      <x:c r="M1604" s="2" t="str">
        <x:v>持有</x:v>
      </x:c>
    </x:row>
    <x:row r="1605" ht="23" customHeight="1">
      <x:c r="A1605" s="11" t="d">
        <x:v>2021-05-11T00:00:00.000Z</x:v>
      </x:c>
      <x:c r="B1605" s="12" t="n">
        <x:v>632.054847</x:v>
      </x:c>
      <x:c r="C1605" s="13" t="n">
        <x:v>304</x:v>
      </x:c>
      <x:c r="D1605" s="12" t="n">
        <x:v>125919.84</x:v>
      </x:c>
      <x:c r="E1605" s="12" t="n">
        <x:v>0</x:v>
      </x:c>
      <x:c r="F1605" s="12" t="n">
        <x:f>SUM(B1605,D1605:E1605)</x:f>
        <x:v>126551.894847</x:v>
      </x:c>
      <x:c r="G1605" s="12" t="n">
        <x:f>MAX(G1604,F1605)</x:f>
        <x:v>128956.534847</x:v>
      </x:c>
      <x:c r="H1605" s="14" t="n">
        <x:f>F1605/G1605-1</x:f>
        <x:v>-0.018646903027077832</x:v>
      </x:c>
      <x:c r="I1605" s="14" t="n">
        <x:f>F1605/F1604-1</x:f>
        <x:v>-0.008880547939947192</x:v>
      </x:c>
      <x:c r="J1605" s="12" t="n">
        <x:v>0</x:v>
      </x:c>
      <x:c r="K1605" s="12" t="n">
        <x:v>0</x:v>
      </x:c>
      <x:c r="L1605" s="12" t="n">
        <x:v>0</x:v>
      </x:c>
      <x:c r="M1605" s="2" t="str">
        <x:v>持有</x:v>
      </x:c>
    </x:row>
    <x:row r="1606" ht="23" customHeight="1">
      <x:c r="A1606" s="11" t="d">
        <x:v>2021-05-12T00:00:00.000Z</x:v>
      </x:c>
      <x:c r="B1606" s="12" t="n">
        <x:v>632.054847</x:v>
      </x:c>
      <x:c r="C1606" s="13" t="n">
        <x:v>304</x:v>
      </x:c>
      <x:c r="D1606" s="12" t="n">
        <x:v>123244.64000000001</x:v>
      </x:c>
      <x:c r="E1606" s="12" t="n">
        <x:v>0</x:v>
      </x:c>
      <x:c r="F1606" s="12" t="n">
        <x:f>SUM(B1606,D1606:E1606)</x:f>
        <x:v>123876.69484700002</x:v>
      </x:c>
      <x:c r="G1606" s="12" t="n">
        <x:f>MAX(G1605,F1606)</x:f>
        <x:v>128956.534847</x:v>
      </x:c>
      <x:c r="H1606" s="14" t="n">
        <x:f>F1606/G1606-1</x:f>
        <x:v>-0.03939187731763216</x:v>
      </x:c>
      <x:c r="I1606" s="14" t="n">
        <x:f>F1606/F1605-1</x:f>
        <x:v>-0.021139154046126873</x:v>
      </x:c>
      <x:c r="J1606" s="12" t="n">
        <x:v>0</x:v>
      </x:c>
      <x:c r="K1606" s="12" t="n">
        <x:v>0</x:v>
      </x:c>
      <x:c r="L1606" s="12" t="n">
        <x:v>0</x:v>
      </x:c>
      <x:c r="M1606" s="2" t="str">
        <x:v>持有</x:v>
      </x:c>
    </x:row>
    <x:row r="1607" ht="23" customHeight="1">
      <x:c r="A1607" s="11" t="d">
        <x:v>2021-05-13T00:00:00.000Z</x:v>
      </x:c>
      <x:c r="B1607" s="12" t="n">
        <x:v>632.054847</x:v>
      </x:c>
      <x:c r="C1607" s="13" t="n">
        <x:v>304</x:v>
      </x:c>
      <x:c r="D1607" s="12" t="n">
        <x:v>124725.12</x:v>
      </x:c>
      <x:c r="E1607" s="12" t="n">
        <x:v>0</x:v>
      </x:c>
      <x:c r="F1607" s="12" t="n">
        <x:f>SUM(B1607,D1607:E1607)</x:f>
        <x:v>125357.174847</x:v>
      </x:c>
      <x:c r="G1607" s="12" t="n">
        <x:f>MAX(G1606,F1607)</x:f>
        <x:v>128956.534847</x:v>
      </x:c>
      <x:c r="H1607" s="14" t="n">
        <x:f>F1607/G1607-1</x:f>
        <x:v>-0.027911419954564143</x:v>
      </x:c>
      <x:c r="I1607" s="14" t="n">
        <x:f>F1607/F1606-1</x:f>
        <x:v>0.011951239107796052</x:v>
      </x:c>
      <x:c r="J1607" s="12" t="n">
        <x:v>0</x:v>
      </x:c>
      <x:c r="K1607" s="12" t="n">
        <x:v>0</x:v>
      </x:c>
      <x:c r="L1607" s="12" t="n">
        <x:v>0</x:v>
      </x:c>
      <x:c r="M1607" s="2" t="str">
        <x:v>持有</x:v>
      </x:c>
    </x:row>
    <x:row r="1608" ht="23" customHeight="1">
      <x:c r="A1608" s="11" t="d">
        <x:v>2021-05-14T00:00:00.000Z</x:v>
      </x:c>
      <x:c r="B1608" s="12" t="n">
        <x:v>632.054847</x:v>
      </x:c>
      <x:c r="C1608" s="13" t="n">
        <x:v>304</x:v>
      </x:c>
      <x:c r="D1608" s="12" t="n">
        <x:v>126640.31999999999</x:v>
      </x:c>
      <x:c r="E1608" s="12" t="n">
        <x:v>0</x:v>
      </x:c>
      <x:c r="F1608" s="12" t="n">
        <x:f>SUM(B1608,D1608:E1608)</x:f>
        <x:v>127272.374847</x:v>
      </x:c>
      <x:c r="G1608" s="12" t="n">
        <x:f>MAX(G1607,F1608)</x:f>
        <x:v>128956.534847</x:v>
      </x:c>
      <x:c r="H1608" s="14" t="n">
        <x:f>F1608/G1608-1</x:f>
        <x:v>-0.013059904269280831</x:v>
      </x:c>
      <x:c r="I1608" s="14" t="n">
        <x:f>F1608/F1607-1</x:f>
        <x:v>0.015277944819173772</x:v>
      </x:c>
      <x:c r="J1608" s="12" t="n">
        <x:v>0</x:v>
      </x:c>
      <x:c r="K1608" s="12" t="n">
        <x:v>0</x:v>
      </x:c>
      <x:c r="L1608" s="12" t="n">
        <x:v>0</x:v>
      </x:c>
      <x:c r="M1608" s="2" t="str">
        <x:v>持有</x:v>
      </x:c>
    </x:row>
    <x:row r="1609" ht="23" customHeight="1">
      <x:c r="A1609" s="11" t="d">
        <x:v>2021-05-17T00:00:00.000Z</x:v>
      </x:c>
      <x:c r="B1609" s="12" t="n">
        <x:v>632.054847</x:v>
      </x:c>
      <x:c r="C1609" s="13" t="n">
        <x:v>304</x:v>
      </x:c>
      <x:c r="D1609" s="12" t="n">
        <x:v>126318.07999999999</x:v>
      </x:c>
      <x:c r="E1609" s="12" t="n">
        <x:v>0</x:v>
      </x:c>
      <x:c r="F1609" s="12" t="n">
        <x:f>SUM(B1609,D1609:E1609)</x:f>
        <x:v>126950.134847</x:v>
      </x:c>
      <x:c r="G1609" s="12" t="n">
        <x:f>MAX(G1608,F1609)</x:f>
        <x:v>128956.534847</x:v>
      </x:c>
      <x:c r="H1609" s="14" t="n">
        <x:f>F1609/G1609-1</x:f>
        <x:v>-0.015558730717915914</x:v>
      </x:c>
      <x:c r="I1609" s="14" t="n">
        <x:f>F1609/F1608-1</x:f>
        <x:v>-0.002531892725246787</x:v>
      </x:c>
      <x:c r="J1609" s="12" t="n">
        <x:v>0</x:v>
      </x:c>
      <x:c r="K1609" s="12" t="n">
        <x:v>0</x:v>
      </x:c>
      <x:c r="L1609" s="12" t="n">
        <x:v>0</x:v>
      </x:c>
      <x:c r="M1609" s="2" t="str">
        <x:v>持有</x:v>
      </x:c>
    </x:row>
    <x:row r="1610" ht="23" customHeight="1">
      <x:c r="A1610" s="11" t="d">
        <x:v>2021-05-18T00:00:00.000Z</x:v>
      </x:c>
      <x:c r="B1610" s="12" t="n">
        <x:v>632.054847</x:v>
      </x:c>
      <x:c r="C1610" s="13" t="n">
        <x:v>304</x:v>
      </x:c>
      <x:c r="D1610" s="12" t="n">
        <x:v>125229.76</x:v>
      </x:c>
      <x:c r="E1610" s="12" t="n">
        <x:v>0</x:v>
      </x:c>
      <x:c r="F1610" s="12" t="n">
        <x:f>SUM(B1610,D1610:E1610)</x:f>
        <x:v>125861.814847</x:v>
      </x:c>
      <x:c r="G1610" s="12" t="n">
        <x:f>MAX(G1609,F1610)</x:f>
        <x:v>128956.534847</x:v>
      </x:c>
      <x:c r="H1610" s="14" t="n">
        <x:f>F1610/G1610-1</x:f>
        <x:v>-0.023998163440664078</x:v>
      </x:c>
      <x:c r="I1610" s="14" t="n">
        <x:f>F1610/F1609-1</x:f>
        <x:v>-0.008572814840343668</x:v>
      </x:c>
      <x:c r="J1610" s="12" t="n">
        <x:v>0</x:v>
      </x:c>
      <x:c r="K1610" s="12" t="n">
        <x:v>0</x:v>
      </x:c>
      <x:c r="L1610" s="12" t="n">
        <x:v>0</x:v>
      </x:c>
      <x:c r="M1610" s="2" t="str">
        <x:v>持有</x:v>
      </x:c>
    </x:row>
    <x:row r="1611" ht="23" customHeight="1">
      <x:c r="A1611" s="11" t="d">
        <x:v>2021-05-19T00:00:00.000Z</x:v>
      </x:c>
      <x:c r="B1611" s="12" t="n">
        <x:v>632.054847</x:v>
      </x:c>
      <x:c r="C1611" s="13" t="n">
        <x:v>304</x:v>
      </x:c>
      <x:c r="D1611" s="12" t="n">
        <x:v>124901.44</x:v>
      </x:c>
      <x:c r="E1611" s="12" t="n">
        <x:v>0</x:v>
      </x:c>
      <x:c r="F1611" s="12" t="n">
        <x:f>SUM(B1611,D1611:E1611)</x:f>
        <x:v>125533.49484700001</x:v>
      </x:c>
      <x:c r="G1611" s="12" t="n">
        <x:f>MAX(G1610,F1611)</x:f>
        <x:v>128956.534847</x:v>
      </x:c>
      <x:c r="H1611" s="14" t="n">
        <x:f>F1611/G1611-1</x:f>
        <x:v>-0.026544137558141223</x:v>
      </x:c>
      <x:c r="I1611" s="14" t="n">
        <x:f>F1611/F1610-1</x:f>
        <x:v>-0.0026085751297889592</x:v>
      </x:c>
      <x:c r="J1611" s="12" t="n">
        <x:v>0</x:v>
      </x:c>
      <x:c r="K1611" s="12" t="n">
        <x:v>0</x:v>
      </x:c>
      <x:c r="L1611" s="12" t="n">
        <x:v>0</x:v>
      </x:c>
      <x:c r="M1611" s="2" t="str">
        <x:v>持有</x:v>
      </x:c>
    </x:row>
    <x:row r="1612" ht="23" customHeight="1">
      <x:c r="A1612" s="11" t="d">
        <x:v>2021-05-20T00:00:00.000Z</x:v>
      </x:c>
      <x:c r="B1612" s="12" t="n">
        <x:v>632.054847</x:v>
      </x:c>
      <x:c r="C1612" s="13" t="n">
        <x:v>304</x:v>
      </x:c>
      <x:c r="D1612" s="12" t="n">
        <x:v>126245.12</x:v>
      </x:c>
      <x:c r="E1612" s="12" t="n">
        <x:v>0</x:v>
      </x:c>
      <x:c r="F1612" s="12" t="n">
        <x:f>SUM(B1612,D1612:E1612)</x:f>
        <x:v>126877.174847</x:v>
      </x:c>
      <x:c r="G1612" s="12" t="n">
        <x:f>MAX(G1611,F1612)</x:f>
        <x:v>128956.534847</x:v>
      </x:c>
      <x:c r="H1612" s="14" t="n">
        <x:f>F1612/G1612-1</x:f>
        <x:v>-0.016124502744021885</x:v>
      </x:c>
      <x:c r="I1612" s="14" t="n">
        <x:f>F1612/F1611-1</x:f>
        <x:v>0.010703756807198594</x:v>
      </x:c>
      <x:c r="J1612" s="12" t="n">
        <x:v>0</x:v>
      </x:c>
      <x:c r="K1612" s="12" t="n">
        <x:v>0</x:v>
      </x:c>
      <x:c r="L1612" s="12" t="n">
        <x:v>0</x:v>
      </x:c>
      <x:c r="M1612" s="2" t="str">
        <x:v>持有</x:v>
      </x:c>
    </x:row>
    <x:row r="1613" ht="23" customHeight="1">
      <x:c r="A1613" s="11" t="d">
        <x:v>2021-05-21T00:00:00.000Z</x:v>
      </x:c>
      <x:c r="B1613" s="12" t="n">
        <x:v>632.054847</x:v>
      </x:c>
      <x:c r="C1613" s="13" t="n">
        <x:v>304</x:v>
      </x:c>
      <x:c r="D1613" s="12" t="n">
        <x:v>126141.76</x:v>
      </x:c>
      <x:c r="E1613" s="12" t="n">
        <x:v>0</x:v>
      </x:c>
      <x:c r="F1613" s="12" t="n">
        <x:f>SUM(B1613,D1613:E1613)</x:f>
        <x:v>126773.814847</x:v>
      </x:c>
      <x:c r="G1613" s="12" t="n">
        <x:f>MAX(G1612,F1613)</x:f>
        <x:v>128956.534847</x:v>
      </x:c>
      <x:c r="H1613" s="14" t="n">
        <x:f>F1613/G1613-1</x:f>
        <x:v>-0.016926013114338723</x:v>
      </x:c>
      <x:c r="I1613" s="14" t="n">
        <x:f>F1613/F1612-1</x:f>
        <x:v>-0.0008146461341422828</x:v>
      </x:c>
      <x:c r="J1613" s="12" t="n">
        <x:v>0</x:v>
      </x:c>
      <x:c r="K1613" s="12" t="n">
        <x:v>0</x:v>
      </x:c>
      <x:c r="L1613" s="12" t="n">
        <x:v>0</x:v>
      </x:c>
      <x:c r="M1613" s="2" t="str">
        <x:v>持有</x:v>
      </x:c>
    </x:row>
    <x:row r="1614" ht="23" customHeight="1">
      <x:c r="A1614" s="11" t="d">
        <x:v>2021-05-24T00:00:00.000Z</x:v>
      </x:c>
      <x:c r="B1614" s="12" t="n">
        <x:v>632.054847</x:v>
      </x:c>
      <x:c r="C1614" s="13" t="n">
        <x:v>304</x:v>
      </x:c>
      <x:c r="D1614" s="12" t="n">
        <x:v>127427.68000000001</x:v>
      </x:c>
      <x:c r="E1614" s="12" t="n">
        <x:v>0</x:v>
      </x:c>
      <x:c r="F1614" s="12" t="n">
        <x:f>SUM(B1614,D1614:E1614)</x:f>
        <x:v>128059.73484700001</x:v>
      </x:c>
      <x:c r="G1614" s="12" t="n">
        <x:f>MAX(G1613,F1614)</x:f>
        <x:v>128956.534847</x:v>
      </x:c>
      <x:c r="H1614" s="14" t="n">
        <x:f>F1614/G1614-1</x:f>
        <x:v>-0.00695428115421981</x:v>
      </x:c>
      <x:c r="I1614" s="14" t="n">
        <x:f>F1614/F1613-1</x:f>
        <x:v>0.010143419613521498</x:v>
      </x:c>
      <x:c r="J1614" s="12" t="n">
        <x:v>0</x:v>
      </x:c>
      <x:c r="K1614" s="12" t="n">
        <x:v>0</x:v>
      </x:c>
      <x:c r="L1614" s="12" t="n">
        <x:v>0</x:v>
      </x:c>
      <x:c r="M1614" s="2" t="str">
        <x:v>持有</x:v>
      </x:c>
    </x:row>
    <x:row r="1615" ht="23" customHeight="1">
      <x:c r="A1615" s="11" t="d">
        <x:v>2021-05-25T00:00:00.000Z</x:v>
      </x:c>
      <x:c r="B1615" s="12" t="n">
        <x:v>632.054847</x:v>
      </x:c>
      <x:c r="C1615" s="13" t="n">
        <x:v>304</x:v>
      </x:c>
      <x:c r="D1615" s="12" t="n">
        <x:v>127144.96</x:v>
      </x:c>
      <x:c r="E1615" s="12" t="n">
        <x:v>0</x:v>
      </x:c>
      <x:c r="F1615" s="12" t="n">
        <x:f>SUM(B1615,D1615:E1615)</x:f>
        <x:v>127777.01484700001</x:v>
      </x:c>
      <x:c r="G1615" s="12" t="n">
        <x:f>MAX(G1614,F1615)</x:f>
        <x:v>128956.534847</x:v>
      </x:c>
      <x:c r="H1615" s="14" t="n">
        <x:f>F1615/G1615-1</x:f>
        <x:v>-0.009146647755380766</x:v>
      </x:c>
      <x:c r="I1615" s="14" t="n">
        <x:f>F1615/F1614-1</x:f>
        <x:v>-0.00220771970469702</x:v>
      </x:c>
      <x:c r="J1615" s="12" t="n">
        <x:v>0</x:v>
      </x:c>
      <x:c r="K1615" s="12" t="n">
        <x:v>0</x:v>
      </x:c>
      <x:c r="L1615" s="12" t="n">
        <x:v>0</x:v>
      </x:c>
      <x:c r="M1615" s="2" t="str">
        <x:v>持有</x:v>
      </x:c>
    </x:row>
    <x:row r="1616" ht="23" customHeight="1">
      <x:c r="A1616" s="11" t="d">
        <x:v>2021-05-26T00:00:00.000Z</x:v>
      </x:c>
      <x:c r="B1616" s="12" t="n">
        <x:v>632.054847</x:v>
      </x:c>
      <x:c r="C1616" s="13" t="n">
        <x:v>304</x:v>
      </x:c>
      <x:c r="D1616" s="12" t="n">
        <x:v>127397.28</x:v>
      </x:c>
      <x:c r="E1616" s="12" t="n">
        <x:v>0</x:v>
      </x:c>
      <x:c r="F1616" s="12" t="n">
        <x:f>SUM(B1616,D1616:E1616)</x:f>
        <x:v>128029.334847</x:v>
      </x:c>
      <x:c r="G1616" s="12" t="n">
        <x:f>MAX(G1615,F1616)</x:f>
        <x:v>128956.534847</x:v>
      </x:c>
      <x:c r="H1616" s="14" t="n">
        <x:f>F1616/G1616-1</x:f>
        <x:v>-0.007190019498430789</x:v>
      </x:c>
      <x:c r="I1616" s="14" t="n">
        <x:f>F1616/F1615-1</x:f>
        <x:v>0.00197469005127493</x:v>
      </x:c>
      <x:c r="J1616" s="12" t="n">
        <x:v>0</x:v>
      </x:c>
      <x:c r="K1616" s="12" t="n">
        <x:v>0</x:v>
      </x:c>
      <x:c r="L1616" s="12" t="n">
        <x:v>0</x:v>
      </x:c>
      <x:c r="M1616" s="2" t="str">
        <x:v>持有</x:v>
      </x:c>
    </x:row>
    <x:row r="1617" ht="23" customHeight="1">
      <x:c r="A1617" s="11" t="d">
        <x:v>2021-05-27T00:00:00.000Z</x:v>
      </x:c>
      <x:c r="B1617" s="12" t="n">
        <x:v>632.054847</x:v>
      </x:c>
      <x:c r="C1617" s="13" t="n">
        <x:v>304</x:v>
      </x:c>
      <x:c r="D1617" s="12" t="n">
        <x:v>127464.16</x:v>
      </x:c>
      <x:c r="E1617" s="12" t="n">
        <x:v>0</x:v>
      </x:c>
      <x:c r="F1617" s="12" t="n">
        <x:f>SUM(B1617,D1617:E1617)</x:f>
        <x:v>128096.21484700001</x:v>
      </x:c>
      <x:c r="G1617" s="12" t="n">
        <x:f>MAX(G1616,F1617)</x:f>
        <x:v>128956.534847</x:v>
      </x:c>
      <x:c r="H1617" s="14" t="n">
        <x:f>F1617/G1617-1</x:f>
        <x:v>-0.00667139514116688</x:v>
      </x:c>
      <x:c r="I1617" s="14" t="n">
        <x:f>F1617/F1616-1</x:f>
        <x:v>0.000522380281674728</x:v>
      </x:c>
      <x:c r="J1617" s="12" t="n">
        <x:v>0</x:v>
      </x:c>
      <x:c r="K1617" s="12" t="n">
        <x:v>0</x:v>
      </x:c>
      <x:c r="L1617" s="12" t="n">
        <x:v>0</x:v>
      </x:c>
      <x:c r="M1617" s="2" t="str">
        <x:v>持有</x:v>
      </x:c>
    </x:row>
    <x:row r="1618" ht="23" customHeight="1">
      <x:c r="A1618" s="11" t="d">
        <x:v>2021-05-28T00:00:00.000Z</x:v>
      </x:c>
      <x:c r="B1618" s="12" t="n">
        <x:v>632.054847</x:v>
      </x:c>
      <x:c r="C1618" s="13" t="n">
        <x:v>304</x:v>
      </x:c>
      <x:c r="D1618" s="12" t="n">
        <x:v>127692.16</x:v>
      </x:c>
      <x:c r="E1618" s="12" t="n">
        <x:v>0</x:v>
      </x:c>
      <x:c r="F1618" s="12" t="n">
        <x:f>SUM(B1618,D1618:E1618)</x:f>
        <x:v>128324.21484700001</x:v>
      </x:c>
      <x:c r="G1618" s="12" t="n">
        <x:f>MAX(G1617,F1618)</x:f>
        <x:v>128956.534847</x:v>
      </x:c>
      <x:c r="H1618" s="14" t="n">
        <x:f>F1618/G1618-1</x:f>
        <x:v>-0.004903357559585486</x:v>
      </x:c>
      <x:c r="I1618" s="14" t="n">
        <x:f>F1618/F1617-1</x:f>
        <x:v>0.0017799120783728029</x:v>
      </x:c>
      <x:c r="J1618" s="12" t="n">
        <x:v>0</x:v>
      </x:c>
      <x:c r="K1618" s="12" t="n">
        <x:v>0</x:v>
      </x:c>
      <x:c r="L1618" s="12" t="n">
        <x:v>0</x:v>
      </x:c>
      <x:c r="M1618" s="2" t="str">
        <x:v>持有</x:v>
      </x:c>
    </x:row>
    <x:row r="1619" ht="23" customHeight="1">
      <x:c r="A1619" s="11" t="d">
        <x:v>2021-06-01T00:00:00.000Z</x:v>
      </x:c>
      <x:c r="B1619" s="12" t="n">
        <x:v>632.054847</x:v>
      </x:c>
      <x:c r="C1619" s="13" t="n">
        <x:v>304</x:v>
      </x:c>
      <x:c r="D1619" s="12" t="n">
        <x:v>127579.68000000001</x:v>
      </x:c>
      <x:c r="E1619" s="12" t="n">
        <x:v>0</x:v>
      </x:c>
      <x:c r="F1619" s="12" t="n">
        <x:f>SUM(B1619,D1619:E1619)</x:f>
        <x:v>128211.73484700001</x:v>
      </x:c>
      <x:c r="G1619" s="12" t="n">
        <x:f>MAX(G1618,F1619)</x:f>
        <x:v>128956.534847</x:v>
      </x:c>
      <x:c r="H1619" s="14" t="n">
        <x:f>F1619/G1619-1</x:f>
        <x:v>-0.005775589433165584</x:v>
      </x:c>
      <x:c r="I1619" s="14" t="n">
        <x:f>F1619/F1618-1</x:f>
        <x:v>-0.0008765298126631738</x:v>
      </x:c>
      <x:c r="J1619" s="12" t="n">
        <x:v>0</x:v>
      </x:c>
      <x:c r="K1619" s="12" t="n">
        <x:v>0</x:v>
      </x:c>
      <x:c r="L1619" s="12" t="n">
        <x:v>0</x:v>
      </x:c>
      <x:c r="M1619" s="2" t="str">
        <x:v>持有</x:v>
      </x:c>
    </x:row>
    <x:row r="1620" ht="23" customHeight="1">
      <x:c r="A1620" s="11" t="d">
        <x:v>2021-06-02T00:00:00.000Z</x:v>
      </x:c>
      <x:c r="B1620" s="12" t="n">
        <x:v>632.054847</x:v>
      </x:c>
      <x:c r="C1620" s="13" t="n">
        <x:v>304</x:v>
      </x:c>
      <x:c r="D1620" s="12" t="n">
        <x:v>127780.31999999999</x:v>
      </x:c>
      <x:c r="E1620" s="12" t="n">
        <x:v>0</x:v>
      </x:c>
      <x:c r="F1620" s="12" t="n">
        <x:f>SUM(B1620,D1620:E1620)</x:f>
        <x:v>128412.374847</x:v>
      </x:c>
      <x:c r="G1620" s="12" t="n">
        <x:f>MAX(G1619,F1620)</x:f>
        <x:v>128956.534847</x:v>
      </x:c>
      <x:c r="H1620" s="14" t="n">
        <x:f>F1620/G1620-1</x:f>
        <x:v>-0.004219716361374193</x:v>
      </x:c>
      <x:c r="I1620" s="14" t="n">
        <x:f>F1620/F1619-1</x:f>
        <x:v>0.0015649113572904216</x:v>
      </x:c>
      <x:c r="J1620" s="12" t="n">
        <x:v>0</x:v>
      </x:c>
      <x:c r="K1620" s="12" t="n">
        <x:v>0</x:v>
      </x:c>
      <x:c r="L1620" s="12" t="n">
        <x:v>0</x:v>
      </x:c>
      <x:c r="M1620" s="2" t="str">
        <x:v>持有</x:v>
      </x:c>
    </x:row>
    <x:row r="1621" ht="23" customHeight="1">
      <x:c r="A1621" s="11" t="d">
        <x:v>2021-06-03T00:00:00.000Z</x:v>
      </x:c>
      <x:c r="B1621" s="12" t="n">
        <x:v>632.054847</x:v>
      </x:c>
      <x:c r="C1621" s="13" t="n">
        <x:v>304</x:v>
      </x:c>
      <x:c r="D1621" s="12" t="n">
        <x:v>127306.07999999999</x:v>
      </x:c>
      <x:c r="E1621" s="12" t="n">
        <x:v>0</x:v>
      </x:c>
      <x:c r="F1621" s="12" t="n">
        <x:f>SUM(B1621,D1621:E1621)</x:f>
        <x:v>127938.134847</x:v>
      </x:c>
      <x:c r="G1621" s="12" t="n">
        <x:f>MAX(G1620,F1621)</x:f>
        <x:v>128956.534847</x:v>
      </x:c>
      <x:c r="H1621" s="14" t="n">
        <x:f>F1621/G1621-1</x:f>
        <x:v>-0.00789723453106339</x:v>
      </x:c>
      <x:c r="I1621" s="14" t="n">
        <x:f>F1621/F1620-1</x:f>
        <x:v>-0.0036931020126763636</x:v>
      </x:c>
      <x:c r="J1621" s="12" t="n">
        <x:v>0</x:v>
      </x:c>
      <x:c r="K1621" s="12" t="n">
        <x:v>0</x:v>
      </x:c>
      <x:c r="L1621" s="12" t="n">
        <x:v>0</x:v>
      </x:c>
      <x:c r="M1621" s="2" t="str">
        <x:v>持有</x:v>
      </x:c>
    </x:row>
    <x:row r="1622" ht="23" customHeight="1">
      <x:c r="A1622" s="11" t="d">
        <x:v>2021-06-04T00:00:00.000Z</x:v>
      </x:c>
      <x:c r="B1622" s="12" t="n">
        <x:v>632.054847</x:v>
      </x:c>
      <x:c r="C1622" s="13" t="n">
        <x:v>304</x:v>
      </x:c>
      <x:c r="D1622" s="12" t="n">
        <x:v>128470.40000000001</x:v>
      </x:c>
      <x:c r="E1622" s="12" t="n">
        <x:v>0</x:v>
      </x:c>
      <x:c r="F1622" s="12" t="n">
        <x:f>SUM(B1622,D1622:E1622)</x:f>
        <x:v>129102.45484700002</x:v>
      </x:c>
      <x:c r="G1622" s="12" t="n">
        <x:f>MAX(G1621,F1622)</x:f>
        <x:v>129102.45484700002</x:v>
      </x:c>
      <x:c r="H1622" s="14" t="n">
        <x:f>F1622/G1622-1</x:f>
        <x:v>0</x:v>
      </x:c>
      <x:c r="I1622" s="14" t="n">
        <x:f>F1622/F1621-1</x:f>
        <x:v>0.00910064853917425</x:v>
      </x:c>
      <x:c r="J1622" s="12" t="n">
        <x:v>0</x:v>
      </x:c>
      <x:c r="K1622" s="12" t="n">
        <x:v>0</x:v>
      </x:c>
      <x:c r="L1622" s="12" t="n">
        <x:v>0</x:v>
      </x:c>
      <x:c r="M1622" s="2" t="str">
        <x:v>持有</x:v>
      </x:c>
    </x:row>
    <x:row r="1623" ht="23" customHeight="1">
      <x:c r="A1623" s="11" t="d">
        <x:v>2021-06-07T00:00:00.000Z</x:v>
      </x:c>
      <x:c r="B1623" s="12" t="n">
        <x:v>632.054847</x:v>
      </x:c>
      <x:c r="C1623" s="13" t="n">
        <x:v>304</x:v>
      </x:c>
      <x:c r="D1623" s="12" t="n">
        <x:v>128345.76</x:v>
      </x:c>
      <x:c r="E1623" s="12" t="n">
        <x:v>0</x:v>
      </x:c>
      <x:c r="F1623" s="12" t="n">
        <x:f>SUM(B1623,D1623:E1623)</x:f>
        <x:v>128977.814847</x:v>
      </x:c>
      <x:c r="G1623" s="12" t="n">
        <x:f>MAX(G1622,F1623)</x:f>
        <x:v>129102.45484700002</x:v>
      </x:c>
      <x:c r="H1623" s="14" t="n">
        <x:f>F1623/G1623-1</x:f>
        <x:v>-0.0009654347792822371</x:v>
      </x:c>
      <x:c r="I1623" s="14" t="n">
        <x:f>F1623/F1622-1</x:f>
        <x:v>-0.0009654347792822371</x:v>
      </x:c>
      <x:c r="J1623" s="12" t="n">
        <x:v>0</x:v>
      </x:c>
      <x:c r="K1623" s="12" t="n">
        <x:v>0</x:v>
      </x:c>
      <x:c r="L1623" s="12" t="n">
        <x:v>0</x:v>
      </x:c>
      <x:c r="M1623" s="2" t="str">
        <x:v>持有</x:v>
      </x:c>
    </x:row>
    <x:row r="1624" ht="23" customHeight="1">
      <x:c r="A1624" s="11" t="d">
        <x:v>2021-06-08T00:00:00.000Z</x:v>
      </x:c>
      <x:c r="B1624" s="12" t="n">
        <x:v>632.054847</x:v>
      </x:c>
      <x:c r="C1624" s="13" t="n">
        <x:v>304</x:v>
      </x:c>
      <x:c r="D1624" s="12" t="n">
        <x:v>128373.12</x:v>
      </x:c>
      <x:c r="E1624" s="12" t="n">
        <x:v>0</x:v>
      </x:c>
      <x:c r="F1624" s="12" t="n">
        <x:f>SUM(B1624,D1624:E1624)</x:f>
        <x:v>129005.174847</x:v>
      </x:c>
      <x:c r="G1624" s="12" t="n">
        <x:f>MAX(G1623,F1624)</x:f>
        <x:v>129102.45484700002</x:v>
      </x:c>
      <x:c r="H1624" s="14" t="n">
        <x:f>F1624/G1624-1</x:f>
        <x:v>-0.000753510071634933</x:v>
      </x:c>
      <x:c r="I1624" s="14" t="n">
        <x:f>F1624/F1623-1</x:f>
        <x:v>0.00021212950484894577</x:v>
      </x:c>
      <x:c r="J1624" s="12" t="n">
        <x:v>0</x:v>
      </x:c>
      <x:c r="K1624" s="12" t="n">
        <x:v>0</x:v>
      </x:c>
      <x:c r="L1624" s="12" t="n">
        <x:v>0</x:v>
      </x:c>
      <x:c r="M1624" s="2" t="str">
        <x:v>持有</x:v>
      </x:c>
    </x:row>
    <x:row r="1625" ht="23" customHeight="1">
      <x:c r="A1625" s="11" t="d">
        <x:v>2021-06-09T00:00:00.000Z</x:v>
      </x:c>
      <x:c r="B1625" s="12" t="n">
        <x:v>632.054847</x:v>
      </x:c>
      <x:c r="C1625" s="13" t="n">
        <x:v>304</x:v>
      </x:c>
      <x:c r="D1625" s="12" t="n">
        <x:v>128181.59999999999</x:v>
      </x:c>
      <x:c r="E1625" s="12" t="n">
        <x:v>0</x:v>
      </x:c>
      <x:c r="F1625" s="12" t="n">
        <x:f>SUM(B1625,D1625:E1625)</x:f>
        <x:v>128813.654847</x:v>
      </x:c>
      <x:c r="G1625" s="12" t="n">
        <x:f>MAX(G1624,F1625)</x:f>
        <x:v>129102.45484700002</x:v>
      </x:c>
      <x:c r="H1625" s="14" t="n">
        <x:f>F1625/G1625-1</x:f>
        <x:v>-0.0022369830251661726</x:v>
      </x:c>
      <x:c r="I1625" s="14" t="n">
        <x:f>F1625/F1624-1</x:f>
        <x:v>-0.0014845916082603106</x:v>
      </x:c>
      <x:c r="J1625" s="12" t="n">
        <x:v>0</x:v>
      </x:c>
      <x:c r="K1625" s="12" t="n">
        <x:v>0</x:v>
      </x:c>
      <x:c r="L1625" s="12" t="n">
        <x:v>0</x:v>
      </x:c>
      <x:c r="M1625" s="2" t="str">
        <x:v>持有</x:v>
      </x:c>
    </x:row>
    <x:row r="1626" ht="23" customHeight="1">
      <x:c r="A1626" s="11" t="d">
        <x:v>2021-06-10T00:00:00.000Z</x:v>
      </x:c>
      <x:c r="B1626" s="12" t="n">
        <x:v>632.054847</x:v>
      </x:c>
      <x:c r="C1626" s="13" t="n">
        <x:v>304</x:v>
      </x:c>
      <x:c r="D1626" s="12" t="n">
        <x:v>128777.44</x:v>
      </x:c>
      <x:c r="E1626" s="12" t="n">
        <x:v>0</x:v>
      </x:c>
      <x:c r="F1626" s="12" t="n">
        <x:f>SUM(B1626,D1626:E1626)</x:f>
        <x:v>129409.49484700001</x:v>
      </x:c>
      <x:c r="G1626" s="12" t="n">
        <x:f>MAX(G1625,F1626)</x:f>
        <x:v>129409.49484700001</x:v>
      </x:c>
      <x:c r="H1626" s="14" t="n">
        <x:f>F1626/G1626-1</x:f>
        <x:v>0</x:v>
      </x:c>
      <x:c r="I1626" s="14" t="n">
        <x:f>F1626/F1625-1</x:f>
        <x:v>0.004625596569771462</x:v>
      </x:c>
      <x:c r="J1626" s="12" t="n">
        <x:v>0</x:v>
      </x:c>
      <x:c r="K1626" s="12" t="n">
        <x:v>0</x:v>
      </x:c>
      <x:c r="L1626" s="12" t="n">
        <x:v>0</x:v>
      </x:c>
      <x:c r="M1626" s="2" t="str">
        <x:v>持有</x:v>
      </x:c>
    </x:row>
    <x:row r="1627" ht="23" customHeight="1">
      <x:c r="A1627" s="11" t="d">
        <x:v>2021-06-11T00:00:00.000Z</x:v>
      </x:c>
      <x:c r="B1627" s="12" t="n">
        <x:v>632.054847</x:v>
      </x:c>
      <x:c r="C1627" s="13" t="n">
        <x:v>304</x:v>
      </x:c>
      <x:c r="D1627" s="12" t="n">
        <x:v>128990.24</x:v>
      </x:c>
      <x:c r="E1627" s="12" t="n">
        <x:v>0</x:v>
      </x:c>
      <x:c r="F1627" s="12" t="n">
        <x:f>SUM(B1627,D1627:E1627)</x:f>
        <x:v>129622.29484700001</x:v>
      </x:c>
      <x:c r="G1627" s="12" t="n">
        <x:f>MAX(G1626,F1627)</x:f>
        <x:v>129622.29484700001</x:v>
      </x:c>
      <x:c r="H1627" s="14" t="n">
        <x:f>F1627/G1627-1</x:f>
        <x:v>0</x:v>
      </x:c>
      <x:c r="I1627" s="14" t="n">
        <x:f>F1627/F1626-1</x:f>
        <x:v>0.001644392478709511</x:v>
      </x:c>
      <x:c r="J1627" s="12" t="n">
        <x:v>0</x:v>
      </x:c>
      <x:c r="K1627" s="12" t="n">
        <x:v>0</x:v>
      </x:c>
      <x:c r="L1627" s="12" t="n">
        <x:v>0</x:v>
      </x:c>
      <x:c r="M1627" s="2" t="str">
        <x:v>持有</x:v>
      </x:c>
    </x:row>
    <x:row r="1628" ht="23" customHeight="1">
      <x:c r="A1628" s="11" t="d">
        <x:v>2021-06-14T00:00:00.000Z</x:v>
      </x:c>
      <x:c r="B1628" s="12" t="n">
        <x:v>632.054847</x:v>
      </x:c>
      <x:c r="C1628" s="13" t="n">
        <x:v>304</x:v>
      </x:c>
      <x:c r="D1628" s="12" t="n">
        <x:v>129279.04</x:v>
      </x:c>
      <x:c r="E1628" s="12" t="n">
        <x:v>0</x:v>
      </x:c>
      <x:c r="F1628" s="12" t="n">
        <x:f>SUM(B1628,D1628:E1628)</x:f>
        <x:v>129911.094847</x:v>
      </x:c>
      <x:c r="G1628" s="12" t="n">
        <x:f>MAX(G1627,F1628)</x:f>
        <x:v>129911.094847</x:v>
      </x:c>
      <x:c r="H1628" s="14" t="n">
        <x:f>F1628/G1628-1</x:f>
        <x:v>0</x:v>
      </x:c>
      <x:c r="I1628" s="14" t="n">
        <x:f>F1628/F1627-1</x:f>
        <x:v>0.002228011781004735</x:v>
      </x:c>
      <x:c r="J1628" s="12" t="n">
        <x:v>0</x:v>
      </x:c>
      <x:c r="K1628" s="12" t="n">
        <x:v>0</x:v>
      </x:c>
      <x:c r="L1628" s="12" t="n">
        <x:v>0</x:v>
      </x:c>
      <x:c r="M1628" s="2" t="str">
        <x:v>持有</x:v>
      </x:c>
    </x:row>
    <x:row r="1629" ht="23" customHeight="1">
      <x:c r="A1629" s="11" t="d">
        <x:v>2021-06-15T00:00:00.000Z</x:v>
      </x:c>
      <x:c r="B1629" s="12" t="n">
        <x:v>632.054847</x:v>
      </x:c>
      <x:c r="C1629" s="13" t="n">
        <x:v>304</x:v>
      </x:c>
      <x:c r="D1629" s="12" t="n">
        <x:v>129041.92000000001</x:v>
      </x:c>
      <x:c r="E1629" s="12" t="n">
        <x:v>0</x:v>
      </x:c>
      <x:c r="F1629" s="12" t="n">
        <x:f>SUM(B1629,D1629:E1629)</x:f>
        <x:v>129673.97484700002</x:v>
      </x:c>
      <x:c r="G1629" s="12" t="n">
        <x:f>MAX(G1628,F1629)</x:f>
        <x:v>129911.094847</x:v>
      </x:c>
      <x:c r="H1629" s="14" t="n">
        <x:f>F1629/G1629-1</x:f>
        <x:v>-0.0018252482613532184</x:v>
      </x:c>
      <x:c r="I1629" s="14" t="n">
        <x:f>F1629/F1628-1</x:f>
        <x:v>-0.0018252482613532184</x:v>
      </x:c>
      <x:c r="J1629" s="12" t="n">
        <x:v>0</x:v>
      </x:c>
      <x:c r="K1629" s="12" t="n">
        <x:v>0</x:v>
      </x:c>
      <x:c r="L1629" s="12" t="n">
        <x:v>0</x:v>
      </x:c>
      <x:c r="M1629" s="2" t="str">
        <x:v>持有</x:v>
      </x:c>
    </x:row>
    <x:row r="1630" ht="23" customHeight="1">
      <x:c r="A1630" s="11" t="d">
        <x:v>2021-06-16T00:00:00.000Z</x:v>
      </x:c>
      <x:c r="B1630" s="12" t="n">
        <x:v>632.054847</x:v>
      </x:c>
      <x:c r="C1630" s="13" t="n">
        <x:v>304</x:v>
      </x:c>
      <x:c r="D1630" s="12" t="n">
        <x:v>128321.44</x:v>
      </x:c>
      <x:c r="E1630" s="12" t="n">
        <x:v>0</x:v>
      </x:c>
      <x:c r="F1630" s="12" t="n">
        <x:f>SUM(B1630,D1630:E1630)</x:f>
        <x:v>128953.49484700001</x:v>
      </x:c>
      <x:c r="G1630" s="12" t="n">
        <x:f>MAX(G1629,F1630)</x:f>
        <x:v>129911.094847</x:v>
      </x:c>
      <x:c r="H1630" s="14" t="n">
        <x:f>F1630/G1630-1</x:f>
        <x:v>-0.007371194901619305</x:v>
      </x:c>
      <x:c r="I1630" s="14" t="n">
        <x:f>F1630/F1629-1</x:f>
        <x:v>-0.005556087880009053</x:v>
      </x:c>
      <x:c r="J1630" s="12" t="n">
        <x:v>0</x:v>
      </x:c>
      <x:c r="K1630" s="12" t="n">
        <x:v>0</x:v>
      </x:c>
      <x:c r="L1630" s="12" t="n">
        <x:v>0</x:v>
      </x:c>
      <x:c r="M1630" s="2" t="str">
        <x:v>持有</x:v>
      </x:c>
    </x:row>
    <x:row r="1631" ht="23" customHeight="1">
      <x:c r="A1631" s="11" t="d">
        <x:v>2021-06-17T00:00:00.000Z</x:v>
      </x:c>
      <x:c r="B1631" s="12" t="n">
        <x:v>632.054847</x:v>
      </x:c>
      <x:c r="C1631" s="13" t="n">
        <x:v>304</x:v>
      </x:c>
      <x:c r="D1631" s="12" t="n">
        <x:v>128278.88</x:v>
      </x:c>
      <x:c r="E1631" s="12" t="n">
        <x:v>0</x:v>
      </x:c>
      <x:c r="F1631" s="12" t="n">
        <x:f>SUM(B1631,D1631:E1631)</x:f>
        <x:v>128910.93484700001</x:v>
      </x:c>
      <x:c r="G1631" s="12" t="n">
        <x:f>MAX(G1630,F1631)</x:f>
        <x:v>129911.094847</x:v>
      </x:c>
      <x:c r="H1631" s="14" t="n">
        <x:f>F1631/G1631-1</x:f>
        <x:v>-0.007698803563913503</x:v>
      </x:c>
      <x:c r="I1631" s="14" t="n">
        <x:f>F1631/F1630-1</x:f>
        <x:v>-0.00033004146223791775</x:v>
      </x:c>
      <x:c r="J1631" s="12" t="n">
        <x:v>0</x:v>
      </x:c>
      <x:c r="K1631" s="12" t="n">
        <x:v>0</x:v>
      </x:c>
      <x:c r="L1631" s="12" t="n">
        <x:v>0</x:v>
      </x:c>
      <x:c r="M1631" s="2" t="str">
        <x:v>持有</x:v>
      </x:c>
    </x:row>
    <x:row r="1632" ht="23" customHeight="1">
      <x:c r="A1632" s="11" t="d">
        <x:v>2021-06-18T00:00:00.000Z</x:v>
      </x:c>
      <x:c r="B1632" s="12" t="n">
        <x:v>632.054847</x:v>
      </x:c>
      <x:c r="C1632" s="13" t="n">
        <x:v>304</x:v>
      </x:c>
      <x:c r="D1632" s="12" t="n">
        <x:v>126135.68000000001</x:v>
      </x:c>
      <x:c r="E1632" s="12" t="n">
        <x:v>418.266</x:v>
      </x:c>
      <x:c r="F1632" s="12" t="n">
        <x:f>SUM(B1632,D1632:E1632)</x:f>
        <x:v>127186.00084700002</x:v>
      </x:c>
      <x:c r="G1632" s="12" t="n">
        <x:f>MAX(G1631,F1632)</x:f>
        <x:v>129911.094847</x:v>
      </x:c>
      <x:c r="H1632" s="14" t="n">
        <x:f>F1632/G1632-1</x:f>
        <x:v>-0.020976607142056625</x:v>
      </x:c>
      <x:c r="I1632" s="14" t="n">
        <x:f>F1632/F1631-1</x:f>
        <x:v>-0.013380819881938288</x:v>
      </x:c>
      <x:c r="J1632" s="12" t="n">
        <x:v>418.266</x:v>
      </x:c>
      <x:c r="K1632" s="12" t="n">
        <x:v>0</x:v>
      </x:c>
      <x:c r="L1632" s="12" t="n">
        <x:v>0</x:v>
      </x:c>
      <x:c r="M1632" s="2" t="str">
        <x:v>持有</x:v>
      </x:c>
    </x:row>
    <x:row r="1633" ht="23" customHeight="1">
      <x:c r="A1633" s="11" t="d">
        <x:v>2021-06-21T00:00:00.000Z</x:v>
      </x:c>
      <x:c r="B1633" s="12" t="n">
        <x:v>127212.547647</x:v>
      </x:c>
      <x:c r="C1633" s="13" t="n">
        <x:v>0</x:v>
      </x:c>
      <x:c r="D1633" s="12" t="n">
        <x:v>0</x:v>
      </x:c>
      <x:c r="E1633" s="12" t="n">
        <x:v>418.266</x:v>
      </x:c>
      <x:c r="F1633" s="12" t="n">
        <x:f>SUM(B1633,D1633:E1633)</x:f>
        <x:v>127630.813647</x:v>
      </x:c>
      <x:c r="G1633" s="12" t="n">
        <x:f>MAX(G1632,F1633)</x:f>
        <x:v>129911.094847</x:v>
      </x:c>
      <x:c r="H1633" s="14" t="n">
        <x:f>F1633/G1633-1</x:f>
        <x:v>-0.017552628608707765</x:v>
      </x:c>
      <x:c r="I1633" s="14" t="n">
        <x:f>F1633/F1632-1</x:f>
        <x:v>0.0034973408790097693</x:v>
      </x:c>
      <x:c r="J1633" s="12" t="n">
        <x:v>0</x:v>
      </x:c>
      <x:c r="K1633" s="12" t="n">
        <x:v>0</x:v>
      </x:c>
      <x:c r="L1633" s="12" t="n">
        <x:v>-304</x:v>
      </x:c>
      <x:c r="M1633" s="2" t="str">
        <x:v>卖出</x:v>
      </x:c>
    </x:row>
    <x:row r="1634" ht="23" customHeight="1">
      <x:c r="A1634" s="11" t="d">
        <x:v>2021-06-22T00:00:00.000Z</x:v>
      </x:c>
      <x:c r="B1634" s="12" t="n">
        <x:v>410.021797</x:v>
      </x:c>
      <x:c r="C1634" s="13" t="n">
        <x:v>301</x:v>
      </x:c>
      <x:c r="D1634" s="12" t="n">
        <x:v>127356.11</x:v>
      </x:c>
      <x:c r="E1634" s="12" t="n">
        <x:v>418.266</x:v>
      </x:c>
      <x:c r="F1634" s="12" t="n">
        <x:f>SUM(B1634,D1634:E1634)</x:f>
        <x:v>128184.397797</x:v>
      </x:c>
      <x:c r="G1634" s="12" t="n">
        <x:f>MAX(G1633,F1634)</x:f>
        <x:v>129911.094847</x:v>
      </x:c>
      <x:c r="H1634" s="14" t="n">
        <x:f>F1634/G1634-1</x:f>
        <x:v>-0.013291374782373966</x:v>
      </x:c>
      <x:c r="I1634" s="14" t="n">
        <x:f>F1634/F1633-1</x:f>
        <x:v>0.004337386358211903</x:v>
      </x:c>
      <x:c r="J1634" s="12" t="n">
        <x:v>0</x:v>
      </x:c>
      <x:c r="K1634" s="12" t="n">
        <x:v>0</x:v>
      </x:c>
      <x:c r="L1634" s="12" t="n">
        <x:v>301</x:v>
      </x:c>
      <x:c r="M1634" s="2" t="str">
        <x:v>买入</x:v>
      </x:c>
    </x:row>
    <x:row r="1635" ht="23" customHeight="1">
      <x:c r="A1635" s="11" t="d">
        <x:v>2021-06-23T00:00:00.000Z</x:v>
      </x:c>
      <x:c r="B1635" s="12" t="n">
        <x:v>410.021797</x:v>
      </x:c>
      <x:c r="C1635" s="13" t="n">
        <x:v>301</x:v>
      </x:c>
      <x:c r="D1635" s="12" t="n">
        <x:v>127202.6</x:v>
      </x:c>
      <x:c r="E1635" s="12" t="n">
        <x:v>418.266</x:v>
      </x:c>
      <x:c r="F1635" s="12" t="n">
        <x:f>SUM(B1635,D1635:E1635)</x:f>
        <x:v>128030.887797</x:v>
      </x:c>
      <x:c r="G1635" s="12" t="n">
        <x:f>MAX(G1634,F1635)</x:f>
        <x:v>129911.094847</x:v>
      </x:c>
      <x:c r="H1635" s="14" t="n">
        <x:f>F1635/G1635-1</x:f>
        <x:v>-0.014473029052787023</x:v>
      </x:c>
      <x:c r="I1635" s="14" t="n">
        <x:f>F1635/F1634-1</x:f>
        <x:v>-0.0011975716439617257</x:v>
      </x:c>
      <x:c r="J1635" s="12" t="n">
        <x:v>0</x:v>
      </x:c>
      <x:c r="K1635" s="12" t="n">
        <x:v>0</x:v>
      </x:c>
      <x:c r="L1635" s="12" t="n">
        <x:v>0</x:v>
      </x:c>
      <x:c r="M1635" s="2" t="str">
        <x:v>持有</x:v>
      </x:c>
    </x:row>
    <x:row r="1636" ht="23" customHeight="1">
      <x:c r="A1636" s="11" t="d">
        <x:v>2021-06-24T00:00:00.000Z</x:v>
      </x:c>
      <x:c r="B1636" s="12" t="n">
        <x:v>410.021797</x:v>
      </x:c>
      <x:c r="C1636" s="13" t="n">
        <x:v>301</x:v>
      </x:c>
      <x:c r="D1636" s="12" t="n">
        <x:v>127955.1</x:v>
      </x:c>
      <x:c r="E1636" s="12" t="n">
        <x:v>418.266</x:v>
      </x:c>
      <x:c r="F1636" s="12" t="n">
        <x:f>SUM(B1636,D1636:E1636)</x:f>
        <x:v>128783.387797</x:v>
      </x:c>
      <x:c r="G1636" s="12" t="n">
        <x:f>MAX(G1635,F1636)</x:f>
        <x:v>129911.094847</x:v>
      </x:c>
      <x:c r="H1636" s="14" t="n">
        <x:f>F1636/G1636-1</x:f>
        <x:v>-0.008680606158605109</x:v>
      </x:c>
      <x:c r="I1636" s="14" t="n">
        <x:f>F1636/F1635-1</x:f>
        <x:v>0.0058774879480107955</x:v>
      </x:c>
      <x:c r="J1636" s="12" t="n">
        <x:v>0</x:v>
      </x:c>
      <x:c r="K1636" s="12" t="n">
        <x:v>0</x:v>
      </x:c>
      <x:c r="L1636" s="12" t="n">
        <x:v>0</x:v>
      </x:c>
      <x:c r="M1636" s="2" t="str">
        <x:v>持有</x:v>
      </x:c>
    </x:row>
    <x:row r="1637" ht="23" customHeight="1">
      <x:c r="A1637" s="11" t="d">
        <x:v>2021-06-25T00:00:00.000Z</x:v>
      </x:c>
      <x:c r="B1637" s="12" t="n">
        <x:v>410.021797</x:v>
      </x:c>
      <x:c r="C1637" s="13" t="n">
        <x:v>301</x:v>
      </x:c>
      <x:c r="D1637" s="12" t="n">
        <x:v>128409.61</x:v>
      </x:c>
      <x:c r="E1637" s="12" t="n">
        <x:v>418.266</x:v>
      </x:c>
      <x:c r="F1637" s="12" t="n">
        <x:f>SUM(B1637,D1637:E1637)</x:f>
        <x:v>129237.897797</x:v>
      </x:c>
      <x:c r="G1637" s="12" t="n">
        <x:f>MAX(G1636,F1637)</x:f>
        <x:v>129911.094847</x:v>
      </x:c>
      <x:c r="H1637" s="14" t="n">
        <x:f>F1637/G1637-1</x:f>
        <x:v>-0.005181982730519286</x:v>
      </x:c>
      <x:c r="I1637" s="14" t="n">
        <x:f>F1637/F1636-1</x:f>
        <x:v>0.0035292595401856808</x:v>
      </x:c>
      <x:c r="J1637" s="12" t="n">
        <x:v>0</x:v>
      </x:c>
      <x:c r="K1637" s="12" t="n">
        <x:v>0</x:v>
      </x:c>
      <x:c r="L1637" s="12" t="n">
        <x:v>0</x:v>
      </x:c>
      <x:c r="M1637" s="2" t="str">
        <x:v>持有</x:v>
      </x:c>
    </x:row>
    <x:row r="1638" ht="23" customHeight="1">
      <x:c r="A1638" s="11" t="d">
        <x:v>2021-06-28T00:00:00.000Z</x:v>
      </x:c>
      <x:c r="B1638" s="12" t="n">
        <x:v>410.021797</x:v>
      </x:c>
      <x:c r="C1638" s="13" t="n">
        <x:v>301</x:v>
      </x:c>
      <x:c r="D1638" s="12" t="n">
        <x:v>128668.47</x:v>
      </x:c>
      <x:c r="E1638" s="12" t="n">
        <x:v>418.266</x:v>
      </x:c>
      <x:c r="F1638" s="12" t="n">
        <x:f>SUM(B1638,D1638:E1638)</x:f>
        <x:v>129496.757797</x:v>
      </x:c>
      <x:c r="G1638" s="12" t="n">
        <x:f>MAX(G1637,F1638)</x:f>
        <x:v>129911.094847</x:v>
      </x:c>
      <x:c r="H1638" s="14" t="n">
        <x:f>F1638/G1638-1</x:f>
        <x:v>-0.003189389254920627</x:v>
      </x:c>
      <x:c r="I1638" s="14" t="n">
        <x:f>F1638/F1637-1</x:f>
        <x:v>0.0020029728462978014</x:v>
      </x:c>
      <x:c r="J1638" s="12" t="n">
        <x:v>0</x:v>
      </x:c>
      <x:c r="K1638" s="12" t="n">
        <x:v>0</x:v>
      </x:c>
      <x:c r="L1638" s="12" t="n">
        <x:v>0</x:v>
      </x:c>
      <x:c r="M1638" s="2" t="str">
        <x:v>持有</x:v>
      </x:c>
    </x:row>
    <x:row r="1639" ht="23" customHeight="1">
      <x:c r="A1639" s="11" t="d">
        <x:v>2021-06-29T00:00:00.000Z</x:v>
      </x:c>
      <x:c r="B1639" s="12" t="n">
        <x:v>410.021797</x:v>
      </x:c>
      <x:c r="C1639" s="13" t="n">
        <x:v>301</x:v>
      </x:c>
      <x:c r="D1639" s="12" t="n">
        <x:v>128737.7</x:v>
      </x:c>
      <x:c r="E1639" s="12" t="n">
        <x:v>418.266</x:v>
      </x:c>
      <x:c r="F1639" s="12" t="n">
        <x:f>SUM(B1639,D1639:E1639)</x:f>
        <x:v>129565.987797</x:v>
      </x:c>
      <x:c r="G1639" s="12" t="n">
        <x:f>MAX(G1638,F1639)</x:f>
        <x:v>129911.094847</x:v>
      </x:c>
      <x:c r="H1639" s="14" t="n">
        <x:f>F1639/G1639-1</x:f>
        <x:v>-0.0026564863486560064</x:v>
      </x:c>
      <x:c r="I1639" s="14" t="n">
        <x:f>F1639/F1638-1</x:f>
        <x:v>0.000534607979209234</x:v>
      </x:c>
      <x:c r="J1639" s="12" t="n">
        <x:v>0</x:v>
      </x:c>
      <x:c r="K1639" s="12" t="n">
        <x:v>0</x:v>
      </x:c>
      <x:c r="L1639" s="12" t="n">
        <x:v>0</x:v>
      </x:c>
      <x:c r="M1639" s="2" t="str">
        <x:v>持有</x:v>
      </x:c>
    </x:row>
    <x:row r="1640" ht="23" customHeight="1">
      <x:c r="A1640" s="11" t="d">
        <x:v>2021-06-30T00:00:00.000Z</x:v>
      </x:c>
      <x:c r="B1640" s="12" t="n">
        <x:v>410.021797</x:v>
      </x:c>
      <x:c r="C1640" s="13" t="n">
        <x:v>301</x:v>
      </x:c>
      <x:c r="D1640" s="12" t="n">
        <x:v>128846.06</x:v>
      </x:c>
      <x:c r="E1640" s="12" t="n">
        <x:v>418.266</x:v>
      </x:c>
      <x:c r="F1640" s="12" t="n">
        <x:f>SUM(B1640,D1640:E1640)</x:f>
        <x:v>129674.347797</x:v>
      </x:c>
      <x:c r="G1640" s="12" t="n">
        <x:f>MAX(G1639,F1640)</x:f>
        <x:v>129911.094847</x:v>
      </x:c>
      <x:c r="H1640" s="14" t="n">
        <x:f>F1640/G1640-1</x:f>
        <x:v>-0.0018223774518937308</x:v>
      </x:c>
      <x:c r="I1640" s="14" t="n">
        <x:f>F1640/F1639-1</x:f>
        <x:v>0.0008363305975775948</x:v>
      </x:c>
      <x:c r="J1640" s="12" t="n">
        <x:v>0</x:v>
      </x:c>
      <x:c r="K1640" s="12" t="n">
        <x:v>0</x:v>
      </x:c>
      <x:c r="L1640" s="12" t="n">
        <x:v>0</x:v>
      </x:c>
      <x:c r="M1640" s="2" t="str">
        <x:v>持有</x:v>
      </x:c>
    </x:row>
    <x:row r="1641" ht="23" customHeight="1">
      <x:c r="A1641" s="11" t="d">
        <x:v>2021-07-01T00:00:00.000Z</x:v>
      </x:c>
      <x:c r="B1641" s="12" t="n">
        <x:v>410.021797</x:v>
      </x:c>
      <x:c r="C1641" s="13" t="n">
        <x:v>301</x:v>
      </x:c>
      <x:c r="D1641" s="12" t="n">
        <x:v>129559.43000000001</x:v>
      </x:c>
      <x:c r="E1641" s="12" t="n">
        <x:v>418.266</x:v>
      </x:c>
      <x:c r="F1641" s="12" t="n">
        <x:f>SUM(B1641,D1641:E1641)</x:f>
        <x:v>130387.717797</x:v>
      </x:c>
      <x:c r="G1641" s="12" t="n">
        <x:f>MAX(G1640,F1641)</x:f>
        <x:v>130387.717797</x:v>
      </x:c>
      <x:c r="H1641" s="14" t="n">
        <x:f>F1641/G1641-1</x:f>
        <x:v>0</x:v>
      </x:c>
      <x:c r="I1641" s="14" t="n">
        <x:f>F1641/F1640-1</x:f>
        <x:v>0.0055012422435065655</x:v>
      </x:c>
      <x:c r="J1641" s="12" t="n">
        <x:v>0</x:v>
      </x:c>
      <x:c r="K1641" s="12" t="n">
        <x:v>0</x:v>
      </x:c>
      <x:c r="L1641" s="12" t="n">
        <x:v>0</x:v>
      </x:c>
      <x:c r="M1641" s="2" t="str">
        <x:v>持有</x:v>
      </x:c>
    </x:row>
    <x:row r="1642" ht="23" customHeight="1">
      <x:c r="A1642" s="11" t="d">
        <x:v>2021-07-02T00:00:00.000Z</x:v>
      </x:c>
      <x:c r="B1642" s="12" t="n">
        <x:v>410.021797</x:v>
      </x:c>
      <x:c r="C1642" s="13" t="n">
        <x:v>301</x:v>
      </x:c>
      <x:c r="D1642" s="12" t="n">
        <x:v>130549.72</x:v>
      </x:c>
      <x:c r="E1642" s="12" t="n">
        <x:v>418.266</x:v>
      </x:c>
      <x:c r="F1642" s="12" t="n">
        <x:f>SUM(B1642,D1642:E1642)</x:f>
        <x:v>131378.007797</x:v>
      </x:c>
      <x:c r="G1642" s="12" t="n">
        <x:f>MAX(G1641,F1642)</x:f>
        <x:v>131378.007797</x:v>
      </x:c>
      <x:c r="H1642" s="14" t="n">
        <x:f>F1642/G1642-1</x:f>
        <x:v>0</x:v>
      </x:c>
      <x:c r="I1642" s="14" t="n">
        <x:f>F1642/F1641-1</x:f>
        <x:v>0.007594963825824141</x:v>
      </x:c>
      <x:c r="J1642" s="12" t="n">
        <x:v>0</x:v>
      </x:c>
      <x:c r="K1642" s="12" t="n">
        <x:v>0</x:v>
      </x:c>
      <x:c r="L1642" s="12" t="n">
        <x:v>0</x:v>
      </x:c>
      <x:c r="M1642" s="2" t="str">
        <x:v>持有</x:v>
      </x:c>
    </x:row>
    <x:row r="1643" ht="23" customHeight="1">
      <x:c r="A1643" s="11" t="d">
        <x:v>2021-07-06T00:00:00.000Z</x:v>
      </x:c>
      <x:c r="B1643" s="12" t="n">
        <x:v>410.021797</x:v>
      </x:c>
      <x:c r="C1643" s="13" t="n">
        <x:v>301</x:v>
      </x:c>
      <x:c r="D1643" s="12" t="n">
        <x:v>130311.93000000001</x:v>
      </x:c>
      <x:c r="E1643" s="12" t="n">
        <x:v>418.266</x:v>
      </x:c>
      <x:c r="F1643" s="12" t="n">
        <x:f>SUM(B1643,D1643:E1643)</x:f>
        <x:v>131140.21779700002</x:v>
      </x:c>
      <x:c r="G1643" s="12" t="n">
        <x:f>MAX(G1642,F1643)</x:f>
        <x:v>131378.007797</x:v>
      </x:c>
      <x:c r="H1643" s="14" t="n">
        <x:f>F1643/G1643-1</x:f>
        <x:v>-0.0018099680759918746</x:v>
      </x:c>
      <x:c r="I1643" s="14" t="n">
        <x:f>F1643/F1642-1</x:f>
        <x:v>-0.0018099680759918746</x:v>
      </x:c>
      <x:c r="J1643" s="12" t="n">
        <x:v>0</x:v>
      </x:c>
      <x:c r="K1643" s="12" t="n">
        <x:v>0</x:v>
      </x:c>
      <x:c r="L1643" s="12" t="n">
        <x:v>0</x:v>
      </x:c>
      <x:c r="M1643" s="2" t="str">
        <x:v>持有</x:v>
      </x:c>
    </x:row>
    <x:row r="1644" ht="23" customHeight="1">
      <x:c r="A1644" s="11" t="d">
        <x:v>2021-07-07T00:00:00.000Z</x:v>
      </x:c>
      <x:c r="B1644" s="12" t="n">
        <x:v>410.021797</x:v>
      </x:c>
      <x:c r="C1644" s="13" t="n">
        <x:v>301</x:v>
      </x:c>
      <x:c r="D1644" s="12" t="n">
        <x:v>130772.45999999999</x:v>
      </x:c>
      <x:c r="E1644" s="12" t="n">
        <x:v>418.266</x:v>
      </x:c>
      <x:c r="F1644" s="12" t="n">
        <x:f>SUM(B1644,D1644:E1644)</x:f>
        <x:v>131600.747797</x:v>
      </x:c>
      <x:c r="G1644" s="12" t="n">
        <x:f>MAX(G1643,F1644)</x:f>
        <x:v>131600.747797</x:v>
      </x:c>
      <x:c r="H1644" s="14" t="n">
        <x:f>F1644/G1644-1</x:f>
        <x:v>0</x:v>
      </x:c>
      <x:c r="I1644" s="14" t="n">
        <x:f>F1644/F1643-1</x:f>
        <x:v>0.0035117373429474075</x:v>
      </x:c>
      <x:c r="J1644" s="12" t="n">
        <x:v>0</x:v>
      </x:c>
      <x:c r="K1644" s="12" t="n">
        <x:v>0</x:v>
      </x:c>
      <x:c r="L1644" s="12" t="n">
        <x:v>0</x:v>
      </x:c>
      <x:c r="M1644" s="2" t="str">
        <x:v>持有</x:v>
      </x:c>
    </x:row>
    <x:row r="1645" ht="23" customHeight="1">
      <x:c r="A1645" s="11" t="d">
        <x:v>2021-07-08T00:00:00.000Z</x:v>
      </x:c>
      <x:c r="B1645" s="12" t="n">
        <x:v>410.021797</x:v>
      </x:c>
      <x:c r="C1645" s="13" t="n">
        <x:v>301</x:v>
      </x:c>
      <x:c r="D1645" s="12" t="n">
        <x:v>129706.92</x:v>
      </x:c>
      <x:c r="E1645" s="12" t="n">
        <x:v>418.266</x:v>
      </x:c>
      <x:c r="F1645" s="12" t="n">
        <x:f>SUM(B1645,D1645:E1645)</x:f>
        <x:v>130535.207797</x:v>
      </x:c>
      <x:c r="G1645" s="12" t="n">
        <x:f>MAX(G1644,F1645)</x:f>
        <x:v>131600.747797</x:v>
      </x:c>
      <x:c r="H1645" s="14" t="n">
        <x:f>F1645/G1645-1</x:f>
        <x:v>-0.008096762502015853</x:v>
      </x:c>
      <x:c r="I1645" s="14" t="n">
        <x:f>F1645/F1644-1</x:f>
        <x:v>-0.008096762502015853</x:v>
      </x:c>
      <x:c r="J1645" s="12" t="n">
        <x:v>0</x:v>
      </x:c>
      <x:c r="K1645" s="12" t="n">
        <x:v>0</x:v>
      </x:c>
      <x:c r="L1645" s="12" t="n">
        <x:v>0</x:v>
      </x:c>
      <x:c r="M1645" s="2" t="str">
        <x:v>持有</x:v>
      </x:c>
    </x:row>
    <x:row r="1646" ht="23" customHeight="1">
      <x:c r="A1646" s="11" t="d">
        <x:v>2021-07-09T00:00:00.000Z</x:v>
      </x:c>
      <x:c r="B1646" s="12" t="n">
        <x:v>410.021797</x:v>
      </x:c>
      <x:c r="C1646" s="13" t="n">
        <x:v>301</x:v>
      </x:c>
      <x:c r="D1646" s="12" t="n">
        <x:v>131091.52</x:v>
      </x:c>
      <x:c r="E1646" s="12" t="n">
        <x:v>418.266</x:v>
      </x:c>
      <x:c r="F1646" s="12" t="n">
        <x:f>SUM(B1646,D1646:E1646)</x:f>
        <x:v>131919.807797</x:v>
      </x:c>
      <x:c r="G1646" s="12" t="n">
        <x:f>MAX(G1645,F1646)</x:f>
        <x:v>131919.807797</x:v>
      </x:c>
      <x:c r="H1646" s="14" t="n">
        <x:f>F1646/G1646-1</x:f>
        <x:v>0</x:v>
      </x:c>
      <x:c r="I1646" s="14" t="n">
        <x:f>F1646/F1645-1</x:f>
        <x:v>0.010607099979901502</x:v>
      </x:c>
      <x:c r="J1646" s="12" t="n">
        <x:v>0</x:v>
      </x:c>
      <x:c r="K1646" s="12" t="n">
        <x:v>0</x:v>
      </x:c>
      <x:c r="L1646" s="12" t="n">
        <x:v>0</x:v>
      </x:c>
      <x:c r="M1646" s="2" t="str">
        <x:v>持有</x:v>
      </x:c>
    </x:row>
    <x:row r="1647" ht="23" customHeight="1">
      <x:c r="A1647" s="11" t="d">
        <x:v>2021-07-12T00:00:00.000Z</x:v>
      </x:c>
      <x:c r="B1647" s="12" t="n">
        <x:v>410.021797</x:v>
      </x:c>
      <x:c r="C1647" s="13" t="n">
        <x:v>301</x:v>
      </x:c>
      <x:c r="D1647" s="12" t="n">
        <x:v>131561.08</x:v>
      </x:c>
      <x:c r="E1647" s="12" t="n">
        <x:v>418.266</x:v>
      </x:c>
      <x:c r="F1647" s="12" t="n">
        <x:f>SUM(B1647,D1647:E1647)</x:f>
        <x:v>132389.36779699998</x:v>
      </x:c>
      <x:c r="G1647" s="12" t="n">
        <x:f>MAX(G1646,F1647)</x:f>
        <x:v>132389.36779699998</x:v>
      </x:c>
      <x:c r="H1647" s="14" t="n">
        <x:f>F1647/G1647-1</x:f>
        <x:v>0</x:v>
      </x:c>
      <x:c r="I1647" s="14" t="n">
        <x:f>F1647/F1646-1</x:f>
        <x:v>0.003559435143527301</x:v>
      </x:c>
      <x:c r="J1647" s="12" t="n">
        <x:v>0</x:v>
      </x:c>
      <x:c r="K1647" s="12" t="n">
        <x:v>0</x:v>
      </x:c>
      <x:c r="L1647" s="12" t="n">
        <x:v>0</x:v>
      </x:c>
      <x:c r="M1647" s="2" t="str">
        <x:v>持有</x:v>
      </x:c>
    </x:row>
    <x:row r="1648" ht="23" customHeight="1">
      <x:c r="A1648" s="11" t="d">
        <x:v>2021-07-13T00:00:00.000Z</x:v>
      </x:c>
      <x:c r="B1648" s="12" t="n">
        <x:v>410.021797</x:v>
      </x:c>
      <x:c r="C1648" s="13" t="n">
        <x:v>301</x:v>
      </x:c>
      <x:c r="D1648" s="12" t="n">
        <x:v>131112.59</x:v>
      </x:c>
      <x:c r="E1648" s="12" t="n">
        <x:v>418.266</x:v>
      </x:c>
      <x:c r="F1648" s="12" t="n">
        <x:f>SUM(B1648,D1648:E1648)</x:f>
        <x:v>131940.877797</x:v>
      </x:c>
      <x:c r="G1648" s="12" t="n">
        <x:f>MAX(G1647,F1648)</x:f>
        <x:v>132389.36779699998</x:v>
      </x:c>
      <x:c r="H1648" s="14" t="n">
        <x:f>F1648/G1648-1</x:f>
        <x:v>-0.0033876587483043785</x:v>
      </x:c>
      <x:c r="I1648" s="14" t="n">
        <x:f>F1648/F1647-1</x:f>
        <x:v>-0.0033876587483043785</x:v>
      </x:c>
      <x:c r="J1648" s="12" t="n">
        <x:v>0</x:v>
      </x:c>
      <x:c r="K1648" s="12" t="n">
        <x:v>0</x:v>
      </x:c>
      <x:c r="L1648" s="12" t="n">
        <x:v>0</x:v>
      </x:c>
      <x:c r="M1648" s="2" t="str">
        <x:v>持有</x:v>
      </x:c>
    </x:row>
    <x:row r="1649" ht="23" customHeight="1">
      <x:c r="A1649" s="11" t="d">
        <x:v>2021-07-14T00:00:00.000Z</x:v>
      </x:c>
      <x:c r="B1649" s="12" t="n">
        <x:v>410.021797</x:v>
      </x:c>
      <x:c r="C1649" s="13" t="n">
        <x:v>301</x:v>
      </x:c>
      <x:c r="D1649" s="12" t="n">
        <x:v>131308.24</x:v>
      </x:c>
      <x:c r="E1649" s="12" t="n">
        <x:v>418.266</x:v>
      </x:c>
      <x:c r="F1649" s="12" t="n">
        <x:f>SUM(B1649,D1649:E1649)</x:f>
        <x:v>132136.527797</x:v>
      </x:c>
      <x:c r="G1649" s="12" t="n">
        <x:f>MAX(G1648,F1649)</x:f>
        <x:v>132389.36779699998</x:v>
      </x:c>
      <x:c r="H1649" s="14" t="n">
        <x:f>F1649/G1649-1</x:f>
        <x:v>-0.001909821039312587</x:v>
      </x:c>
      <x:c r="I1649" s="14" t="n">
        <x:f>F1649/F1648-1</x:f>
        <x:v>0.0014828611364934297</x:v>
      </x:c>
      <x:c r="J1649" s="12" t="n">
        <x:v>0</x:v>
      </x:c>
      <x:c r="K1649" s="12" t="n">
        <x:v>0</x:v>
      </x:c>
      <x:c r="L1649" s="12" t="n">
        <x:v>0</x:v>
      </x:c>
      <x:c r="M1649" s="2" t="str">
        <x:v>持有</x:v>
      </x:c>
    </x:row>
    <x:row r="1650" ht="23" customHeight="1">
      <x:c r="A1650" s="11" t="d">
        <x:v>2021-07-15T00:00:00.000Z</x:v>
      </x:c>
      <x:c r="B1650" s="12" t="n">
        <x:v>410.021797</x:v>
      </x:c>
      <x:c r="C1650" s="13" t="n">
        <x:v>301</x:v>
      </x:c>
      <x:c r="D1650" s="12" t="n">
        <x:v>130859.75</x:v>
      </x:c>
      <x:c r="E1650" s="12" t="n">
        <x:v>418.266</x:v>
      </x:c>
      <x:c r="F1650" s="12" t="n">
        <x:f>SUM(B1650,D1650:E1650)</x:f>
        <x:v>131688.037797</x:v>
      </x:c>
      <x:c r="G1650" s="12" t="n">
        <x:f>MAX(G1649,F1650)</x:f>
        <x:v>132389.36779699998</x:v>
      </x:c>
      <x:c r="H1650" s="14" t="n">
        <x:f>F1650/G1650-1</x:f>
        <x:v>-0.0052974797876168545</x:v>
      </x:c>
      <x:c r="I1650" s="14" t="n">
        <x:f>F1650/F1649-1</x:f>
        <x:v>-0.0033941409501012654</x:v>
      </x:c>
      <x:c r="J1650" s="12" t="n">
        <x:v>0</x:v>
      </x:c>
      <x:c r="K1650" s="12" t="n">
        <x:v>0</x:v>
      </x:c>
      <x:c r="L1650" s="12" t="n">
        <x:v>0</x:v>
      </x:c>
      <x:c r="M1650" s="2" t="str">
        <x:v>持有</x:v>
      </x:c>
    </x:row>
    <x:row r="1651" ht="23" customHeight="1">
      <x:c r="A1651" s="11" t="d">
        <x:v>2021-07-16T00:00:00.000Z</x:v>
      </x:c>
      <x:c r="B1651" s="12" t="n">
        <x:v>410.021797</x:v>
      </x:c>
      <x:c r="C1651" s="13" t="n">
        <x:v>301</x:v>
      </x:c>
      <x:c r="D1651" s="12" t="n">
        <x:v>129833.34</x:v>
      </x:c>
      <x:c r="E1651" s="12" t="n">
        <x:v>418.266</x:v>
      </x:c>
      <x:c r="F1651" s="12" t="n">
        <x:f>SUM(B1651,D1651:E1651)</x:f>
        <x:v>130661.627797</x:v>
      </x:c>
      <x:c r="G1651" s="12" t="n">
        <x:f>MAX(G1650,F1651)</x:f>
        <x:v>132389.36779699998</x:v>
      </x:c>
      <x:c r="H1651" s="14" t="n">
        <x:f>F1651/G1651-1</x:f>
        <x:v>-0.013050443768635844</x:v>
      </x:c>
      <x:c r="I1651" s="14" t="n">
        <x:f>F1651/F1650-1</x:f>
        <x:v>-0.007794253883425917</x:v>
      </x:c>
      <x:c r="J1651" s="12" t="n">
        <x:v>0</x:v>
      </x:c>
      <x:c r="K1651" s="12" t="n">
        <x:v>0</x:v>
      </x:c>
      <x:c r="L1651" s="12" t="n">
        <x:v>0</x:v>
      </x:c>
      <x:c r="M1651" s="2" t="str">
        <x:v>持有</x:v>
      </x:c>
    </x:row>
    <x:row r="1652" ht="23" customHeight="1">
      <x:c r="A1652" s="11" t="d">
        <x:v>2021-07-19T00:00:00.000Z</x:v>
      </x:c>
      <x:c r="B1652" s="12" t="n">
        <x:v>410.021797</x:v>
      </x:c>
      <x:c r="C1652" s="13" t="n">
        <x:v>301</x:v>
      </x:c>
      <x:c r="D1652" s="12" t="n">
        <x:v>127915.97</x:v>
      </x:c>
      <x:c r="E1652" s="12" t="n">
        <x:v>418.266</x:v>
      </x:c>
      <x:c r="F1652" s="12" t="n">
        <x:f>SUM(B1652,D1652:E1652)</x:f>
        <x:v>128744.257797</x:v>
      </x:c>
      <x:c r="G1652" s="12" t="n">
        <x:f>MAX(G1651,F1652)</x:f>
        <x:v>132389.36779699998</x:v>
      </x:c>
      <x:c r="H1652" s="14" t="n">
        <x:f>F1652/G1652-1</x:f>
        <x:v>-0.027533253316756046</x:v>
      </x:c>
      <x:c r="I1652" s="14" t="n">
        <x:f>F1652/F1651-1</x:f>
        <x:v>-0.014674315882386546</x:v>
      </x:c>
      <x:c r="J1652" s="12" t="n">
        <x:v>0</x:v>
      </x:c>
      <x:c r="K1652" s="12" t="n">
        <x:v>0</x:v>
      </x:c>
      <x:c r="L1652" s="12" t="n">
        <x:v>0</x:v>
      </x:c>
      <x:c r="M1652" s="2" t="str">
        <x:v>持有</x:v>
      </x:c>
    </x:row>
    <x:row r="1653" ht="23" customHeight="1">
      <x:c r="A1653" s="11" t="d">
        <x:v>2021-07-20T00:00:00.000Z</x:v>
      </x:c>
      <x:c r="B1653" s="12" t="n">
        <x:v>410.021797</x:v>
      </x:c>
      <x:c r="C1653" s="13" t="n">
        <x:v>301</x:v>
      </x:c>
      <x:c r="D1653" s="12" t="n">
        <x:v>129749.06</x:v>
      </x:c>
      <x:c r="E1653" s="12" t="n">
        <x:v>418.266</x:v>
      </x:c>
      <x:c r="F1653" s="12" t="n">
        <x:f>SUM(B1653,D1653:E1653)</x:f>
        <x:v>130577.347797</x:v>
      </x:c>
      <x:c r="G1653" s="12" t="n">
        <x:f>MAX(G1652,F1653)</x:f>
        <x:v>132389.36779699998</x:v>
      </x:c>
      <x:c r="H1653" s="14" t="n">
        <x:f>F1653/G1653-1</x:f>
        <x:v>-0.013687050781739929</x:v>
      </x:c>
      <x:c r="I1653" s="14" t="n">
        <x:f>F1653/F1652-1</x:f>
        <x:v>0.014238227252747482</x:v>
      </x:c>
      <x:c r="J1653" s="12" t="n">
        <x:v>0</x:v>
      </x:c>
      <x:c r="K1653" s="12" t="n">
        <x:v>0</x:v>
      </x:c>
      <x:c r="L1653" s="12" t="n">
        <x:v>0</x:v>
      </x:c>
      <x:c r="M1653" s="2" t="str">
        <x:v>持有</x:v>
      </x:c>
    </x:row>
    <x:row r="1654" ht="23" customHeight="1">
      <x:c r="A1654" s="11" t="d">
        <x:v>2021-07-21T00:00:00.000Z</x:v>
      </x:c>
      <x:c r="B1654" s="12" t="n">
        <x:v>410.021797</x:v>
      </x:c>
      <x:c r="C1654" s="13" t="n">
        <x:v>301</x:v>
      </x:c>
      <x:c r="D1654" s="12" t="n">
        <x:v>130799.55</x:v>
      </x:c>
      <x:c r="E1654" s="12" t="n">
        <x:v>418.266</x:v>
      </x:c>
      <x:c r="F1654" s="12" t="n">
        <x:f>SUM(B1654,D1654:E1654)</x:f>
        <x:v>131627.837797</x:v>
      </x:c>
      <x:c r="G1654" s="12" t="n">
        <x:f>MAX(G1653,F1654)</x:f>
        <x:v>132389.36779699998</x:v>
      </x:c>
      <x:c r="H1654" s="14" t="n">
        <x:f>F1654/G1654-1</x:f>
        <x:v>-0.005752199082691423</x:v>
      </x:c>
      <x:c r="I1654" s="14" t="n">
        <x:f>F1654/F1653-1</x:f>
        <x:v>0.008044963523329729</x:v>
      </x:c>
      <x:c r="J1654" s="12" t="n">
        <x:v>0</x:v>
      </x:c>
      <x:c r="K1654" s="12" t="n">
        <x:v>0</x:v>
      </x:c>
      <x:c r="L1654" s="12" t="n">
        <x:v>0</x:v>
      </x:c>
      <x:c r="M1654" s="2" t="str">
        <x:v>持有</x:v>
      </x:c>
    </x:row>
    <x:row r="1655" ht="23" customHeight="1">
      <x:c r="A1655" s="11" t="d">
        <x:v>2021-07-22T00:00:00.000Z</x:v>
      </x:c>
      <x:c r="B1655" s="12" t="n">
        <x:v>410.021797</x:v>
      </x:c>
      <x:c r="C1655" s="13" t="n">
        <x:v>301</x:v>
      </x:c>
      <x:c r="D1655" s="12" t="n">
        <x:v>131073.46</x:v>
      </x:c>
      <x:c r="E1655" s="12" t="n">
        <x:v>418.266</x:v>
      </x:c>
      <x:c r="F1655" s="12" t="n">
        <x:f>SUM(B1655,D1655:E1655)</x:f>
        <x:v>131901.747797</x:v>
      </x:c>
      <x:c r="G1655" s="12" t="n">
        <x:f>MAX(G1654,F1655)</x:f>
        <x:v>132389.36779699998</x:v>
      </x:c>
      <x:c r="H1655" s="14" t="n">
        <x:f>F1655/G1655-1</x:f>
        <x:v>-0.003683226290102759</x:v>
      </x:c>
      <x:c r="I1655" s="14" t="n">
        <x:f>F1655/F1654-1</x:f>
        <x:v>0.0020809427897952038</x:v>
      </x:c>
      <x:c r="J1655" s="12" t="n">
        <x:v>0</x:v>
      </x:c>
      <x:c r="K1655" s="12" t="n">
        <x:v>0</x:v>
      </x:c>
      <x:c r="L1655" s="12" t="n">
        <x:v>0</x:v>
      </x:c>
      <x:c r="M1655" s="2" t="str">
        <x:v>持有</x:v>
      </x:c>
    </x:row>
    <x:row r="1656" ht="23" customHeight="1">
      <x:c r="A1656" s="11" t="d">
        <x:v>2021-07-23T00:00:00.000Z</x:v>
      </x:c>
      <x:c r="B1656" s="12" t="n">
        <x:v>410.021797</x:v>
      </x:c>
      <x:c r="C1656" s="13" t="n">
        <x:v>301</x:v>
      </x:c>
      <x:c r="D1656" s="12" t="n">
        <x:v>132421.94</x:v>
      </x:c>
      <x:c r="E1656" s="12" t="n">
        <x:v>418.266</x:v>
      </x:c>
      <x:c r="F1656" s="12" t="n">
        <x:f>SUM(B1656,D1656:E1656)</x:f>
        <x:v>133250.227797</x:v>
      </x:c>
      <x:c r="G1656" s="12" t="n">
        <x:f>MAX(G1655,F1656)</x:f>
        <x:v>133250.227797</x:v>
      </x:c>
      <x:c r="H1656" s="14" t="n">
        <x:f>F1656/G1656-1</x:f>
        <x:v>0</x:v>
      </x:c>
      <x:c r="I1656" s="14" t="n">
        <x:f>F1656/F1655-1</x:f>
        <x:v>0.010223367184454268</x:v>
      </x:c>
      <x:c r="J1656" s="12" t="n">
        <x:v>0</x:v>
      </x:c>
      <x:c r="K1656" s="12" t="n">
        <x:v>0</x:v>
      </x:c>
      <x:c r="L1656" s="12" t="n">
        <x:v>0</x:v>
      </x:c>
      <x:c r="M1656" s="2" t="str">
        <x:v>持有</x:v>
      </x:c>
    </x:row>
    <x:row r="1657" ht="23" customHeight="1">
      <x:c r="A1657" s="11" t="d">
        <x:v>2021-07-26T00:00:00.000Z</x:v>
      </x:c>
      <x:c r="B1657" s="12" t="n">
        <x:v>410.021797</x:v>
      </x:c>
      <x:c r="C1657" s="13" t="n">
        <x:v>301</x:v>
      </x:c>
      <x:c r="D1657" s="12" t="n">
        <x:v>132747.02</x:v>
      </x:c>
      <x:c r="E1657" s="12" t="n">
        <x:v>418.266</x:v>
      </x:c>
      <x:c r="F1657" s="12" t="n">
        <x:f>SUM(B1657,D1657:E1657)</x:f>
        <x:v>133575.307797</x:v>
      </x:c>
      <x:c r="G1657" s="12" t="n">
        <x:f>MAX(G1656,F1657)</x:f>
        <x:v>133575.307797</x:v>
      </x:c>
      <x:c r="H1657" s="14" t="n">
        <x:f>F1657/G1657-1</x:f>
        <x:v>0</x:v>
      </x:c>
      <x:c r="I1657" s="14" t="n">
        <x:f>F1657/F1656-1</x:f>
        <x:v>0.0024396205948347127</x:v>
      </x:c>
      <x:c r="J1657" s="12" t="n">
        <x:v>0</x:v>
      </x:c>
      <x:c r="K1657" s="12" t="n">
        <x:v>0</x:v>
      </x:c>
      <x:c r="L1657" s="12" t="n">
        <x:v>0</x:v>
      </x:c>
      <x:c r="M1657" s="2" t="str">
        <x:v>持有</x:v>
      </x:c>
    </x:row>
    <x:row r="1658" ht="23" customHeight="1">
      <x:c r="A1658" s="11" t="d">
        <x:v>2021-07-27T00:00:00.000Z</x:v>
      </x:c>
      <x:c r="B1658" s="12" t="n">
        <x:v>410.021797</x:v>
      </x:c>
      <x:c r="C1658" s="13" t="n">
        <x:v>301</x:v>
      </x:c>
      <x:c r="D1658" s="12" t="n">
        <x:v>132142.01</x:v>
      </x:c>
      <x:c r="E1658" s="12" t="n">
        <x:v>418.266</x:v>
      </x:c>
      <x:c r="F1658" s="12" t="n">
        <x:f>SUM(B1658,D1658:E1658)</x:f>
        <x:v>132970.297797</x:v>
      </x:c>
      <x:c r="G1658" s="12" t="n">
        <x:f>MAX(G1657,F1658)</x:f>
        <x:v>133575.307797</x:v>
      </x:c>
      <x:c r="H1658" s="14" t="n">
        <x:f>F1658/G1658-1</x:f>
        <x:v>-0.0045293550879885736</x:v>
      </x:c>
      <x:c r="I1658" s="14" t="n">
        <x:f>F1658/F1657-1</x:f>
        <x:v>-0.0045293550879885736</x:v>
      </x:c>
      <x:c r="J1658" s="12" t="n">
        <x:v>0</x:v>
      </x:c>
      <x:c r="K1658" s="12" t="n">
        <x:v>0</x:v>
      </x:c>
      <x:c r="L1658" s="12" t="n">
        <x:v>0</x:v>
      </x:c>
      <x:c r="M1658" s="2" t="str">
        <x:v>持有</x:v>
      </x:c>
    </x:row>
    <x:row r="1659" ht="23" customHeight="1">
      <x:c r="A1659" s="11" t="d">
        <x:v>2021-07-28T00:00:00.000Z</x:v>
      </x:c>
      <x:c r="B1659" s="12" t="n">
        <x:v>410.021797</x:v>
      </x:c>
      <x:c r="C1659" s="13" t="n">
        <x:v>301</x:v>
      </x:c>
      <x:c r="D1659" s="12" t="n">
        <x:v>132087.83</x:v>
      </x:c>
      <x:c r="E1659" s="12" t="n">
        <x:v>418.266</x:v>
      </x:c>
      <x:c r="F1659" s="12" t="n">
        <x:f>SUM(B1659,D1659:E1659)</x:f>
        <x:v>132916.11779699998</x:v>
      </x:c>
      <x:c r="G1659" s="12" t="n">
        <x:f>MAX(G1658,F1659)</x:f>
        <x:v>133575.307797</x:v>
      </x:c>
      <x:c r="H1659" s="14" t="n">
        <x:f>F1659/G1659-1</x:f>
        <x:v>-0.0049349689764652815</x:v>
      </x:c>
      <x:c r="I1659" s="14" t="n">
        <x:f>F1659/F1658-1</x:f>
        <x:v>-0.0004074594168597123</x:v>
      </x:c>
      <x:c r="J1659" s="12" t="n">
        <x:v>0</x:v>
      </x:c>
      <x:c r="K1659" s="12" t="n">
        <x:v>0</x:v>
      </x:c>
      <x:c r="L1659" s="12" t="n">
        <x:v>0</x:v>
      </x:c>
      <x:c r="M1659" s="2" t="str">
        <x:v>持有</x:v>
      </x:c>
    </x:row>
    <x:row r="1660" ht="23" customHeight="1">
      <x:c r="A1660" s="11" t="d">
        <x:v>2021-07-29T00:00:00.000Z</x:v>
      </x:c>
      <x:c r="B1660" s="12" t="n">
        <x:v>410.021797</x:v>
      </x:c>
      <x:c r="C1660" s="13" t="n">
        <x:v>301</x:v>
      </x:c>
      <x:c r="D1660" s="12" t="n">
        <x:v>132635.65</x:v>
      </x:c>
      <x:c r="E1660" s="12" t="n">
        <x:v>418.266</x:v>
      </x:c>
      <x:c r="F1660" s="12" t="n">
        <x:f>SUM(B1660,D1660:E1660)</x:f>
        <x:v>133463.937797</x:v>
      </x:c>
      <x:c r="G1660" s="12" t="n">
        <x:f>MAX(G1659,F1660)</x:f>
        <x:v>133575.307797</x:v>
      </x:c>
      <x:c r="H1660" s="14" t="n">
        <x:f>F1660/G1660-1</x:f>
        <x:v>-0.0008337618818685666</x:v>
      </x:c>
      <x:c r="I1660" s="14" t="n">
        <x:f>F1660/F1659-1</x:f>
        <x:v>0.004121546800190723</x:v>
      </x:c>
      <x:c r="J1660" s="12" t="n">
        <x:v>0</x:v>
      </x:c>
      <x:c r="K1660" s="12" t="n">
        <x:v>0</x:v>
      </x:c>
      <x:c r="L1660" s="12" t="n">
        <x:v>0</x:v>
      </x:c>
      <x:c r="M1660" s="2" t="str">
        <x:v>持有</x:v>
      </x:c>
    </x:row>
    <x:row r="1661" ht="23" customHeight="1">
      <x:c r="A1661" s="11" t="d">
        <x:v>2021-07-30T00:00:00.000Z</x:v>
      </x:c>
      <x:c r="B1661" s="12" t="n">
        <x:v>828.287797</x:v>
      </x:c>
      <x:c r="C1661" s="13" t="n">
        <x:v>301</x:v>
      </x:c>
      <x:c r="D1661" s="12" t="n">
        <x:v>131991.51</x:v>
      </x:c>
      <x:c r="E1661" s="12" t="n">
        <x:v>0</x:v>
      </x:c>
      <x:c r="F1661" s="12" t="n">
        <x:f>SUM(B1661,D1661:E1661)</x:f>
        <x:v>132819.797797</x:v>
      </x:c>
      <x:c r="G1661" s="12" t="n">
        <x:f>MAX(G1660,F1661)</x:f>
        <x:v>133575.307797</x:v>
      </x:c>
      <x:c r="H1661" s="14" t="n">
        <x:f>F1661/G1661-1</x:f>
        <x:v>-0.005656060333756874</x:v>
      </x:c>
      <x:c r="I1661" s="14" t="n">
        <x:f>F1661/F1660-1</x:f>
        <x:v>-0.0048263224555814555</x:v>
      </x:c>
      <x:c r="J1661" s="12" t="n">
        <x:v>0</x:v>
      </x:c>
      <x:c r="K1661" s="12" t="n">
        <x:v>418.266</x:v>
      </x:c>
      <x:c r="L1661" s="12" t="n">
        <x:v>0</x:v>
      </x:c>
      <x:c r="M1661" s="2" t="str">
        <x:v>持有</x:v>
      </x:c>
    </x:row>
    <x:row r="1662" ht="23" customHeight="1">
      <x:c r="A1662" s="11" t="d">
        <x:v>2021-08-02T00:00:00.000Z</x:v>
      </x:c>
      <x:c r="B1662" s="12" t="n">
        <x:v>828.287797</x:v>
      </x:c>
      <x:c r="C1662" s="13" t="n">
        <x:v>301</x:v>
      </x:c>
      <x:c r="D1662" s="12" t="n">
        <x:v>131714.59</x:v>
      </x:c>
      <x:c r="E1662" s="12" t="n">
        <x:v>0</x:v>
      </x:c>
      <x:c r="F1662" s="12" t="n">
        <x:f>SUM(B1662,D1662:E1662)</x:f>
        <x:v>132542.877797</x:v>
      </x:c>
      <x:c r="G1662" s="12" t="n">
        <x:f>MAX(G1661,F1662)</x:f>
        <x:v>133575.307797</x:v>
      </x:c>
      <x:c r="H1662" s="14" t="n">
        <x:f>F1662/G1662-1</x:f>
        <x:v>-0.007729197985970715</x:v>
      </x:c>
      <x:c r="I1662" s="14" t="n">
        <x:f>F1662/F1661-1</x:f>
        <x:v>-0.0020849301428936817</x:v>
      </x:c>
      <x:c r="J1662" s="12" t="n">
        <x:v>0</x:v>
      </x:c>
      <x:c r="K1662" s="12" t="n">
        <x:v>0</x:v>
      </x:c>
      <x:c r="L1662" s="12" t="n">
        <x:v>0</x:v>
      </x:c>
      <x:c r="M1662" s="2" t="str">
        <x:v>持有</x:v>
      </x:c>
    </x:row>
    <x:row r="1663" ht="23" customHeight="1">
      <x:c r="A1663" s="11" t="d">
        <x:v>2021-08-03T00:00:00.000Z</x:v>
      </x:c>
      <x:c r="B1663" s="12" t="n">
        <x:v>828.287797</x:v>
      </x:c>
      <x:c r="C1663" s="13" t="n">
        <x:v>301</x:v>
      </x:c>
      <x:c r="D1663" s="12" t="n">
        <x:v>132786.15</x:v>
      </x:c>
      <x:c r="E1663" s="12" t="n">
        <x:v>0</x:v>
      </x:c>
      <x:c r="F1663" s="12" t="n">
        <x:f>SUM(B1663,D1663:E1663)</x:f>
        <x:v>133614.437797</x:v>
      </x:c>
      <x:c r="G1663" s="12" t="n">
        <x:f>MAX(G1662,F1663)</x:f>
        <x:v>133614.437797</x:v>
      </x:c>
      <x:c r="H1663" s="14" t="n">
        <x:f>F1663/G1663-1</x:f>
        <x:v>0</x:v>
      </x:c>
      <x:c r="I1663" s="14" t="n">
        <x:f>F1663/F1662-1</x:f>
        <x:v>0.008084629048428882</x:v>
      </x:c>
      <x:c r="J1663" s="12" t="n">
        <x:v>0</x:v>
      </x:c>
      <x:c r="K1663" s="12" t="n">
        <x:v>0</x:v>
      </x:c>
      <x:c r="L1663" s="12" t="n">
        <x:v>0</x:v>
      </x:c>
      <x:c r="M1663" s="2" t="str">
        <x:v>持有</x:v>
      </x:c>
    </x:row>
    <x:row r="1664" ht="23" customHeight="1">
      <x:c r="A1664" s="11" t="d">
        <x:v>2021-08-04T00:00:00.000Z</x:v>
      </x:c>
      <x:c r="B1664" s="12" t="n">
        <x:v>828.287797</x:v>
      </x:c>
      <x:c r="C1664" s="13" t="n">
        <x:v>301</x:v>
      </x:c>
      <x:c r="D1664" s="12" t="n">
        <x:v>132132.98</x:v>
      </x:c>
      <x:c r="E1664" s="12" t="n">
        <x:v>0</x:v>
      </x:c>
      <x:c r="F1664" s="12" t="n">
        <x:f>SUM(B1664,D1664:E1664)</x:f>
        <x:v>132961.267797</x:v>
      </x:c>
      <x:c r="G1664" s="12" t="n">
        <x:f>MAX(G1663,F1664)</x:f>
        <x:v>133614.437797</x:v>
      </x:c>
      <x:c r="H1664" s="14" t="n">
        <x:f>F1664/G1664-1</x:f>
        <x:v>-0.004888468722162642</x:v>
      </x:c>
      <x:c r="I1664" s="14" t="n">
        <x:f>F1664/F1663-1</x:f>
        <x:v>-0.004888468722162642</x:v>
      </x:c>
      <x:c r="J1664" s="12" t="n">
        <x:v>0</x:v>
      </x:c>
      <x:c r="K1664" s="12" t="n">
        <x:v>0</x:v>
      </x:c>
      <x:c r="L1664" s="12" t="n">
        <x:v>0</x:v>
      </x:c>
      <x:c r="M1664" s="2" t="str">
        <x:v>持有</x:v>
      </x:c>
    </x:row>
    <x:row r="1665" ht="23" customHeight="1">
      <x:c r="A1665" s="11" t="d">
        <x:v>2021-08-05T00:00:00.000Z</x:v>
      </x:c>
      <x:c r="B1665" s="12" t="n">
        <x:v>828.287797</x:v>
      </x:c>
      <x:c r="C1665" s="13" t="n">
        <x:v>301</x:v>
      </x:c>
      <x:c r="D1665" s="12" t="n">
        <x:v>132969.76</x:v>
      </x:c>
      <x:c r="E1665" s="12" t="n">
        <x:v>0</x:v>
      </x:c>
      <x:c r="F1665" s="12" t="n">
        <x:f>SUM(B1665,D1665:E1665)</x:f>
        <x:v>133798.047797</x:v>
      </x:c>
      <x:c r="G1665" s="12" t="n">
        <x:f>MAX(G1664,F1665)</x:f>
        <x:v>133798.047797</x:v>
      </x:c>
      <x:c r="H1665" s="14" t="n">
        <x:f>F1665/G1665-1</x:f>
        <x:v>0</x:v>
      </x:c>
      <x:c r="I1665" s="14" t="n">
        <x:f>F1665/F1664-1</x:f>
        <x:v>0.006293411712029906</x:v>
      </x:c>
      <x:c r="J1665" s="12" t="n">
        <x:v>0</x:v>
      </x:c>
      <x:c r="K1665" s="12" t="n">
        <x:v>0</x:v>
      </x:c>
      <x:c r="L1665" s="12" t="n">
        <x:v>0</x:v>
      </x:c>
      <x:c r="M1665" s="2" t="str">
        <x:v>持有</x:v>
      </x:c>
    </x:row>
    <x:row r="1666" ht="23" customHeight="1">
      <x:c r="A1666" s="11" t="d">
        <x:v>2021-08-06T00:00:00.000Z</x:v>
      </x:c>
      <x:c r="B1666" s="12" t="n">
        <x:v>828.287797</x:v>
      </x:c>
      <x:c r="C1666" s="13" t="n">
        <x:v>301</x:v>
      </x:c>
      <x:c r="D1666" s="12" t="n">
        <x:v>133189.49</x:v>
      </x:c>
      <x:c r="E1666" s="12" t="n">
        <x:v>0</x:v>
      </x:c>
      <x:c r="F1666" s="12" t="n">
        <x:f>SUM(B1666,D1666:E1666)</x:f>
        <x:v>134017.777797</x:v>
      </x:c>
      <x:c r="G1666" s="12" t="n">
        <x:f>MAX(G1665,F1666)</x:f>
        <x:v>134017.777797</x:v>
      </x:c>
      <x:c r="H1666" s="14" t="n">
        <x:f>F1666/G1666-1</x:f>
        <x:v>0</x:v>
      </x:c>
      <x:c r="I1666" s="14" t="n">
        <x:f>F1666/F1665-1</x:f>
        <x:v>0.0016422511659763828</x:v>
      </x:c>
      <x:c r="J1666" s="12" t="n">
        <x:v>0</x:v>
      </x:c>
      <x:c r="K1666" s="12" t="n">
        <x:v>0</x:v>
      </x:c>
      <x:c r="L1666" s="12" t="n">
        <x:v>0</x:v>
      </x:c>
      <x:c r="M1666" s="2" t="str">
        <x:v>持有</x:v>
      </x:c>
    </x:row>
    <x:row r="1667" ht="23" customHeight="1">
      <x:c r="A1667" s="11" t="d">
        <x:v>2021-08-09T00:00:00.000Z</x:v>
      </x:c>
      <x:c r="B1667" s="12" t="n">
        <x:v>828.287797</x:v>
      </x:c>
      <x:c r="C1667" s="13" t="n">
        <x:v>301</x:v>
      </x:c>
      <x:c r="D1667" s="12" t="n">
        <x:v>133081.13</x:v>
      </x:c>
      <x:c r="E1667" s="12" t="n">
        <x:v>0</x:v>
      </x:c>
      <x:c r="F1667" s="12" t="n">
        <x:f>SUM(B1667,D1667:E1667)</x:f>
        <x:v>133909.417797</x:v>
      </x:c>
      <x:c r="G1667" s="12" t="n">
        <x:f>MAX(G1666,F1667)</x:f>
        <x:v>134017.777797</x:v>
      </x:c>
      <x:c r="H1667" s="14" t="n">
        <x:f>F1667/G1667-1</x:f>
        <x:v>-0.000808549446060236</x:v>
      </x:c>
      <x:c r="I1667" s="14" t="n">
        <x:f>F1667/F1666-1</x:f>
        <x:v>-0.000808549446060236</x:v>
      </x:c>
      <x:c r="J1667" s="12" t="n">
        <x:v>0</x:v>
      </x:c>
      <x:c r="K1667" s="12" t="n">
        <x:v>0</x:v>
      </x:c>
      <x:c r="L1667" s="12" t="n">
        <x:v>0</x:v>
      </x:c>
      <x:c r="M1667" s="2" t="str">
        <x:v>持有</x:v>
      </x:c>
    </x:row>
    <x:row r="1668" ht="23" customHeight="1">
      <x:c r="A1668" s="11" t="d">
        <x:v>2021-08-10T00:00:00.000Z</x:v>
      </x:c>
      <x:c r="B1668" s="12" t="n">
        <x:v>828.287797</x:v>
      </x:c>
      <x:c r="C1668" s="13" t="n">
        <x:v>301</x:v>
      </x:c>
      <x:c r="D1668" s="12" t="n">
        <x:v>133246.68</x:v>
      </x:c>
      <x:c r="E1668" s="12" t="n">
        <x:v>0</x:v>
      </x:c>
      <x:c r="F1668" s="12" t="n">
        <x:f>SUM(B1668,D1668:E1668)</x:f>
        <x:v>134074.967797</x:v>
      </x:c>
      <x:c r="G1668" s="12" t="n">
        <x:f>MAX(G1667,F1668)</x:f>
        <x:v>134074.967797</x:v>
      </x:c>
      <x:c r="H1668" s="14" t="n">
        <x:f>F1668/G1668-1</x:f>
        <x:v>0</x:v>
      </x:c>
      <x:c r="I1668" s="14" t="n">
        <x:f>F1668/F1667-1</x:f>
        <x:v>0.001236283472242139</x:v>
      </x:c>
      <x:c r="J1668" s="12" t="n">
        <x:v>0</x:v>
      </x:c>
      <x:c r="K1668" s="12" t="n">
        <x:v>0</x:v>
      </x:c>
      <x:c r="L1668" s="12" t="n">
        <x:v>0</x:v>
      </x:c>
      <x:c r="M1668" s="2" t="str">
        <x:v>持有</x:v>
      </x:c>
    </x:row>
    <x:row r="1669" ht="23" customHeight="1">
      <x:c r="A1669" s="11" t="d">
        <x:v>2021-08-11T00:00:00.000Z</x:v>
      </x:c>
      <x:c r="B1669" s="12" t="n">
        <x:v>828.287797</x:v>
      </x:c>
      <x:c r="C1669" s="13" t="n">
        <x:v>301</x:v>
      </x:c>
      <x:c r="D1669" s="12" t="n">
        <x:v>133577.78</x:v>
      </x:c>
      <x:c r="E1669" s="12" t="n">
        <x:v>0</x:v>
      </x:c>
      <x:c r="F1669" s="12" t="n">
        <x:f>SUM(B1669,D1669:E1669)</x:f>
        <x:v>134406.067797</x:v>
      </x:c>
      <x:c r="G1669" s="12" t="n">
        <x:f>MAX(G1668,F1669)</x:f>
        <x:v>134406.067797</x:v>
      </x:c>
      <x:c r="H1669" s="14" t="n">
        <x:f>F1669/G1669-1</x:f>
        <x:v>0</x:v>
      </x:c>
      <x:c r="I1669" s="14" t="n">
        <x:f>F1669/F1668-1</x:f>
        <x:v>0.0024695139252342013</x:v>
      </x:c>
      <x:c r="J1669" s="12" t="n">
        <x:v>0</x:v>
      </x:c>
      <x:c r="K1669" s="12" t="n">
        <x:v>0</x:v>
      </x:c>
      <x:c r="L1669" s="12" t="n">
        <x:v>0</x:v>
      </x:c>
      <x:c r="M1669" s="2" t="str">
        <x:v>持有</x:v>
      </x:c>
    </x:row>
    <x:row r="1670" ht="23" customHeight="1">
      <x:c r="A1670" s="11" t="d">
        <x:v>2021-08-12T00:00:00.000Z</x:v>
      </x:c>
      <x:c r="B1670" s="12" t="n">
        <x:v>828.287797</x:v>
      </x:c>
      <x:c r="C1670" s="13" t="n">
        <x:v>301</x:v>
      </x:c>
      <x:c r="D1670" s="12" t="n">
        <x:v>133978.11000000002</x:v>
      </x:c>
      <x:c r="E1670" s="12" t="n">
        <x:v>0</x:v>
      </x:c>
      <x:c r="F1670" s="12" t="n">
        <x:f>SUM(B1670,D1670:E1670)</x:f>
        <x:v>134806.397797</x:v>
      </x:c>
      <x:c r="G1670" s="12" t="n">
        <x:f>MAX(G1669,F1670)</x:f>
        <x:v>134806.397797</x:v>
      </x:c>
      <x:c r="H1670" s="14" t="n">
        <x:f>F1670/G1670-1</x:f>
        <x:v>0</x:v>
      </x:c>
      <x:c r="I1670" s="14" t="n">
        <x:f>F1670/F1669-1</x:f>
        <x:v>0.002978511361590108</x:v>
      </x:c>
      <x:c r="J1670" s="12" t="n">
        <x:v>0</x:v>
      </x:c>
      <x:c r="K1670" s="12" t="n">
        <x:v>0</x:v>
      </x:c>
      <x:c r="L1670" s="12" t="n">
        <x:v>0</x:v>
      </x:c>
      <x:c r="M1670" s="2" t="str">
        <x:v>持有</x:v>
      </x:c>
    </x:row>
    <x:row r="1671" ht="23" customHeight="1">
      <x:c r="A1671" s="11" t="d">
        <x:v>2021-08-13T00:00:00.000Z</x:v>
      </x:c>
      <x:c r="B1671" s="12" t="n">
        <x:v>828.287797</x:v>
      </x:c>
      <x:c r="C1671" s="13" t="n">
        <x:v>301</x:v>
      </x:c>
      <x:c r="D1671" s="12" t="n">
        <x:v>134221.92</x:v>
      </x:c>
      <x:c r="E1671" s="12" t="n">
        <x:v>0</x:v>
      </x:c>
      <x:c r="F1671" s="12" t="n">
        <x:f>SUM(B1671,D1671:E1671)</x:f>
        <x:v>135050.207797</x:v>
      </x:c>
      <x:c r="G1671" s="12" t="n">
        <x:f>MAX(G1670,F1671)</x:f>
        <x:v>135050.207797</x:v>
      </x:c>
      <x:c r="H1671" s="14" t="n">
        <x:f>F1671/G1671-1</x:f>
        <x:v>0</x:v>
      </x:c>
      <x:c r="I1671" s="14" t="n">
        <x:f>F1671/F1670-1</x:f>
        <x:v>0.0018085936868303953</x:v>
      </x:c>
      <x:c r="J1671" s="12" t="n">
        <x:v>0</x:v>
      </x:c>
      <x:c r="K1671" s="12" t="n">
        <x:v>0</x:v>
      </x:c>
      <x:c r="L1671" s="12" t="n">
        <x:v>0</x:v>
      </x:c>
      <x:c r="M1671" s="2" t="str">
        <x:v>持有</x:v>
      </x:c>
    </x:row>
    <x:row r="1672" ht="23" customHeight="1">
      <x:c r="A1672" s="11" t="d">
        <x:v>2021-08-16T00:00:00.000Z</x:v>
      </x:c>
      <x:c r="B1672" s="12" t="n">
        <x:v>828.287797</x:v>
      </x:c>
      <x:c r="C1672" s="13" t="n">
        <x:v>301</x:v>
      </x:c>
      <x:c r="D1672" s="12" t="n">
        <x:v>134537.97</x:v>
      </x:c>
      <x:c r="E1672" s="12" t="n">
        <x:v>0</x:v>
      </x:c>
      <x:c r="F1672" s="12" t="n">
        <x:f>SUM(B1672,D1672:E1672)</x:f>
        <x:v>135366.257797</x:v>
      </x:c>
      <x:c r="G1672" s="12" t="n">
        <x:f>MAX(G1671,F1672)</x:f>
        <x:v>135366.257797</x:v>
      </x:c>
      <x:c r="H1672" s="14" t="n">
        <x:f>F1672/G1672-1</x:f>
        <x:v>0</x:v>
      </x:c>
      <x:c r="I1672" s="14" t="n">
        <x:f>F1672/F1671-1</x:f>
        <x:v>0.0023402407530912495</x:v>
      </x:c>
      <x:c r="J1672" s="12" t="n">
        <x:v>0</x:v>
      </x:c>
      <x:c r="K1672" s="12" t="n">
        <x:v>0</x:v>
      </x:c>
      <x:c r="L1672" s="12" t="n">
        <x:v>0</x:v>
      </x:c>
      <x:c r="M1672" s="2" t="str">
        <x:v>持有</x:v>
      </x:c>
    </x:row>
    <x:row r="1673" ht="23" customHeight="1">
      <x:c r="A1673" s="11" t="d">
        <x:v>2021-08-17T00:00:00.000Z</x:v>
      </x:c>
      <x:c r="B1673" s="12" t="n">
        <x:v>828.287797</x:v>
      </x:c>
      <x:c r="C1673" s="13" t="n">
        <x:v>301</x:v>
      </x:c>
      <x:c r="D1673" s="12" t="n">
        <x:v>133656.04</x:v>
      </x:c>
      <x:c r="E1673" s="12" t="n">
        <x:v>0</x:v>
      </x:c>
      <x:c r="F1673" s="12" t="n">
        <x:f>SUM(B1673,D1673:E1673)</x:f>
        <x:v>134484.327797</x:v>
      </x:c>
      <x:c r="G1673" s="12" t="n">
        <x:f>MAX(G1672,F1673)</x:f>
        <x:v>135366.257797</x:v>
      </x:c>
      <x:c r="H1673" s="14" t="n">
        <x:f>F1673/G1673-1</x:f>
        <x:v>-0.006515139107432288</x:v>
      </x:c>
      <x:c r="I1673" s="14" t="n">
        <x:f>F1673/F1672-1</x:f>
        <x:v>-0.006515139107432288</x:v>
      </x:c>
      <x:c r="J1673" s="12" t="n">
        <x:v>0</x:v>
      </x:c>
      <x:c r="K1673" s="12" t="n">
        <x:v>0</x:v>
      </x:c>
      <x:c r="L1673" s="12" t="n">
        <x:v>0</x:v>
      </x:c>
      <x:c r="M1673" s="2" t="str">
        <x:v>持有</x:v>
      </x:c>
    </x:row>
    <x:row r="1674" ht="23" customHeight="1">
      <x:c r="A1674" s="11" t="d">
        <x:v>2021-08-18T00:00:00.000Z</x:v>
      </x:c>
      <x:c r="B1674" s="12" t="n">
        <x:v>828.287797</x:v>
      </x:c>
      <x:c r="C1674" s="13" t="n">
        <x:v>301</x:v>
      </x:c>
      <x:c r="D1674" s="12" t="n">
        <x:v>132193.18</x:v>
      </x:c>
      <x:c r="E1674" s="12" t="n">
        <x:v>0</x:v>
      </x:c>
      <x:c r="F1674" s="12" t="n">
        <x:f>SUM(B1674,D1674:E1674)</x:f>
        <x:v>133021.467797</x:v>
      </x:c>
      <x:c r="G1674" s="12" t="n">
        <x:f>MAX(G1673,F1674)</x:f>
        <x:v>135366.257797</x:v>
      </x:c>
      <x:c r="H1674" s="14" t="n">
        <x:f>F1674/G1674-1</x:f>
        <x:v>-0.01732182035730301</x:v>
      </x:c>
      <x:c r="I1674" s="14" t="n">
        <x:f>F1674/F1673-1</x:f>
        <x:v>-0.010877550001277103</x:v>
      </x:c>
      <x:c r="J1674" s="12" t="n">
        <x:v>0</x:v>
      </x:c>
      <x:c r="K1674" s="12" t="n">
        <x:v>0</x:v>
      </x:c>
      <x:c r="L1674" s="12" t="n">
        <x:v>0</x:v>
      </x:c>
      <x:c r="M1674" s="2" t="str">
        <x:v>持有</x:v>
      </x:c>
    </x:row>
    <x:row r="1675" ht="23" customHeight="1">
      <x:c r="A1675" s="11" t="d">
        <x:v>2021-08-19T00:00:00.000Z</x:v>
      </x:c>
      <x:c r="B1675" s="12" t="n">
        <x:v>828.287797</x:v>
      </x:c>
      <x:c r="C1675" s="13" t="n">
        <x:v>301</x:v>
      </x:c>
      <x:c r="D1675" s="12" t="n">
        <x:v>132397.86000000002</x:v>
      </x:c>
      <x:c r="E1675" s="12" t="n">
        <x:v>0</x:v>
      </x:c>
      <x:c r="F1675" s="12" t="n">
        <x:f>SUM(B1675,D1675:E1675)</x:f>
        <x:v>133226.147797</x:v>
      </x:c>
      <x:c r="G1675" s="12" t="n">
        <x:f>MAX(G1674,F1675)</x:f>
        <x:v>135366.257797</x:v>
      </x:c>
      <x:c r="H1675" s="14" t="n">
        <x:f>F1675/G1675-1</x:f>
        <x:v>-0.01580977442110698</x:v>
      </x:c>
      <x:c r="I1675" s="14" t="n">
        <x:f>F1675/F1674-1</x:f>
        <x:v>0.001538699003926114</x:v>
      </x:c>
      <x:c r="J1675" s="12" t="n">
        <x:v>0</x:v>
      </x:c>
      <x:c r="K1675" s="12" t="n">
        <x:v>0</x:v>
      </x:c>
      <x:c r="L1675" s="12" t="n">
        <x:v>0</x:v>
      </x:c>
      <x:c r="M1675" s="2" t="str">
        <x:v>持有</x:v>
      </x:c>
    </x:row>
    <x:row r="1676" ht="23" customHeight="1">
      <x:c r="A1676" s="11" t="d">
        <x:v>2021-08-20T00:00:00.000Z</x:v>
      </x:c>
      <x:c r="B1676" s="12" t="n">
        <x:v>828.287797</x:v>
      </x:c>
      <x:c r="C1676" s="13" t="n">
        <x:v>301</x:v>
      </x:c>
      <x:c r="D1676" s="12" t="n">
        <x:v>133451.36000000002</x:v>
      </x:c>
      <x:c r="E1676" s="12" t="n">
        <x:v>0</x:v>
      </x:c>
      <x:c r="F1676" s="12" t="n">
        <x:f>SUM(B1676,D1676:E1676)</x:f>
        <x:v>134279.647797</x:v>
      </x:c>
      <x:c r="G1676" s="12" t="n">
        <x:f>MAX(G1675,F1676)</x:f>
        <x:v>135366.257797</x:v>
      </x:c>
      <x:c r="H1676" s="14" t="n">
        <x:f>F1676/G1676-1</x:f>
        <x:v>-0.008027185043628093</x:v>
      </x:c>
      <x:c r="I1676" s="14" t="n">
        <x:f>F1676/F1675-1</x:f>
        <x:v>0.007907606858116534</x:v>
      </x:c>
      <x:c r="J1676" s="12" t="n">
        <x:v>0</x:v>
      </x:c>
      <x:c r="K1676" s="12" t="n">
        <x:v>0</x:v>
      </x:c>
      <x:c r="L1676" s="12" t="n">
        <x:v>0</x:v>
      </x:c>
      <x:c r="M1676" s="2" t="str">
        <x:v>持有</x:v>
      </x:c>
    </x:row>
    <x:row r="1677" ht="23" customHeight="1">
      <x:c r="A1677" s="11" t="d">
        <x:v>2021-08-23T00:00:00.000Z</x:v>
      </x:c>
      <x:c r="B1677" s="12" t="n">
        <x:v>828.287797</x:v>
      </x:c>
      <x:c r="C1677" s="13" t="n">
        <x:v>301</x:v>
      </x:c>
      <x:c r="D1677" s="12" t="n">
        <x:v>134625.26</x:v>
      </x:c>
      <x:c r="E1677" s="12" t="n">
        <x:v>0</x:v>
      </x:c>
      <x:c r="F1677" s="12" t="n">
        <x:f>SUM(B1677,D1677:E1677)</x:f>
        <x:v>135453.547797</x:v>
      </x:c>
      <x:c r="G1677" s="12" t="n">
        <x:f>MAX(G1676,F1677)</x:f>
        <x:v>135453.547797</x:v>
      </x:c>
      <x:c r="H1677" s="14" t="n">
        <x:f>F1677/G1677-1</x:f>
        <x:v>0</x:v>
      </x:c>
      <x:c r="I1677" s="14" t="n">
        <x:f>F1677/F1676-1</x:f>
        <x:v>0.008742203448244501</x:v>
      </x:c>
      <x:c r="J1677" s="12" t="n">
        <x:v>0</x:v>
      </x:c>
      <x:c r="K1677" s="12" t="n">
        <x:v>0</x:v>
      </x:c>
      <x:c r="L1677" s="12" t="n">
        <x:v>0</x:v>
      </x:c>
      <x:c r="M1677" s="2" t="str">
        <x:v>持有</x:v>
      </x:c>
    </x:row>
    <x:row r="1678" ht="23" customHeight="1">
      <x:c r="A1678" s="11" t="d">
        <x:v>2021-08-24T00:00:00.000Z</x:v>
      </x:c>
      <x:c r="B1678" s="12" t="n">
        <x:v>828.287797</x:v>
      </x:c>
      <x:c r="C1678" s="13" t="n">
        <x:v>301</x:v>
      </x:c>
      <x:c r="D1678" s="12" t="n">
        <x:v>134838.97</x:v>
      </x:c>
      <x:c r="E1678" s="12" t="n">
        <x:v>0</x:v>
      </x:c>
      <x:c r="F1678" s="12" t="n">
        <x:f>SUM(B1678,D1678:E1678)</x:f>
        <x:v>135667.257797</x:v>
      </x:c>
      <x:c r="G1678" s="12" t="n">
        <x:f>MAX(G1677,F1678)</x:f>
        <x:v>135667.257797</x:v>
      </x:c>
      <x:c r="H1678" s="14" t="n">
        <x:f>F1678/G1678-1</x:f>
        <x:v>0</x:v>
      </x:c>
      <x:c r="I1678" s="14" t="n">
        <x:f>F1678/F1677-1</x:f>
        <x:v>0.0015777364526492477</x:v>
      </x:c>
      <x:c r="J1678" s="12" t="n">
        <x:v>0</x:v>
      </x:c>
      <x:c r="K1678" s="12" t="n">
        <x:v>0</x:v>
      </x:c>
      <x:c r="L1678" s="12" t="n">
        <x:v>0</x:v>
      </x:c>
      <x:c r="M1678" s="2" t="str">
        <x:v>持有</x:v>
      </x:c>
    </x:row>
    <x:row r="1679" ht="23" customHeight="1">
      <x:c r="A1679" s="11" t="d">
        <x:v>2021-08-25T00:00:00.000Z</x:v>
      </x:c>
      <x:c r="B1679" s="12" t="n">
        <x:v>828.287797</x:v>
      </x:c>
      <x:c r="C1679" s="13" t="n">
        <x:v>301</x:v>
      </x:c>
      <x:c r="D1679" s="12" t="n">
        <x:v>135121.91</x:v>
      </x:c>
      <x:c r="E1679" s="12" t="n">
        <x:v>0</x:v>
      </x:c>
      <x:c r="F1679" s="12" t="n">
        <x:f>SUM(B1679,D1679:E1679)</x:f>
        <x:v>135950.197797</x:v>
      </x:c>
      <x:c r="G1679" s="12" t="n">
        <x:f>MAX(G1678,F1679)</x:f>
        <x:v>135950.197797</x:v>
      </x:c>
      <x:c r="H1679" s="14" t="n">
        <x:f>F1679/G1679-1</x:f>
        <x:v>0</x:v>
      </x:c>
      <x:c r="I1679" s="14" t="n">
        <x:f>F1679/F1678-1</x:f>
        <x:v>0.0020855437383673348</x:v>
      </x:c>
      <x:c r="J1679" s="12" t="n">
        <x:v>0</x:v>
      </x:c>
      <x:c r="K1679" s="12" t="n">
        <x:v>0</x:v>
      </x:c>
      <x:c r="L1679" s="12" t="n">
        <x:v>0</x:v>
      </x:c>
      <x:c r="M1679" s="2" t="str">
        <x:v>持有</x:v>
      </x:c>
    </x:row>
    <x:row r="1680" ht="23" customHeight="1">
      <x:c r="A1680" s="11" t="d">
        <x:v>2021-08-26T00:00:00.000Z</x:v>
      </x:c>
      <x:c r="B1680" s="12" t="n">
        <x:v>828.287797</x:v>
      </x:c>
      <x:c r="C1680" s="13" t="n">
        <x:v>301</x:v>
      </x:c>
      <x:c r="D1680" s="12" t="n">
        <x:v>134324.26</x:v>
      </x:c>
      <x:c r="E1680" s="12" t="n">
        <x:v>0</x:v>
      </x:c>
      <x:c r="F1680" s="12" t="n">
        <x:f>SUM(B1680,D1680:E1680)</x:f>
        <x:v>135152.547797</x:v>
      </x:c>
      <x:c r="G1680" s="12" t="n">
        <x:f>MAX(G1679,F1680)</x:f>
        <x:v>135950.197797</x:v>
      </x:c>
      <x:c r="H1680" s="14" t="n">
        <x:f>F1680/G1680-1</x:f>
        <x:v>-0.005867222063119293</x:v>
      </x:c>
      <x:c r="I1680" s="14" t="n">
        <x:f>F1680/F1679-1</x:f>
        <x:v>-0.005867222063119293</x:v>
      </x:c>
      <x:c r="J1680" s="12" t="n">
        <x:v>0</x:v>
      </x:c>
      <x:c r="K1680" s="12" t="n">
        <x:v>0</x:v>
      </x:c>
      <x:c r="L1680" s="12" t="n">
        <x:v>0</x:v>
      </x:c>
      <x:c r="M1680" s="2" t="str">
        <x:v>持有</x:v>
      </x:c>
    </x:row>
    <x:row r="1681" ht="23" customHeight="1">
      <x:c r="A1681" s="11" t="d">
        <x:v>2021-08-27T00:00:00.000Z</x:v>
      </x:c>
      <x:c r="B1681" s="12" t="n">
        <x:v>828.287797</x:v>
      </x:c>
      <x:c r="C1681" s="13" t="n">
        <x:v>301</x:v>
      </x:c>
      <x:c r="D1681" s="12" t="n">
        <x:v>135525.25</x:v>
      </x:c>
      <x:c r="E1681" s="12" t="n">
        <x:v>0</x:v>
      </x:c>
      <x:c r="F1681" s="12" t="n">
        <x:f>SUM(B1681,D1681:E1681)</x:f>
        <x:v>136353.537797</x:v>
      </x:c>
      <x:c r="G1681" s="12" t="n">
        <x:f>MAX(G1680,F1681)</x:f>
        <x:v>136353.537797</x:v>
      </x:c>
      <x:c r="H1681" s="14" t="n">
        <x:f>F1681/G1681-1</x:f>
        <x:v>0</x:v>
      </x:c>
      <x:c r="I1681" s="14" t="n">
        <x:f>F1681/F1680-1</x:f>
        <x:v>0.008886180982720981</x:v>
      </x:c>
      <x:c r="J1681" s="12" t="n">
        <x:v>0</x:v>
      </x:c>
      <x:c r="K1681" s="12" t="n">
        <x:v>0</x:v>
      </x:c>
      <x:c r="L1681" s="12" t="n">
        <x:v>0</x:v>
      </x:c>
      <x:c r="M1681" s="2" t="str">
        <x:v>持有</x:v>
      </x:c>
    </x:row>
    <x:row r="1682" ht="23" customHeight="1">
      <x:c r="A1682" s="11" t="d">
        <x:v>2021-08-30T00:00:00.000Z</x:v>
      </x:c>
      <x:c r="B1682" s="12" t="n">
        <x:v>828.287797</x:v>
      </x:c>
      <x:c r="C1682" s="13" t="n">
        <x:v>301</x:v>
      </x:c>
      <x:c r="D1682" s="12" t="n">
        <x:v>136121.23</x:v>
      </x:c>
      <x:c r="E1682" s="12" t="n">
        <x:v>0</x:v>
      </x:c>
      <x:c r="F1682" s="12" t="n">
        <x:f>SUM(B1682,D1682:E1682)</x:f>
        <x:v>136949.517797</x:v>
      </x:c>
      <x:c r="G1682" s="12" t="n">
        <x:f>MAX(G1681,F1682)</x:f>
        <x:v>136949.517797</x:v>
      </x:c>
      <x:c r="H1682" s="14" t="n">
        <x:f>F1682/G1682-1</x:f>
        <x:v>0</x:v>
      </x:c>
      <x:c r="I1682" s="14" t="n">
        <x:f>F1682/F1681-1</x:f>
        <x:v>0.0043708436878791</x:v>
      </x:c>
      <x:c r="J1682" s="12" t="n">
        <x:v>0</x:v>
      </x:c>
      <x:c r="K1682" s="12" t="n">
        <x:v>0</x:v>
      </x:c>
      <x:c r="L1682" s="12" t="n">
        <x:v>0</x:v>
      </x:c>
      <x:c r="M1682" s="2" t="str">
        <x:v>持有</x:v>
      </x:c>
    </x:row>
    <x:row r="1683" ht="23" customHeight="1">
      <x:c r="A1683" s="11" t="d">
        <x:v>2021-08-31T00:00:00.000Z</x:v>
      </x:c>
      <x:c r="B1683" s="12" t="n">
        <x:v>828.287797</x:v>
      </x:c>
      <x:c r="C1683" s="13" t="n">
        <x:v>301</x:v>
      </x:c>
      <x:c r="D1683" s="12" t="n">
        <x:v>135919.56</x:v>
      </x:c>
      <x:c r="E1683" s="12" t="n">
        <x:v>0</x:v>
      </x:c>
      <x:c r="F1683" s="12" t="n">
        <x:f>SUM(B1683,D1683:E1683)</x:f>
        <x:v>136747.847797</x:v>
      </x:c>
      <x:c r="G1683" s="12" t="n">
        <x:f>MAX(G1682,F1683)</x:f>
        <x:v>136949.517797</x:v>
      </x:c>
      <x:c r="H1683" s="14" t="n">
        <x:f>F1683/G1683-1</x:f>
        <x:v>-0.001472586419025923</x:v>
      </x:c>
      <x:c r="I1683" s="14" t="n">
        <x:f>F1683/F1682-1</x:f>
        <x:v>-0.001472586419025923</x:v>
      </x:c>
      <x:c r="J1683" s="12" t="n">
        <x:v>0</x:v>
      </x:c>
      <x:c r="K1683" s="12" t="n">
        <x:v>0</x:v>
      </x:c>
      <x:c r="L1683" s="12" t="n">
        <x:v>0</x:v>
      </x:c>
      <x:c r="M1683" s="2" t="str">
        <x:v>持有</x:v>
      </x:c>
    </x:row>
    <x:row r="1684" ht="23" customHeight="1">
      <x:c r="A1684" s="11" t="d">
        <x:v>2021-09-01T00:00:00.000Z</x:v>
      </x:c>
      <x:c r="B1684" s="12" t="n">
        <x:v>828.287797</x:v>
      </x:c>
      <x:c r="C1684" s="13" t="n">
        <x:v>301</x:v>
      </x:c>
      <x:c r="D1684" s="12" t="n">
        <x:v>135991.80000000002</x:v>
      </x:c>
      <x:c r="E1684" s="12" t="n">
        <x:v>0</x:v>
      </x:c>
      <x:c r="F1684" s="12" t="n">
        <x:f>SUM(B1684,D1684:E1684)</x:f>
        <x:v>136820.08779700001</x:v>
      </x:c>
      <x:c r="G1684" s="12" t="n">
        <x:f>MAX(G1683,F1684)</x:f>
        <x:v>136949.517797</x:v>
      </x:c>
      <x:c r="H1684" s="14" t="n">
        <x:f>F1684/G1684-1</x:f>
        <x:v>-0.0009450927763896555</x:v>
      </x:c>
      <x:c r="I1684" s="14" t="n">
        <x:f>F1684/F1683-1</x:f>
        <x:v>0.0005282715681731442</x:v>
      </x:c>
      <x:c r="J1684" s="12" t="n">
        <x:v>0</x:v>
      </x:c>
      <x:c r="K1684" s="12" t="n">
        <x:v>0</x:v>
      </x:c>
      <x:c r="L1684" s="12" t="n">
        <x:v>0</x:v>
      </x:c>
      <x:c r="M1684" s="2" t="str">
        <x:v>持有</x:v>
      </x:c>
    </x:row>
    <x:row r="1685" ht="23" customHeight="1">
      <x:c r="A1685" s="11" t="d">
        <x:v>2021-09-02T00:00:00.000Z</x:v>
      </x:c>
      <x:c r="B1685" s="12" t="n">
        <x:v>828.287797</x:v>
      </x:c>
      <x:c r="C1685" s="13" t="n">
        <x:v>301</x:v>
      </x:c>
      <x:c r="D1685" s="12" t="n">
        <x:v>136410.19</x:v>
      </x:c>
      <x:c r="E1685" s="12" t="n">
        <x:v>0</x:v>
      </x:c>
      <x:c r="F1685" s="12" t="n">
        <x:f>SUM(B1685,D1685:E1685)</x:f>
        <x:v>137238.477797</x:v>
      </x:c>
      <x:c r="G1685" s="12" t="n">
        <x:f>MAX(G1684,F1685)</x:f>
        <x:v>137238.477797</x:v>
      </x:c>
      <x:c r="H1685" s="14" t="n">
        <x:f>F1685/G1685-1</x:f>
        <x:v>0</x:v>
      </x:c>
      <x:c r="I1685" s="14" t="n">
        <x:f>F1685/F1684-1</x:f>
        <x:v>0.003057957400383726</x:v>
      </x:c>
      <x:c r="J1685" s="12" t="n">
        <x:v>0</x:v>
      </x:c>
      <x:c r="K1685" s="12" t="n">
        <x:v>0</x:v>
      </x:c>
      <x:c r="L1685" s="12" t="n">
        <x:v>0</x:v>
      </x:c>
      <x:c r="M1685" s="2" t="str">
        <x:v>持有</x:v>
      </x:c>
    </x:row>
    <x:row r="1686" ht="23" customHeight="1">
      <x:c r="A1686" s="11" t="d">
        <x:v>2021-09-03T00:00:00.000Z</x:v>
      </x:c>
      <x:c r="B1686" s="12" t="n">
        <x:v>828.287797</x:v>
      </x:c>
      <x:c r="C1686" s="13" t="n">
        <x:v>301</x:v>
      </x:c>
      <x:c r="D1686" s="12" t="n">
        <x:v>136377.08</x:v>
      </x:c>
      <x:c r="E1686" s="12" t="n">
        <x:v>0</x:v>
      </x:c>
      <x:c r="F1686" s="12" t="n">
        <x:f>SUM(B1686,D1686:E1686)</x:f>
        <x:v>137205.36779699998</x:v>
      </x:c>
      <x:c r="G1686" s="12" t="n">
        <x:f>MAX(G1685,F1686)</x:f>
        <x:v>137238.477797</x:v>
      </x:c>
      <x:c r="H1686" s="14" t="n">
        <x:f>F1686/G1686-1</x:f>
        <x:v>-0.00024125886946213537</x:v>
      </x:c>
      <x:c r="I1686" s="14" t="n">
        <x:f>F1686/F1685-1</x:f>
        <x:v>-0.00024125886946213537</x:v>
      </x:c>
      <x:c r="J1686" s="12" t="n">
        <x:v>0</x:v>
      </x:c>
      <x:c r="K1686" s="12" t="n">
        <x:v>0</x:v>
      </x:c>
      <x:c r="L1686" s="12" t="n">
        <x:v>0</x:v>
      </x:c>
      <x:c r="M1686" s="2" t="str">
        <x:v>持有</x:v>
      </x:c>
    </x:row>
    <x:row r="1687" ht="23" customHeight="1">
      <x:c r="A1687" s="11" t="d">
        <x:v>2021-09-07T00:00:00.000Z</x:v>
      </x:c>
      <x:c r="B1687" s="12" t="n">
        <x:v>828.287797</x:v>
      </x:c>
      <x:c r="C1687" s="13" t="n">
        <x:v>301</x:v>
      </x:c>
      <x:c r="D1687" s="12" t="n">
        <x:v>135889.46</x:v>
      </x:c>
      <x:c r="E1687" s="12" t="n">
        <x:v>0</x:v>
      </x:c>
      <x:c r="F1687" s="12" t="n">
        <x:f>SUM(B1687,D1687:E1687)</x:f>
        <x:v>136717.747797</x:v>
      </x:c>
      <x:c r="G1687" s="12" t="n">
        <x:f>MAX(G1686,F1687)</x:f>
        <x:v>137238.477797</x:v>
      </x:c>
      <x:c r="H1687" s="14" t="n">
        <x:f>F1687/G1687-1</x:f>
        <x:v>-0.0037943440379035742</x:v>
      </x:c>
      <x:c r="I1687" s="14" t="n">
        <x:f>F1687/F1686-1</x:f>
        <x:v>-0.003553942588612413</x:v>
      </x:c>
      <x:c r="J1687" s="12" t="n">
        <x:v>0</x:v>
      </x:c>
      <x:c r="K1687" s="12" t="n">
        <x:v>0</x:v>
      </x:c>
      <x:c r="L1687" s="12" t="n">
        <x:v>0</x:v>
      </x:c>
      <x:c r="M1687" s="2" t="str">
        <x:v>持有</x:v>
      </x:c>
    </x:row>
    <x:row r="1688" ht="23" customHeight="1">
      <x:c r="A1688" s="11" t="d">
        <x:v>2021-09-08T00:00:00.000Z</x:v>
      </x:c>
      <x:c r="B1688" s="12" t="n">
        <x:v>828.287797</x:v>
      </x:c>
      <x:c r="C1688" s="13" t="n">
        <x:v>301</x:v>
      </x:c>
      <x:c r="D1688" s="12" t="n">
        <x:v>135723.91</x:v>
      </x:c>
      <x:c r="E1688" s="12" t="n">
        <x:v>0</x:v>
      </x:c>
      <x:c r="F1688" s="12" t="n">
        <x:f>SUM(B1688,D1688:E1688)</x:f>
        <x:v>136552.197797</x:v>
      </x:c>
      <x:c r="G1688" s="12" t="n">
        <x:f>MAX(G1687,F1688)</x:f>
        <x:v>137238.477797</x:v>
      </x:c>
      <x:c r="H1688" s="14" t="n">
        <x:f>F1688/G1688-1</x:f>
        <x:v>-0.005000638385213918</x:v>
      </x:c>
      <x:c r="I1688" s="14" t="n">
        <x:f>F1688/F1687-1</x:f>
        <x:v>-0.0012108888762986103</x:v>
      </x:c>
      <x:c r="J1688" s="12" t="n">
        <x:v>0</x:v>
      </x:c>
      <x:c r="K1688" s="12" t="n">
        <x:v>0</x:v>
      </x:c>
      <x:c r="L1688" s="12" t="n">
        <x:v>0</x:v>
      </x:c>
      <x:c r="M1688" s="2" t="str">
        <x:v>持有</x:v>
      </x:c>
    </x:row>
    <x:row r="1689" ht="23" customHeight="1">
      <x:c r="A1689" s="11" t="d">
        <x:v>2021-09-09T00:00:00.000Z</x:v>
      </x:c>
      <x:c r="B1689" s="12" t="n">
        <x:v>828.287797</x:v>
      </x:c>
      <x:c r="C1689" s="13" t="n">
        <x:v>301</x:v>
      </x:c>
      <x:c r="D1689" s="12" t="n">
        <x:v>135142.98</x:v>
      </x:c>
      <x:c r="E1689" s="12" t="n">
        <x:v>0</x:v>
      </x:c>
      <x:c r="F1689" s="12" t="n">
        <x:f>SUM(B1689,D1689:E1689)</x:f>
        <x:v>135971.267797</x:v>
      </x:c>
      <x:c r="G1689" s="12" t="n">
        <x:f>MAX(G1688,F1689)</x:f>
        <x:v>137238.477797</x:v>
      </x:c>
      <x:c r="H1689" s="14" t="n">
        <x:f>F1689/G1689-1</x:f>
        <x:v>-0.009233634913048405</x:v>
      </x:c>
      <x:c r="I1689" s="14" t="n">
        <x:f>F1689/F1688-1</x:f>
        <x:v>-0.004254270596681375</x:v>
      </x:c>
      <x:c r="J1689" s="12" t="n">
        <x:v>0</x:v>
      </x:c>
      <x:c r="K1689" s="12" t="n">
        <x:v>0</x:v>
      </x:c>
      <x:c r="L1689" s="12" t="n">
        <x:v>0</x:v>
      </x:c>
      <x:c r="M1689" s="2" t="str">
        <x:v>持有</x:v>
      </x:c>
    </x:row>
    <x:row r="1690" ht="23" customHeight="1">
      <x:c r="A1690" s="11" t="d">
        <x:v>2021-09-10T00:00:00.000Z</x:v>
      </x:c>
      <x:c r="B1690" s="12" t="n">
        <x:v>828.287797</x:v>
      </x:c>
      <x:c r="C1690" s="13" t="n">
        <x:v>301</x:v>
      </x:c>
      <x:c r="D1690" s="12" t="n">
        <x:v>134077.44</x:v>
      </x:c>
      <x:c r="E1690" s="12" t="n">
        <x:v>0</x:v>
      </x:c>
      <x:c r="F1690" s="12" t="n">
        <x:f>SUM(B1690,D1690:E1690)</x:f>
        <x:v>134905.727797</x:v>
      </x:c>
      <x:c r="G1690" s="12" t="n">
        <x:f>MAX(G1689,F1690)</x:f>
        <x:v>137238.477797</x:v>
      </x:c>
      <x:c r="H1690" s="14" t="n">
        <x:f>F1690/G1690-1</x:f>
        <x:v>-0.016997783984827874</x:v>
      </x:c>
      <x:c r="I1690" s="14" t="n">
        <x:f>F1690/F1689-1</x:f>
        <x:v>-0.007836508530543518</x:v>
      </x:c>
      <x:c r="J1690" s="12" t="n">
        <x:v>0</x:v>
      </x:c>
      <x:c r="K1690" s="12" t="n">
        <x:v>0</x:v>
      </x:c>
      <x:c r="L1690" s="12" t="n">
        <x:v>0</x:v>
      </x:c>
      <x:c r="M1690" s="2" t="str">
        <x:v>持有</x:v>
      </x:c>
    </x:row>
    <x:row r="1691" ht="23" customHeight="1">
      <x:c r="A1691" s="11" t="d">
        <x:v>2021-09-13T00:00:00.000Z</x:v>
      </x:c>
      <x:c r="B1691" s="12" t="n">
        <x:v>828.287797</x:v>
      </x:c>
      <x:c r="C1691" s="13" t="n">
        <x:v>301</x:v>
      </x:c>
      <x:c r="D1691" s="12" t="n">
        <x:v>134420.58</x:v>
      </x:c>
      <x:c r="E1691" s="12" t="n">
        <x:v>0</x:v>
      </x:c>
      <x:c r="F1691" s="12" t="n">
        <x:f>SUM(B1691,D1691:E1691)</x:f>
        <x:v>135248.86779699998</x:v>
      </x:c>
      <x:c r="G1691" s="12" t="n">
        <x:f>MAX(G1690,F1691)</x:f>
        <x:v>137238.477797</x:v>
      </x:c>
      <x:c r="H1691" s="14" t="n">
        <x:f>F1691/G1691-1</x:f>
        <x:v>-0.014497464792221026</x:v>
      </x:c>
      <x:c r="I1691" s="14" t="n">
        <x:f>F1691/F1690-1</x:f>
        <x:v>0.0025435539736038404</x:v>
      </x:c>
      <x:c r="J1691" s="12" t="n">
        <x:v>0</x:v>
      </x:c>
      <x:c r="K1691" s="12" t="n">
        <x:v>0</x:v>
      </x:c>
      <x:c r="L1691" s="12" t="n">
        <x:v>0</x:v>
      </x:c>
      <x:c r="M1691" s="2" t="str">
        <x:v>持有</x:v>
      </x:c>
    </x:row>
    <x:row r="1692" ht="23" customHeight="1">
      <x:c r="A1692" s="11" t="d">
        <x:v>2021-09-14T00:00:00.000Z</x:v>
      </x:c>
      <x:c r="B1692" s="12" t="n">
        <x:v>828.287797</x:v>
      </x:c>
      <x:c r="C1692" s="13" t="n">
        <x:v>301</x:v>
      </x:c>
      <x:c r="D1692" s="12" t="n">
        <x:v>133695.17</x:v>
      </x:c>
      <x:c r="E1692" s="12" t="n">
        <x:v>0</x:v>
      </x:c>
      <x:c r="F1692" s="12" t="n">
        <x:f>SUM(B1692,D1692:E1692)</x:f>
        <x:v>134523.457797</x:v>
      </x:c>
      <x:c r="G1692" s="12" t="n">
        <x:f>MAX(G1691,F1692)</x:f>
        <x:v>137238.477797</x:v>
      </x:c>
      <x:c r="H1692" s="14" t="n">
        <x:f>F1692/G1692-1</x:f>
        <x:v>-0.019783227295889882</x:v>
      </x:c>
      <x:c r="I1692" s="14" t="n">
        <x:f>F1692/F1691-1</x:f>
        <x:v>-0.005363519945237316</x:v>
      </x:c>
      <x:c r="J1692" s="12" t="n">
        <x:v>0</x:v>
      </x:c>
      <x:c r="K1692" s="12" t="n">
        <x:v>0</x:v>
      </x:c>
      <x:c r="L1692" s="12" t="n">
        <x:v>0</x:v>
      </x:c>
      <x:c r="M1692" s="2" t="str">
        <x:v>持有</x:v>
      </x:c>
    </x:row>
    <x:row r="1693" ht="23" customHeight="1">
      <x:c r="A1693" s="11" t="d">
        <x:v>2021-09-15T00:00:00.000Z</x:v>
      </x:c>
      <x:c r="B1693" s="12" t="n">
        <x:v>828.287797</x:v>
      </x:c>
      <x:c r="C1693" s="13" t="n">
        <x:v>301</x:v>
      </x:c>
      <x:c r="D1693" s="12" t="n">
        <x:v>134811.88</x:v>
      </x:c>
      <x:c r="E1693" s="12" t="n">
        <x:v>0</x:v>
      </x:c>
      <x:c r="F1693" s="12" t="n">
        <x:f>SUM(B1693,D1693:E1693)</x:f>
        <x:v>135640.167797</x:v>
      </x:c>
      <x:c r="G1693" s="12" t="n">
        <x:f>MAX(G1692,F1693)</x:f>
        <x:v>137238.477797</x:v>
      </x:c>
      <x:c r="H1693" s="14" t="n">
        <x:f>F1693/G1693-1</x:f>
        <x:v>-0.011646223607669093</x:v>
      </x:c>
      <x:c r="I1693" s="14" t="n">
        <x:f>F1693/F1692-1</x:f>
        <x:v>0.008301228784091563</x:v>
      </x:c>
      <x:c r="J1693" s="12" t="n">
        <x:v>0</x:v>
      </x:c>
      <x:c r="K1693" s="12" t="n">
        <x:v>0</x:v>
      </x:c>
      <x:c r="L1693" s="12" t="n">
        <x:v>0</x:v>
      </x:c>
      <x:c r="M1693" s="2" t="str">
        <x:v>持有</x:v>
      </x:c>
    </x:row>
    <x:row r="1694" ht="23" customHeight="1">
      <x:c r="A1694" s="11" t="d">
        <x:v>2021-09-16T00:00:00.000Z</x:v>
      </x:c>
      <x:c r="B1694" s="12" t="n">
        <x:v>828.287797</x:v>
      </x:c>
      <x:c r="C1694" s="13" t="n">
        <x:v>301</x:v>
      </x:c>
      <x:c r="D1694" s="12" t="n">
        <x:v>134598.17</x:v>
      </x:c>
      <x:c r="E1694" s="12" t="n">
        <x:v>0</x:v>
      </x:c>
      <x:c r="F1694" s="12" t="n">
        <x:f>SUM(B1694,D1694:E1694)</x:f>
        <x:v>135426.457797</x:v>
      </x:c>
      <x:c r="G1694" s="12" t="n">
        <x:f>MAX(G1693,F1694)</x:f>
        <x:v>137238.477797</x:v>
      </x:c>
      <x:c r="H1694" s="14" t="n">
        <x:f>F1694/G1694-1</x:f>
        <x:v>-0.0132034399469243</x:v>
      </x:c>
      <x:c r="I1694" s="14" t="n">
        <x:f>F1694/F1693-1</x:f>
        <x:v>-0.0015755657300559056</x:v>
      </x:c>
      <x:c r="J1694" s="12" t="n">
        <x:v>0</x:v>
      </x:c>
      <x:c r="K1694" s="12" t="n">
        <x:v>0</x:v>
      </x:c>
      <x:c r="L1694" s="12" t="n">
        <x:v>0</x:v>
      </x:c>
      <x:c r="M1694" s="2" t="str">
        <x:v>持有</x:v>
      </x:c>
    </x:row>
    <x:row r="1695" ht="23" customHeight="1">
      <x:c r="A1695" s="11" t="d">
        <x:v>2021-09-17T00:00:00.000Z</x:v>
      </x:c>
      <x:c r="B1695" s="12" t="n">
        <x:v>828.287797</x:v>
      </x:c>
      <x:c r="C1695" s="13" t="n">
        <x:v>301</x:v>
      </x:c>
      <x:c r="D1695" s="12" t="n">
        <x:v>132861.4</x:v>
      </x:c>
      <x:c r="E1695" s="12" t="n">
        <x:v>429.863217</x:v>
      </x:c>
      <x:c r="F1695" s="12" t="n">
        <x:f>SUM(B1695,D1695:E1695)</x:f>
        <x:v>134119.551014</x:v>
      </x:c>
      <x:c r="G1695" s="12" t="n">
        <x:f>MAX(G1694,F1695)</x:f>
        <x:v>137238.477797</x:v>
      </x:c>
      <x:c r="H1695" s="14" t="n">
        <x:f>F1695/G1695-1</x:f>
        <x:v>-0.02272632889162063</x:v>
      </x:c>
      <x:c r="I1695" s="14" t="n">
        <x:f>F1695/F1694-1</x:f>
        <x:v>-0.00965030618285112</x:v>
      </x:c>
      <x:c r="J1695" s="12" t="n">
        <x:v>429.863217</x:v>
      </x:c>
      <x:c r="K1695" s="12" t="n">
        <x:v>0</x:v>
      </x:c>
      <x:c r="L1695" s="12" t="n">
        <x:v>0</x:v>
      </x:c>
      <x:c r="M1695" s="2" t="str">
        <x:v>持有</x:v>
      </x:c>
    </x:row>
    <x:row r="1696" ht="23" customHeight="1">
      <x:c r="A1696" s="11" t="d">
        <x:v>2021-09-20T00:00:00.000Z</x:v>
      </x:c>
      <x:c r="B1696" s="12" t="n">
        <x:v>131596.268917</x:v>
      </x:c>
      <x:c r="C1696" s="13" t="n">
        <x:v>0</x:v>
      </x:c>
      <x:c r="D1696" s="12" t="n">
        <x:v>0</x:v>
      </x:c>
      <x:c r="E1696" s="12" t="n">
        <x:v>429.863217</x:v>
      </x:c>
      <x:c r="F1696" s="12" t="n">
        <x:f>SUM(B1696,D1696:E1696)</x:f>
        <x:v>132026.132134</x:v>
      </x:c>
      <x:c r="G1696" s="12" t="n">
        <x:f>MAX(G1695,F1696)</x:f>
        <x:v>137238.477797</x:v>
      </x:c>
      <x:c r="H1696" s="14" t="n">
        <x:f>F1696/G1696-1</x:f>
        <x:v>-0.03798020603747854</x:v>
      </x:c>
      <x:c r="I1696" s="14" t="n">
        <x:f>F1696/F1695-1</x:f>
        <x:v>-0.01560860340027137</x:v>
      </x:c>
      <x:c r="J1696" s="12" t="n">
        <x:v>0</x:v>
      </x:c>
      <x:c r="K1696" s="12" t="n">
        <x:v>0</x:v>
      </x:c>
      <x:c r="L1696" s="12" t="n">
        <x:v>-301</x:v>
      </x:c>
      <x:c r="M1696" s="2" t="str">
        <x:v>卖出</x:v>
      </x:c>
    </x:row>
    <x:row r="1697" ht="23" customHeight="1">
      <x:c r="A1697" s="11" t="d">
        <x:v>2021-09-21T00:00:00.000Z</x:v>
      </x:c>
      <x:c r="B1697" s="12" t="n">
        <x:v>131596.268917</x:v>
      </x:c>
      <x:c r="C1697" s="13" t="n">
        <x:v>0</x:v>
      </x:c>
      <x:c r="D1697" s="12" t="n">
        <x:v>0</x:v>
      </x:c>
      <x:c r="E1697" s="12" t="n">
        <x:v>429.863217</x:v>
      </x:c>
      <x:c r="F1697" s="12" t="n">
        <x:f>SUM(B1697,D1697:E1697)</x:f>
        <x:v>132026.132134</x:v>
      </x:c>
      <x:c r="G1697" s="12" t="n">
        <x:f>MAX(G1696,F1697)</x:f>
        <x:v>137238.477797</x:v>
      </x:c>
      <x:c r="H1697" s="14" t="n">
        <x:f>F1697/G1697-1</x:f>
        <x:v>-0.03798020603747854</x:v>
      </x:c>
      <x:c r="I1697" s="14" t="n">
        <x:f>F1697/F1696-1</x:f>
        <x:v>0</x:v>
      </x:c>
      <x:c r="J1697" s="12" t="n">
        <x:v>0</x:v>
      </x:c>
      <x:c r="K1697" s="12" t="n">
        <x:v>0</x:v>
      </x:c>
      <x:c r="L1697" s="12" t="n">
        <x:v>0</x:v>
      </x:c>
      <x:c r="M1697" s="2" t="str">
        <x:v>空仓</x:v>
      </x:c>
    </x:row>
    <x:row r="1698" ht="23" customHeight="1">
      <x:c r="A1698" s="11" t="d">
        <x:v>2021-09-22T00:00:00.000Z</x:v>
      </x:c>
      <x:c r="B1698" s="12" t="n">
        <x:v>131596.268917</x:v>
      </x:c>
      <x:c r="C1698" s="13" t="n">
        <x:v>0</x:v>
      </x:c>
      <x:c r="D1698" s="12" t="n">
        <x:v>0</x:v>
      </x:c>
      <x:c r="E1698" s="12" t="n">
        <x:v>429.863217</x:v>
      </x:c>
      <x:c r="F1698" s="12" t="n">
        <x:f>SUM(B1698,D1698:E1698)</x:f>
        <x:v>132026.132134</x:v>
      </x:c>
      <x:c r="G1698" s="12" t="n">
        <x:f>MAX(G1697,F1698)</x:f>
        <x:v>137238.477797</x:v>
      </x:c>
      <x:c r="H1698" s="14" t="n">
        <x:f>F1698/G1698-1</x:f>
        <x:v>-0.03798020603747854</x:v>
      </x:c>
      <x:c r="I1698" s="14" t="n">
        <x:f>F1698/F1697-1</x:f>
        <x:v>0</x:v>
      </x:c>
      <x:c r="J1698" s="12" t="n">
        <x:v>0</x:v>
      </x:c>
      <x:c r="K1698" s="12" t="n">
        <x:v>0</x:v>
      </x:c>
      <x:c r="L1698" s="12" t="n">
        <x:v>0</x:v>
      </x:c>
      <x:c r="M1698" s="2" t="str">
        <x:v>空仓</x:v>
      </x:c>
    </x:row>
    <x:row r="1699" ht="23" customHeight="1">
      <x:c r="A1699" s="11" t="d">
        <x:v>2021-09-23T00:00:00.000Z</x:v>
      </x:c>
      <x:c r="B1699" s="12" t="n">
        <x:v>131596.268917</x:v>
      </x:c>
      <x:c r="C1699" s="13" t="n">
        <x:v>0</x:v>
      </x:c>
      <x:c r="D1699" s="12" t="n">
        <x:v>0</x:v>
      </x:c>
      <x:c r="E1699" s="12" t="n">
        <x:v>429.863217</x:v>
      </x:c>
      <x:c r="F1699" s="12" t="n">
        <x:f>SUM(B1699,D1699:E1699)</x:f>
        <x:v>132026.132134</x:v>
      </x:c>
      <x:c r="G1699" s="12" t="n">
        <x:f>MAX(G1698,F1699)</x:f>
        <x:v>137238.477797</x:v>
      </x:c>
      <x:c r="H1699" s="14" t="n">
        <x:f>F1699/G1699-1</x:f>
        <x:v>-0.03798020603747854</x:v>
      </x:c>
      <x:c r="I1699" s="14" t="n">
        <x:f>F1699/F1698-1</x:f>
        <x:v>0</x:v>
      </x:c>
      <x:c r="J1699" s="12" t="n">
        <x:v>0</x:v>
      </x:c>
      <x:c r="K1699" s="12" t="n">
        <x:v>0</x:v>
      </x:c>
      <x:c r="L1699" s="12" t="n">
        <x:v>0</x:v>
      </x:c>
      <x:c r="M1699" s="2" t="str">
        <x:v>空仓</x:v>
      </x:c>
    </x:row>
    <x:row r="1700" ht="23" customHeight="1">
      <x:c r="A1700" s="11" t="d">
        <x:v>2021-09-24T00:00:00.000Z</x:v>
      </x:c>
      <x:c r="B1700" s="12" t="n">
        <x:v>357.481237</x:v>
      </x:c>
      <x:c r="C1700" s="13" t="n">
        <x:v>297</x:v>
      </x:c>
      <x:c r="D1700" s="12" t="n">
        <x:v>131841.27000000002</x:v>
      </x:c>
      <x:c r="E1700" s="12" t="n">
        <x:v>429.863217</x:v>
      </x:c>
      <x:c r="F1700" s="12" t="n">
        <x:f>SUM(B1700,D1700:E1700)</x:f>
        <x:v>132628.61445400002</x:v>
      </x:c>
      <x:c r="G1700" s="12" t="n">
        <x:f>MAX(G1699,F1700)</x:f>
        <x:v>137238.477797</x:v>
      </x:c>
      <x:c r="H1700" s="14" t="n">
        <x:f>F1700/G1700-1</x:f>
        <x:v>-0.03359016667190651</x:v>
      </x:c>
      <x:c r="I1700" s="14" t="n">
        <x:f>F1700/F1699-1</x:f>
        <x:v>0.004563356589046386</x:v>
      </x:c>
      <x:c r="J1700" s="12" t="n">
        <x:v>0</x:v>
      </x:c>
      <x:c r="K1700" s="12" t="n">
        <x:v>0</x:v>
      </x:c>
      <x:c r="L1700" s="12" t="n">
        <x:v>297</x:v>
      </x:c>
      <x:c r="M1700" s="2" t="str">
        <x:v>买入</x:v>
      </x:c>
    </x:row>
    <x:row r="1701" ht="23" customHeight="1">
      <x:c r="A1701" s="11" t="d">
        <x:v>2021-09-27T00:00:00.000Z</x:v>
      </x:c>
      <x:c r="B1701" s="12" t="n">
        <x:v>357.481237</x:v>
      </x:c>
      <x:c r="C1701" s="13" t="n">
        <x:v>297</x:v>
      </x:c>
      <x:c r="D1701" s="12" t="n">
        <x:v>131464.08</x:v>
      </x:c>
      <x:c r="E1701" s="12" t="n">
        <x:v>429.863217</x:v>
      </x:c>
      <x:c r="F1701" s="12" t="n">
        <x:f>SUM(B1701,D1701:E1701)</x:f>
        <x:v>132251.424454</x:v>
      </x:c>
      <x:c r="G1701" s="12" t="n">
        <x:f>MAX(G1700,F1701)</x:f>
        <x:v>137238.477797</x:v>
      </x:c>
      <x:c r="H1701" s="14" t="n">
        <x:f>F1701/G1701-1</x:f>
        <x:v>-0.03633859412501461</x:v>
      </x:c>
      <x:c r="I1701" s="14" t="n">
        <x:f>F1701/F1700-1</x:f>
        <x:v>-0.00284395642337687</x:v>
      </x:c>
      <x:c r="J1701" s="12" t="n">
        <x:v>0</x:v>
      </x:c>
      <x:c r="K1701" s="12" t="n">
        <x:v>0</x:v>
      </x:c>
      <x:c r="L1701" s="12" t="n">
        <x:v>0</x:v>
      </x:c>
      <x:c r="M1701" s="2" t="str">
        <x:v>持有</x:v>
      </x:c>
    </x:row>
    <x:row r="1702" ht="23" customHeight="1">
      <x:c r="A1702" s="11" t="d">
        <x:v>2021-09-28T00:00:00.000Z</x:v>
      </x:c>
      <x:c r="B1702" s="12" t="n">
        <x:v>130814.823307</x:v>
      </x:c>
      <x:c r="C1702" s="13" t="n">
        <x:v>0</x:v>
      </x:c>
      <x:c r="D1702" s="12" t="n">
        <x:v>0</x:v>
      </x:c>
      <x:c r="E1702" s="12" t="n">
        <x:v>429.863217</x:v>
      </x:c>
      <x:c r="F1702" s="12" t="n">
        <x:f>SUM(B1702,D1702:E1702)</x:f>
        <x:v>131244.686524</x:v>
      </x:c>
      <x:c r="G1702" s="12" t="n">
        <x:f>MAX(G1701,F1702)</x:f>
        <x:v>137238.477797</x:v>
      </x:c>
      <x:c r="H1702" s="14" t="n">
        <x:f>F1702/G1702-1</x:f>
        <x:v>-0.043674276844325566</x:v>
      </x:c>
      <x:c r="I1702" s="14" t="n">
        <x:f>F1702/F1701-1</x:f>
        <x:v>-0.007612303112471741</x:v>
      </x:c>
      <x:c r="J1702" s="12" t="n">
        <x:v>0</x:v>
      </x:c>
      <x:c r="K1702" s="12" t="n">
        <x:v>0</x:v>
      </x:c>
      <x:c r="L1702" s="12" t="n">
        <x:v>-297</x:v>
      </x:c>
      <x:c r="M1702" s="2" t="str">
        <x:v>卖出</x:v>
      </x:c>
    </x:row>
    <x:row r="1703" ht="23" customHeight="1">
      <x:c r="A1703" s="11" t="d">
        <x:v>2021-09-29T00:00:00.000Z</x:v>
      </x:c>
      <x:c r="B1703" s="12" t="n">
        <x:v>130814.823307</x:v>
      </x:c>
      <x:c r="C1703" s="13" t="n">
        <x:v>0</x:v>
      </x:c>
      <x:c r="D1703" s="12" t="n">
        <x:v>0</x:v>
      </x:c>
      <x:c r="E1703" s="12" t="n">
        <x:v>429.863217</x:v>
      </x:c>
      <x:c r="F1703" s="12" t="n">
        <x:f>SUM(B1703,D1703:E1703)</x:f>
        <x:v>131244.686524</x:v>
      </x:c>
      <x:c r="G1703" s="12" t="n">
        <x:f>MAX(G1702,F1703)</x:f>
        <x:v>137238.477797</x:v>
      </x:c>
      <x:c r="H1703" s="14" t="n">
        <x:f>F1703/G1703-1</x:f>
        <x:v>-0.043674276844325566</x:v>
      </x:c>
      <x:c r="I1703" s="14" t="n">
        <x:f>F1703/F1702-1</x:f>
        <x:v>0</x:v>
      </x:c>
      <x:c r="J1703" s="12" t="n">
        <x:v>0</x:v>
      </x:c>
      <x:c r="K1703" s="12" t="n">
        <x:v>0</x:v>
      </x:c>
      <x:c r="L1703" s="12" t="n">
        <x:v>0</x:v>
      </x:c>
      <x:c r="M1703" s="2" t="str">
        <x:v>空仓</x:v>
      </x:c>
    </x:row>
    <x:row r="1704" ht="23" customHeight="1">
      <x:c r="A1704" s="11" t="d">
        <x:v>2021-09-30T00:00:00.000Z</x:v>
      </x:c>
      <x:c r="B1704" s="12" t="n">
        <x:v>130814.823307</x:v>
      </x:c>
      <x:c r="C1704" s="13" t="n">
        <x:v>0</x:v>
      </x:c>
      <x:c r="D1704" s="12" t="n">
        <x:v>0</x:v>
      </x:c>
      <x:c r="E1704" s="12" t="n">
        <x:v>429.863217</x:v>
      </x:c>
      <x:c r="F1704" s="12" t="n">
        <x:f>SUM(B1704,D1704:E1704)</x:f>
        <x:v>131244.686524</x:v>
      </x:c>
      <x:c r="G1704" s="12" t="n">
        <x:f>MAX(G1703,F1704)</x:f>
        <x:v>137238.477797</x:v>
      </x:c>
      <x:c r="H1704" s="14" t="n">
        <x:f>F1704/G1704-1</x:f>
        <x:v>-0.043674276844325566</x:v>
      </x:c>
      <x:c r="I1704" s="14" t="n">
        <x:f>F1704/F1703-1</x:f>
        <x:v>0</x:v>
      </x:c>
      <x:c r="J1704" s="12" t="n">
        <x:v>0</x:v>
      </x:c>
      <x:c r="K1704" s="12" t="n">
        <x:v>0</x:v>
      </x:c>
      <x:c r="L1704" s="12" t="n">
        <x:v>0</x:v>
      </x:c>
      <x:c r="M1704" s="2" t="str">
        <x:v>空仓</x:v>
      </x:c>
    </x:row>
    <x:row r="1705" ht="23" customHeight="1">
      <x:c r="A1705" s="11" t="d">
        <x:v>2021-10-01T00:00:00.000Z</x:v>
      </x:c>
      <x:c r="B1705" s="12" t="n">
        <x:v>130814.823307</x:v>
      </x:c>
      <x:c r="C1705" s="13" t="n">
        <x:v>0</x:v>
      </x:c>
      <x:c r="D1705" s="12" t="n">
        <x:v>0</x:v>
      </x:c>
      <x:c r="E1705" s="12" t="n">
        <x:v>429.863217</x:v>
      </x:c>
      <x:c r="F1705" s="12" t="n">
        <x:f>SUM(B1705,D1705:E1705)</x:f>
        <x:v>131244.686524</x:v>
      </x:c>
      <x:c r="G1705" s="12" t="n">
        <x:f>MAX(G1704,F1705)</x:f>
        <x:v>137238.477797</x:v>
      </x:c>
      <x:c r="H1705" s="14" t="n">
        <x:f>F1705/G1705-1</x:f>
        <x:v>-0.043674276844325566</x:v>
      </x:c>
      <x:c r="I1705" s="14" t="n">
        <x:f>F1705/F1704-1</x:f>
        <x:v>0</x:v>
      </x:c>
      <x:c r="J1705" s="12" t="n">
        <x:v>0</x:v>
      </x:c>
      <x:c r="K1705" s="12" t="n">
        <x:v>0</x:v>
      </x:c>
      <x:c r="L1705" s="12" t="n">
        <x:v>0</x:v>
      </x:c>
      <x:c r="M1705" s="2" t="str">
        <x:v>空仓</x:v>
      </x:c>
    </x:row>
    <x:row r="1706" ht="23" customHeight="1">
      <x:c r="A1706" s="11" t="d">
        <x:v>2021-10-04T00:00:00.000Z</x:v>
      </x:c>
      <x:c r="B1706" s="12" t="n">
        <x:v>130814.823307</x:v>
      </x:c>
      <x:c r="C1706" s="13" t="n">
        <x:v>0</x:v>
      </x:c>
      <x:c r="D1706" s="12" t="n">
        <x:v>0</x:v>
      </x:c>
      <x:c r="E1706" s="12" t="n">
        <x:v>429.863217</x:v>
      </x:c>
      <x:c r="F1706" s="12" t="n">
        <x:f>SUM(B1706,D1706:E1706)</x:f>
        <x:v>131244.686524</x:v>
      </x:c>
      <x:c r="G1706" s="12" t="n">
        <x:f>MAX(G1705,F1706)</x:f>
        <x:v>137238.477797</x:v>
      </x:c>
      <x:c r="H1706" s="14" t="n">
        <x:f>F1706/G1706-1</x:f>
        <x:v>-0.043674276844325566</x:v>
      </x:c>
      <x:c r="I1706" s="14" t="n">
        <x:f>F1706/F1705-1</x:f>
        <x:v>0</x:v>
      </x:c>
      <x:c r="J1706" s="12" t="n">
        <x:v>0</x:v>
      </x:c>
      <x:c r="K1706" s="12" t="n">
        <x:v>0</x:v>
      </x:c>
      <x:c r="L1706" s="12" t="n">
        <x:v>0</x:v>
      </x:c>
      <x:c r="M1706" s="2" t="str">
        <x:v>空仓</x:v>
      </x:c>
    </x:row>
    <x:row r="1707" ht="23" customHeight="1">
      <x:c r="A1707" s="11" t="d">
        <x:v>2021-10-05T00:00:00.000Z</x:v>
      </x:c>
      <x:c r="B1707" s="12" t="n">
        <x:v>130814.823307</x:v>
      </x:c>
      <x:c r="C1707" s="13" t="n">
        <x:v>0</x:v>
      </x:c>
      <x:c r="D1707" s="12" t="n">
        <x:v>0</x:v>
      </x:c>
      <x:c r="E1707" s="12" t="n">
        <x:v>429.863217</x:v>
      </x:c>
      <x:c r="F1707" s="12" t="n">
        <x:f>SUM(B1707,D1707:E1707)</x:f>
        <x:v>131244.686524</x:v>
      </x:c>
      <x:c r="G1707" s="12" t="n">
        <x:f>MAX(G1706,F1707)</x:f>
        <x:v>137238.477797</x:v>
      </x:c>
      <x:c r="H1707" s="14" t="n">
        <x:f>F1707/G1707-1</x:f>
        <x:v>-0.043674276844325566</x:v>
      </x:c>
      <x:c r="I1707" s="14" t="n">
        <x:f>F1707/F1706-1</x:f>
        <x:v>0</x:v>
      </x:c>
      <x:c r="J1707" s="12" t="n">
        <x:v>0</x:v>
      </x:c>
      <x:c r="K1707" s="12" t="n">
        <x:v>0</x:v>
      </x:c>
      <x:c r="L1707" s="12" t="n">
        <x:v>0</x:v>
      </x:c>
      <x:c r="M1707" s="2" t="str">
        <x:v>空仓</x:v>
      </x:c>
    </x:row>
    <x:row r="1708" ht="23" customHeight="1">
      <x:c r="A1708" s="11" t="d">
        <x:v>2021-10-06T00:00:00.000Z</x:v>
      </x:c>
      <x:c r="B1708" s="12" t="n">
        <x:v>130814.823307</x:v>
      </x:c>
      <x:c r="C1708" s="13" t="n">
        <x:v>0</x:v>
      </x:c>
      <x:c r="D1708" s="12" t="n">
        <x:v>0</x:v>
      </x:c>
      <x:c r="E1708" s="12" t="n">
        <x:v>429.863217</x:v>
      </x:c>
      <x:c r="F1708" s="12" t="n">
        <x:f>SUM(B1708,D1708:E1708)</x:f>
        <x:v>131244.686524</x:v>
      </x:c>
      <x:c r="G1708" s="12" t="n">
        <x:f>MAX(G1707,F1708)</x:f>
        <x:v>137238.477797</x:v>
      </x:c>
      <x:c r="H1708" s="14" t="n">
        <x:f>F1708/G1708-1</x:f>
        <x:v>-0.043674276844325566</x:v>
      </x:c>
      <x:c r="I1708" s="14" t="n">
        <x:f>F1708/F1707-1</x:f>
        <x:v>0</x:v>
      </x:c>
      <x:c r="J1708" s="12" t="n">
        <x:v>0</x:v>
      </x:c>
      <x:c r="K1708" s="12" t="n">
        <x:v>0</x:v>
      </x:c>
      <x:c r="L1708" s="12" t="n">
        <x:v>0</x:v>
      </x:c>
      <x:c r="M1708" s="2" t="str">
        <x:v>空仓</x:v>
      </x:c>
    </x:row>
    <x:row r="1709" ht="23" customHeight="1">
      <x:c r="A1709" s="11" t="d">
        <x:v>2021-10-07T00:00:00.000Z</x:v>
      </x:c>
      <x:c r="B1709" s="12" t="n">
        <x:v>130814.823307</x:v>
      </x:c>
      <x:c r="C1709" s="13" t="n">
        <x:v>0</x:v>
      </x:c>
      <x:c r="D1709" s="12" t="n">
        <x:v>0</x:v>
      </x:c>
      <x:c r="E1709" s="12" t="n">
        <x:v>429.863217</x:v>
      </x:c>
      <x:c r="F1709" s="12" t="n">
        <x:f>SUM(B1709,D1709:E1709)</x:f>
        <x:v>131244.686524</x:v>
      </x:c>
      <x:c r="G1709" s="12" t="n">
        <x:f>MAX(G1708,F1709)</x:f>
        <x:v>137238.477797</x:v>
      </x:c>
      <x:c r="H1709" s="14" t="n">
        <x:f>F1709/G1709-1</x:f>
        <x:v>-0.043674276844325566</x:v>
      </x:c>
      <x:c r="I1709" s="14" t="n">
        <x:f>F1709/F1708-1</x:f>
        <x:v>0</x:v>
      </x:c>
      <x:c r="J1709" s="12" t="n">
        <x:v>0</x:v>
      </x:c>
      <x:c r="K1709" s="12" t="n">
        <x:v>0</x:v>
      </x:c>
      <x:c r="L1709" s="12" t="n">
        <x:v>0</x:v>
      </x:c>
      <x:c r="M1709" s="2" t="str">
        <x:v>空仓</x:v>
      </x:c>
    </x:row>
    <x:row r="1710" ht="23" customHeight="1">
      <x:c r="A1710" s="11" t="d">
        <x:v>2021-10-08T00:00:00.000Z</x:v>
      </x:c>
      <x:c r="B1710" s="12" t="n">
        <x:v>130814.823307</x:v>
      </x:c>
      <x:c r="C1710" s="13" t="n">
        <x:v>0</x:v>
      </x:c>
      <x:c r="D1710" s="12" t="n">
        <x:v>0</x:v>
      </x:c>
      <x:c r="E1710" s="12" t="n">
        <x:v>429.863217</x:v>
      </x:c>
      <x:c r="F1710" s="12" t="n">
        <x:f>SUM(B1710,D1710:E1710)</x:f>
        <x:v>131244.686524</x:v>
      </x:c>
      <x:c r="G1710" s="12" t="n">
        <x:f>MAX(G1709,F1710)</x:f>
        <x:v>137238.477797</x:v>
      </x:c>
      <x:c r="H1710" s="14" t="n">
        <x:f>F1710/G1710-1</x:f>
        <x:v>-0.043674276844325566</x:v>
      </x:c>
      <x:c r="I1710" s="14" t="n">
        <x:f>F1710/F1709-1</x:f>
        <x:v>0</x:v>
      </x:c>
      <x:c r="J1710" s="12" t="n">
        <x:v>0</x:v>
      </x:c>
      <x:c r="K1710" s="12" t="n">
        <x:v>0</x:v>
      </x:c>
      <x:c r="L1710" s="12" t="n">
        <x:v>0</x:v>
      </x:c>
      <x:c r="M1710" s="2" t="str">
        <x:v>空仓</x:v>
      </x:c>
    </x:row>
    <x:row r="1711" ht="23" customHeight="1">
      <x:c r="A1711" s="11" t="d">
        <x:v>2021-10-11T00:00:00.000Z</x:v>
      </x:c>
      <x:c r="B1711" s="12" t="n">
        <x:v>130814.823307</x:v>
      </x:c>
      <x:c r="C1711" s="13" t="n">
        <x:v>0</x:v>
      </x:c>
      <x:c r="D1711" s="12" t="n">
        <x:v>0</x:v>
      </x:c>
      <x:c r="E1711" s="12" t="n">
        <x:v>429.863217</x:v>
      </x:c>
      <x:c r="F1711" s="12" t="n">
        <x:f>SUM(B1711,D1711:E1711)</x:f>
        <x:v>131244.686524</x:v>
      </x:c>
      <x:c r="G1711" s="12" t="n">
        <x:f>MAX(G1710,F1711)</x:f>
        <x:v>137238.477797</x:v>
      </x:c>
      <x:c r="H1711" s="14" t="n">
        <x:f>F1711/G1711-1</x:f>
        <x:v>-0.043674276844325566</x:v>
      </x:c>
      <x:c r="I1711" s="14" t="n">
        <x:f>F1711/F1710-1</x:f>
        <x:v>0</x:v>
      </x:c>
      <x:c r="J1711" s="12" t="n">
        <x:v>0</x:v>
      </x:c>
      <x:c r="K1711" s="12" t="n">
        <x:v>0</x:v>
      </x:c>
      <x:c r="L1711" s="12" t="n">
        <x:v>0</x:v>
      </x:c>
      <x:c r="M1711" s="2" t="str">
        <x:v>空仓</x:v>
      </x:c>
    </x:row>
    <x:row r="1712" ht="23" customHeight="1">
      <x:c r="A1712" s="11" t="d">
        <x:v>2021-10-12T00:00:00.000Z</x:v>
      </x:c>
      <x:c r="B1712" s="12" t="n">
        <x:v>130814.823307</x:v>
      </x:c>
      <x:c r="C1712" s="13" t="n">
        <x:v>0</x:v>
      </x:c>
      <x:c r="D1712" s="12" t="n">
        <x:v>0</x:v>
      </x:c>
      <x:c r="E1712" s="12" t="n">
        <x:v>429.863217</x:v>
      </x:c>
      <x:c r="F1712" s="12" t="n">
        <x:f>SUM(B1712,D1712:E1712)</x:f>
        <x:v>131244.686524</x:v>
      </x:c>
      <x:c r="G1712" s="12" t="n">
        <x:f>MAX(G1711,F1712)</x:f>
        <x:v>137238.477797</x:v>
      </x:c>
      <x:c r="H1712" s="14" t="n">
        <x:f>F1712/G1712-1</x:f>
        <x:v>-0.043674276844325566</x:v>
      </x:c>
      <x:c r="I1712" s="14" t="n">
        <x:f>F1712/F1711-1</x:f>
        <x:v>0</x:v>
      </x:c>
      <x:c r="J1712" s="12" t="n">
        <x:v>0</x:v>
      </x:c>
      <x:c r="K1712" s="12" t="n">
        <x:v>0</x:v>
      </x:c>
      <x:c r="L1712" s="12" t="n">
        <x:v>0</x:v>
      </x:c>
      <x:c r="M1712" s="2" t="str">
        <x:v>空仓</x:v>
      </x:c>
    </x:row>
    <x:row r="1713" ht="23" customHeight="1">
      <x:c r="A1713" s="11" t="d">
        <x:v>2021-10-13T00:00:00.000Z</x:v>
      </x:c>
      <x:c r="B1713" s="12" t="n">
        <x:v>130814.823307</x:v>
      </x:c>
      <x:c r="C1713" s="13" t="n">
        <x:v>0</x:v>
      </x:c>
      <x:c r="D1713" s="12" t="n">
        <x:v>0</x:v>
      </x:c>
      <x:c r="E1713" s="12" t="n">
        <x:v>429.863217</x:v>
      </x:c>
      <x:c r="F1713" s="12" t="n">
        <x:f>SUM(B1713,D1713:E1713)</x:f>
        <x:v>131244.686524</x:v>
      </x:c>
      <x:c r="G1713" s="12" t="n">
        <x:f>MAX(G1712,F1713)</x:f>
        <x:v>137238.477797</x:v>
      </x:c>
      <x:c r="H1713" s="14" t="n">
        <x:f>F1713/G1713-1</x:f>
        <x:v>-0.043674276844325566</x:v>
      </x:c>
      <x:c r="I1713" s="14" t="n">
        <x:f>F1713/F1712-1</x:f>
        <x:v>0</x:v>
      </x:c>
      <x:c r="J1713" s="12" t="n">
        <x:v>0</x:v>
      </x:c>
      <x:c r="K1713" s="12" t="n">
        <x:v>0</x:v>
      </x:c>
      <x:c r="L1713" s="12" t="n">
        <x:v>0</x:v>
      </x:c>
      <x:c r="M1713" s="2" t="str">
        <x:v>空仓</x:v>
      </x:c>
    </x:row>
    <x:row r="1714" ht="23" customHeight="1">
      <x:c r="A1714" s="11" t="d">
        <x:v>2021-10-14T00:00:00.000Z</x:v>
      </x:c>
      <x:c r="B1714" s="12" t="n">
        <x:v>130814.823307</x:v>
      </x:c>
      <x:c r="C1714" s="13" t="n">
        <x:v>0</x:v>
      </x:c>
      <x:c r="D1714" s="12" t="n">
        <x:v>0</x:v>
      </x:c>
      <x:c r="E1714" s="12" t="n">
        <x:v>429.863217</x:v>
      </x:c>
      <x:c r="F1714" s="12" t="n">
        <x:f>SUM(B1714,D1714:E1714)</x:f>
        <x:v>131244.686524</x:v>
      </x:c>
      <x:c r="G1714" s="12" t="n">
        <x:f>MAX(G1713,F1714)</x:f>
        <x:v>137238.477797</x:v>
      </x:c>
      <x:c r="H1714" s="14" t="n">
        <x:f>F1714/G1714-1</x:f>
        <x:v>-0.043674276844325566</x:v>
      </x:c>
      <x:c r="I1714" s="14" t="n">
        <x:f>F1714/F1713-1</x:f>
        <x:v>0</x:v>
      </x:c>
      <x:c r="J1714" s="12" t="n">
        <x:v>0</x:v>
      </x:c>
      <x:c r="K1714" s="12" t="n">
        <x:v>0</x:v>
      </x:c>
      <x:c r="L1714" s="12" t="n">
        <x:v>0</x:v>
      </x:c>
      <x:c r="M1714" s="2" t="str">
        <x:v>空仓</x:v>
      </x:c>
    </x:row>
    <x:row r="1715" ht="23" customHeight="1">
      <x:c r="A1715" s="11" t="d">
        <x:v>2021-10-15T00:00:00.000Z</x:v>
      </x:c>
      <x:c r="B1715" s="12" t="n">
        <x:v>130814.823307</x:v>
      </x:c>
      <x:c r="C1715" s="13" t="n">
        <x:v>0</x:v>
      </x:c>
      <x:c r="D1715" s="12" t="n">
        <x:v>0</x:v>
      </x:c>
      <x:c r="E1715" s="12" t="n">
        <x:v>429.863217</x:v>
      </x:c>
      <x:c r="F1715" s="12" t="n">
        <x:f>SUM(B1715,D1715:E1715)</x:f>
        <x:v>131244.686524</x:v>
      </x:c>
      <x:c r="G1715" s="12" t="n">
        <x:f>MAX(G1714,F1715)</x:f>
        <x:v>137238.477797</x:v>
      </x:c>
      <x:c r="H1715" s="14" t="n">
        <x:f>F1715/G1715-1</x:f>
        <x:v>-0.043674276844325566</x:v>
      </x:c>
      <x:c r="I1715" s="14" t="n">
        <x:f>F1715/F1714-1</x:f>
        <x:v>0</x:v>
      </x:c>
      <x:c r="J1715" s="12" t="n">
        <x:v>0</x:v>
      </x:c>
      <x:c r="K1715" s="12" t="n">
        <x:v>0</x:v>
      </x:c>
      <x:c r="L1715" s="12" t="n">
        <x:v>0</x:v>
      </x:c>
      <x:c r="M1715" s="2" t="str">
        <x:v>空仓</x:v>
      </x:c>
    </x:row>
    <x:row r="1716" ht="23" customHeight="1">
      <x:c r="A1716" s="11" t="d">
        <x:v>2021-10-18T00:00:00.000Z</x:v>
      </x:c>
      <x:c r="B1716" s="12" t="n">
        <x:v>157.116127</x:v>
      </x:c>
      <x:c r="C1716" s="13" t="n">
        <x:v>294</x:v>
      </x:c>
      <x:c r="D1716" s="12" t="n">
        <x:v>131473.86</x:v>
      </x:c>
      <x:c r="E1716" s="12" t="n">
        <x:v>429.863217</x:v>
      </x:c>
      <x:c r="F1716" s="12" t="n">
        <x:f>SUM(B1716,D1716:E1716)</x:f>
        <x:v>132060.83934399998</x:v>
      </x:c>
      <x:c r="G1716" s="12" t="n">
        <x:f>MAX(G1715,F1716)</x:f>
        <x:v>137238.477797</x:v>
      </x:c>
      <x:c r="H1716" s="14" t="n">
        <x:f>F1716/G1716-1</x:f>
        <x:v>-0.03772730895965393</x:v>
      </x:c>
      <x:c r="I1716" s="14" t="n">
        <x:f>F1716/F1715-1</x:f>
        <x:v>0.006218558949818931</x:v>
      </x:c>
      <x:c r="J1716" s="12" t="n">
        <x:v>0</x:v>
      </x:c>
      <x:c r="K1716" s="12" t="n">
        <x:v>0</x:v>
      </x:c>
      <x:c r="L1716" s="12" t="n">
        <x:v>294</x:v>
      </x:c>
      <x:c r="M1716" s="2" t="str">
        <x:v>买入</x:v>
      </x:c>
    </x:row>
    <x:row r="1717" ht="23" customHeight="1">
      <x:c r="A1717" s="11" t="d">
        <x:v>2021-10-19T00:00:00.000Z</x:v>
      </x:c>
      <x:c r="B1717" s="12" t="n">
        <x:v>157.116127</x:v>
      </x:c>
      <x:c r="C1717" s="13" t="n">
        <x:v>294</x:v>
      </x:c>
      <x:c r="D1717" s="12" t="n">
        <x:v>132488.16</x:v>
      </x:c>
      <x:c r="E1717" s="12" t="n">
        <x:v>429.863217</x:v>
      </x:c>
      <x:c r="F1717" s="12" t="n">
        <x:f>SUM(B1717,D1717:E1717)</x:f>
        <x:v>133075.139344</x:v>
      </x:c>
      <x:c r="G1717" s="12" t="n">
        <x:f>MAX(G1716,F1717)</x:f>
        <x:v>137238.477797</x:v>
      </x:c>
      <x:c r="H1717" s="14" t="n">
        <x:f>F1717/G1717-1</x:f>
        <x:v>-0.03033652456535052</x:v>
      </x:c>
      <x:c r="I1717" s="14" t="n">
        <x:f>F1717/F1716-1</x:f>
        <x:v>0.007680550911522754</x:v>
      </x:c>
      <x:c r="J1717" s="12" t="n">
        <x:v>0</x:v>
      </x:c>
      <x:c r="K1717" s="12" t="n">
        <x:v>0</x:v>
      </x:c>
      <x:c r="L1717" s="12" t="n">
        <x:v>0</x:v>
      </x:c>
      <x:c r="M1717" s="2" t="str">
        <x:v>持有</x:v>
      </x:c>
    </x:row>
    <x:row r="1718" ht="23" customHeight="1">
      <x:c r="A1718" s="11" t="d">
        <x:v>2021-10-20T00:00:00.000Z</x:v>
      </x:c>
      <x:c r="B1718" s="12" t="n">
        <x:v>157.116127</x:v>
      </x:c>
      <x:c r="C1718" s="13" t="n">
        <x:v>294</x:v>
      </x:c>
      <x:c r="D1718" s="12" t="n">
        <x:v>133008.54</x:v>
      </x:c>
      <x:c r="E1718" s="12" t="n">
        <x:v>429.863217</x:v>
      </x:c>
      <x:c r="F1718" s="12" t="n">
        <x:f>SUM(B1718,D1718:E1718)</x:f>
        <x:v>133595.519344</x:v>
      </x:c>
      <x:c r="G1718" s="12" t="n">
        <x:f>MAX(G1717,F1718)</x:f>
        <x:v>137238.477797</x:v>
      </x:c>
      <x:c r="H1718" s="14" t="n">
        <x:f>F1718/G1718-1</x:f>
        <x:v>-0.02654473083262099</x:v>
      </x:c>
      <x:c r="I1718" s="14" t="n">
        <x:f>F1718/F1717-1</x:f>
        <x:v>0.003910422356611765</x:v>
      </x:c>
      <x:c r="J1718" s="12" t="n">
        <x:v>0</x:v>
      </x:c>
      <x:c r="K1718" s="12" t="n">
        <x:v>0</x:v>
      </x:c>
      <x:c r="L1718" s="12" t="n">
        <x:v>0</x:v>
      </x:c>
      <x:c r="M1718" s="2" t="str">
        <x:v>持有</x:v>
      </x:c>
    </x:row>
    <x:row r="1719" ht="23" customHeight="1">
      <x:c r="A1719" s="11" t="d">
        <x:v>2021-10-21T00:00:00.000Z</x:v>
      </x:c>
      <x:c r="B1719" s="12" t="n">
        <x:v>157.116127</x:v>
      </x:c>
      <x:c r="C1719" s="13" t="n">
        <x:v>294</x:v>
      </x:c>
      <x:c r="D1719" s="12" t="n">
        <x:v>133355.46</x:v>
      </x:c>
      <x:c r="E1719" s="12" t="n">
        <x:v>429.863217</x:v>
      </x:c>
      <x:c r="F1719" s="12" t="n">
        <x:f>SUM(B1719,D1719:E1719)</x:f>
        <x:v>133942.43934399998</x:v>
      </x:c>
      <x:c r="G1719" s="12" t="n">
        <x:f>MAX(G1718,F1719)</x:f>
        <x:v>137238.477797</x:v>
      </x:c>
      <x:c r="H1719" s="14" t="n">
        <x:f>F1719/G1719-1</x:f>
        <x:v>-0.024016868344134745</x:v>
      </x:c>
      <x:c r="I1719" s="14" t="n">
        <x:f>F1719/F1718-1</x:f>
        <x:v>0.0025967936776882805</x:v>
      </x:c>
      <x:c r="J1719" s="12" t="n">
        <x:v>0</x:v>
      </x:c>
      <x:c r="K1719" s="12" t="n">
        <x:v>0</x:v>
      </x:c>
      <x:c r="L1719" s="12" t="n">
        <x:v>0</x:v>
      </x:c>
      <x:c r="M1719" s="2" t="str">
        <x:v>持有</x:v>
      </x:c>
    </x:row>
    <x:row r="1720" ht="23" customHeight="1">
      <x:c r="A1720" s="11" t="d">
        <x:v>2021-10-22T00:00:00.000Z</x:v>
      </x:c>
      <x:c r="B1720" s="12" t="n">
        <x:v>157.116127</x:v>
      </x:c>
      <x:c r="C1720" s="13" t="n">
        <x:v>294</x:v>
      </x:c>
      <x:c r="D1720" s="12" t="n">
        <x:v>133217.28</x:v>
      </x:c>
      <x:c r="E1720" s="12" t="n">
        <x:v>429.863217</x:v>
      </x:c>
      <x:c r="F1720" s="12" t="n">
        <x:f>SUM(B1720,D1720:E1720)</x:f>
        <x:v>133804.259344</x:v>
      </x:c>
      <x:c r="G1720" s="12" t="n">
        <x:f>MAX(G1719,F1720)</x:f>
        <x:v>137238.477797</x:v>
      </x:c>
      <x:c r="H1720" s="14" t="n">
        <x:f>F1720/G1720-1</x:f>
        <x:v>-0.0250237288268369</x:v>
      </x:c>
      <x:c r="I1720" s="14" t="n">
        <x:f>F1720/F1719-1</x:f>
        <x:v>-0.0010316371769600874</x:v>
      </x:c>
      <x:c r="J1720" s="12" t="n">
        <x:v>0</x:v>
      </x:c>
      <x:c r="K1720" s="12" t="n">
        <x:v>0</x:v>
      </x:c>
      <x:c r="L1720" s="12" t="n">
        <x:v>0</x:v>
      </x:c>
      <x:c r="M1720" s="2" t="str">
        <x:v>持有</x:v>
      </x:c>
    </x:row>
    <x:row r="1721" ht="23" customHeight="1">
      <x:c r="A1721" s="11" t="d">
        <x:v>2021-10-25T00:00:00.000Z</x:v>
      </x:c>
      <x:c r="B1721" s="12" t="n">
        <x:v>157.116127</x:v>
      </x:c>
      <x:c r="C1721" s="13" t="n">
        <x:v>294</x:v>
      </x:c>
      <x:c r="D1721" s="12" t="n">
        <x:v>133931.7</x:v>
      </x:c>
      <x:c r="E1721" s="12" t="n">
        <x:v>429.863217</x:v>
      </x:c>
      <x:c r="F1721" s="12" t="n">
        <x:f>SUM(B1721,D1721:E1721)</x:f>
        <x:v>134518.679344</x:v>
      </x:c>
      <x:c r="G1721" s="12" t="n">
        <x:f>MAX(G1720,F1721)</x:f>
        <x:v>137238.477797</x:v>
      </x:c>
      <x:c r="H1721" s="14" t="n">
        <x:f>F1721/G1721-1</x:f>
        <x:v>-0.019818045905631965</x:v>
      </x:c>
      <x:c r="I1721" s="14" t="n">
        <x:f>F1721/F1720-1</x:f>
        <x:v>0.005339291914193023</x:v>
      </x:c>
      <x:c r="J1721" s="12" t="n">
        <x:v>0</x:v>
      </x:c>
      <x:c r="K1721" s="12" t="n">
        <x:v>0</x:v>
      </x:c>
      <x:c r="L1721" s="12" t="n">
        <x:v>0</x:v>
      </x:c>
      <x:c r="M1721" s="2" t="str">
        <x:v>持有</x:v>
      </x:c>
    </x:row>
    <x:row r="1722" ht="23" customHeight="1">
      <x:c r="A1722" s="11" t="d">
        <x:v>2021-10-26T00:00:00.000Z</x:v>
      </x:c>
      <x:c r="B1722" s="12" t="n">
        <x:v>157.116127</x:v>
      </x:c>
      <x:c r="C1722" s="13" t="n">
        <x:v>294</x:v>
      </x:c>
      <x:c r="D1722" s="12" t="n">
        <x:v>134052.24</x:v>
      </x:c>
      <x:c r="E1722" s="12" t="n">
        <x:v>429.863217</x:v>
      </x:c>
      <x:c r="F1722" s="12" t="n">
        <x:f>SUM(B1722,D1722:E1722)</x:f>
        <x:v>134639.21934399998</x:v>
      </x:c>
      <x:c r="G1722" s="12" t="n">
        <x:f>MAX(G1721,F1722)</x:f>
        <x:v>137238.477797</x:v>
      </x:c>
      <x:c r="H1722" s="14" t="n">
        <x:f>F1722/G1722-1</x:f>
        <x:v>-0.018939720803700433</x:v>
      </x:c>
      <x:c r="I1722" s="14" t="n">
        <x:f>F1722/F1721-1</x:f>
        <x:v>0.0008960837304365921</x:v>
      </x:c>
      <x:c r="J1722" s="12" t="n">
        <x:v>0</x:v>
      </x:c>
      <x:c r="K1722" s="12" t="n">
        <x:v>0</x:v>
      </x:c>
      <x:c r="L1722" s="12" t="n">
        <x:v>0</x:v>
      </x:c>
      <x:c r="M1722" s="2" t="str">
        <x:v>持有</x:v>
      </x:c>
    </x:row>
    <x:row r="1723" ht="23" customHeight="1">
      <x:c r="A1723" s="11" t="d">
        <x:v>2021-10-27T00:00:00.000Z</x:v>
      </x:c>
      <x:c r="B1723" s="12" t="n">
        <x:v>157.116127</x:v>
      </x:c>
      <x:c r="C1723" s="13" t="n">
        <x:v>294</x:v>
      </x:c>
      <x:c r="D1723" s="12" t="n">
        <x:v>133458.36</x:v>
      </x:c>
      <x:c r="E1723" s="12" t="n">
        <x:v>429.863217</x:v>
      </x:c>
      <x:c r="F1723" s="12" t="n">
        <x:f>SUM(B1723,D1723:E1723)</x:f>
        <x:v>134045.33934399998</x:v>
      </x:c>
      <x:c r="G1723" s="12" t="n">
        <x:f>MAX(G1722,F1723)</x:f>
        <x:v>137238.477797</x:v>
      </x:c>
      <x:c r="H1723" s="14" t="n">
        <x:f>F1723/G1723-1</x:f>
        <x:v>-0.023267078622973614</x:v>
      </x:c>
      <x:c r="I1723" s="14" t="n">
        <x:f>F1723/F1722-1</x:f>
        <x:v>-0.0044108990151128236</x:v>
      </x:c>
      <x:c r="J1723" s="12" t="n">
        <x:v>0</x:v>
      </x:c>
      <x:c r="K1723" s="12" t="n">
        <x:v>0</x:v>
      </x:c>
      <x:c r="L1723" s="12" t="n">
        <x:v>0</x:v>
      </x:c>
      <x:c r="M1723" s="2" t="str">
        <x:v>持有</x:v>
      </x:c>
    </x:row>
    <x:row r="1724" ht="23" customHeight="1">
      <x:c r="A1724" s="11" t="d">
        <x:v>2021-10-28T00:00:00.000Z</x:v>
      </x:c>
      <x:c r="B1724" s="12" t="n">
        <x:v>157.116127</x:v>
      </x:c>
      <x:c r="C1724" s="13" t="n">
        <x:v>294</x:v>
      </x:c>
      <x:c r="D1724" s="12" t="n">
        <x:v>134746.08</x:v>
      </x:c>
      <x:c r="E1724" s="12" t="n">
        <x:v>429.863217</x:v>
      </x:c>
      <x:c r="F1724" s="12" t="n">
        <x:f>SUM(B1724,D1724:E1724)</x:f>
        <x:v>135333.05934399998</x:v>
      </x:c>
      <x:c r="G1724" s="12" t="n">
        <x:f>MAX(G1723,F1724)</x:f>
        <x:v>137238.477797</x:v>
      </x:c>
      <x:c r="H1724" s="14" t="n">
        <x:f>F1724/G1724-1</x:f>
        <x:v>-0.013883995826727724</x:v>
      </x:c>
      <x:c r="I1724" s="14" t="n">
        <x:f>F1724/F1723-1</x:f>
        <x:v>0.009606600321219183</x:v>
      </x:c>
      <x:c r="J1724" s="12" t="n">
        <x:v>0</x:v>
      </x:c>
      <x:c r="K1724" s="12" t="n">
        <x:v>0</x:v>
      </x:c>
      <x:c r="L1724" s="12" t="n">
        <x:v>0</x:v>
      </x:c>
      <x:c r="M1724" s="2" t="str">
        <x:v>持有</x:v>
      </x:c>
    </x:row>
    <x:row r="1725" ht="23" customHeight="1">
      <x:c r="A1725" s="11" t="d">
        <x:v>2021-10-29T00:00:00.000Z</x:v>
      </x:c>
      <x:c r="B1725" s="12" t="n">
        <x:v>586.979344</x:v>
      </x:c>
      <x:c r="C1725" s="13" t="n">
        <x:v>294</x:v>
      </x:c>
      <x:c r="D1725" s="12" t="n">
        <x:v>135019.5</x:v>
      </x:c>
      <x:c r="E1725" s="12" t="n">
        <x:v>0</x:v>
      </x:c>
      <x:c r="F1725" s="12" t="n">
        <x:f>SUM(B1725,D1725:E1725)</x:f>
        <x:v>135606.479344</x:v>
      </x:c>
      <x:c r="G1725" s="12" t="n">
        <x:f>MAX(G1724,F1725)</x:f>
        <x:v>137238.477797</x:v>
      </x:c>
      <x:c r="H1725" s="14" t="n">
        <x:f>F1725/G1725-1</x:f>
        <x:v>-0.01189169742478502</x:v>
      </x:c>
      <x:c r="I1725" s="14" t="n">
        <x:f>F1725/F1724-1</x:f>
        <x:v>0.0020203489178871603</x:v>
      </x:c>
      <x:c r="J1725" s="12" t="n">
        <x:v>0</x:v>
      </x:c>
      <x:c r="K1725" s="12" t="n">
        <x:v>429.863217</x:v>
      </x:c>
      <x:c r="L1725" s="12" t="n">
        <x:v>0</x:v>
      </x:c>
      <x:c r="M1725" s="2" t="str">
        <x:v>持有</x:v>
      </x:c>
    </x:row>
    <x:row r="1726" ht="23" customHeight="1">
      <x:c r="A1726" s="11" t="d">
        <x:v>2021-11-01T00:00:00.000Z</x:v>
      </x:c>
      <x:c r="B1726" s="12" t="n">
        <x:v>586.979344</x:v>
      </x:c>
      <x:c r="C1726" s="13" t="n">
        <x:v>294</x:v>
      </x:c>
      <x:c r="D1726" s="12" t="n">
        <x:v>135251.76</x:v>
      </x:c>
      <x:c r="E1726" s="12" t="n">
        <x:v>0</x:v>
      </x:c>
      <x:c r="F1726" s="12" t="n">
        <x:f>SUM(B1726,D1726:E1726)</x:f>
        <x:v>135838.739344</x:v>
      </x:c>
      <x:c r="G1726" s="12" t="n">
        <x:f>MAX(G1725,F1726)</x:f>
        <x:v>137238.477797</x:v>
      </x:c>
      <x:c r="H1726" s="14" t="n">
        <x:f>F1726/G1726-1</x:f>
        <x:v>-0.010199314911306878</x:v>
      </x:c>
      <x:c r="I1726" s="14" t="n">
        <x:f>F1726/F1725-1</x:f>
        <x:v>0.0017127500184619393</x:v>
      </x:c>
      <x:c r="J1726" s="12" t="n">
        <x:v>0</x:v>
      </x:c>
      <x:c r="K1726" s="12" t="n">
        <x:v>0</x:v>
      </x:c>
      <x:c r="L1726" s="12" t="n">
        <x:v>0</x:v>
      </x:c>
      <x:c r="M1726" s="2" t="str">
        <x:v>持有</x:v>
      </x:c>
    </x:row>
    <x:row r="1727" ht="23" customHeight="1">
      <x:c r="A1727" s="11" t="d">
        <x:v>2021-11-02T00:00:00.000Z</x:v>
      </x:c>
      <x:c r="B1727" s="12" t="n">
        <x:v>586.979344</x:v>
      </x:c>
      <x:c r="C1727" s="13" t="n">
        <x:v>294</x:v>
      </x:c>
      <x:c r="D1727" s="12" t="n">
        <x:v>135798.6</x:v>
      </x:c>
      <x:c r="E1727" s="12" t="n">
        <x:v>0</x:v>
      </x:c>
      <x:c r="F1727" s="12" t="n">
        <x:f>SUM(B1727,D1727:E1727)</x:f>
        <x:v>136385.579344</x:v>
      </x:c>
      <x:c r="G1727" s="12" t="n">
        <x:f>MAX(G1726,F1727)</x:f>
        <x:v>137238.477797</x:v>
      </x:c>
      <x:c r="H1727" s="14" t="n">
        <x:f>F1727/G1727-1</x:f>
        <x:v>-0.006214718107421691</x:v>
      </x:c>
      <x:c r="I1727" s="14" t="n">
        <x:f>F1727/F1726-1</x:f>
        <x:v>0.004025655734445355</x:v>
      </x:c>
      <x:c r="J1727" s="12" t="n">
        <x:v>0</x:v>
      </x:c>
      <x:c r="K1727" s="12" t="n">
        <x:v>0</x:v>
      </x:c>
      <x:c r="L1727" s="12" t="n">
        <x:v>0</x:v>
      </x:c>
      <x:c r="M1727" s="2" t="str">
        <x:v>持有</x:v>
      </x:c>
    </x:row>
    <x:row r="1728" ht="23" customHeight="1">
      <x:c r="A1728" s="11" t="d">
        <x:v>2021-11-03T00:00:00.000Z</x:v>
      </x:c>
      <x:c r="B1728" s="12" t="n">
        <x:v>586.979344</x:v>
      </x:c>
      <x:c r="C1728" s="13" t="n">
        <x:v>294</x:v>
      </x:c>
      <x:c r="D1728" s="12" t="n">
        <x:v>136627.68000000002</x:v>
      </x:c>
      <x:c r="E1728" s="12" t="n">
        <x:v>0</x:v>
      </x:c>
      <x:c r="F1728" s="12" t="n">
        <x:f>SUM(B1728,D1728:E1728)</x:f>
        <x:v>137214.659344</x:v>
      </x:c>
      <x:c r="G1728" s="12" t="n">
        <x:f>MAX(G1727,F1728)</x:f>
        <x:v>137238.477797</x:v>
      </x:c>
      <x:c r="H1728" s="14" t="n">
        <x:f>F1728/G1728-1</x:f>
        <x:v>-0.00017355521120843154</x:v>
      </x:c>
      <x:c r="I1728" s="14" t="n">
        <x:f>F1728/F1727-1</x:f>
        <x:v>0.006078941805928384</x:v>
      </x:c>
      <x:c r="J1728" s="12" t="n">
        <x:v>0</x:v>
      </x:c>
      <x:c r="K1728" s="12" t="n">
        <x:v>0</x:v>
      </x:c>
      <x:c r="L1728" s="12" t="n">
        <x:v>0</x:v>
      </x:c>
      <x:c r="M1728" s="2" t="str">
        <x:v>持有</x:v>
      </x:c>
    </x:row>
    <x:row r="1729" ht="23" customHeight="1">
      <x:c r="A1729" s="11" t="d">
        <x:v>2021-11-04T00:00:00.000Z</x:v>
      </x:c>
      <x:c r="B1729" s="12" t="n">
        <x:v>586.979344</x:v>
      </x:c>
      <x:c r="C1729" s="13" t="n">
        <x:v>294</x:v>
      </x:c>
      <x:c r="D1729" s="12" t="n">
        <x:v>137271.54</x:v>
      </x:c>
      <x:c r="E1729" s="12" t="n">
        <x:v>0</x:v>
      </x:c>
      <x:c r="F1729" s="12" t="n">
        <x:f>SUM(B1729,D1729:E1729)</x:f>
        <x:v>137858.519344</x:v>
      </x:c>
      <x:c r="G1729" s="12" t="n">
        <x:f>MAX(G1728,F1729)</x:f>
        <x:v>137858.519344</x:v>
      </x:c>
      <x:c r="H1729" s="14" t="n">
        <x:f>F1729/G1729-1</x:f>
        <x:v>0</x:v>
      </x:c>
      <x:c r="I1729" s="14" t="n">
        <x:f>F1729/F1728-1</x:f>
        <x:v>0.004692355780921531</x:v>
      </x:c>
      <x:c r="J1729" s="12" t="n">
        <x:v>0</x:v>
      </x:c>
      <x:c r="K1729" s="12" t="n">
        <x:v>0</x:v>
      </x:c>
      <x:c r="L1729" s="12" t="n">
        <x:v>0</x:v>
      </x:c>
      <x:c r="M1729" s="2" t="str">
        <x:v>持有</x:v>
      </x:c>
    </x:row>
    <x:row r="1730" ht="23" customHeight="1">
      <x:c r="A1730" s="11" t="d">
        <x:v>2021-11-05T00:00:00.000Z</x:v>
      </x:c>
      <x:c r="B1730" s="12" t="n">
        <x:v>586.979344</x:v>
      </x:c>
      <x:c r="C1730" s="13" t="n">
        <x:v>294</x:v>
      </x:c>
      <x:c r="D1730" s="12" t="n">
        <x:v>137747.81999999998</x:v>
      </x:c>
      <x:c r="E1730" s="12" t="n">
        <x:v>0</x:v>
      </x:c>
      <x:c r="F1730" s="12" t="n">
        <x:f>SUM(B1730,D1730:E1730)</x:f>
        <x:v>138334.79934399997</x:v>
      </x:c>
      <x:c r="G1730" s="12" t="n">
        <x:f>MAX(G1729,F1730)</x:f>
        <x:v>138334.79934399997</x:v>
      </x:c>
      <x:c r="H1730" s="14" t="n">
        <x:f>F1730/G1730-1</x:f>
        <x:v>0</x:v>
      </x:c>
      <x:c r="I1730" s="14" t="n">
        <x:f>F1730/F1729-1</x:f>
        <x:v>0.003454846332793471</x:v>
      </x:c>
      <x:c r="J1730" s="12" t="n">
        <x:v>0</x:v>
      </x:c>
      <x:c r="K1730" s="12" t="n">
        <x:v>0</x:v>
      </x:c>
      <x:c r="L1730" s="12" t="n">
        <x:v>0</x:v>
      </x:c>
      <x:c r="M1730" s="2" t="str">
        <x:v>持有</x:v>
      </x:c>
    </x:row>
    <x:row r="1731" ht="23" customHeight="1">
      <x:c r="A1731" s="11" t="d">
        <x:v>2021-11-08T00:00:00.000Z</x:v>
      </x:c>
      <x:c r="B1731" s="12" t="n">
        <x:v>586.979344</x:v>
      </x:c>
      <x:c r="C1731" s="13" t="n">
        <x:v>294</x:v>
      </x:c>
      <x:c r="D1731" s="12" t="n">
        <x:v>137865.42</x:v>
      </x:c>
      <x:c r="E1731" s="12" t="n">
        <x:v>0</x:v>
      </x:c>
      <x:c r="F1731" s="12" t="n">
        <x:f>SUM(B1731,D1731:E1731)</x:f>
        <x:v>138452.399344</x:v>
      </x:c>
      <x:c r="G1731" s="12" t="n">
        <x:f>MAX(G1730,F1731)</x:f>
        <x:v>138452.399344</x:v>
      </x:c>
      <x:c r="H1731" s="14" t="n">
        <x:f>F1731/G1731-1</x:f>
        <x:v>0</x:v>
      </x:c>
      <x:c r="I1731" s="14" t="n">
        <x:f>F1731/F1730-1</x:f>
        <x:v>0.0008501114727292869</x:v>
      </x:c>
      <x:c r="J1731" s="12" t="n">
        <x:v>0</x:v>
      </x:c>
      <x:c r="K1731" s="12" t="n">
        <x:v>0</x:v>
      </x:c>
      <x:c r="L1731" s="12" t="n">
        <x:v>0</x:v>
      </x:c>
      <x:c r="M1731" s="2" t="str">
        <x:v>持有</x:v>
      </x:c>
    </x:row>
    <x:row r="1732" ht="23" customHeight="1">
      <x:c r="A1732" s="11" t="d">
        <x:v>2021-11-09T00:00:00.000Z</x:v>
      </x:c>
      <x:c r="B1732" s="12" t="n">
        <x:v>586.979344</x:v>
      </x:c>
      <x:c r="C1732" s="13" t="n">
        <x:v>294</x:v>
      </x:c>
      <x:c r="D1732" s="12" t="n">
        <x:v>137409.72</x:v>
      </x:c>
      <x:c r="E1732" s="12" t="n">
        <x:v>0</x:v>
      </x:c>
      <x:c r="F1732" s="12" t="n">
        <x:f>SUM(B1732,D1732:E1732)</x:f>
        <x:v>137996.699344</x:v>
      </x:c>
      <x:c r="G1732" s="12" t="n">
        <x:f>MAX(G1731,F1732)</x:f>
        <x:v>138452.399344</x:v>
      </x:c>
      <x:c r="H1732" s="14" t="n">
        <x:f>F1732/G1732-1</x:f>
        <x:v>-0.0032913839135988443</x:v>
      </x:c>
      <x:c r="I1732" s="14" t="n">
        <x:f>F1732/F1731-1</x:f>
        <x:v>-0.0032913839135988443</x:v>
      </x:c>
      <x:c r="J1732" s="12" t="n">
        <x:v>0</x:v>
      </x:c>
      <x:c r="K1732" s="12" t="n">
        <x:v>0</x:v>
      </x:c>
      <x:c r="L1732" s="12" t="n">
        <x:v>0</x:v>
      </x:c>
      <x:c r="M1732" s="2" t="str">
        <x:v>持有</x:v>
      </x:c>
    </x:row>
    <x:row r="1733" ht="23" customHeight="1">
      <x:c r="A1733" s="11" t="d">
        <x:v>2021-11-10T00:00:00.000Z</x:v>
      </x:c>
      <x:c r="B1733" s="12" t="n">
        <x:v>586.979344</x:v>
      </x:c>
      <x:c r="C1733" s="13" t="n">
        <x:v>294</x:v>
      </x:c>
      <x:c r="D1733" s="12" t="n">
        <x:v>136304.28</x:v>
      </x:c>
      <x:c r="E1733" s="12" t="n">
        <x:v>0</x:v>
      </x:c>
      <x:c r="F1733" s="12" t="n">
        <x:f>SUM(B1733,D1733:E1733)</x:f>
        <x:v>136891.259344</x:v>
      </x:c>
      <x:c r="G1733" s="12" t="n">
        <x:f>MAX(G1732,F1733)</x:f>
        <x:v>138452.399344</x:v>
      </x:c>
      <x:c r="H1733" s="14" t="n">
        <x:f>F1733/G1733-1</x:f>
        <x:v>-0.011275644245941852</x:v>
      </x:c>
      <x:c r="I1733" s="14" t="n">
        <x:f>F1733/F1732-1</x:f>
        <x:v>-0.00801062637914507</x:v>
      </x:c>
      <x:c r="J1733" s="12" t="n">
        <x:v>0</x:v>
      </x:c>
      <x:c r="K1733" s="12" t="n">
        <x:v>0</x:v>
      </x:c>
      <x:c r="L1733" s="12" t="n">
        <x:v>0</x:v>
      </x:c>
      <x:c r="M1733" s="2" t="str">
        <x:v>持有</x:v>
      </x:c>
    </x:row>
    <x:row r="1734" ht="23" customHeight="1">
      <x:c r="A1734" s="11" t="d">
        <x:v>2021-11-11T00:00:00.000Z</x:v>
      </x:c>
      <x:c r="B1734" s="12" t="n">
        <x:v>586.979344</x:v>
      </x:c>
      <x:c r="C1734" s="13" t="n">
        <x:v>294</x:v>
      </x:c>
      <x:c r="D1734" s="12" t="n">
        <x:v>136348.38</x:v>
      </x:c>
      <x:c r="E1734" s="12" t="n">
        <x:v>0</x:v>
      </x:c>
      <x:c r="F1734" s="12" t="n">
        <x:f>SUM(B1734,D1734:E1734)</x:f>
        <x:v>136935.359344</x:v>
      </x:c>
      <x:c r="G1734" s="12" t="n">
        <x:f>MAX(G1733,F1734)</x:f>
        <x:v>138452.399344</x:v>
      </x:c>
      <x:c r="H1734" s="14" t="n">
        <x:f>F1734/G1734-1</x:f>
        <x:v>-0.010957123222045118</x:v>
      </x:c>
      <x:c r="I1734" s="14" t="n">
        <x:f>F1734/F1733-1</x:f>
        <x:v>0.0003221535122939212</x:v>
      </x:c>
      <x:c r="J1734" s="12" t="n">
        <x:v>0</x:v>
      </x:c>
      <x:c r="K1734" s="12" t="n">
        <x:v>0</x:v>
      </x:c>
      <x:c r="L1734" s="12" t="n">
        <x:v>0</x:v>
      </x:c>
      <x:c r="M1734" s="2" t="str">
        <x:v>持有</x:v>
      </x:c>
    </x:row>
    <x:row r="1735" ht="23" customHeight="1">
      <x:c r="A1735" s="11" t="d">
        <x:v>2021-11-12T00:00:00.000Z</x:v>
      </x:c>
      <x:c r="B1735" s="12" t="n">
        <x:v>586.979344</x:v>
      </x:c>
      <x:c r="C1735" s="13" t="n">
        <x:v>294</x:v>
      </x:c>
      <x:c r="D1735" s="12" t="n">
        <x:v>137377.38</x:v>
      </x:c>
      <x:c r="E1735" s="12" t="n">
        <x:v>0</x:v>
      </x:c>
      <x:c r="F1735" s="12" t="n">
        <x:f>SUM(B1735,D1735:E1735)</x:f>
        <x:v>137964.359344</x:v>
      </x:c>
      <x:c r="G1735" s="12" t="n">
        <x:f>MAX(G1734,F1735)</x:f>
        <x:v>138452.399344</x:v>
      </x:c>
      <x:c r="H1735" s="14" t="n">
        <x:f>F1735/G1735-1</x:f>
        <x:v>-0.0035249659977897307</x:v>
      </x:c>
      <x:c r="I1735" s="14" t="n">
        <x:f>F1735/F1734-1</x:f>
        <x:v>0.007514494466071442</x:v>
      </x:c>
      <x:c r="J1735" s="12" t="n">
        <x:v>0</x:v>
      </x:c>
      <x:c r="K1735" s="12" t="n">
        <x:v>0</x:v>
      </x:c>
      <x:c r="L1735" s="12" t="n">
        <x:v>0</x:v>
      </x:c>
      <x:c r="M1735" s="2" t="str">
        <x:v>持有</x:v>
      </x:c>
    </x:row>
    <x:row r="1736" ht="23" customHeight="1">
      <x:c r="A1736" s="11" t="d">
        <x:v>2021-11-15T00:00:00.000Z</x:v>
      </x:c>
      <x:c r="B1736" s="12" t="n">
        <x:v>586.979344</x:v>
      </x:c>
      <x:c r="C1736" s="13" t="n">
        <x:v>294</x:v>
      </x:c>
      <x:c r="D1736" s="12" t="n">
        <x:v>137424.42</x:v>
      </x:c>
      <x:c r="E1736" s="12" t="n">
        <x:v>0</x:v>
      </x:c>
      <x:c r="F1736" s="12" t="n">
        <x:f>SUM(B1736,D1736:E1736)</x:f>
        <x:v>138011.399344</x:v>
      </x:c>
      <x:c r="G1736" s="12" t="n">
        <x:f>MAX(G1735,F1736)</x:f>
        <x:v>138452.399344</x:v>
      </x:c>
      <x:c r="H1736" s="14" t="n">
        <x:f>F1736/G1736-1</x:f>
        <x:v>-0.0031852102389665626</x:v>
      </x:c>
      <x:c r="I1736" s="14" t="n">
        <x:f>F1736/F1735-1</x:f>
        <x:v>0.00034095762285035747</x:v>
      </x:c>
      <x:c r="J1736" s="12" t="n">
        <x:v>0</x:v>
      </x:c>
      <x:c r="K1736" s="12" t="n">
        <x:v>0</x:v>
      </x:c>
      <x:c r="L1736" s="12" t="n">
        <x:v>0</x:v>
      </x:c>
      <x:c r="M1736" s="2" t="str">
        <x:v>持有</x:v>
      </x:c>
    </x:row>
    <x:row r="1737" ht="23" customHeight="1">
      <x:c r="A1737" s="11" t="d">
        <x:v>2021-11-16T00:00:00.000Z</x:v>
      </x:c>
      <x:c r="B1737" s="12" t="n">
        <x:v>586.979344</x:v>
      </x:c>
      <x:c r="C1737" s="13" t="n">
        <x:v>294</x:v>
      </x:c>
      <x:c r="D1737" s="12" t="n">
        <x:v>137968.31999999998</x:v>
      </x:c>
      <x:c r="E1737" s="12" t="n">
        <x:v>0</x:v>
      </x:c>
      <x:c r="F1737" s="12" t="n">
        <x:f>SUM(B1737,D1737:E1737)</x:f>
        <x:v>138555.29934399997</x:v>
      </x:c>
      <x:c r="G1737" s="12" t="n">
        <x:f>MAX(G1736,F1737)</x:f>
        <x:v>138555.29934399997</x:v>
      </x:c>
      <x:c r="H1737" s="14" t="n">
        <x:f>F1737/G1737-1</x:f>
        <x:v>0</x:v>
      </x:c>
      <x:c r="I1737" s="14" t="n">
        <x:f>F1737/F1736-1</x:f>
        <x:v>0.003940978807440931</x:v>
      </x:c>
      <x:c r="J1737" s="12" t="n">
        <x:v>0</x:v>
      </x:c>
      <x:c r="K1737" s="12" t="n">
        <x:v>0</x:v>
      </x:c>
      <x:c r="L1737" s="12" t="n">
        <x:v>0</x:v>
      </x:c>
      <x:c r="M1737" s="2" t="str">
        <x:v>持有</x:v>
      </x:c>
    </x:row>
    <x:row r="1738" ht="23" customHeight="1">
      <x:c r="A1738" s="11" t="d">
        <x:v>2021-11-17T00:00:00.000Z</x:v>
      </x:c>
      <x:c r="B1738" s="12" t="n">
        <x:v>586.979344</x:v>
      </x:c>
      <x:c r="C1738" s="13" t="n">
        <x:v>294</x:v>
      </x:c>
      <x:c r="D1738" s="12" t="n">
        <x:v>137633.16</x:v>
      </x:c>
      <x:c r="E1738" s="12" t="n">
        <x:v>0</x:v>
      </x:c>
      <x:c r="F1738" s="12" t="n">
        <x:f>SUM(B1738,D1738:E1738)</x:f>
        <x:v>138220.139344</x:v>
      </x:c>
      <x:c r="G1738" s="12" t="n">
        <x:f>MAX(G1737,F1738)</x:f>
        <x:v>138555.29934399997</x:v>
      </x:c>
      <x:c r="H1738" s="14" t="n">
        <x:f>F1738/G1738-1</x:f>
        <x:v>-0.00241896197104563</x:v>
      </x:c>
      <x:c r="I1738" s="14" t="n">
        <x:f>F1738/F1737-1</x:f>
        <x:v>-0.00241896197104563</x:v>
      </x:c>
      <x:c r="J1738" s="12" t="n">
        <x:v>0</x:v>
      </x:c>
      <x:c r="K1738" s="12" t="n">
        <x:v>0</x:v>
      </x:c>
      <x:c r="L1738" s="12" t="n">
        <x:v>0</x:v>
      </x:c>
      <x:c r="M1738" s="2" t="str">
        <x:v>持有</x:v>
      </x:c>
    </x:row>
    <x:row r="1739" ht="23" customHeight="1">
      <x:c r="A1739" s="11" t="d">
        <x:v>2021-11-18T00:00:00.000Z</x:v>
      </x:c>
      <x:c r="B1739" s="12" t="n">
        <x:v>586.979344</x:v>
      </x:c>
      <x:c r="C1739" s="13" t="n">
        <x:v>294</x:v>
      </x:c>
      <x:c r="D1739" s="12" t="n">
        <x:v>138100.62</x:v>
      </x:c>
      <x:c r="E1739" s="12" t="n">
        <x:v>0</x:v>
      </x:c>
      <x:c r="F1739" s="12" t="n">
        <x:f>SUM(B1739,D1739:E1739)</x:f>
        <x:v>138687.599344</x:v>
      </x:c>
      <x:c r="G1739" s="12" t="n">
        <x:f>MAX(G1738,F1739)</x:f>
        <x:v>138687.599344</x:v>
      </x:c>
      <x:c r="H1739" s="14" t="n">
        <x:f>F1739/G1739-1</x:f>
        <x:v>0</x:v>
      </x:c>
      <x:c r="I1739" s="14" t="n">
        <x:f>F1739/F1738-1</x:f>
        <x:v>0.0033819963011076926</x:v>
      </x:c>
      <x:c r="J1739" s="12" t="n">
        <x:v>0</x:v>
      </x:c>
      <x:c r="K1739" s="12" t="n">
        <x:v>0</x:v>
      </x:c>
      <x:c r="L1739" s="12" t="n">
        <x:v>0</x:v>
      </x:c>
      <x:c r="M1739" s="2" t="str">
        <x:v>持有</x:v>
      </x:c>
    </x:row>
    <x:row r="1740" ht="23" customHeight="1">
      <x:c r="A1740" s="11" t="d">
        <x:v>2021-11-19T00:00:00.000Z</x:v>
      </x:c>
      <x:c r="B1740" s="12" t="n">
        <x:v>586.979344</x:v>
      </x:c>
      <x:c r="C1740" s="13" t="n">
        <x:v>294</x:v>
      </x:c>
      <x:c r="D1740" s="12" t="n">
        <x:v>137853.66</x:v>
      </x:c>
      <x:c r="E1740" s="12" t="n">
        <x:v>0</x:v>
      </x:c>
      <x:c r="F1740" s="12" t="n">
        <x:f>SUM(B1740,D1740:E1740)</x:f>
        <x:v>138440.639344</x:v>
      </x:c>
      <x:c r="G1740" s="12" t="n">
        <x:f>MAX(G1739,F1740)</x:f>
        <x:v>138687.599344</x:v>
      </x:c>
      <x:c r="H1740" s="14" t="n">
        <x:f>F1740/G1740-1</x:f>
        <x:v>-0.001780692730771416</x:v>
      </x:c>
      <x:c r="I1740" s="14" t="n">
        <x:f>F1740/F1739-1</x:f>
        <x:v>-0.001780692730771416</x:v>
      </x:c>
      <x:c r="J1740" s="12" t="n">
        <x:v>0</x:v>
      </x:c>
      <x:c r="K1740" s="12" t="n">
        <x:v>0</x:v>
      </x:c>
      <x:c r="L1740" s="12" t="n">
        <x:v>0</x:v>
      </x:c>
      <x:c r="M1740" s="2" t="str">
        <x:v>持有</x:v>
      </x:c>
    </x:row>
    <x:row r="1741" ht="23" customHeight="1">
      <x:c r="A1741" s="11" t="d">
        <x:v>2021-11-22T00:00:00.000Z</x:v>
      </x:c>
      <x:c r="B1741" s="12" t="n">
        <x:v>586.979344</x:v>
      </x:c>
      <x:c r="C1741" s="13" t="n">
        <x:v>294</x:v>
      </x:c>
      <x:c r="D1741" s="12" t="n">
        <x:v>137465.58</x:v>
      </x:c>
      <x:c r="E1741" s="12" t="n">
        <x:v>0</x:v>
      </x:c>
      <x:c r="F1741" s="12" t="n">
        <x:f>SUM(B1741,D1741:E1741)</x:f>
        <x:v>138052.55934399998</x:v>
      </x:c>
      <x:c r="G1741" s="12" t="n">
        <x:f>MAX(G1740,F1741)</x:f>
        <x:v>138687.599344</x:v>
      </x:c>
      <x:c r="H1741" s="14" t="n">
        <x:f>F1741/G1741-1</x:f>
        <x:v>-0.004578924164840847</x:v>
      </x:c>
      <x:c r="I1741" s="14" t="n">
        <x:f>F1741/F1740-1</x:f>
        <x:v>-0.00280322311308967</x:v>
      </x:c>
      <x:c r="J1741" s="12" t="n">
        <x:v>0</x:v>
      </x:c>
      <x:c r="K1741" s="12" t="n">
        <x:v>0</x:v>
      </x:c>
      <x:c r="L1741" s="12" t="n">
        <x:v>0</x:v>
      </x:c>
      <x:c r="M1741" s="2" t="str">
        <x:v>持有</x:v>
      </x:c>
    </x:row>
    <x:row r="1742" ht="23" customHeight="1">
      <x:c r="A1742" s="11" t="d">
        <x:v>2021-11-23T00:00:00.000Z</x:v>
      </x:c>
      <x:c r="B1742" s="12" t="n">
        <x:v>586.979344</x:v>
      </x:c>
      <x:c r="C1742" s="13" t="n">
        <x:v>294</x:v>
      </x:c>
      <x:c r="D1742" s="12" t="n">
        <x:v>137647.86</x:v>
      </x:c>
      <x:c r="E1742" s="12" t="n">
        <x:v>0</x:v>
      </x:c>
      <x:c r="F1742" s="12" t="n">
        <x:f>SUM(B1742,D1742:E1742)</x:f>
        <x:v>138234.83934399998</x:v>
      </x:c>
      <x:c r="G1742" s="12" t="n">
        <x:f>MAX(G1741,F1742)</x:f>
        <x:v>138687.599344</x:v>
      </x:c>
      <x:c r="H1742" s="14" t="n">
        <x:f>F1742/G1742-1</x:f>
        <x:v>-0.0032646033397476515</x:v>
      </x:c>
      <x:c r="I1742" s="14" t="n">
        <x:f>F1742/F1741-1</x:f>
        <x:v>0.0013203666840091444</x:v>
      </x:c>
      <x:c r="J1742" s="12" t="n">
        <x:v>0</x:v>
      </x:c>
      <x:c r="K1742" s="12" t="n">
        <x:v>0</x:v>
      </x:c>
      <x:c r="L1742" s="12" t="n">
        <x:v>0</x:v>
      </x:c>
      <x:c r="M1742" s="2" t="str">
        <x:v>持有</x:v>
      </x:c>
    </x:row>
    <x:row r="1743" ht="23" customHeight="1">
      <x:c r="A1743" s="11" t="d">
        <x:v>2021-11-24T00:00:00.000Z</x:v>
      </x:c>
      <x:c r="B1743" s="12" t="n">
        <x:v>586.979344</x:v>
      </x:c>
      <x:c r="C1743" s="13" t="n">
        <x:v>294</x:v>
      </x:c>
      <x:c r="D1743" s="12" t="n">
        <x:v>138015.36</x:v>
      </x:c>
      <x:c r="E1743" s="12" t="n">
        <x:v>0</x:v>
      </x:c>
      <x:c r="F1743" s="12" t="n">
        <x:f>SUM(B1743,D1743:E1743)</x:f>
        <x:v>138602.33934399998</x:v>
      </x:c>
      <x:c r="G1743" s="12" t="n">
        <x:f>MAX(G1742,F1743)</x:f>
        <x:v>138687.599344</x:v>
      </x:c>
      <x:c r="H1743" s="14" t="n">
        <x:f>F1743/G1743-1</x:f>
        <x:v>-0.0006147629665759213</x:v>
      </x:c>
      <x:c r="I1743" s="14" t="n">
        <x:f>F1743/F1742-1</x:f>
        <x:v>0.002658519384433067</x:v>
      </x:c>
      <x:c r="J1743" s="12" t="n">
        <x:v>0</x:v>
      </x:c>
      <x:c r="K1743" s="12" t="n">
        <x:v>0</x:v>
      </x:c>
      <x:c r="L1743" s="12" t="n">
        <x:v>0</x:v>
      </x:c>
      <x:c r="M1743" s="2" t="str">
        <x:v>持有</x:v>
      </x:c>
    </x:row>
    <x:row r="1744" ht="23" customHeight="1">
      <x:c r="A1744" s="11" t="d">
        <x:v>2021-11-26T00:00:00.000Z</x:v>
      </x:c>
      <x:c r="B1744" s="12" t="n">
        <x:v>586.979344</x:v>
      </x:c>
      <x:c r="C1744" s="13" t="n">
        <x:v>294</x:v>
      </x:c>
      <x:c r="D1744" s="12" t="n">
        <x:v>134937.18000000002</x:v>
      </x:c>
      <x:c r="E1744" s="12" t="n">
        <x:v>0</x:v>
      </x:c>
      <x:c r="F1744" s="12" t="n">
        <x:f>SUM(B1744,D1744:E1744)</x:f>
        <x:v>135524.159344</x:v>
      </x:c>
      <x:c r="G1744" s="12" t="n">
        <x:f>MAX(G1743,F1744)</x:f>
        <x:v>138687.599344</x:v>
      </x:c>
      <x:c r="H1744" s="14" t="n">
        <x:f>F1744/G1744-1</x:f>
        <x:v>-0.02280982593226233</x:v>
      </x:c>
      <x:c r="I1744" s="14" t="n">
        <x:f>F1744/F1743-1</x:f>
        <x:v>-0.02220871606185637</x:v>
      </x:c>
      <x:c r="J1744" s="12" t="n">
        <x:v>0</x:v>
      </x:c>
      <x:c r="K1744" s="12" t="n">
        <x:v>0</x:v>
      </x:c>
      <x:c r="L1744" s="12" t="n">
        <x:v>0</x:v>
      </x:c>
      <x:c r="M1744" s="2" t="str">
        <x:v>持有</x:v>
      </x:c>
    </x:row>
    <x:row r="1745" ht="23" customHeight="1">
      <x:c r="A1745" s="11" t="d">
        <x:v>2021-11-29T00:00:00.000Z</x:v>
      </x:c>
      <x:c r="B1745" s="12" t="n">
        <x:v>586.979344</x:v>
      </x:c>
      <x:c r="C1745" s="13" t="n">
        <x:v>294</x:v>
      </x:c>
      <x:c r="D1745" s="12" t="n">
        <x:v>136592.4</x:v>
      </x:c>
      <x:c r="E1745" s="12" t="n">
        <x:v>0</x:v>
      </x:c>
      <x:c r="F1745" s="12" t="n">
        <x:f>SUM(B1745,D1745:E1745)</x:f>
        <x:v>137179.379344</x:v>
      </x:c>
      <x:c r="G1745" s="12" t="n">
        <x:f>MAX(G1744,F1745)</x:f>
        <x:v>138687.599344</x:v>
      </x:c>
      <x:c r="H1745" s="14" t="n">
        <x:f>F1745/G1745-1</x:f>
        <x:v>-0.010874944891496874</x:v>
      </x:c>
      <x:c r="I1745" s="14" t="n">
        <x:f>F1745/F1744-1</x:f>
        <x:v>0.012213468122672877</x:v>
      </x:c>
      <x:c r="J1745" s="12" t="n">
        <x:v>0</x:v>
      </x:c>
      <x:c r="K1745" s="12" t="n">
        <x:v>0</x:v>
      </x:c>
      <x:c r="L1745" s="12" t="n">
        <x:v>0</x:v>
      </x:c>
      <x:c r="M1745" s="2" t="str">
        <x:v>持有</x:v>
      </x:c>
    </x:row>
    <x:row r="1746" ht="23" customHeight="1">
      <x:c r="A1746" s="11" t="d">
        <x:v>2021-11-30T00:00:00.000Z</x:v>
      </x:c>
      <x:c r="B1746" s="12" t="n">
        <x:v>586.979344</x:v>
      </x:c>
      <x:c r="C1746" s="13" t="n">
        <x:v>294</x:v>
      </x:c>
      <x:c r="D1746" s="12" t="n">
        <x:v>133934.64</x:v>
      </x:c>
      <x:c r="E1746" s="12" t="n">
        <x:v>0</x:v>
      </x:c>
      <x:c r="F1746" s="12" t="n">
        <x:f>SUM(B1746,D1746:E1746)</x:f>
        <x:v>134521.619344</x:v>
      </x:c>
      <x:c r="G1746" s="12" t="n">
        <x:f>MAX(G1745,F1746)</x:f>
        <x:v>138687.599344</x:v>
      </x:c>
      <x:c r="H1746" s="14" t="n">
        <x:f>F1746/G1746-1</x:f>
        <x:v>-0.030038590470274906</x:v>
      </x:c>
      <x:c r="I1746" s="14" t="n">
        <x:f>F1746/F1745-1</x:f>
        <x:v>-0.01937434046362907</x:v>
      </x:c>
      <x:c r="J1746" s="12" t="n">
        <x:v>0</x:v>
      </x:c>
      <x:c r="K1746" s="12" t="n">
        <x:v>0</x:v>
      </x:c>
      <x:c r="L1746" s="12" t="n">
        <x:v>0</x:v>
      </x:c>
      <x:c r="M1746" s="2" t="str">
        <x:v>持有</x:v>
      </x:c>
    </x:row>
    <x:row r="1747" ht="23" customHeight="1">
      <x:c r="A1747" s="11" t="d">
        <x:v>2021-12-01T00:00:00.000Z</x:v>
      </x:c>
      <x:c r="B1747" s="12" t="n">
        <x:v>586.979344</x:v>
      </x:c>
      <x:c r="C1747" s="13" t="n">
        <x:v>294</x:v>
      </x:c>
      <x:c r="D1747" s="12" t="n">
        <x:v>132447</x:v>
      </x:c>
      <x:c r="E1747" s="12" t="n">
        <x:v>0</x:v>
      </x:c>
      <x:c r="F1747" s="12" t="n">
        <x:f>SUM(B1747,D1747:E1747)</x:f>
        <x:v>133033.979344</x:v>
      </x:c>
      <x:c r="G1747" s="12" t="n">
        <x:f>MAX(G1746,F1747)</x:f>
        <x:v>138687.599344</x:v>
      </x:c>
      <x:c r="H1747" s="14" t="n">
        <x:f>F1747/G1747-1</x:f>
        <x:v>-0.0407651443008743</x:v>
      </x:c>
      <x:c r="I1747" s="14" t="n">
        <x:f>F1747/F1746-1</x:f>
        <x:v>-0.011058742879059502</x:v>
      </x:c>
      <x:c r="J1747" s="12" t="n">
        <x:v>0</x:v>
      </x:c>
      <x:c r="K1747" s="12" t="n">
        <x:v>0</x:v>
      </x:c>
      <x:c r="L1747" s="12" t="n">
        <x:v>0</x:v>
      </x:c>
      <x:c r="M1747" s="2" t="str">
        <x:v>持有</x:v>
      </x:c>
    </x:row>
    <x:row r="1748" ht="23" customHeight="1">
      <x:c r="A1748" s="11" t="d">
        <x:v>2021-12-02T00:00:00.000Z</x:v>
      </x:c>
      <x:c r="B1748" s="12" t="n">
        <x:v>132969.084724</x:v>
      </x:c>
      <x:c r="C1748" s="13" t="n">
        <x:v>0</x:v>
      </x:c>
      <x:c r="D1748" s="12" t="n">
        <x:v>0</x:v>
      </x:c>
      <x:c r="E1748" s="12" t="n">
        <x:v>0</x:v>
      </x:c>
      <x:c r="F1748" s="12" t="n">
        <x:f>SUM(B1748,D1748:E1748)</x:f>
        <x:v>132969.084724</x:v>
      </x:c>
      <x:c r="G1748" s="12" t="n">
        <x:f>MAX(G1747,F1748)</x:f>
        <x:v>138687.599344</x:v>
      </x:c>
      <x:c r="H1748" s="14" t="n">
        <x:f>F1748/G1748-1</x:f>
        <x:v>-0.041233063713330464</x:v>
      </x:c>
      <x:c r="I1748" s="14" t="n">
        <x:f>F1748/F1747-1</x:f>
        <x:v>-0.0004878048474532548</x:v>
      </x:c>
      <x:c r="J1748" s="12" t="n">
        <x:v>0</x:v>
      </x:c>
      <x:c r="K1748" s="12" t="n">
        <x:v>0</x:v>
      </x:c>
      <x:c r="L1748" s="12" t="n">
        <x:v>-294</x:v>
      </x:c>
      <x:c r="M1748" s="2" t="str">
        <x:v>卖出</x:v>
      </x:c>
    </x:row>
    <x:row r="1749" ht="23" customHeight="1">
      <x:c r="A1749" s="11" t="d">
        <x:v>2021-12-03T00:00:00.000Z</x:v>
      </x:c>
      <x:c r="B1749" s="12" t="n">
        <x:v>136.254594</x:v>
      </x:c>
      <x:c r="C1749" s="13" t="n">
        <x:v>289</x:v>
      </x:c>
      <x:c r="D1749" s="12" t="n">
        <x:v>131038.38</x:v>
      </x:c>
      <x:c r="E1749" s="12" t="n">
        <x:v>0</x:v>
      </x:c>
      <x:c r="F1749" s="12" t="n">
        <x:f>SUM(B1749,D1749:E1749)</x:f>
        <x:v>131174.634594</x:v>
      </x:c>
      <x:c r="G1749" s="12" t="n">
        <x:f>MAX(G1748,F1749)</x:f>
        <x:v>138687.599344</x:v>
      </x:c>
      <x:c r="H1749" s="14" t="n">
        <x:f>F1749/G1749-1</x:f>
        <x:v>-0.05417185664426183</x:v>
      </x:c>
      <x:c r="I1749" s="14" t="n">
        <x:f>F1749/F1748-1</x:f>
        <x:v>-0.01349524315162931</x:v>
      </x:c>
      <x:c r="J1749" s="12" t="n">
        <x:v>0</x:v>
      </x:c>
      <x:c r="K1749" s="12" t="n">
        <x:v>0</x:v>
      </x:c>
      <x:c r="L1749" s="12" t="n">
        <x:v>289</x:v>
      </x:c>
      <x:c r="M1749" s="2" t="str">
        <x:v>买入</x:v>
      </x:c>
    </x:row>
    <x:row r="1750" ht="23" customHeight="1">
      <x:c r="A1750" s="11" t="d">
        <x:v>2021-12-06T00:00:00.000Z</x:v>
      </x:c>
      <x:c r="B1750" s="12" t="n">
        <x:v>136.254594</x:v>
      </x:c>
      <x:c r="C1750" s="13" t="n">
        <x:v>289</x:v>
      </x:c>
      <x:c r="D1750" s="12" t="n">
        <x:v>132590.31</x:v>
      </x:c>
      <x:c r="E1750" s="12" t="n">
        <x:v>0</x:v>
      </x:c>
      <x:c r="F1750" s="12" t="n">
        <x:f>SUM(B1750,D1750:E1750)</x:f>
        <x:v>132726.564594</x:v>
      </x:c>
      <x:c r="G1750" s="12" t="n">
        <x:f>MAX(G1749,F1750)</x:f>
        <x:v>138687.599344</x:v>
      </x:c>
      <x:c r="H1750" s="14" t="n">
        <x:f>F1750/G1750-1</x:f>
        <x:v>-0.04298174298348245</x:v>
      </x:c>
      <x:c r="I1750" s="14" t="n">
        <x:f>F1750/F1749-1</x:f>
        <x:v>0.01183102209358844</x:v>
      </x:c>
      <x:c r="J1750" s="12" t="n">
        <x:v>0</x:v>
      </x:c>
      <x:c r="K1750" s="12" t="n">
        <x:v>0</x:v>
      </x:c>
      <x:c r="L1750" s="12" t="n">
        <x:v>0</x:v>
      </x:c>
      <x:c r="M1750" s="2" t="str">
        <x:v>持有</x:v>
      </x:c>
    </x:row>
    <x:row r="1751" ht="23" customHeight="1">
      <x:c r="A1751" s="11" t="d">
        <x:v>2021-12-07T00:00:00.000Z</x:v>
      </x:c>
      <x:c r="B1751" s="12" t="n">
        <x:v>136.254594</x:v>
      </x:c>
      <x:c r="C1751" s="13" t="n">
        <x:v>289</x:v>
      </x:c>
      <x:c r="D1751" s="12" t="n">
        <x:v>135332.91999999998</x:v>
      </x:c>
      <x:c r="E1751" s="12" t="n">
        <x:v>0</x:v>
      </x:c>
      <x:c r="F1751" s="12" t="n">
        <x:f>SUM(B1751,D1751:E1751)</x:f>
        <x:v>135469.17459399998</x:v>
      </x:c>
      <x:c r="G1751" s="12" t="n">
        <x:f>MAX(G1750,F1751)</x:f>
        <x:v>138687.599344</x:v>
      </x:c>
      <x:c r="H1751" s="14" t="n">
        <x:f>F1751/G1751-1</x:f>
        <x:v>-0.023206290722626477</x:v>
      </x:c>
      <x:c r="I1751" s="14" t="n">
        <x:f>F1751/F1750-1</x:f>
        <x:v>0.020663610245540642</x:v>
      </x:c>
      <x:c r="J1751" s="12" t="n">
        <x:v>0</x:v>
      </x:c>
      <x:c r="K1751" s="12" t="n">
        <x:v>0</x:v>
      </x:c>
      <x:c r="L1751" s="12" t="n">
        <x:v>0</x:v>
      </x:c>
      <x:c r="M1751" s="2" t="str">
        <x:v>持有</x:v>
      </x:c>
    </x:row>
    <x:row r="1752" ht="23" customHeight="1">
      <x:c r="A1752" s="11" t="d">
        <x:v>2021-12-08T00:00:00.000Z</x:v>
      </x:c>
      <x:c r="B1752" s="12" t="n">
        <x:v>136.254594</x:v>
      </x:c>
      <x:c r="C1752" s="13" t="n">
        <x:v>289</x:v>
      </x:c>
      <x:c r="D1752" s="12" t="n">
        <x:v>135691.28</x:v>
      </x:c>
      <x:c r="E1752" s="12" t="n">
        <x:v>0</x:v>
      </x:c>
      <x:c r="F1752" s="12" t="n">
        <x:f>SUM(B1752,D1752:E1752)</x:f>
        <x:v>135827.534594</x:v>
      </x:c>
      <x:c r="G1752" s="12" t="n">
        <x:f>MAX(G1751,F1752)</x:f>
        <x:v>138687.599344</x:v>
      </x:c>
      <x:c r="H1752" s="14" t="n">
        <x:f>F1752/G1752-1</x:f>
        <x:v>-0.020622353862409182</x:v>
      </x:c>
      <x:c r="I1752" s="14" t="n">
        <x:f>F1752/F1751-1</x:f>
        <x:v>0.0026453250422024954</x:v>
      </x:c>
      <x:c r="J1752" s="12" t="n">
        <x:v>0</x:v>
      </x:c>
      <x:c r="K1752" s="12" t="n">
        <x:v>0</x:v>
      </x:c>
      <x:c r="L1752" s="12" t="n">
        <x:v>0</x:v>
      </x:c>
      <x:c r="M1752" s="2" t="str">
        <x:v>持有</x:v>
      </x:c>
    </x:row>
    <x:row r="1753" ht="23" customHeight="1">
      <x:c r="A1753" s="11" t="d">
        <x:v>2021-12-09T00:00:00.000Z</x:v>
      </x:c>
      <x:c r="B1753" s="12" t="n">
        <x:v>136.254594</x:v>
      </x:c>
      <x:c r="C1753" s="13" t="n">
        <x:v>289</x:v>
      </x:c>
      <x:c r="D1753" s="12" t="n">
        <x:v>134775.15</x:v>
      </x:c>
      <x:c r="E1753" s="12" t="n">
        <x:v>0</x:v>
      </x:c>
      <x:c r="F1753" s="12" t="n">
        <x:f>SUM(B1753,D1753:E1753)</x:f>
        <x:v>134911.404594</x:v>
      </x:c>
      <x:c r="G1753" s="12" t="n">
        <x:f>MAX(G1752,F1753)</x:f>
        <x:v>138687.599344</x:v>
      </x:c>
      <x:c r="H1753" s="14" t="n">
        <x:f>F1753/G1753-1</x:f>
        <x:v>-0.027228063416351644</x:v>
      </x:c>
      <x:c r="I1753" s="14" t="n">
        <x:f>F1753/F1752-1</x:f>
        <x:v>-0.0067448032737867925</x:v>
      </x:c>
      <x:c r="J1753" s="12" t="n">
        <x:v>0</x:v>
      </x:c>
      <x:c r="K1753" s="12" t="n">
        <x:v>0</x:v>
      </x:c>
      <x:c r="L1753" s="12" t="n">
        <x:v>0</x:v>
      </x:c>
      <x:c r="M1753" s="2" t="str">
        <x:v>持有</x:v>
      </x:c>
    </x:row>
    <x:row r="1754" ht="23" customHeight="1">
      <x:c r="A1754" s="11" t="d">
        <x:v>2021-12-10T00:00:00.000Z</x:v>
      </x:c>
      <x:c r="B1754" s="12" t="n">
        <x:v>136.254594</x:v>
      </x:c>
      <x:c r="C1754" s="13" t="n">
        <x:v>289</x:v>
      </x:c>
      <x:c r="D1754" s="12" t="n">
        <x:v>136043.86000000002</x:v>
      </x:c>
      <x:c r="E1754" s="12" t="n">
        <x:v>0</x:v>
      </x:c>
      <x:c r="F1754" s="12" t="n">
        <x:f>SUM(B1754,D1754:E1754)</x:f>
        <x:v>136180.114594</x:v>
      </x:c>
      <x:c r="G1754" s="12" t="n">
        <x:f>MAX(G1753,F1754)</x:f>
        <x:v>138687.599344</x:v>
      </x:c>
      <x:c r="H1754" s="14" t="n">
        <x:f>F1754/G1754-1</x:f>
        <x:v>-0.018080093403163078</x:v>
      </x:c>
      <x:c r="I1754" s="14" t="n">
        <x:f>F1754/F1753-1</x:f>
        <x:v>0.009404023357536317</x:v>
      </x:c>
      <x:c r="J1754" s="12" t="n">
        <x:v>0</x:v>
      </x:c>
      <x:c r="K1754" s="12" t="n">
        <x:v>0</x:v>
      </x:c>
      <x:c r="L1754" s="12" t="n">
        <x:v>0</x:v>
      </x:c>
      <x:c r="M1754" s="2" t="str">
        <x:v>持有</x:v>
      </x:c>
    </x:row>
    <x:row r="1755" ht="23" customHeight="1">
      <x:c r="A1755" s="11" t="d">
        <x:v>2021-12-13T00:00:00.000Z</x:v>
      </x:c>
      <x:c r="B1755" s="12" t="n">
        <x:v>136.254594</x:v>
      </x:c>
      <x:c r="C1755" s="13" t="n">
        <x:v>289</x:v>
      </x:c>
      <x:c r="D1755" s="12" t="n">
        <x:v>134838.73</x:v>
      </x:c>
      <x:c r="E1755" s="12" t="n">
        <x:v>0</x:v>
      </x:c>
      <x:c r="F1755" s="12" t="n">
        <x:f>SUM(B1755,D1755:E1755)</x:f>
        <x:v>134974.984594</x:v>
      </x:c>
      <x:c r="G1755" s="12" t="n">
        <x:f>MAX(G1754,F1755)</x:f>
        <x:v>138687.599344</x:v>
      </x:c>
      <x:c r="H1755" s="14" t="n">
        <x:f>F1755/G1755-1</x:f>
        <x:v>-0.026769623005667764</x:v>
      </x:c>
      <x:c r="I1755" s="14" t="n">
        <x:f>F1755/F1754-1</x:f>
        <x:v>-0.008849529930217148</x:v>
      </x:c>
      <x:c r="J1755" s="12" t="n">
        <x:v>0</x:v>
      </x:c>
      <x:c r="K1755" s="12" t="n">
        <x:v>0</x:v>
      </x:c>
      <x:c r="L1755" s="12" t="n">
        <x:v>0</x:v>
      </x:c>
      <x:c r="M1755" s="2" t="str">
        <x:v>持有</x:v>
      </x:c>
    </x:row>
    <x:row r="1756" ht="23" customHeight="1">
      <x:c r="A1756" s="11" t="d">
        <x:v>2021-12-14T00:00:00.000Z</x:v>
      </x:c>
      <x:c r="B1756" s="12" t="n">
        <x:v>136.254594</x:v>
      </x:c>
      <x:c r="C1756" s="13" t="n">
        <x:v>289</x:v>
      </x:c>
      <x:c r="D1756" s="12" t="n">
        <x:v>133911.04</x:v>
      </x:c>
      <x:c r="E1756" s="12" t="n">
        <x:v>0</x:v>
      </x:c>
      <x:c r="F1756" s="12" t="n">
        <x:f>SUM(B1756,D1756:E1756)</x:f>
        <x:v>134047.294594</x:v>
      </x:c>
      <x:c r="G1756" s="12" t="n">
        <x:f>MAX(G1755,F1756)</x:f>
        <x:v>138687.599344</x:v>
      </x:c>
      <x:c r="H1756" s="14" t="n">
        <x:f>F1756/G1756-1</x:f>
        <x:v>-0.03345868536155272</x:v>
      </x:c>
      <x:c r="I1756" s="14" t="n">
        <x:f>F1756/F1755-1</x:f>
        <x:v>-0.006873051349407189</x:v>
      </x:c>
      <x:c r="J1756" s="12" t="n">
        <x:v>0</x:v>
      </x:c>
      <x:c r="K1756" s="12" t="n">
        <x:v>0</x:v>
      </x:c>
      <x:c r="L1756" s="12" t="n">
        <x:v>0</x:v>
      </x:c>
      <x:c r="M1756" s="2" t="str">
        <x:v>持有</x:v>
      </x:c>
    </x:row>
    <x:row r="1757" ht="23" customHeight="1">
      <x:c r="A1757" s="11" t="d">
        <x:v>2021-12-15T00:00:00.000Z</x:v>
      </x:c>
      <x:c r="B1757" s="12" t="n">
        <x:v>136.254594</x:v>
      </x:c>
      <x:c r="C1757" s="13" t="n">
        <x:v>289</x:v>
      </x:c>
      <x:c r="D1757" s="12" t="n">
        <x:v>136003.4</x:v>
      </x:c>
      <x:c r="E1757" s="12" t="n">
        <x:v>0</x:v>
      </x:c>
      <x:c r="F1757" s="12" t="n">
        <x:f>SUM(B1757,D1757:E1757)</x:f>
        <x:v>136139.654594</x:v>
      </x:c>
      <x:c r="G1757" s="12" t="n">
        <x:f>MAX(G1756,F1757)</x:f>
        <x:v>138687.599344</x:v>
      </x:c>
      <x:c r="H1757" s="14" t="n">
        <x:f>F1757/G1757-1</x:f>
        <x:v>-0.01837182820996197</x:v>
      </x:c>
      <x:c r="I1757" s="14" t="n">
        <x:f>F1757/F1756-1</x:f>
        <x:v>0.01560911770981499</x:v>
      </x:c>
      <x:c r="J1757" s="12" t="n">
        <x:v>0</x:v>
      </x:c>
      <x:c r="K1757" s="12" t="n">
        <x:v>0</x:v>
      </x:c>
      <x:c r="L1757" s="12" t="n">
        <x:v>0</x:v>
      </x:c>
      <x:c r="M1757" s="2" t="str">
        <x:v>持有</x:v>
      </x:c>
    </x:row>
    <x:row r="1758" ht="23" customHeight="1">
      <x:c r="A1758" s="11" t="d">
        <x:v>2021-12-16T00:00:00.000Z</x:v>
      </x:c>
      <x:c r="B1758" s="12" t="n">
        <x:v>136.254594</x:v>
      </x:c>
      <x:c r="C1758" s="13" t="n">
        <x:v>289</x:v>
      </x:c>
      <x:c r="D1758" s="12" t="n">
        <x:v>134804.05</x:v>
      </x:c>
      <x:c r="E1758" s="12" t="n">
        <x:v>0</x:v>
      </x:c>
      <x:c r="F1758" s="12" t="n">
        <x:f>SUM(B1758,D1758:E1758)</x:f>
        <x:v>134940.304594</x:v>
      </x:c>
      <x:c r="G1758" s="12" t="n">
        <x:f>MAX(G1757,F1758)</x:f>
        <x:v>138687.599344</x:v>
      </x:c>
      <x:c r="H1758" s="14" t="n">
        <x:f>F1758/G1758-1</x:f>
        <x:v>-0.027019681411495466</x:v>
      </x:c>
      <x:c r="I1758" s="14" t="n">
        <x:f>F1758/F1757-1</x:f>
        <x:v>-0.00880970356195443</x:v>
      </x:c>
      <x:c r="J1758" s="12" t="n">
        <x:v>0</x:v>
      </x:c>
      <x:c r="K1758" s="12" t="n">
        <x:v>0</x:v>
      </x:c>
      <x:c r="L1758" s="12" t="n">
        <x:v>0</x:v>
      </x:c>
      <x:c r="M1758" s="2" t="str">
        <x:v>持有</x:v>
      </x:c>
    </x:row>
    <x:row r="1759" ht="23" customHeight="1">
      <x:c r="A1759" s="11" t="d">
        <x:v>2021-12-17T00:00:00.000Z</x:v>
      </x:c>
      <x:c r="B1759" s="12" t="n">
        <x:v>136.254594</x:v>
      </x:c>
      <x:c r="C1759" s="13" t="n">
        <x:v>289</x:v>
      </x:c>
      <x:c r="D1759" s="12" t="n">
        <x:v>132902.43</x:v>
      </x:c>
      <x:c r="E1759" s="12" t="n">
        <x:v>472.928559</x:v>
      </x:c>
      <x:c r="F1759" s="12" t="n">
        <x:f>SUM(B1759,D1759:E1759)</x:f>
        <x:v>133511.61315299998</x:v>
      </x:c>
      <x:c r="G1759" s="12" t="n">
        <x:f>MAX(G1758,F1759)</x:f>
        <x:v>138687.599344</x:v>
      </x:c>
      <x:c r="H1759" s="14" t="n">
        <x:f>F1759/G1759-1</x:f>
        <x:v>-0.03732118960514641</x:v>
      </x:c>
      <x:c r="I1759" s="14" t="n">
        <x:f>F1759/F1758-1</x:f>
        <x:v>-0.010587581266387147</x:v>
      </x:c>
      <x:c r="J1759" s="12" t="n">
        <x:v>472.928559</x:v>
      </x:c>
      <x:c r="K1759" s="12" t="n">
        <x:v>0</x:v>
      </x:c>
      <x:c r="L1759" s="12" t="n">
        <x:v>0</x:v>
      </x:c>
      <x:c r="M1759" s="2" t="str">
        <x:v>持有</x:v>
      </x:c>
    </x:row>
    <x:row r="1760" ht="23" customHeight="1">
      <x:c r="A1760" s="11" t="d">
        <x:v>2021-12-20T00:00:00.000Z</x:v>
      </x:c>
      <x:c r="B1760" s="12" t="n">
        <x:v>136.254594</x:v>
      </x:c>
      <x:c r="C1760" s="13" t="n">
        <x:v>289</x:v>
      </x:c>
      <x:c r="D1760" s="12" t="n">
        <x:v>131489.22</x:v>
      </x:c>
      <x:c r="E1760" s="12" t="n">
        <x:v>472.928559</x:v>
      </x:c>
      <x:c r="F1760" s="12" t="n">
        <x:f>SUM(B1760,D1760:E1760)</x:f>
        <x:v>132098.403153</x:v>
      </x:c>
      <x:c r="G1760" s="12" t="n">
        <x:f>MAX(G1759,F1760)</x:f>
        <x:v>138687.599344</x:v>
      </x:c>
      <x:c r="H1760" s="14" t="n">
        <x:f>F1760/G1760-1</x:f>
        <x:v>-0.047511069642615866</x:v>
      </x:c>
      <x:c r="I1760" s="14" t="n">
        <x:f>F1760/F1759-1</x:f>
        <x:v>-0.0105849219152232</x:v>
      </x:c>
      <x:c r="J1760" s="12" t="n">
        <x:v>0</x:v>
      </x:c>
      <x:c r="K1760" s="12" t="n">
        <x:v>0</x:v>
      </x:c>
      <x:c r="L1760" s="12" t="n">
        <x:v>0</x:v>
      </x:c>
      <x:c r="M1760" s="2" t="str">
        <x:v>持有</x:v>
      </x:c>
    </x:row>
    <x:row r="1761" ht="23" customHeight="1">
      <x:c r="A1761" s="11" t="d">
        <x:v>2021-12-21T00:00:00.000Z</x:v>
      </x:c>
      <x:c r="B1761" s="12" t="n">
        <x:v>132542.006304</x:v>
      </x:c>
      <x:c r="C1761" s="13" t="n">
        <x:v>0</x:v>
      </x:c>
      <x:c r="D1761" s="12" t="n">
        <x:v>0</x:v>
      </x:c>
      <x:c r="E1761" s="12" t="n">
        <x:v>472.928559</x:v>
      </x:c>
      <x:c r="F1761" s="12" t="n">
        <x:f>SUM(B1761,D1761:E1761)</x:f>
        <x:v>133014.934863</x:v>
      </x:c>
      <x:c r="G1761" s="12" t="n">
        <x:f>MAX(G1760,F1761)</x:f>
        <x:v>138687.599344</x:v>
      </x:c>
      <x:c r="H1761" s="14" t="n">
        <x:f>F1761/G1761-1</x:f>
        <x:v>-0.04090246357880589</x:v>
      </x:c>
      <x:c r="I1761" s="14" t="n">
        <x:f>F1761/F1760-1</x:f>
        <x:v>0.0069382497299264045</x:v>
      </x:c>
      <x:c r="J1761" s="12" t="n">
        <x:v>0</x:v>
      </x:c>
      <x:c r="K1761" s="12" t="n">
        <x:v>0</x:v>
      </x:c>
      <x:c r="L1761" s="12" t="n">
        <x:v>-289</x:v>
      </x:c>
      <x:c r="M1761" s="2" t="str">
        <x:v>卖出</x:v>
      </x:c>
    </x:row>
    <x:row r="1762" ht="23" customHeight="1">
      <x:c r="A1762" s="11" t="d">
        <x:v>2021-12-22T00:00:00.000Z</x:v>
      </x:c>
      <x:c r="B1762" s="12" t="n">
        <x:v>51.708364</x:v>
      </x:c>
      <x:c r="C1762" s="13" t="n">
        <x:v>286</x:v>
      </x:c>
      <x:c r="D1762" s="12" t="n">
        <x:v>133759.34</x:v>
      </x:c>
      <x:c r="E1762" s="12" t="n">
        <x:v>472.928559</x:v>
      </x:c>
      <x:c r="F1762" s="12" t="n">
        <x:f>SUM(B1762,D1762:E1762)</x:f>
        <x:v>134283.97692299998</x:v>
      </x:c>
      <x:c r="G1762" s="12" t="n">
        <x:f>MAX(G1761,F1762)</x:f>
        <x:v>138687.599344</x:v>
      </x:c>
      <x:c r="H1762" s="14" t="n">
        <x:f>F1762/G1762-1</x:f>
        <x:v>-0.03175209926359235</x:v>
      </x:c>
      <x:c r="I1762" s="14" t="n">
        <x:f>F1762/F1761-1</x:f>
        <x:v>0.009540598289260016</x:v>
      </x:c>
      <x:c r="J1762" s="12" t="n">
        <x:v>0</x:v>
      </x:c>
      <x:c r="K1762" s="12" t="n">
        <x:v>0</x:v>
      </x:c>
      <x:c r="L1762" s="12" t="n">
        <x:v>286</x:v>
      </x:c>
      <x:c r="M1762" s="2" t="str">
        <x:v>买入</x:v>
      </x:c>
    </x:row>
    <x:row r="1763" ht="23" customHeight="1">
      <x:c r="A1763" s="11" t="d">
        <x:v>2021-12-23T00:00:00.000Z</x:v>
      </x:c>
      <x:c r="B1763" s="12" t="n">
        <x:v>51.708364</x:v>
      </x:c>
      <x:c r="C1763" s="13" t="n">
        <x:v>286</x:v>
      </x:c>
      <x:c r="D1763" s="12" t="n">
        <x:v>134591.6</x:v>
      </x:c>
      <x:c r="E1763" s="12" t="n">
        <x:v>472.928559</x:v>
      </x:c>
      <x:c r="F1763" s="12" t="n">
        <x:f>SUM(B1763,D1763:E1763)</x:f>
        <x:v>135116.236923</x:v>
      </x:c>
      <x:c r="G1763" s="12" t="n">
        <x:f>MAX(G1762,F1763)</x:f>
        <x:v>138687.599344</x:v>
      </x:c>
      <x:c r="H1763" s="14" t="n">
        <x:f>F1763/G1763-1</x:f>
        <x:v>-0.025751130150732604</x:v>
      </x:c>
      <x:c r="I1763" s="14" t="n">
        <x:f>F1763/F1762-1</x:f>
        <x:v>0.006197761036502714</x:v>
      </x:c>
      <x:c r="J1763" s="12" t="n">
        <x:v>0</x:v>
      </x:c>
      <x:c r="K1763" s="12" t="n">
        <x:v>0</x:v>
      </x:c>
      <x:c r="L1763" s="12" t="n">
        <x:v>0</x:v>
      </x:c>
      <x:c r="M1763" s="2" t="str">
        <x:v>持有</x:v>
      </x:c>
    </x:row>
    <x:row r="1764" ht="23" customHeight="1">
      <x:c r="A1764" s="11" t="d">
        <x:v>2021-12-27T00:00:00.000Z</x:v>
      </x:c>
      <x:c r="B1764" s="12" t="n">
        <x:v>51.708364</x:v>
      </x:c>
      <x:c r="C1764" s="13" t="n">
        <x:v>286</x:v>
      </x:c>
      <x:c r="D1764" s="12" t="n">
        <x:v>136496.36</x:v>
      </x:c>
      <x:c r="E1764" s="12" t="n">
        <x:v>472.928559</x:v>
      </x:c>
      <x:c r="F1764" s="12" t="n">
        <x:f>SUM(B1764,D1764:E1764)</x:f>
        <x:v>137020.99692299997</x:v>
      </x:c>
      <x:c r="G1764" s="12" t="n">
        <x:f>MAX(G1763,F1764)</x:f>
        <x:v>138687.599344</x:v>
      </x:c>
      <x:c r="H1764" s="14" t="n">
        <x:f>F1764/G1764-1</x:f>
        <x:v>-0.01201695341820852</x:v>
      </x:c>
      <x:c r="I1764" s="14" t="n">
        <x:f>F1764/F1763-1</x:f>
        <x:v>0.014097195447246413</x:v>
      </x:c>
      <x:c r="J1764" s="12" t="n">
        <x:v>0</x:v>
      </x:c>
      <x:c r="K1764" s="12" t="n">
        <x:v>0</x:v>
      </x:c>
      <x:c r="L1764" s="12" t="n">
        <x:v>0</x:v>
      </x:c>
      <x:c r="M1764" s="2" t="str">
        <x:v>持有</x:v>
      </x:c>
    </x:row>
    <x:row r="1765" ht="23" customHeight="1">
      <x:c r="A1765" s="11" t="d">
        <x:v>2021-12-28T00:00:00.000Z</x:v>
      </x:c>
      <x:c r="B1765" s="12" t="n">
        <x:v>51.708364</x:v>
      </x:c>
      <x:c r="C1765" s="13" t="n">
        <x:v>286</x:v>
      </x:c>
      <x:c r="D1765" s="12" t="n">
        <x:v>136384.82</x:v>
      </x:c>
      <x:c r="E1765" s="12" t="n">
        <x:v>472.928559</x:v>
      </x:c>
      <x:c r="F1765" s="12" t="n">
        <x:f>SUM(B1765,D1765:E1765)</x:f>
        <x:v>136909.456923</x:v>
      </x:c>
      <x:c r="G1765" s="12" t="n">
        <x:f>MAX(G1764,F1765)</x:f>
        <x:v>138687.599344</x:v>
      </x:c>
      <x:c r="H1765" s="14" t="n">
        <x:f>F1765/G1765-1</x:f>
        <x:v>-0.01282120701065348</x:v>
      </x:c>
      <x:c r="I1765" s="14" t="n">
        <x:f>F1765/F1764-1</x:f>
        <x:v>-0.0008140358230108724</x:v>
      </x:c>
      <x:c r="J1765" s="12" t="n">
        <x:v>0</x:v>
      </x:c>
      <x:c r="K1765" s="12" t="n">
        <x:v>0</x:v>
      </x:c>
      <x:c r="L1765" s="12" t="n">
        <x:v>0</x:v>
      </x:c>
      <x:c r="M1765" s="2" t="str">
        <x:v>持有</x:v>
      </x:c>
    </x:row>
    <x:row r="1766" ht="23" customHeight="1">
      <x:c r="A1766" s="11" t="d">
        <x:v>2021-12-29T00:00:00.000Z</x:v>
      </x:c>
      <x:c r="B1766" s="12" t="n">
        <x:v>51.708364</x:v>
      </x:c>
      <x:c r="C1766" s="13" t="n">
        <x:v>286</x:v>
      </x:c>
      <x:c r="D1766" s="12" t="n">
        <x:v>136559.28</x:v>
      </x:c>
      <x:c r="E1766" s="12" t="n">
        <x:v>472.928559</x:v>
      </x:c>
      <x:c r="F1766" s="12" t="n">
        <x:f>SUM(B1766,D1766:E1766)</x:f>
        <x:v>137083.91692299998</x:v>
      </x:c>
      <x:c r="G1766" s="12" t="n">
        <x:f>MAX(G1765,F1766)</x:f>
        <x:v>138687.599344</x:v>
      </x:c>
      <x:c r="H1766" s="14" t="n">
        <x:f>F1766/G1766-1</x:f>
        <x:v>-0.011563271904521444</x:v>
      </x:c>
      <x:c r="I1766" s="14" t="n">
        <x:f>F1766/F1765-1</x:f>
        <x:v>0.0012742728217680632</x:v>
      </x:c>
      <x:c r="J1766" s="12" t="n">
        <x:v>0</x:v>
      </x:c>
      <x:c r="K1766" s="12" t="n">
        <x:v>0</x:v>
      </x:c>
      <x:c r="L1766" s="12" t="n">
        <x:v>0</x:v>
      </x:c>
      <x:c r="M1766" s="2" t="str">
        <x:v>持有</x:v>
      </x:c>
    </x:row>
    <x:row r="1767" ht="23" customHeight="1">
      <x:c r="A1767" s="11" t="d">
        <x:v>2021-12-30T00:00:00.000Z</x:v>
      </x:c>
      <x:c r="B1767" s="12" t="n">
        <x:v>51.708364</x:v>
      </x:c>
      <x:c r="C1767" s="13" t="n">
        <x:v>286</x:v>
      </x:c>
      <x:c r="D1767" s="12" t="n">
        <x:v>136181.76</x:v>
      </x:c>
      <x:c r="E1767" s="12" t="n">
        <x:v>472.928559</x:v>
      </x:c>
      <x:c r="F1767" s="12" t="n">
        <x:f>SUM(B1767,D1767:E1767)</x:f>
        <x:v>136706.396923</x:v>
      </x:c>
      <x:c r="G1767" s="12" t="n">
        <x:f>MAX(G1766,F1767)</x:f>
        <x:v>138687.599344</x:v>
      </x:c>
      <x:c r="H1767" s="14" t="n">
        <x:f>F1767/G1767-1</x:f>
        <x:v>-0.014285360986643347</x:v>
      </x:c>
      <x:c r="I1767" s="14" t="n">
        <x:f>F1767/F1766-1</x:f>
        <x:v>-0.0027539335647378538</x:v>
      </x:c>
      <x:c r="J1767" s="12" t="n">
        <x:v>0</x:v>
      </x:c>
      <x:c r="K1767" s="12" t="n">
        <x:v>0</x:v>
      </x:c>
      <x:c r="L1767" s="12" t="n">
        <x:v>0</x:v>
      </x:c>
      <x:c r="M1767" s="2" t="str">
        <x:v>持有</x:v>
      </x:c>
    </x:row>
    <x:row r="1768" ht="23" customHeight="1">
      <x:c r="A1768" s="11" t="d">
        <x:v>2021-12-31T00:00:00.000Z</x:v>
      </x:c>
      <x:c r="B1768" s="12" t="n">
        <x:v>51.708364</x:v>
      </x:c>
      <x:c r="C1768" s="13" t="n">
        <x:v>286</x:v>
      </x:c>
      <x:c r="D1768" s="12" t="n">
        <x:v>135838.56</x:v>
      </x:c>
      <x:c r="E1768" s="12" t="n">
        <x:v>472.928559</x:v>
      </x:c>
      <x:c r="F1768" s="12" t="n">
        <x:f>SUM(B1768,D1768:E1768)</x:f>
        <x:v>136363.19692299998</x:v>
      </x:c>
      <x:c r="G1768" s="12" t="n">
        <x:f>MAX(G1767,F1768)</x:f>
        <x:v>138687.599344</x:v>
      </x:c>
      <x:c r="H1768" s="14" t="n">
        <x:f>F1768/G1768-1</x:f>
        <x:v>-0.016759987424936007</x:v>
      </x:c>
      <x:c r="I1768" s="14" t="n">
        <x:f>F1768/F1767-1</x:f>
        <x:v>-0.002510489689764306</x:v>
      </x:c>
      <x:c r="J1768" s="12" t="n">
        <x:v>0</x:v>
      </x:c>
      <x:c r="K1768" s="12" t="n">
        <x:v>0</x:v>
      </x:c>
      <x:c r="L1768" s="12" t="n">
        <x:v>0</x:v>
      </x:c>
      <x:c r="M1768" s="2" t="str">
        <x:v>持有</x:v>
      </x:c>
    </x:row>
    <x:row r="1769" ht="23" customHeight="1">
      <x:c r="A1769" s="11" t="d">
        <x:v>2022-01-03T00:00:00.000Z</x:v>
      </x:c>
      <x:c r="B1769" s="12" t="n">
        <x:v>51.708364</x:v>
      </x:c>
      <x:c r="C1769" s="13" t="n">
        <x:v>286</x:v>
      </x:c>
      <x:c r="D1769" s="12" t="n">
        <x:v>136625.06</x:v>
      </x:c>
      <x:c r="E1769" s="12" t="n">
        <x:v>472.928559</x:v>
      </x:c>
      <x:c r="F1769" s="12" t="n">
        <x:f>SUM(B1769,D1769:E1769)</x:f>
        <x:v>137149.69692299998</x:v>
      </x:c>
      <x:c r="G1769" s="12" t="n">
        <x:f>MAX(G1768,F1769)</x:f>
        <x:v>138687.599344</x:v>
      </x:c>
      <x:c r="H1769" s="14" t="n">
        <x:f>F1769/G1769-1</x:f>
        <x:v>-0.011088968503848773</x:v>
      </x:c>
      <x:c r="I1769" s="14" t="n">
        <x:f>F1769/F1768-1</x:f>
        <x:v>0.00576768525340543</x:v>
      </x:c>
      <x:c r="J1769" s="12" t="n">
        <x:v>0</x:v>
      </x:c>
      <x:c r="K1769" s="12" t="n">
        <x:v>0</x:v>
      </x:c>
      <x:c r="L1769" s="12" t="n">
        <x:v>0</x:v>
      </x:c>
      <x:c r="M1769" s="2" t="str">
        <x:v>持有</x:v>
      </x:c>
    </x:row>
    <x:row r="1770" ht="23" customHeight="1">
      <x:c r="A1770" s="11" t="d">
        <x:v>2022-01-04T00:00:00.000Z</x:v>
      </x:c>
      <x:c r="B1770" s="12" t="n">
        <x:v>51.708364</x:v>
      </x:c>
      <x:c r="C1770" s="13" t="n">
        <x:v>286</x:v>
      </x:c>
      <x:c r="D1770" s="12" t="n">
        <x:v>136579.30000000002</x:v>
      </x:c>
      <x:c r="E1770" s="12" t="n">
        <x:v>472.928559</x:v>
      </x:c>
      <x:c r="F1770" s="12" t="n">
        <x:f>SUM(B1770,D1770:E1770)</x:f>
        <x:v>137103.936923</x:v>
      </x:c>
      <x:c r="G1770" s="12" t="n">
        <x:f>MAX(G1769,F1770)</x:f>
        <x:v>138687.599344</x:v>
      </x:c>
      <x:c r="H1770" s="14" t="n">
        <x:f>F1770/G1770-1</x:f>
        <x:v>-0.01141891869562095</x:v>
      </x:c>
      <x:c r="I1770" s="14" t="n">
        <x:f>F1770/F1769-1</x:f>
        <x:v>-0.0003336500264062847</x:v>
      </x:c>
      <x:c r="J1770" s="12" t="n">
        <x:v>0</x:v>
      </x:c>
      <x:c r="K1770" s="12" t="n">
        <x:v>0</x:v>
      </x:c>
      <x:c r="L1770" s="12" t="n">
        <x:v>0</x:v>
      </x:c>
      <x:c r="M1770" s="2" t="str">
        <x:v>持有</x:v>
      </x:c>
    </x:row>
    <x:row r="1771" ht="23" customHeight="1">
      <x:c r="A1771" s="11" t="d">
        <x:v>2022-01-05T00:00:00.000Z</x:v>
      </x:c>
      <x:c r="B1771" s="12" t="n">
        <x:v>51.708364</x:v>
      </x:c>
      <x:c r="C1771" s="13" t="n">
        <x:v>286</x:v>
      </x:c>
      <x:c r="D1771" s="12" t="n">
        <x:v>133956.68</x:v>
      </x:c>
      <x:c r="E1771" s="12" t="n">
        <x:v>472.928559</x:v>
      </x:c>
      <x:c r="F1771" s="12" t="n">
        <x:f>SUM(B1771,D1771:E1771)</x:f>
        <x:v>134481.31692299998</x:v>
      </x:c>
      <x:c r="G1771" s="12" t="n">
        <x:f>MAX(G1770,F1771)</x:f>
        <x:v>138687.599344</x:v>
      </x:c>
      <x:c r="H1771" s="14" t="n">
        <x:f>F1771/G1771-1</x:f>
        <x:v>-0.030329189061574113</x:v>
      </x:c>
      <x:c r="I1771" s="14" t="n">
        <x:f>F1771/F1770-1</x:f>
        <x:v>-0.01912869942949147</x:v>
      </x:c>
      <x:c r="J1771" s="12" t="n">
        <x:v>0</x:v>
      </x:c>
      <x:c r="K1771" s="12" t="n">
        <x:v>0</x:v>
      </x:c>
      <x:c r="L1771" s="12" t="n">
        <x:v>0</x:v>
      </x:c>
      <x:c r="M1771" s="2" t="str">
        <x:v>持有</x:v>
      </x:c>
    </x:row>
    <x:row r="1772" ht="23" customHeight="1">
      <x:c r="A1772" s="11" t="d">
        <x:v>2022-01-06T00:00:00.000Z</x:v>
      </x:c>
      <x:c r="B1772" s="12" t="n">
        <x:v>51.708364</x:v>
      </x:c>
      <x:c r="C1772" s="13" t="n">
        <x:v>286</x:v>
      </x:c>
      <x:c r="D1772" s="12" t="n">
        <x:v>133830.84</x:v>
      </x:c>
      <x:c r="E1772" s="12" t="n">
        <x:v>472.928559</x:v>
      </x:c>
      <x:c r="F1772" s="12" t="n">
        <x:f>SUM(B1772,D1772:E1772)</x:f>
        <x:v>134355.47692299998</x:v>
      </x:c>
      <x:c r="G1772" s="12" t="n">
        <x:f>MAX(G1771,F1772)</x:f>
        <x:v>138687.599344</x:v>
      </x:c>
      <x:c r="H1772" s="14" t="n">
        <x:f>F1772/G1772-1</x:f>
        <x:v>-0.031236552088948044</x:v>
      </x:c>
      <x:c r="I1772" s="14" t="n">
        <x:f>F1772/F1771-1</x:f>
        <x:v>-0.0009357433647980695</x:v>
      </x:c>
      <x:c r="J1772" s="12" t="n">
        <x:v>0</x:v>
      </x:c>
      <x:c r="K1772" s="12" t="n">
        <x:v>0</x:v>
      </x:c>
      <x:c r="L1772" s="12" t="n">
        <x:v>0</x:v>
      </x:c>
      <x:c r="M1772" s="2" t="str">
        <x:v>持有</x:v>
      </x:c>
    </x:row>
    <x:row r="1773" ht="23" customHeight="1">
      <x:c r="A1773" s="11" t="d">
        <x:v>2022-01-07T00:00:00.000Z</x:v>
      </x:c>
      <x:c r="B1773" s="12" t="n">
        <x:v>51.708364</x:v>
      </x:c>
      <x:c r="C1773" s="13" t="n">
        <x:v>286</x:v>
      </x:c>
      <x:c r="D1773" s="12" t="n">
        <x:v>133301.74</x:v>
      </x:c>
      <x:c r="E1773" s="12" t="n">
        <x:v>472.928559</x:v>
      </x:c>
      <x:c r="F1773" s="12" t="n">
        <x:f>SUM(B1773,D1773:E1773)</x:f>
        <x:v>133826.37692299997</x:v>
      </x:c>
      <x:c r="G1773" s="12" t="n">
        <x:f>MAX(G1772,F1773)</x:f>
        <x:v>138687.599344</x:v>
      </x:c>
      <x:c r="H1773" s="14" t="n">
        <x:f>F1773/G1773-1</x:f>
        <x:v>-0.035051601181315895</x:v>
      </x:c>
      <x:c r="I1773" s="14" t="n">
        <x:f>F1773/F1772-1</x:f>
        <x:v>-0.003938060525089271</x:v>
      </x:c>
      <x:c r="J1773" s="12" t="n">
        <x:v>0</x:v>
      </x:c>
      <x:c r="K1773" s="12" t="n">
        <x:v>0</x:v>
      </x:c>
      <x:c r="L1773" s="12" t="n">
        <x:v>0</x:v>
      </x:c>
      <x:c r="M1773" s="2" t="str">
        <x:v>持有</x:v>
      </x:c>
    </x:row>
    <x:row r="1774" ht="23" customHeight="1">
      <x:c r="A1774" s="11" t="d">
        <x:v>2022-01-10T00:00:00.000Z</x:v>
      </x:c>
      <x:c r="B1774" s="12" t="n">
        <x:v>132251.576164</x:v>
      </x:c>
      <x:c r="C1774" s="13" t="n">
        <x:v>0</x:v>
      </x:c>
      <x:c r="D1774" s="12" t="n">
        <x:v>0</x:v>
      </x:c>
      <x:c r="E1774" s="12" t="n">
        <x:v>472.928559</x:v>
      </x:c>
      <x:c r="F1774" s="12" t="n">
        <x:f>SUM(B1774,D1774:E1774)</x:f>
        <x:v>132724.504723</x:v>
      </x:c>
      <x:c r="G1774" s="12" t="n">
        <x:f>MAX(G1773,F1774)</x:f>
        <x:v>138687.599344</x:v>
      </x:c>
      <x:c r="H1774" s="14" t="n">
        <x:f>F1774/G1774-1</x:f>
        <x:v>-0.042996595580324204</x:v>
      </x:c>
      <x:c r="I1774" s="14" t="n">
        <x:f>F1774/F1773-1</x:f>
        <x:v>-0.008233595090405665</x:v>
      </x:c>
      <x:c r="J1774" s="12" t="n">
        <x:v>0</x:v>
      </x:c>
      <x:c r="K1774" s="12" t="n">
        <x:v>0</x:v>
      </x:c>
      <x:c r="L1774" s="12" t="n">
        <x:v>-286</x:v>
      </x:c>
      <x:c r="M1774" s="2" t="str">
        <x:v>卖出</x:v>
      </x:c>
    </x:row>
    <x:row r="1775" ht="23" customHeight="1">
      <x:c r="A1775" s="11" t="d">
        <x:v>2022-01-11T00:00:00.000Z</x:v>
      </x:c>
      <x:c r="B1775" s="12" t="n">
        <x:v>132251.576164</x:v>
      </x:c>
      <x:c r="C1775" s="13" t="n">
        <x:v>0</x:v>
      </x:c>
      <x:c r="D1775" s="12" t="n">
        <x:v>0</x:v>
      </x:c>
      <x:c r="E1775" s="12" t="n">
        <x:v>472.928559</x:v>
      </x:c>
      <x:c r="F1775" s="12" t="n">
        <x:f>SUM(B1775,D1775:E1775)</x:f>
        <x:v>132724.504723</x:v>
      </x:c>
      <x:c r="G1775" s="12" t="n">
        <x:f>MAX(G1774,F1775)</x:f>
        <x:v>138687.599344</x:v>
      </x:c>
      <x:c r="H1775" s="14" t="n">
        <x:f>F1775/G1775-1</x:f>
        <x:v>-0.042996595580324204</x:v>
      </x:c>
      <x:c r="I1775" s="14" t="n">
        <x:f>F1775/F1774-1</x:f>
        <x:v>0</x:v>
      </x:c>
      <x:c r="J1775" s="12" t="n">
        <x:v>0</x:v>
      </x:c>
      <x:c r="K1775" s="12" t="n">
        <x:v>0</x:v>
      </x:c>
      <x:c r="L1775" s="12" t="n">
        <x:v>0</x:v>
      </x:c>
      <x:c r="M1775" s="2" t="str">
        <x:v>空仓</x:v>
      </x:c>
    </x:row>
    <x:row r="1776" ht="23" customHeight="1">
      <x:c r="A1776" s="11" t="d">
        <x:v>2022-01-12T00:00:00.000Z</x:v>
      </x:c>
      <x:c r="B1776" s="12" t="n">
        <x:v>74.330964</x:v>
      </x:c>
      <x:c r="C1776" s="13" t="n">
        <x:v>280</x:v>
      </x:c>
      <x:c r="D1776" s="12" t="n">
        <x:v>131885.6</x:v>
      </x:c>
      <x:c r="E1776" s="12" t="n">
        <x:v>472.928559</x:v>
      </x:c>
      <x:c r="F1776" s="12" t="n">
        <x:f>SUM(B1776,D1776:E1776)</x:f>
        <x:v>132432.859523</x:v>
      </x:c>
      <x:c r="G1776" s="12" t="n">
        <x:f>MAX(G1775,F1776)</x:f>
        <x:v>138687.599344</x:v>
      </x:c>
      <x:c r="H1776" s="14" t="n">
        <x:f>F1776/G1776-1</x:f>
        <x:v>-0.045099488711213276</x:v>
      </x:c>
      <x:c r="I1776" s="14" t="n">
        <x:f>F1776/F1775-1</x:f>
        <x:v>-0.002197372675141418</x:v>
      </x:c>
      <x:c r="J1776" s="12" t="n">
        <x:v>0</x:v>
      </x:c>
      <x:c r="K1776" s="12" t="n">
        <x:v>0</x:v>
      </x:c>
      <x:c r="L1776" s="12" t="n">
        <x:v>280</x:v>
      </x:c>
      <x:c r="M1776" s="2" t="str">
        <x:v>买入</x:v>
      </x:c>
    </x:row>
    <x:row r="1777" ht="23" customHeight="1">
      <x:c r="A1777" s="11" t="d">
        <x:v>2022-01-13T00:00:00.000Z</x:v>
      </x:c>
      <x:c r="B1777" s="12" t="n">
        <x:v>74.330964</x:v>
      </x:c>
      <x:c r="C1777" s="13" t="n">
        <x:v>280</x:v>
      </x:c>
      <x:c r="D1777" s="12" t="n">
        <x:v>130068.4</x:v>
      </x:c>
      <x:c r="E1777" s="12" t="n">
        <x:v>472.928559</x:v>
      </x:c>
      <x:c r="F1777" s="12" t="n">
        <x:f>SUM(B1777,D1777:E1777)</x:f>
        <x:v>130615.659523</x:v>
      </x:c>
      <x:c r="G1777" s="12" t="n">
        <x:f>MAX(G1776,F1777)</x:f>
        <x:v>138687.599344</x:v>
      </x:c>
      <x:c r="H1777" s="14" t="n">
        <x:f>F1777/G1777-1</x:f>
        <x:v>-0.05820231844217305</x:v>
      </x:c>
      <x:c r="I1777" s="14" t="n">
        <x:f>F1777/F1776-1</x:f>
        <x:v>-0.013721670033745692</x:v>
      </x:c>
      <x:c r="J1777" s="12" t="n">
        <x:v>0</x:v>
      </x:c>
      <x:c r="K1777" s="12" t="n">
        <x:v>0</x:v>
      </x:c>
      <x:c r="L1777" s="12" t="n">
        <x:v>0</x:v>
      </x:c>
      <x:c r="M1777" s="2" t="str">
        <x:v>持有</x:v>
      </x:c>
    </x:row>
    <x:row r="1778" ht="23" customHeight="1">
      <x:c r="A1778" s="11" t="d">
        <x:v>2022-01-14T00:00:00.000Z</x:v>
      </x:c>
      <x:c r="B1778" s="12" t="n">
        <x:v>129078.397764</x:v>
      </x:c>
      <x:c r="C1778" s="13" t="n">
        <x:v>0</x:v>
      </x:c>
      <x:c r="D1778" s="12" t="n">
        <x:v>0</x:v>
      </x:c>
      <x:c r="E1778" s="12" t="n">
        <x:v>472.928559</x:v>
      </x:c>
      <x:c r="F1778" s="12" t="n">
        <x:f>SUM(B1778,D1778:E1778)</x:f>
        <x:v>129551.326323</x:v>
      </x:c>
      <x:c r="G1778" s="12" t="n">
        <x:f>MAX(G1777,F1778)</x:f>
        <x:v>138687.599344</x:v>
      </x:c>
      <x:c r="H1778" s="14" t="n">
        <x:f>F1778/G1778-1</x:f>
        <x:v>-0.06587663975881808</x:v>
      </x:c>
      <x:c r="I1778" s="14" t="n">
        <x:f>F1778/F1777-1</x:f>
        <x:v>-0.008148588032146131</x:v>
      </x:c>
      <x:c r="J1778" s="12" t="n">
        <x:v>0</x:v>
      </x:c>
      <x:c r="K1778" s="12" t="n">
        <x:v>0</x:v>
      </x:c>
      <x:c r="L1778" s="12" t="n">
        <x:v>-280</x:v>
      </x:c>
      <x:c r="M1778" s="2" t="str">
        <x:v>卖出</x:v>
      </x:c>
    </x:row>
    <x:row r="1779" ht="23" customHeight="1">
      <x:c r="A1779" s="11" t="d">
        <x:v>2022-01-18T00:00:00.000Z</x:v>
      </x:c>
      <x:c r="B1779" s="12" t="n">
        <x:v>129078.397764</x:v>
      </x:c>
      <x:c r="C1779" s="13" t="n">
        <x:v>0</x:v>
      </x:c>
      <x:c r="D1779" s="12" t="n">
        <x:v>0</x:v>
      </x:c>
      <x:c r="E1779" s="12" t="n">
        <x:v>472.928559</x:v>
      </x:c>
      <x:c r="F1779" s="12" t="n">
        <x:f>SUM(B1779,D1779:E1779)</x:f>
        <x:v>129551.326323</x:v>
      </x:c>
      <x:c r="G1779" s="12" t="n">
        <x:f>MAX(G1778,F1779)</x:f>
        <x:v>138687.599344</x:v>
      </x:c>
      <x:c r="H1779" s="14" t="n">
        <x:f>F1779/G1779-1</x:f>
        <x:v>-0.06587663975881808</x:v>
      </x:c>
      <x:c r="I1779" s="14" t="n">
        <x:f>F1779/F1778-1</x:f>
        <x:v>0</x:v>
      </x:c>
      <x:c r="J1779" s="12" t="n">
        <x:v>0</x:v>
      </x:c>
      <x:c r="K1779" s="12" t="n">
        <x:v>0</x:v>
      </x:c>
      <x:c r="L1779" s="12" t="n">
        <x:v>0</x:v>
      </x:c>
      <x:c r="M1779" s="2" t="str">
        <x:v>空仓</x:v>
      </x:c>
    </x:row>
    <x:row r="1780" ht="23" customHeight="1">
      <x:c r="A1780" s="11" t="d">
        <x:v>2022-01-19T00:00:00.000Z</x:v>
      </x:c>
      <x:c r="B1780" s="12" t="n">
        <x:v>129078.397764</x:v>
      </x:c>
      <x:c r="C1780" s="13" t="n">
        <x:v>0</x:v>
      </x:c>
      <x:c r="D1780" s="12" t="n">
        <x:v>0</x:v>
      </x:c>
      <x:c r="E1780" s="12" t="n">
        <x:v>472.928559</x:v>
      </x:c>
      <x:c r="F1780" s="12" t="n">
        <x:f>SUM(B1780,D1780:E1780)</x:f>
        <x:v>129551.326323</x:v>
      </x:c>
      <x:c r="G1780" s="12" t="n">
        <x:f>MAX(G1779,F1780)</x:f>
        <x:v>138687.599344</x:v>
      </x:c>
      <x:c r="H1780" s="14" t="n">
        <x:f>F1780/G1780-1</x:f>
        <x:v>-0.06587663975881808</x:v>
      </x:c>
      <x:c r="I1780" s="14" t="n">
        <x:f>F1780/F1779-1</x:f>
        <x:v>0</x:v>
      </x:c>
      <x:c r="J1780" s="12" t="n">
        <x:v>0</x:v>
      </x:c>
      <x:c r="K1780" s="12" t="n">
        <x:v>0</x:v>
      </x:c>
      <x:c r="L1780" s="12" t="n">
        <x:v>0</x:v>
      </x:c>
      <x:c r="M1780" s="2" t="str">
        <x:v>空仓</x:v>
      </x:c>
    </x:row>
    <x:row r="1781" ht="23" customHeight="1">
      <x:c r="A1781" s="11" t="d">
        <x:v>2022-01-20T00:00:00.000Z</x:v>
      </x:c>
      <x:c r="B1781" s="12" t="n">
        <x:v>129078.397764</x:v>
      </x:c>
      <x:c r="C1781" s="13" t="n">
        <x:v>0</x:v>
      </x:c>
      <x:c r="D1781" s="12" t="n">
        <x:v>0</x:v>
      </x:c>
      <x:c r="E1781" s="12" t="n">
        <x:v>472.928559</x:v>
      </x:c>
      <x:c r="F1781" s="12" t="n">
        <x:f>SUM(B1781,D1781:E1781)</x:f>
        <x:v>129551.326323</x:v>
      </x:c>
      <x:c r="G1781" s="12" t="n">
        <x:f>MAX(G1780,F1781)</x:f>
        <x:v>138687.599344</x:v>
      </x:c>
      <x:c r="H1781" s="14" t="n">
        <x:f>F1781/G1781-1</x:f>
        <x:v>-0.06587663975881808</x:v>
      </x:c>
      <x:c r="I1781" s="14" t="n">
        <x:f>F1781/F1780-1</x:f>
        <x:v>0</x:v>
      </x:c>
      <x:c r="J1781" s="12" t="n">
        <x:v>0</x:v>
      </x:c>
      <x:c r="K1781" s="12" t="n">
        <x:v>0</x:v>
      </x:c>
      <x:c r="L1781" s="12" t="n">
        <x:v>0</x:v>
      </x:c>
      <x:c r="M1781" s="2" t="str">
        <x:v>空仓</x:v>
      </x:c>
    </x:row>
    <x:row r="1782" ht="23" customHeight="1">
      <x:c r="A1782" s="11" t="d">
        <x:v>2022-01-21T00:00:00.000Z</x:v>
      </x:c>
      <x:c r="B1782" s="12" t="n">
        <x:v>129078.397764</x:v>
      </x:c>
      <x:c r="C1782" s="13" t="n">
        <x:v>0</x:v>
      </x:c>
      <x:c r="D1782" s="12" t="n">
        <x:v>0</x:v>
      </x:c>
      <x:c r="E1782" s="12" t="n">
        <x:v>472.928559</x:v>
      </x:c>
      <x:c r="F1782" s="12" t="n">
        <x:f>SUM(B1782,D1782:E1782)</x:f>
        <x:v>129551.326323</x:v>
      </x:c>
      <x:c r="G1782" s="12" t="n">
        <x:f>MAX(G1781,F1782)</x:f>
        <x:v>138687.599344</x:v>
      </x:c>
      <x:c r="H1782" s="14" t="n">
        <x:f>F1782/G1782-1</x:f>
        <x:v>-0.06587663975881808</x:v>
      </x:c>
      <x:c r="I1782" s="14" t="n">
        <x:f>F1782/F1781-1</x:f>
        <x:v>0</x:v>
      </x:c>
      <x:c r="J1782" s="12" t="n">
        <x:v>0</x:v>
      </x:c>
      <x:c r="K1782" s="12" t="n">
        <x:v>0</x:v>
      </x:c>
      <x:c r="L1782" s="12" t="n">
        <x:v>0</x:v>
      </x:c>
      <x:c r="M1782" s="2" t="str">
        <x:v>空仓</x:v>
      </x:c>
    </x:row>
    <x:row r="1783" ht="23" customHeight="1">
      <x:c r="A1783" s="11" t="d">
        <x:v>2022-01-24T00:00:00.000Z</x:v>
      </x:c>
      <x:c r="B1783" s="12" t="n">
        <x:v>129078.397764</x:v>
      </x:c>
      <x:c r="C1783" s="13" t="n">
        <x:v>0</x:v>
      </x:c>
      <x:c r="D1783" s="12" t="n">
        <x:v>0</x:v>
      </x:c>
      <x:c r="E1783" s="12" t="n">
        <x:v>472.928559</x:v>
      </x:c>
      <x:c r="F1783" s="12" t="n">
        <x:f>SUM(B1783,D1783:E1783)</x:f>
        <x:v>129551.326323</x:v>
      </x:c>
      <x:c r="G1783" s="12" t="n">
        <x:f>MAX(G1782,F1783)</x:f>
        <x:v>138687.599344</x:v>
      </x:c>
      <x:c r="H1783" s="14" t="n">
        <x:f>F1783/G1783-1</x:f>
        <x:v>-0.06587663975881808</x:v>
      </x:c>
      <x:c r="I1783" s="14" t="n">
        <x:f>F1783/F1782-1</x:f>
        <x:v>0</x:v>
      </x:c>
      <x:c r="J1783" s="12" t="n">
        <x:v>0</x:v>
      </x:c>
      <x:c r="K1783" s="12" t="n">
        <x:v>0</x:v>
      </x:c>
      <x:c r="L1783" s="12" t="n">
        <x:v>0</x:v>
      </x:c>
      <x:c r="M1783" s="2" t="str">
        <x:v>空仓</x:v>
      </x:c>
    </x:row>
    <x:row r="1784" ht="23" customHeight="1">
      <x:c r="A1784" s="11" t="d">
        <x:v>2022-01-25T00:00:00.000Z</x:v>
      </x:c>
      <x:c r="B1784" s="12" t="n">
        <x:v>129078.397764</x:v>
      </x:c>
      <x:c r="C1784" s="13" t="n">
        <x:v>0</x:v>
      </x:c>
      <x:c r="D1784" s="12" t="n">
        <x:v>0</x:v>
      </x:c>
      <x:c r="E1784" s="12" t="n">
        <x:v>472.928559</x:v>
      </x:c>
      <x:c r="F1784" s="12" t="n">
        <x:f>SUM(B1784,D1784:E1784)</x:f>
        <x:v>129551.326323</x:v>
      </x:c>
      <x:c r="G1784" s="12" t="n">
        <x:f>MAX(G1783,F1784)</x:f>
        <x:v>138687.599344</x:v>
      </x:c>
      <x:c r="H1784" s="14" t="n">
        <x:f>F1784/G1784-1</x:f>
        <x:v>-0.06587663975881808</x:v>
      </x:c>
      <x:c r="I1784" s="14" t="n">
        <x:f>F1784/F1783-1</x:f>
        <x:v>0</x:v>
      </x:c>
      <x:c r="J1784" s="12" t="n">
        <x:v>0</x:v>
      </x:c>
      <x:c r="K1784" s="12" t="n">
        <x:v>0</x:v>
      </x:c>
      <x:c r="L1784" s="12" t="n">
        <x:v>0</x:v>
      </x:c>
      <x:c r="M1784" s="2" t="str">
        <x:v>空仓</x:v>
      </x:c>
    </x:row>
    <x:row r="1785" ht="23" customHeight="1">
      <x:c r="A1785" s="11" t="d">
        <x:v>2022-01-26T00:00:00.000Z</x:v>
      </x:c>
      <x:c r="B1785" s="12" t="n">
        <x:v>129078.397764</x:v>
      </x:c>
      <x:c r="C1785" s="13" t="n">
        <x:v>0</x:v>
      </x:c>
      <x:c r="D1785" s="12" t="n">
        <x:v>0</x:v>
      </x:c>
      <x:c r="E1785" s="12" t="n">
        <x:v>472.928559</x:v>
      </x:c>
      <x:c r="F1785" s="12" t="n">
        <x:f>SUM(B1785,D1785:E1785)</x:f>
        <x:v>129551.326323</x:v>
      </x:c>
      <x:c r="G1785" s="12" t="n">
        <x:f>MAX(G1784,F1785)</x:f>
        <x:v>138687.599344</x:v>
      </x:c>
      <x:c r="H1785" s="14" t="n">
        <x:f>F1785/G1785-1</x:f>
        <x:v>-0.06587663975881808</x:v>
      </x:c>
      <x:c r="I1785" s="14" t="n">
        <x:f>F1785/F1784-1</x:f>
        <x:v>0</x:v>
      </x:c>
      <x:c r="J1785" s="12" t="n">
        <x:v>0</x:v>
      </x:c>
      <x:c r="K1785" s="12" t="n">
        <x:v>0</x:v>
      </x:c>
      <x:c r="L1785" s="12" t="n">
        <x:v>0</x:v>
      </x:c>
      <x:c r="M1785" s="2" t="str">
        <x:v>空仓</x:v>
      </x:c>
    </x:row>
    <x:row r="1786" ht="23" customHeight="1">
      <x:c r="A1786" s="11" t="d">
        <x:v>2022-01-27T00:00:00.000Z</x:v>
      </x:c>
      <x:c r="B1786" s="12" t="n">
        <x:v>129078.397764</x:v>
      </x:c>
      <x:c r="C1786" s="13" t="n">
        <x:v>0</x:v>
      </x:c>
      <x:c r="D1786" s="12" t="n">
        <x:v>0</x:v>
      </x:c>
      <x:c r="E1786" s="12" t="n">
        <x:v>472.928559</x:v>
      </x:c>
      <x:c r="F1786" s="12" t="n">
        <x:f>SUM(B1786,D1786:E1786)</x:f>
        <x:v>129551.326323</x:v>
      </x:c>
      <x:c r="G1786" s="12" t="n">
        <x:f>MAX(G1785,F1786)</x:f>
        <x:v>138687.599344</x:v>
      </x:c>
      <x:c r="H1786" s="14" t="n">
        <x:f>F1786/G1786-1</x:f>
        <x:v>-0.06587663975881808</x:v>
      </x:c>
      <x:c r="I1786" s="14" t="n">
        <x:f>F1786/F1785-1</x:f>
        <x:v>0</x:v>
      </x:c>
      <x:c r="J1786" s="12" t="n">
        <x:v>0</x:v>
      </x:c>
      <x:c r="K1786" s="12" t="n">
        <x:v>0</x:v>
      </x:c>
      <x:c r="L1786" s="12" t="n">
        <x:v>0</x:v>
      </x:c>
      <x:c r="M1786" s="2" t="str">
        <x:v>空仓</x:v>
      </x:c>
    </x:row>
    <x:row r="1787" ht="23" customHeight="1">
      <x:c r="A1787" s="11" t="d">
        <x:v>2022-01-28T00:00:00.000Z</x:v>
      </x:c>
      <x:c r="B1787" s="12" t="n">
        <x:v>129078.397764</x:v>
      </x:c>
      <x:c r="C1787" s="13" t="n">
        <x:v>0</x:v>
      </x:c>
      <x:c r="D1787" s="12" t="n">
        <x:v>0</x:v>
      </x:c>
      <x:c r="E1787" s="12" t="n">
        <x:v>472.928559</x:v>
      </x:c>
      <x:c r="F1787" s="12" t="n">
        <x:f>SUM(B1787,D1787:E1787)</x:f>
        <x:v>129551.326323</x:v>
      </x:c>
      <x:c r="G1787" s="12" t="n">
        <x:f>MAX(G1786,F1787)</x:f>
        <x:v>138687.599344</x:v>
      </x:c>
      <x:c r="H1787" s="14" t="n">
        <x:f>F1787/G1787-1</x:f>
        <x:v>-0.06587663975881808</x:v>
      </x:c>
      <x:c r="I1787" s="14" t="n">
        <x:f>F1787/F1786-1</x:f>
        <x:v>0</x:v>
      </x:c>
      <x:c r="J1787" s="12" t="n">
        <x:v>0</x:v>
      </x:c>
      <x:c r="K1787" s="12" t="n">
        <x:v>0</x:v>
      </x:c>
      <x:c r="L1787" s="12" t="n">
        <x:v>0</x:v>
      </x:c>
      <x:c r="M1787" s="2" t="str">
        <x:v>空仓</x:v>
      </x:c>
    </x:row>
    <x:row r="1788" ht="23" customHeight="1">
      <x:c r="A1788" s="11" t="d">
        <x:v>2022-01-31T00:00:00.000Z</x:v>
      </x:c>
      <x:c r="B1788" s="12" t="n">
        <x:v>129551.326323</x:v>
      </x:c>
      <x:c r="C1788" s="13" t="n">
        <x:v>0</x:v>
      </x:c>
      <x:c r="D1788" s="12" t="n">
        <x:v>0</x:v>
      </x:c>
      <x:c r="E1788" s="12" t="n">
        <x:v>0</x:v>
      </x:c>
      <x:c r="F1788" s="12" t="n">
        <x:f>SUM(B1788,D1788:E1788)</x:f>
        <x:v>129551.326323</x:v>
      </x:c>
      <x:c r="G1788" s="12" t="n">
        <x:f>MAX(G1787,F1788)</x:f>
        <x:v>138687.599344</x:v>
      </x:c>
      <x:c r="H1788" s="14" t="n">
        <x:f>F1788/G1788-1</x:f>
        <x:v>-0.06587663975881808</x:v>
      </x:c>
      <x:c r="I1788" s="14" t="n">
        <x:f>F1788/F1787-1</x:f>
        <x:v>0</x:v>
      </x:c>
      <x:c r="J1788" s="12" t="n">
        <x:v>0</x:v>
      </x:c>
      <x:c r="K1788" s="12" t="n">
        <x:v>472.928559</x:v>
      </x:c>
      <x:c r="L1788" s="12" t="n">
        <x:v>0</x:v>
      </x:c>
      <x:c r="M1788" s="2" t="str">
        <x:v>空仓</x:v>
      </x:c>
    </x:row>
    <x:row r="1789" ht="23" customHeight="1">
      <x:c r="A1789" s="11" t="d">
        <x:v>2022-02-01T00:00:00.000Z</x:v>
      </x:c>
      <x:c r="B1789" s="12" t="n">
        <x:v>129551.326323</x:v>
      </x:c>
      <x:c r="C1789" s="13" t="n">
        <x:v>0</x:v>
      </x:c>
      <x:c r="D1789" s="12" t="n">
        <x:v>0</x:v>
      </x:c>
      <x:c r="E1789" s="12" t="n">
        <x:v>0</x:v>
      </x:c>
      <x:c r="F1789" s="12" t="n">
        <x:f>SUM(B1789,D1789:E1789)</x:f>
        <x:v>129551.326323</x:v>
      </x:c>
      <x:c r="G1789" s="12" t="n">
        <x:f>MAX(G1788,F1789)</x:f>
        <x:v>138687.599344</x:v>
      </x:c>
      <x:c r="H1789" s="14" t="n">
        <x:f>F1789/G1789-1</x:f>
        <x:v>-0.06587663975881808</x:v>
      </x:c>
      <x:c r="I1789" s="14" t="n">
        <x:f>F1789/F1788-1</x:f>
        <x:v>0</x:v>
      </x:c>
      <x:c r="J1789" s="12" t="n">
        <x:v>0</x:v>
      </x:c>
      <x:c r="K1789" s="12" t="n">
        <x:v>0</x:v>
      </x:c>
      <x:c r="L1789" s="12" t="n">
        <x:v>0</x:v>
      </x:c>
      <x:c r="M1789" s="2" t="str">
        <x:v>空仓</x:v>
      </x:c>
    </x:row>
    <x:row r="1790" ht="23" customHeight="1">
      <x:c r="A1790" s="11" t="d">
        <x:v>2022-02-02T00:00:00.000Z</x:v>
      </x:c>
      <x:c r="B1790" s="12" t="n">
        <x:v>129551.326323</x:v>
      </x:c>
      <x:c r="C1790" s="13" t="n">
        <x:v>0</x:v>
      </x:c>
      <x:c r="D1790" s="12" t="n">
        <x:v>0</x:v>
      </x:c>
      <x:c r="E1790" s="12" t="n">
        <x:v>0</x:v>
      </x:c>
      <x:c r="F1790" s="12" t="n">
        <x:f>SUM(B1790,D1790:E1790)</x:f>
        <x:v>129551.326323</x:v>
      </x:c>
      <x:c r="G1790" s="12" t="n">
        <x:f>MAX(G1789,F1790)</x:f>
        <x:v>138687.599344</x:v>
      </x:c>
      <x:c r="H1790" s="14" t="n">
        <x:f>F1790/G1790-1</x:f>
        <x:v>-0.06587663975881808</x:v>
      </x:c>
      <x:c r="I1790" s="14" t="n">
        <x:f>F1790/F1789-1</x:f>
        <x:v>0</x:v>
      </x:c>
      <x:c r="J1790" s="12" t="n">
        <x:v>0</x:v>
      </x:c>
      <x:c r="K1790" s="12" t="n">
        <x:v>0</x:v>
      </x:c>
      <x:c r="L1790" s="12" t="n">
        <x:v>0</x:v>
      </x:c>
      <x:c r="M1790" s="2" t="str">
        <x:v>空仓</x:v>
      </x:c>
    </x:row>
    <x:row r="1791" ht="23" customHeight="1">
      <x:c r="A1791" s="11" t="d">
        <x:v>2022-02-03T00:00:00.000Z</x:v>
      </x:c>
      <x:c r="B1791" s="12" t="n">
        <x:v>129551.326323</x:v>
      </x:c>
      <x:c r="C1791" s="13" t="n">
        <x:v>0</x:v>
      </x:c>
      <x:c r="D1791" s="12" t="n">
        <x:v>0</x:v>
      </x:c>
      <x:c r="E1791" s="12" t="n">
        <x:v>0</x:v>
      </x:c>
      <x:c r="F1791" s="12" t="n">
        <x:f>SUM(B1791,D1791:E1791)</x:f>
        <x:v>129551.326323</x:v>
      </x:c>
      <x:c r="G1791" s="12" t="n">
        <x:f>MAX(G1790,F1791)</x:f>
        <x:v>138687.599344</x:v>
      </x:c>
      <x:c r="H1791" s="14" t="n">
        <x:f>F1791/G1791-1</x:f>
        <x:v>-0.06587663975881808</x:v>
      </x:c>
      <x:c r="I1791" s="14" t="n">
        <x:f>F1791/F1790-1</x:f>
        <x:v>0</x:v>
      </x:c>
      <x:c r="J1791" s="12" t="n">
        <x:v>0</x:v>
      </x:c>
      <x:c r="K1791" s="12" t="n">
        <x:v>0</x:v>
      </x:c>
      <x:c r="L1791" s="12" t="n">
        <x:v>0</x:v>
      </x:c>
      <x:c r="M1791" s="2" t="str">
        <x:v>空仓</x:v>
      </x:c>
    </x:row>
    <x:row r="1792" ht="23" customHeight="1">
      <x:c r="A1792" s="11" t="d">
        <x:v>2022-02-04T00:00:00.000Z</x:v>
      </x:c>
      <x:c r="B1792" s="12" t="n">
        <x:v>129551.326323</x:v>
      </x:c>
      <x:c r="C1792" s="13" t="n">
        <x:v>0</x:v>
      </x:c>
      <x:c r="D1792" s="12" t="n">
        <x:v>0</x:v>
      </x:c>
      <x:c r="E1792" s="12" t="n">
        <x:v>0</x:v>
      </x:c>
      <x:c r="F1792" s="12" t="n">
        <x:f>SUM(B1792,D1792:E1792)</x:f>
        <x:v>129551.326323</x:v>
      </x:c>
      <x:c r="G1792" s="12" t="n">
        <x:f>MAX(G1791,F1792)</x:f>
        <x:v>138687.599344</x:v>
      </x:c>
      <x:c r="H1792" s="14" t="n">
        <x:f>F1792/G1792-1</x:f>
        <x:v>-0.06587663975881808</x:v>
      </x:c>
      <x:c r="I1792" s="14" t="n">
        <x:f>F1792/F1791-1</x:f>
        <x:v>0</x:v>
      </x:c>
      <x:c r="J1792" s="12" t="n">
        <x:v>0</x:v>
      </x:c>
      <x:c r="K1792" s="12" t="n">
        <x:v>0</x:v>
      </x:c>
      <x:c r="L1792" s="12" t="n">
        <x:v>0</x:v>
      </x:c>
      <x:c r="M1792" s="2" t="str">
        <x:v>空仓</x:v>
      </x:c>
    </x:row>
    <x:row r="1793" ht="23" customHeight="1">
      <x:c r="A1793" s="11" t="d">
        <x:v>2022-02-07T00:00:00.000Z</x:v>
      </x:c>
      <x:c r="B1793" s="12" t="n">
        <x:v>129551.326323</x:v>
      </x:c>
      <x:c r="C1793" s="13" t="n">
        <x:v>0</x:v>
      </x:c>
      <x:c r="D1793" s="12" t="n">
        <x:v>0</x:v>
      </x:c>
      <x:c r="E1793" s="12" t="n">
        <x:v>0</x:v>
      </x:c>
      <x:c r="F1793" s="12" t="n">
        <x:f>SUM(B1793,D1793:E1793)</x:f>
        <x:v>129551.326323</x:v>
      </x:c>
      <x:c r="G1793" s="12" t="n">
        <x:f>MAX(G1792,F1793)</x:f>
        <x:v>138687.599344</x:v>
      </x:c>
      <x:c r="H1793" s="14" t="n">
        <x:f>F1793/G1793-1</x:f>
        <x:v>-0.06587663975881808</x:v>
      </x:c>
      <x:c r="I1793" s="14" t="n">
        <x:f>F1793/F1792-1</x:f>
        <x:v>0</x:v>
      </x:c>
      <x:c r="J1793" s="12" t="n">
        <x:v>0</x:v>
      </x:c>
      <x:c r="K1793" s="12" t="n">
        <x:v>0</x:v>
      </x:c>
      <x:c r="L1793" s="12" t="n">
        <x:v>0</x:v>
      </x:c>
      <x:c r="M1793" s="2" t="str">
        <x:v>空仓</x:v>
      </x:c>
    </x:row>
    <x:row r="1794" ht="23" customHeight="1">
      <x:c r="A1794" s="11" t="d">
        <x:v>2022-02-08T00:00:00.000Z</x:v>
      </x:c>
      <x:c r="B1794" s="12" t="n">
        <x:v>129551.326323</x:v>
      </x:c>
      <x:c r="C1794" s="13" t="n">
        <x:v>0</x:v>
      </x:c>
      <x:c r="D1794" s="12" t="n">
        <x:v>0</x:v>
      </x:c>
      <x:c r="E1794" s="12" t="n">
        <x:v>0</x:v>
      </x:c>
      <x:c r="F1794" s="12" t="n">
        <x:f>SUM(B1794,D1794:E1794)</x:f>
        <x:v>129551.326323</x:v>
      </x:c>
      <x:c r="G1794" s="12" t="n">
        <x:f>MAX(G1793,F1794)</x:f>
        <x:v>138687.599344</x:v>
      </x:c>
      <x:c r="H1794" s="14" t="n">
        <x:f>F1794/G1794-1</x:f>
        <x:v>-0.06587663975881808</x:v>
      </x:c>
      <x:c r="I1794" s="14" t="n">
        <x:f>F1794/F1793-1</x:f>
        <x:v>0</x:v>
      </x:c>
      <x:c r="J1794" s="12" t="n">
        <x:v>0</x:v>
      </x:c>
      <x:c r="K1794" s="12" t="n">
        <x:v>0</x:v>
      </x:c>
      <x:c r="L1794" s="12" t="n">
        <x:v>0</x:v>
      </x:c>
      <x:c r="M1794" s="2" t="str">
        <x:v>空仓</x:v>
      </x:c>
    </x:row>
    <x:row r="1795" ht="23" customHeight="1">
      <x:c r="A1795" s="11" t="d">
        <x:v>2022-02-09T00:00:00.000Z</x:v>
      </x:c>
      <x:c r="B1795" s="12" t="n">
        <x:v>129551.326323</x:v>
      </x:c>
      <x:c r="C1795" s="13" t="n">
        <x:v>0</x:v>
      </x:c>
      <x:c r="D1795" s="12" t="n">
        <x:v>0</x:v>
      </x:c>
      <x:c r="E1795" s="12" t="n">
        <x:v>0</x:v>
      </x:c>
      <x:c r="F1795" s="12" t="n">
        <x:f>SUM(B1795,D1795:E1795)</x:f>
        <x:v>129551.326323</x:v>
      </x:c>
      <x:c r="G1795" s="12" t="n">
        <x:f>MAX(G1794,F1795)</x:f>
        <x:v>138687.599344</x:v>
      </x:c>
      <x:c r="H1795" s="14" t="n">
        <x:f>F1795/G1795-1</x:f>
        <x:v>-0.06587663975881808</x:v>
      </x:c>
      <x:c r="I1795" s="14" t="n">
        <x:f>F1795/F1794-1</x:f>
        <x:v>0</x:v>
      </x:c>
      <x:c r="J1795" s="12" t="n">
        <x:v>0</x:v>
      </x:c>
      <x:c r="K1795" s="12" t="n">
        <x:v>0</x:v>
      </x:c>
      <x:c r="L1795" s="12" t="n">
        <x:v>0</x:v>
      </x:c>
      <x:c r="M1795" s="2" t="str">
        <x:v>空仓</x:v>
      </x:c>
    </x:row>
    <x:row r="1796" ht="23" customHeight="1">
      <x:c r="A1796" s="11" t="d">
        <x:v>2022-02-10T00:00:00.000Z</x:v>
      </x:c>
      <x:c r="B1796" s="12" t="n">
        <x:v>129551.326323</x:v>
      </x:c>
      <x:c r="C1796" s="13" t="n">
        <x:v>0</x:v>
      </x:c>
      <x:c r="D1796" s="12" t="n">
        <x:v>0</x:v>
      </x:c>
      <x:c r="E1796" s="12" t="n">
        <x:v>0</x:v>
      </x:c>
      <x:c r="F1796" s="12" t="n">
        <x:f>SUM(B1796,D1796:E1796)</x:f>
        <x:v>129551.326323</x:v>
      </x:c>
      <x:c r="G1796" s="12" t="n">
        <x:f>MAX(G1795,F1796)</x:f>
        <x:v>138687.599344</x:v>
      </x:c>
      <x:c r="H1796" s="14" t="n">
        <x:f>F1796/G1796-1</x:f>
        <x:v>-0.06587663975881808</x:v>
      </x:c>
      <x:c r="I1796" s="14" t="n">
        <x:f>F1796/F1795-1</x:f>
        <x:v>0</x:v>
      </x:c>
      <x:c r="J1796" s="12" t="n">
        <x:v>0</x:v>
      </x:c>
      <x:c r="K1796" s="12" t="n">
        <x:v>0</x:v>
      </x:c>
      <x:c r="L1796" s="12" t="n">
        <x:v>0</x:v>
      </x:c>
      <x:c r="M1796" s="2" t="str">
        <x:v>空仓</x:v>
      </x:c>
    </x:row>
    <x:row r="1797" ht="23" customHeight="1">
      <x:c r="A1797" s="11" t="d">
        <x:v>2022-02-11T00:00:00.000Z</x:v>
      </x:c>
      <x:c r="B1797" s="12" t="n">
        <x:v>129551.326323</x:v>
      </x:c>
      <x:c r="C1797" s="13" t="n">
        <x:v>0</x:v>
      </x:c>
      <x:c r="D1797" s="12" t="n">
        <x:v>0</x:v>
      </x:c>
      <x:c r="E1797" s="12" t="n">
        <x:v>0</x:v>
      </x:c>
      <x:c r="F1797" s="12" t="n">
        <x:f>SUM(B1797,D1797:E1797)</x:f>
        <x:v>129551.326323</x:v>
      </x:c>
      <x:c r="G1797" s="12" t="n">
        <x:f>MAX(G1796,F1797)</x:f>
        <x:v>138687.599344</x:v>
      </x:c>
      <x:c r="H1797" s="14" t="n">
        <x:f>F1797/G1797-1</x:f>
        <x:v>-0.06587663975881808</x:v>
      </x:c>
      <x:c r="I1797" s="14" t="n">
        <x:f>F1797/F1796-1</x:f>
        <x:v>0</x:v>
      </x:c>
      <x:c r="J1797" s="12" t="n">
        <x:v>0</x:v>
      </x:c>
      <x:c r="K1797" s="12" t="n">
        <x:v>0</x:v>
      </x:c>
      <x:c r="L1797" s="12" t="n">
        <x:v>0</x:v>
      </x:c>
      <x:c r="M1797" s="2" t="str">
        <x:v>空仓</x:v>
      </x:c>
    </x:row>
    <x:row r="1798" ht="23" customHeight="1">
      <x:c r="A1798" s="11" t="d">
        <x:v>2022-02-14T00:00:00.000Z</x:v>
      </x:c>
      <x:c r="B1798" s="12" t="n">
        <x:v>129551.326323</x:v>
      </x:c>
      <x:c r="C1798" s="13" t="n">
        <x:v>0</x:v>
      </x:c>
      <x:c r="D1798" s="12" t="n">
        <x:v>0</x:v>
      </x:c>
      <x:c r="E1798" s="12" t="n">
        <x:v>0</x:v>
      </x:c>
      <x:c r="F1798" s="12" t="n">
        <x:f>SUM(B1798,D1798:E1798)</x:f>
        <x:v>129551.326323</x:v>
      </x:c>
      <x:c r="G1798" s="12" t="n">
        <x:f>MAX(G1797,F1798)</x:f>
        <x:v>138687.599344</x:v>
      </x:c>
      <x:c r="H1798" s="14" t="n">
        <x:f>F1798/G1798-1</x:f>
        <x:v>-0.06587663975881808</x:v>
      </x:c>
      <x:c r="I1798" s="14" t="n">
        <x:f>F1798/F1797-1</x:f>
        <x:v>0</x:v>
      </x:c>
      <x:c r="J1798" s="12" t="n">
        <x:v>0</x:v>
      </x:c>
      <x:c r="K1798" s="12" t="n">
        <x:v>0</x:v>
      </x:c>
      <x:c r="L1798" s="12" t="n">
        <x:v>0</x:v>
      </x:c>
      <x:c r="M1798" s="2" t="str">
        <x:v>空仓</x:v>
      </x:c>
    </x:row>
    <x:row r="1799" ht="23" customHeight="1">
      <x:c r="A1799" s="11" t="d">
        <x:v>2022-02-15T00:00:00.000Z</x:v>
      </x:c>
      <x:c r="B1799" s="12" t="n">
        <x:v>129551.326323</x:v>
      </x:c>
      <x:c r="C1799" s="13" t="n">
        <x:v>0</x:v>
      </x:c>
      <x:c r="D1799" s="12" t="n">
        <x:v>0</x:v>
      </x:c>
      <x:c r="E1799" s="12" t="n">
        <x:v>0</x:v>
      </x:c>
      <x:c r="F1799" s="12" t="n">
        <x:f>SUM(B1799,D1799:E1799)</x:f>
        <x:v>129551.326323</x:v>
      </x:c>
      <x:c r="G1799" s="12" t="n">
        <x:f>MAX(G1798,F1799)</x:f>
        <x:v>138687.599344</x:v>
      </x:c>
      <x:c r="H1799" s="14" t="n">
        <x:f>F1799/G1799-1</x:f>
        <x:v>-0.06587663975881808</x:v>
      </x:c>
      <x:c r="I1799" s="14" t="n">
        <x:f>F1799/F1798-1</x:f>
        <x:v>0</x:v>
      </x:c>
      <x:c r="J1799" s="12" t="n">
        <x:v>0</x:v>
      </x:c>
      <x:c r="K1799" s="12" t="n">
        <x:v>0</x:v>
      </x:c>
      <x:c r="L1799" s="12" t="n">
        <x:v>0</x:v>
      </x:c>
      <x:c r="M1799" s="2" t="str">
        <x:v>空仓</x:v>
      </x:c>
    </x:row>
    <x:row r="1800" ht="23" customHeight="1">
      <x:c r="A1800" s="11" t="d">
        <x:v>2022-02-16T00:00:00.000Z</x:v>
      </x:c>
      <x:c r="B1800" s="12" t="n">
        <x:v>129551.326323</x:v>
      </x:c>
      <x:c r="C1800" s="13" t="n">
        <x:v>0</x:v>
      </x:c>
      <x:c r="D1800" s="12" t="n">
        <x:v>0</x:v>
      </x:c>
      <x:c r="E1800" s="12" t="n">
        <x:v>0</x:v>
      </x:c>
      <x:c r="F1800" s="12" t="n">
        <x:f>SUM(B1800,D1800:E1800)</x:f>
        <x:v>129551.326323</x:v>
      </x:c>
      <x:c r="G1800" s="12" t="n">
        <x:f>MAX(G1799,F1800)</x:f>
        <x:v>138687.599344</x:v>
      </x:c>
      <x:c r="H1800" s="14" t="n">
        <x:f>F1800/G1800-1</x:f>
        <x:v>-0.06587663975881808</x:v>
      </x:c>
      <x:c r="I1800" s="14" t="n">
        <x:f>F1800/F1799-1</x:f>
        <x:v>0</x:v>
      </x:c>
      <x:c r="J1800" s="12" t="n">
        <x:v>0</x:v>
      </x:c>
      <x:c r="K1800" s="12" t="n">
        <x:v>0</x:v>
      </x:c>
      <x:c r="L1800" s="12" t="n">
        <x:v>0</x:v>
      </x:c>
      <x:c r="M1800" s="2" t="str">
        <x:v>空仓</x:v>
      </x:c>
    </x:row>
    <x:row r="1801" ht="23" customHeight="1">
      <x:c r="A1801" s="11" t="d">
        <x:v>2022-02-17T00:00:00.000Z</x:v>
      </x:c>
      <x:c r="B1801" s="12" t="n">
        <x:v>129551.326323</x:v>
      </x:c>
      <x:c r="C1801" s="13" t="n">
        <x:v>0</x:v>
      </x:c>
      <x:c r="D1801" s="12" t="n">
        <x:v>0</x:v>
      </x:c>
      <x:c r="E1801" s="12" t="n">
        <x:v>0</x:v>
      </x:c>
      <x:c r="F1801" s="12" t="n">
        <x:f>SUM(B1801,D1801:E1801)</x:f>
        <x:v>129551.326323</x:v>
      </x:c>
      <x:c r="G1801" s="12" t="n">
        <x:f>MAX(G1800,F1801)</x:f>
        <x:v>138687.599344</x:v>
      </x:c>
      <x:c r="H1801" s="14" t="n">
        <x:f>F1801/G1801-1</x:f>
        <x:v>-0.06587663975881808</x:v>
      </x:c>
      <x:c r="I1801" s="14" t="n">
        <x:f>F1801/F1800-1</x:f>
        <x:v>0</x:v>
      </x:c>
      <x:c r="J1801" s="12" t="n">
        <x:v>0</x:v>
      </x:c>
      <x:c r="K1801" s="12" t="n">
        <x:v>0</x:v>
      </x:c>
      <x:c r="L1801" s="12" t="n">
        <x:v>0</x:v>
      </x:c>
      <x:c r="M1801" s="2" t="str">
        <x:v>空仓</x:v>
      </x:c>
    </x:row>
    <x:row r="1802" ht="23" customHeight="1">
      <x:c r="A1802" s="11" t="d">
        <x:v>2022-02-18T00:00:00.000Z</x:v>
      </x:c>
      <x:c r="B1802" s="12" t="n">
        <x:v>129551.326323</x:v>
      </x:c>
      <x:c r="C1802" s="13" t="n">
        <x:v>0</x:v>
      </x:c>
      <x:c r="D1802" s="12" t="n">
        <x:v>0</x:v>
      </x:c>
      <x:c r="E1802" s="12" t="n">
        <x:v>0</x:v>
      </x:c>
      <x:c r="F1802" s="12" t="n">
        <x:f>SUM(B1802,D1802:E1802)</x:f>
        <x:v>129551.326323</x:v>
      </x:c>
      <x:c r="G1802" s="12" t="n">
        <x:f>MAX(G1801,F1802)</x:f>
        <x:v>138687.599344</x:v>
      </x:c>
      <x:c r="H1802" s="14" t="n">
        <x:f>F1802/G1802-1</x:f>
        <x:v>-0.06587663975881808</x:v>
      </x:c>
      <x:c r="I1802" s="14" t="n">
        <x:f>F1802/F1801-1</x:f>
        <x:v>0</x:v>
      </x:c>
      <x:c r="J1802" s="12" t="n">
        <x:v>0</x:v>
      </x:c>
      <x:c r="K1802" s="12" t="n">
        <x:v>0</x:v>
      </x:c>
      <x:c r="L1802" s="12" t="n">
        <x:v>0</x:v>
      </x:c>
      <x:c r="M1802" s="2" t="str">
        <x:v>空仓</x:v>
      </x:c>
    </x:row>
    <x:row r="1803" ht="23" customHeight="1">
      <x:c r="A1803" s="11" t="d">
        <x:v>2022-02-22T00:00:00.000Z</x:v>
      </x:c>
      <x:c r="B1803" s="12" t="n">
        <x:v>129551.326323</x:v>
      </x:c>
      <x:c r="C1803" s="13" t="n">
        <x:v>0</x:v>
      </x:c>
      <x:c r="D1803" s="12" t="n">
        <x:v>0</x:v>
      </x:c>
      <x:c r="E1803" s="12" t="n">
        <x:v>0</x:v>
      </x:c>
      <x:c r="F1803" s="12" t="n">
        <x:f>SUM(B1803,D1803:E1803)</x:f>
        <x:v>129551.326323</x:v>
      </x:c>
      <x:c r="G1803" s="12" t="n">
        <x:f>MAX(G1802,F1803)</x:f>
        <x:v>138687.599344</x:v>
      </x:c>
      <x:c r="H1803" s="14" t="n">
        <x:f>F1803/G1803-1</x:f>
        <x:v>-0.06587663975881808</x:v>
      </x:c>
      <x:c r="I1803" s="14" t="n">
        <x:f>F1803/F1802-1</x:f>
        <x:v>0</x:v>
      </x:c>
      <x:c r="J1803" s="12" t="n">
        <x:v>0</x:v>
      </x:c>
      <x:c r="K1803" s="12" t="n">
        <x:v>0</x:v>
      </x:c>
      <x:c r="L1803" s="12" t="n">
        <x:v>0</x:v>
      </x:c>
      <x:c r="M1803" s="2" t="str">
        <x:v>空仓</x:v>
      </x:c>
    </x:row>
    <x:row r="1804" ht="23" customHeight="1">
      <x:c r="A1804" s="11" t="d">
        <x:v>2022-02-23T00:00:00.000Z</x:v>
      </x:c>
      <x:c r="B1804" s="12" t="n">
        <x:v>129551.326323</x:v>
      </x:c>
      <x:c r="C1804" s="13" t="n">
        <x:v>0</x:v>
      </x:c>
      <x:c r="D1804" s="12" t="n">
        <x:v>0</x:v>
      </x:c>
      <x:c r="E1804" s="12" t="n">
        <x:v>0</x:v>
      </x:c>
      <x:c r="F1804" s="12" t="n">
        <x:f>SUM(B1804,D1804:E1804)</x:f>
        <x:v>129551.326323</x:v>
      </x:c>
      <x:c r="G1804" s="12" t="n">
        <x:f>MAX(G1803,F1804)</x:f>
        <x:v>138687.599344</x:v>
      </x:c>
      <x:c r="H1804" s="14" t="n">
        <x:f>F1804/G1804-1</x:f>
        <x:v>-0.06587663975881808</x:v>
      </x:c>
      <x:c r="I1804" s="14" t="n">
        <x:f>F1804/F1803-1</x:f>
        <x:v>0</x:v>
      </x:c>
      <x:c r="J1804" s="12" t="n">
        <x:v>0</x:v>
      </x:c>
      <x:c r="K1804" s="12" t="n">
        <x:v>0</x:v>
      </x:c>
      <x:c r="L1804" s="12" t="n">
        <x:v>0</x:v>
      </x:c>
      <x:c r="M1804" s="2" t="str">
        <x:v>空仓</x:v>
      </x:c>
    </x:row>
    <x:row r="1805" ht="23" customHeight="1">
      <x:c r="A1805" s="11" t="d">
        <x:v>2022-02-24T00:00:00.000Z</x:v>
      </x:c>
      <x:c r="B1805" s="12" t="n">
        <x:v>129551.326323</x:v>
      </x:c>
      <x:c r="C1805" s="13" t="n">
        <x:v>0</x:v>
      </x:c>
      <x:c r="D1805" s="12" t="n">
        <x:v>0</x:v>
      </x:c>
      <x:c r="E1805" s="12" t="n">
        <x:v>0</x:v>
      </x:c>
      <x:c r="F1805" s="12" t="n">
        <x:f>SUM(B1805,D1805:E1805)</x:f>
        <x:v>129551.326323</x:v>
      </x:c>
      <x:c r="G1805" s="12" t="n">
        <x:f>MAX(G1804,F1805)</x:f>
        <x:v>138687.599344</x:v>
      </x:c>
      <x:c r="H1805" s="14" t="n">
        <x:f>F1805/G1805-1</x:f>
        <x:v>-0.06587663975881808</x:v>
      </x:c>
      <x:c r="I1805" s="14" t="n">
        <x:f>F1805/F1804-1</x:f>
        <x:v>0</x:v>
      </x:c>
      <x:c r="J1805" s="12" t="n">
        <x:v>0</x:v>
      </x:c>
      <x:c r="K1805" s="12" t="n">
        <x:v>0</x:v>
      </x:c>
      <x:c r="L1805" s="12" t="n">
        <x:v>0</x:v>
      </x:c>
      <x:c r="M1805" s="2" t="str">
        <x:v>空仓</x:v>
      </x:c>
    </x:row>
    <x:row r="1806" ht="23" customHeight="1">
      <x:c r="A1806" s="11" t="d">
        <x:v>2022-02-25T00:00:00.000Z</x:v>
      </x:c>
      <x:c r="B1806" s="12" t="n">
        <x:v>129551.326323</x:v>
      </x:c>
      <x:c r="C1806" s="13" t="n">
        <x:v>0</x:v>
      </x:c>
      <x:c r="D1806" s="12" t="n">
        <x:v>0</x:v>
      </x:c>
      <x:c r="E1806" s="12" t="n">
        <x:v>0</x:v>
      </x:c>
      <x:c r="F1806" s="12" t="n">
        <x:f>SUM(B1806,D1806:E1806)</x:f>
        <x:v>129551.326323</x:v>
      </x:c>
      <x:c r="G1806" s="12" t="n">
        <x:f>MAX(G1805,F1806)</x:f>
        <x:v>138687.599344</x:v>
      </x:c>
      <x:c r="H1806" s="14" t="n">
        <x:f>F1806/G1806-1</x:f>
        <x:v>-0.06587663975881808</x:v>
      </x:c>
      <x:c r="I1806" s="14" t="n">
        <x:f>F1806/F1805-1</x:f>
        <x:v>0</x:v>
      </x:c>
      <x:c r="J1806" s="12" t="n">
        <x:v>0</x:v>
      </x:c>
      <x:c r="K1806" s="12" t="n">
        <x:v>0</x:v>
      </x:c>
      <x:c r="L1806" s="12" t="n">
        <x:v>0</x:v>
      </x:c>
      <x:c r="M1806" s="2" t="str">
        <x:v>空仓</x:v>
      </x:c>
    </x:row>
    <x:row r="1807" ht="23" customHeight="1">
      <x:c r="A1807" s="11" t="d">
        <x:v>2022-02-28T00:00:00.000Z</x:v>
      </x:c>
      <x:c r="B1807" s="12" t="n">
        <x:v>129551.326323</x:v>
      </x:c>
      <x:c r="C1807" s="13" t="n">
        <x:v>0</x:v>
      </x:c>
      <x:c r="D1807" s="12" t="n">
        <x:v>0</x:v>
      </x:c>
      <x:c r="E1807" s="12" t="n">
        <x:v>0</x:v>
      </x:c>
      <x:c r="F1807" s="12" t="n">
        <x:f>SUM(B1807,D1807:E1807)</x:f>
        <x:v>129551.326323</x:v>
      </x:c>
      <x:c r="G1807" s="12" t="n">
        <x:f>MAX(G1806,F1807)</x:f>
        <x:v>138687.599344</x:v>
      </x:c>
      <x:c r="H1807" s="14" t="n">
        <x:f>F1807/G1807-1</x:f>
        <x:v>-0.06587663975881808</x:v>
      </x:c>
      <x:c r="I1807" s="14" t="n">
        <x:f>F1807/F1806-1</x:f>
        <x:v>0</x:v>
      </x:c>
      <x:c r="J1807" s="12" t="n">
        <x:v>0</x:v>
      </x:c>
      <x:c r="K1807" s="12" t="n">
        <x:v>0</x:v>
      </x:c>
      <x:c r="L1807" s="12" t="n">
        <x:v>0</x:v>
      </x:c>
      <x:c r="M1807" s="2" t="str">
        <x:v>空仓</x:v>
      </x:c>
    </x:row>
    <x:row r="1808" ht="23" customHeight="1">
      <x:c r="A1808" s="11" t="d">
        <x:v>2022-03-01T00:00:00.000Z</x:v>
      </x:c>
      <x:c r="B1808" s="12" t="n">
        <x:v>129551.326323</x:v>
      </x:c>
      <x:c r="C1808" s="13" t="n">
        <x:v>0</x:v>
      </x:c>
      <x:c r="D1808" s="12" t="n">
        <x:v>0</x:v>
      </x:c>
      <x:c r="E1808" s="12" t="n">
        <x:v>0</x:v>
      </x:c>
      <x:c r="F1808" s="12" t="n">
        <x:f>SUM(B1808,D1808:E1808)</x:f>
        <x:v>129551.326323</x:v>
      </x:c>
      <x:c r="G1808" s="12" t="n">
        <x:f>MAX(G1807,F1808)</x:f>
        <x:v>138687.599344</x:v>
      </x:c>
      <x:c r="H1808" s="14" t="n">
        <x:f>F1808/G1808-1</x:f>
        <x:v>-0.06587663975881808</x:v>
      </x:c>
      <x:c r="I1808" s="14" t="n">
        <x:f>F1808/F1807-1</x:f>
        <x:v>0</x:v>
      </x:c>
      <x:c r="J1808" s="12" t="n">
        <x:v>0</x:v>
      </x:c>
      <x:c r="K1808" s="12" t="n">
        <x:v>0</x:v>
      </x:c>
      <x:c r="L1808" s="12" t="n">
        <x:v>0</x:v>
      </x:c>
      <x:c r="M1808" s="2" t="str">
        <x:v>空仓</x:v>
      </x:c>
    </x:row>
    <x:row r="1809" ht="23" customHeight="1">
      <x:c r="A1809" s="11" t="d">
        <x:v>2022-03-02T00:00:00.000Z</x:v>
      </x:c>
      <x:c r="B1809" s="12" t="n">
        <x:v>129551.326323</x:v>
      </x:c>
      <x:c r="C1809" s="13" t="n">
        <x:v>0</x:v>
      </x:c>
      <x:c r="D1809" s="12" t="n">
        <x:v>0</x:v>
      </x:c>
      <x:c r="E1809" s="12" t="n">
        <x:v>0</x:v>
      </x:c>
      <x:c r="F1809" s="12" t="n">
        <x:f>SUM(B1809,D1809:E1809)</x:f>
        <x:v>129551.326323</x:v>
      </x:c>
      <x:c r="G1809" s="12" t="n">
        <x:f>MAX(G1808,F1809)</x:f>
        <x:v>138687.599344</x:v>
      </x:c>
      <x:c r="H1809" s="14" t="n">
        <x:f>F1809/G1809-1</x:f>
        <x:v>-0.06587663975881808</x:v>
      </x:c>
      <x:c r="I1809" s="14" t="n">
        <x:f>F1809/F1808-1</x:f>
        <x:v>0</x:v>
      </x:c>
      <x:c r="J1809" s="12" t="n">
        <x:v>0</x:v>
      </x:c>
      <x:c r="K1809" s="12" t="n">
        <x:v>0</x:v>
      </x:c>
      <x:c r="L1809" s="12" t="n">
        <x:v>0</x:v>
      </x:c>
      <x:c r="M1809" s="2" t="str">
        <x:v>空仓</x:v>
      </x:c>
    </x:row>
    <x:row r="1810" ht="23" customHeight="1">
      <x:c r="A1810" s="11" t="d">
        <x:v>2022-03-03T00:00:00.000Z</x:v>
      </x:c>
      <x:c r="B1810" s="12" t="n">
        <x:v>129551.326323</x:v>
      </x:c>
      <x:c r="C1810" s="13" t="n">
        <x:v>0</x:v>
      </x:c>
      <x:c r="D1810" s="12" t="n">
        <x:v>0</x:v>
      </x:c>
      <x:c r="E1810" s="12" t="n">
        <x:v>0</x:v>
      </x:c>
      <x:c r="F1810" s="12" t="n">
        <x:f>SUM(B1810,D1810:E1810)</x:f>
        <x:v>129551.326323</x:v>
      </x:c>
      <x:c r="G1810" s="12" t="n">
        <x:f>MAX(G1809,F1810)</x:f>
        <x:v>138687.599344</x:v>
      </x:c>
      <x:c r="H1810" s="14" t="n">
        <x:f>F1810/G1810-1</x:f>
        <x:v>-0.06587663975881808</x:v>
      </x:c>
      <x:c r="I1810" s="14" t="n">
        <x:f>F1810/F1809-1</x:f>
        <x:v>0</x:v>
      </x:c>
      <x:c r="J1810" s="12" t="n">
        <x:v>0</x:v>
      </x:c>
      <x:c r="K1810" s="12" t="n">
        <x:v>0</x:v>
      </x:c>
      <x:c r="L1810" s="12" t="n">
        <x:v>0</x:v>
      </x:c>
      <x:c r="M1810" s="2" t="str">
        <x:v>空仓</x:v>
      </x:c>
    </x:row>
    <x:row r="1811" ht="23" customHeight="1">
      <x:c r="A1811" s="11" t="d">
        <x:v>2022-03-04T00:00:00.000Z</x:v>
      </x:c>
      <x:c r="B1811" s="12" t="n">
        <x:v>129551.326323</x:v>
      </x:c>
      <x:c r="C1811" s="13" t="n">
        <x:v>0</x:v>
      </x:c>
      <x:c r="D1811" s="12" t="n">
        <x:v>0</x:v>
      </x:c>
      <x:c r="E1811" s="12" t="n">
        <x:v>0</x:v>
      </x:c>
      <x:c r="F1811" s="12" t="n">
        <x:f>SUM(B1811,D1811:E1811)</x:f>
        <x:v>129551.326323</x:v>
      </x:c>
      <x:c r="G1811" s="12" t="n">
        <x:f>MAX(G1810,F1811)</x:f>
        <x:v>138687.599344</x:v>
      </x:c>
      <x:c r="H1811" s="14" t="n">
        <x:f>F1811/G1811-1</x:f>
        <x:v>-0.06587663975881808</x:v>
      </x:c>
      <x:c r="I1811" s="14" t="n">
        <x:f>F1811/F1810-1</x:f>
        <x:v>0</x:v>
      </x:c>
      <x:c r="J1811" s="12" t="n">
        <x:v>0</x:v>
      </x:c>
      <x:c r="K1811" s="12" t="n">
        <x:v>0</x:v>
      </x:c>
      <x:c r="L1811" s="12" t="n">
        <x:v>0</x:v>
      </x:c>
      <x:c r="M1811" s="2" t="str">
        <x:v>空仓</x:v>
      </x:c>
    </x:row>
    <x:row r="1812" ht="23" customHeight="1">
      <x:c r="A1812" s="11" t="d">
        <x:v>2022-03-07T00:00:00.000Z</x:v>
      </x:c>
      <x:c r="B1812" s="12" t="n">
        <x:v>129551.326323</x:v>
      </x:c>
      <x:c r="C1812" s="13" t="n">
        <x:v>0</x:v>
      </x:c>
      <x:c r="D1812" s="12" t="n">
        <x:v>0</x:v>
      </x:c>
      <x:c r="E1812" s="12" t="n">
        <x:v>0</x:v>
      </x:c>
      <x:c r="F1812" s="12" t="n">
        <x:f>SUM(B1812,D1812:E1812)</x:f>
        <x:v>129551.326323</x:v>
      </x:c>
      <x:c r="G1812" s="12" t="n">
        <x:f>MAX(G1811,F1812)</x:f>
        <x:v>138687.599344</x:v>
      </x:c>
      <x:c r="H1812" s="14" t="n">
        <x:f>F1812/G1812-1</x:f>
        <x:v>-0.06587663975881808</x:v>
      </x:c>
      <x:c r="I1812" s="14" t="n">
        <x:f>F1812/F1811-1</x:f>
        <x:v>0</x:v>
      </x:c>
      <x:c r="J1812" s="12" t="n">
        <x:v>0</x:v>
      </x:c>
      <x:c r="K1812" s="12" t="n">
        <x:v>0</x:v>
      </x:c>
      <x:c r="L1812" s="12" t="n">
        <x:v>0</x:v>
      </x:c>
      <x:c r="M1812" s="2" t="str">
        <x:v>空仓</x:v>
      </x:c>
    </x:row>
    <x:row r="1813" ht="23" customHeight="1">
      <x:c r="A1813" s="11" t="d">
        <x:v>2022-03-08T00:00:00.000Z</x:v>
      </x:c>
      <x:c r="B1813" s="12" t="n">
        <x:v>129551.326323</x:v>
      </x:c>
      <x:c r="C1813" s="13" t="n">
        <x:v>0</x:v>
      </x:c>
      <x:c r="D1813" s="12" t="n">
        <x:v>0</x:v>
      </x:c>
      <x:c r="E1813" s="12" t="n">
        <x:v>0</x:v>
      </x:c>
      <x:c r="F1813" s="12" t="n">
        <x:f>SUM(B1813,D1813:E1813)</x:f>
        <x:v>129551.326323</x:v>
      </x:c>
      <x:c r="G1813" s="12" t="n">
        <x:f>MAX(G1812,F1813)</x:f>
        <x:v>138687.599344</x:v>
      </x:c>
      <x:c r="H1813" s="14" t="n">
        <x:f>F1813/G1813-1</x:f>
        <x:v>-0.06587663975881808</x:v>
      </x:c>
      <x:c r="I1813" s="14" t="n">
        <x:f>F1813/F1812-1</x:f>
        <x:v>0</x:v>
      </x:c>
      <x:c r="J1813" s="12" t="n">
        <x:v>0</x:v>
      </x:c>
      <x:c r="K1813" s="12" t="n">
        <x:v>0</x:v>
      </x:c>
      <x:c r="L1813" s="12" t="n">
        <x:v>0</x:v>
      </x:c>
      <x:c r="M1813" s="2" t="str">
        <x:v>空仓</x:v>
      </x:c>
    </x:row>
    <x:row r="1814" ht="23" customHeight="1">
      <x:c r="A1814" s="11" t="d">
        <x:v>2022-03-09T00:00:00.000Z</x:v>
      </x:c>
      <x:c r="B1814" s="12" t="n">
        <x:v>129551.326323</x:v>
      </x:c>
      <x:c r="C1814" s="13" t="n">
        <x:v>0</x:v>
      </x:c>
      <x:c r="D1814" s="12" t="n">
        <x:v>0</x:v>
      </x:c>
      <x:c r="E1814" s="12" t="n">
        <x:v>0</x:v>
      </x:c>
      <x:c r="F1814" s="12" t="n">
        <x:f>SUM(B1814,D1814:E1814)</x:f>
        <x:v>129551.326323</x:v>
      </x:c>
      <x:c r="G1814" s="12" t="n">
        <x:f>MAX(G1813,F1814)</x:f>
        <x:v>138687.599344</x:v>
      </x:c>
      <x:c r="H1814" s="14" t="n">
        <x:f>F1814/G1814-1</x:f>
        <x:v>-0.06587663975881808</x:v>
      </x:c>
      <x:c r="I1814" s="14" t="n">
        <x:f>F1814/F1813-1</x:f>
        <x:v>0</x:v>
      </x:c>
      <x:c r="J1814" s="12" t="n">
        <x:v>0</x:v>
      </x:c>
      <x:c r="K1814" s="12" t="n">
        <x:v>0</x:v>
      </x:c>
      <x:c r="L1814" s="12" t="n">
        <x:v>0</x:v>
      </x:c>
      <x:c r="M1814" s="2" t="str">
        <x:v>空仓</x:v>
      </x:c>
    </x:row>
    <x:row r="1815" ht="23" customHeight="1">
      <x:c r="A1815" s="11" t="d">
        <x:v>2022-03-10T00:00:00.000Z</x:v>
      </x:c>
      <x:c r="B1815" s="12" t="n">
        <x:v>129551.326323</x:v>
      </x:c>
      <x:c r="C1815" s="13" t="n">
        <x:v>0</x:v>
      </x:c>
      <x:c r="D1815" s="12" t="n">
        <x:v>0</x:v>
      </x:c>
      <x:c r="E1815" s="12" t="n">
        <x:v>0</x:v>
      </x:c>
      <x:c r="F1815" s="12" t="n">
        <x:f>SUM(B1815,D1815:E1815)</x:f>
        <x:v>129551.326323</x:v>
      </x:c>
      <x:c r="G1815" s="12" t="n">
        <x:f>MAX(G1814,F1815)</x:f>
        <x:v>138687.599344</x:v>
      </x:c>
      <x:c r="H1815" s="14" t="n">
        <x:f>F1815/G1815-1</x:f>
        <x:v>-0.06587663975881808</x:v>
      </x:c>
      <x:c r="I1815" s="14" t="n">
        <x:f>F1815/F1814-1</x:f>
        <x:v>0</x:v>
      </x:c>
      <x:c r="J1815" s="12" t="n">
        <x:v>0</x:v>
      </x:c>
      <x:c r="K1815" s="12" t="n">
        <x:v>0</x:v>
      </x:c>
      <x:c r="L1815" s="12" t="n">
        <x:v>0</x:v>
      </x:c>
      <x:c r="M1815" s="2" t="str">
        <x:v>空仓</x:v>
      </x:c>
    </x:row>
    <x:row r="1816" ht="23" customHeight="1">
      <x:c r="A1816" s="11" t="d">
        <x:v>2022-03-11T00:00:00.000Z</x:v>
      </x:c>
      <x:c r="B1816" s="12" t="n">
        <x:v>129551.326323</x:v>
      </x:c>
      <x:c r="C1816" s="13" t="n">
        <x:v>0</x:v>
      </x:c>
      <x:c r="D1816" s="12" t="n">
        <x:v>0</x:v>
      </x:c>
      <x:c r="E1816" s="12" t="n">
        <x:v>0</x:v>
      </x:c>
      <x:c r="F1816" s="12" t="n">
        <x:f>SUM(B1816,D1816:E1816)</x:f>
        <x:v>129551.326323</x:v>
      </x:c>
      <x:c r="G1816" s="12" t="n">
        <x:f>MAX(G1815,F1816)</x:f>
        <x:v>138687.599344</x:v>
      </x:c>
      <x:c r="H1816" s="14" t="n">
        <x:f>F1816/G1816-1</x:f>
        <x:v>-0.06587663975881808</x:v>
      </x:c>
      <x:c r="I1816" s="14" t="n">
        <x:f>F1816/F1815-1</x:f>
        <x:v>0</x:v>
      </x:c>
      <x:c r="J1816" s="12" t="n">
        <x:v>0</x:v>
      </x:c>
      <x:c r="K1816" s="12" t="n">
        <x:v>0</x:v>
      </x:c>
      <x:c r="L1816" s="12" t="n">
        <x:v>0</x:v>
      </x:c>
      <x:c r="M1816" s="2" t="str">
        <x:v>空仓</x:v>
      </x:c>
    </x:row>
    <x:row r="1817" ht="23" customHeight="1">
      <x:c r="A1817" s="11" t="d">
        <x:v>2022-03-14T00:00:00.000Z</x:v>
      </x:c>
      <x:c r="B1817" s="12" t="n">
        <x:v>129551.326323</x:v>
      </x:c>
      <x:c r="C1817" s="13" t="n">
        <x:v>0</x:v>
      </x:c>
      <x:c r="D1817" s="12" t="n">
        <x:v>0</x:v>
      </x:c>
      <x:c r="E1817" s="12" t="n">
        <x:v>0</x:v>
      </x:c>
      <x:c r="F1817" s="12" t="n">
        <x:f>SUM(B1817,D1817:E1817)</x:f>
        <x:v>129551.326323</x:v>
      </x:c>
      <x:c r="G1817" s="12" t="n">
        <x:f>MAX(G1816,F1817)</x:f>
        <x:v>138687.599344</x:v>
      </x:c>
      <x:c r="H1817" s="14" t="n">
        <x:f>F1817/G1817-1</x:f>
        <x:v>-0.06587663975881808</x:v>
      </x:c>
      <x:c r="I1817" s="14" t="n">
        <x:f>F1817/F1816-1</x:f>
        <x:v>0</x:v>
      </x:c>
      <x:c r="J1817" s="12" t="n">
        <x:v>0</x:v>
      </x:c>
      <x:c r="K1817" s="12" t="n">
        <x:v>0</x:v>
      </x:c>
      <x:c r="L1817" s="12" t="n">
        <x:v>0</x:v>
      </x:c>
      <x:c r="M1817" s="2" t="str">
        <x:v>空仓</x:v>
      </x:c>
    </x:row>
    <x:row r="1818" ht="23" customHeight="1">
      <x:c r="A1818" s="11" t="d">
        <x:v>2022-03-15T00:00:00.000Z</x:v>
      </x:c>
      <x:c r="B1818" s="12" t="n">
        <x:v>129551.326323</x:v>
      </x:c>
      <x:c r="C1818" s="13" t="n">
        <x:v>0</x:v>
      </x:c>
      <x:c r="D1818" s="12" t="n">
        <x:v>0</x:v>
      </x:c>
      <x:c r="E1818" s="12" t="n">
        <x:v>0</x:v>
      </x:c>
      <x:c r="F1818" s="12" t="n">
        <x:f>SUM(B1818,D1818:E1818)</x:f>
        <x:v>129551.326323</x:v>
      </x:c>
      <x:c r="G1818" s="12" t="n">
        <x:f>MAX(G1817,F1818)</x:f>
        <x:v>138687.599344</x:v>
      </x:c>
      <x:c r="H1818" s="14" t="n">
        <x:f>F1818/G1818-1</x:f>
        <x:v>-0.06587663975881808</x:v>
      </x:c>
      <x:c r="I1818" s="14" t="n">
        <x:f>F1818/F1817-1</x:f>
        <x:v>0</x:v>
      </x:c>
      <x:c r="J1818" s="12" t="n">
        <x:v>0</x:v>
      </x:c>
      <x:c r="K1818" s="12" t="n">
        <x:v>0</x:v>
      </x:c>
      <x:c r="L1818" s="12" t="n">
        <x:v>0</x:v>
      </x:c>
      <x:c r="M1818" s="2" t="str">
        <x:v>空仓</x:v>
      </x:c>
    </x:row>
    <x:row r="1819" ht="23" customHeight="1">
      <x:c r="A1819" s="11" t="d">
        <x:v>2022-03-16T00:00:00.000Z</x:v>
      </x:c>
      <x:c r="B1819" s="12" t="n">
        <x:v>129551.326323</x:v>
      </x:c>
      <x:c r="C1819" s="13" t="n">
        <x:v>0</x:v>
      </x:c>
      <x:c r="D1819" s="12" t="n">
        <x:v>0</x:v>
      </x:c>
      <x:c r="E1819" s="12" t="n">
        <x:v>0</x:v>
      </x:c>
      <x:c r="F1819" s="12" t="n">
        <x:f>SUM(B1819,D1819:E1819)</x:f>
        <x:v>129551.326323</x:v>
      </x:c>
      <x:c r="G1819" s="12" t="n">
        <x:f>MAX(G1818,F1819)</x:f>
        <x:v>138687.599344</x:v>
      </x:c>
      <x:c r="H1819" s="14" t="n">
        <x:f>F1819/G1819-1</x:f>
        <x:v>-0.06587663975881808</x:v>
      </x:c>
      <x:c r="I1819" s="14" t="n">
        <x:f>F1819/F1818-1</x:f>
        <x:v>0</x:v>
      </x:c>
      <x:c r="J1819" s="12" t="n">
        <x:v>0</x:v>
      </x:c>
      <x:c r="K1819" s="12" t="n">
        <x:v>0</x:v>
      </x:c>
      <x:c r="L1819" s="12" t="n">
        <x:v>0</x:v>
      </x:c>
      <x:c r="M1819" s="2" t="str">
        <x:v>空仓</x:v>
      </x:c>
    </x:row>
    <x:row r="1820" ht="23" customHeight="1">
      <x:c r="A1820" s="11" t="d">
        <x:v>2022-03-17T00:00:00.000Z</x:v>
      </x:c>
      <x:c r="B1820" s="12" t="n">
        <x:v>129551.326323</x:v>
      </x:c>
      <x:c r="C1820" s="13" t="n">
        <x:v>0</x:v>
      </x:c>
      <x:c r="D1820" s="12" t="n">
        <x:v>0</x:v>
      </x:c>
      <x:c r="E1820" s="12" t="n">
        <x:v>0</x:v>
      </x:c>
      <x:c r="F1820" s="12" t="n">
        <x:f>SUM(B1820,D1820:E1820)</x:f>
        <x:v>129551.326323</x:v>
      </x:c>
      <x:c r="G1820" s="12" t="n">
        <x:f>MAX(G1819,F1820)</x:f>
        <x:v>138687.599344</x:v>
      </x:c>
      <x:c r="H1820" s="14" t="n">
        <x:f>F1820/G1820-1</x:f>
        <x:v>-0.06587663975881808</x:v>
      </x:c>
      <x:c r="I1820" s="14" t="n">
        <x:f>F1820/F1819-1</x:f>
        <x:v>0</x:v>
      </x:c>
      <x:c r="J1820" s="12" t="n">
        <x:v>0</x:v>
      </x:c>
      <x:c r="K1820" s="12" t="n">
        <x:v>0</x:v>
      </x:c>
      <x:c r="L1820" s="12" t="n">
        <x:v>0</x:v>
      </x:c>
      <x:c r="M1820" s="2" t="str">
        <x:v>空仓</x:v>
      </x:c>
    </x:row>
    <x:row r="1821" ht="23" customHeight="1">
      <x:c r="A1821" s="11" t="d">
        <x:v>2022-03-18T00:00:00.000Z</x:v>
      </x:c>
      <x:c r="B1821" s="12" t="n">
        <x:v>129551.326323</x:v>
      </x:c>
      <x:c r="C1821" s="13" t="n">
        <x:v>0</x:v>
      </x:c>
      <x:c r="D1821" s="12" t="n">
        <x:v>0</x:v>
      </x:c>
      <x:c r="E1821" s="12" t="n">
        <x:v>0</x:v>
      </x:c>
      <x:c r="F1821" s="12" t="n">
        <x:f>SUM(B1821,D1821:E1821)</x:f>
        <x:v>129551.326323</x:v>
      </x:c>
      <x:c r="G1821" s="12" t="n">
        <x:f>MAX(G1820,F1821)</x:f>
        <x:v>138687.599344</x:v>
      </x:c>
      <x:c r="H1821" s="14" t="n">
        <x:f>F1821/G1821-1</x:f>
        <x:v>-0.06587663975881808</x:v>
      </x:c>
      <x:c r="I1821" s="14" t="n">
        <x:f>F1821/F1820-1</x:f>
        <x:v>0</x:v>
      </x:c>
      <x:c r="J1821" s="12" t="n">
        <x:v>0</x:v>
      </x:c>
      <x:c r="K1821" s="12" t="n">
        <x:v>0</x:v>
      </x:c>
      <x:c r="L1821" s="12" t="n">
        <x:v>0</x:v>
      </x:c>
      <x:c r="M1821" s="2" t="str">
        <x:v>空仓</x:v>
      </x:c>
    </x:row>
    <x:row r="1822" ht="23" customHeight="1">
      <x:c r="A1822" s="11" t="d">
        <x:v>2022-03-21T00:00:00.000Z</x:v>
      </x:c>
      <x:c r="B1822" s="12" t="n">
        <x:v>119.083383</x:v>
      </x:c>
      <x:c r="C1822" s="13" t="n">
        <x:v>291</x:v>
      </x:c>
      <x:c r="D1822" s="12" t="n">
        <x:v>129317.48999999999</x:v>
      </x:c>
      <x:c r="E1822" s="12" t="n">
        <x:v>0</x:v>
      </x:c>
      <x:c r="F1822" s="12" t="n">
        <x:f>SUM(B1822,D1822:E1822)</x:f>
        <x:v>129436.573383</x:v>
      </x:c>
      <x:c r="G1822" s="12" t="n">
        <x:f>MAX(G1821,F1822)</x:f>
        <x:v>138687.599344</x:v>
      </x:c>
      <x:c r="H1822" s="14" t="n">
        <x:f>F1822/G1822-1</x:f>
        <x:v>-0.06670406009447027</x:v>
      </x:c>
      <x:c r="I1822" s="14" t="n">
        <x:f>F1822/F1821-1</x:f>
        <x:v>-0.0008857720199166863</x:v>
      </x:c>
      <x:c r="J1822" s="12" t="n">
        <x:v>0</x:v>
      </x:c>
      <x:c r="K1822" s="12" t="n">
        <x:v>0</x:v>
      </x:c>
      <x:c r="L1822" s="12" t="n">
        <x:v>291</x:v>
      </x:c>
      <x:c r="M1822" s="2" t="str">
        <x:v>买入</x:v>
      </x:c>
    </x:row>
    <x:row r="1823" ht="23" customHeight="1">
      <x:c r="A1823" s="11" t="d">
        <x:v>2022-03-22T00:00:00.000Z</x:v>
      </x:c>
      <x:c r="B1823" s="12" t="n">
        <x:v>119.083383</x:v>
      </x:c>
      <x:c r="C1823" s="13" t="n">
        <x:v>291</x:v>
      </x:c>
      <x:c r="D1823" s="12" t="n">
        <x:v>130830.68999999999</x:v>
      </x:c>
      <x:c r="E1823" s="12" t="n">
        <x:v>0</x:v>
      </x:c>
      <x:c r="F1823" s="12" t="n">
        <x:f>SUM(B1823,D1823:E1823)</x:f>
        <x:v>130949.77338299999</x:v>
      </x:c>
      <x:c r="G1823" s="12" t="n">
        <x:f>MAX(G1822,F1823)</x:f>
        <x:v>138687.599344</x:v>
      </x:c>
      <x:c r="H1823" s="14" t="n">
        <x:f>F1823/G1823-1</x:f>
        <x:v>-0.055793207161998204</x:v>
      </x:c>
      <x:c r="I1823" s="14" t="n">
        <x:f>F1823/F1822-1</x:f>
        <x:v>0.011690667949949995</x:v>
      </x:c>
      <x:c r="J1823" s="12" t="n">
        <x:v>0</x:v>
      </x:c>
      <x:c r="K1823" s="12" t="n">
        <x:v>0</x:v>
      </x:c>
      <x:c r="L1823" s="12" t="n">
        <x:v>0</x:v>
      </x:c>
      <x:c r="M1823" s="2" t="str">
        <x:v>持有</x:v>
      </x:c>
    </x:row>
    <x:row r="1824" ht="23" customHeight="1">
      <x:c r="A1824" s="11" t="d">
        <x:v>2022-03-23T00:00:00.000Z</x:v>
      </x:c>
      <x:c r="B1824" s="12" t="n">
        <x:v>119.083383</x:v>
      </x:c>
      <x:c r="C1824" s="13" t="n">
        <x:v>291</x:v>
      </x:c>
      <x:c r="D1824" s="12" t="n">
        <x:v>129145.8</x:v>
      </x:c>
      <x:c r="E1824" s="12" t="n">
        <x:v>0</x:v>
      </x:c>
      <x:c r="F1824" s="12" t="n">
        <x:f>SUM(B1824,D1824:E1824)</x:f>
        <x:v>129264.88338300001</x:v>
      </x:c>
      <x:c r="G1824" s="12" t="n">
        <x:f>MAX(G1823,F1824)</x:f>
        <x:v>138687.599344</x:v>
      </x:c>
      <x:c r="H1824" s="14" t="n">
        <x:f>F1824/G1824-1</x:f>
        <x:v>-0.06794202225411605</x:v>
      </x:c>
      <x:c r="I1824" s="14" t="n">
        <x:f>F1824/F1823-1</x:f>
        <x:v>-0.012866688933260262</x:v>
      </x:c>
      <x:c r="J1824" s="12" t="n">
        <x:v>0</x:v>
      </x:c>
      <x:c r="K1824" s="12" t="n">
        <x:v>0</x:v>
      </x:c>
      <x:c r="L1824" s="12" t="n">
        <x:v>0</x:v>
      </x:c>
      <x:c r="M1824" s="2" t="str">
        <x:v>持有</x:v>
      </x:c>
    </x:row>
    <x:row r="1825" ht="23" customHeight="1">
      <x:c r="A1825" s="11" t="d">
        <x:v>2022-03-24T00:00:00.000Z</x:v>
      </x:c>
      <x:c r="B1825" s="12" t="n">
        <x:v>119.083383</x:v>
      </x:c>
      <x:c r="C1825" s="13" t="n">
        <x:v>291</x:v>
      </x:c>
      <x:c r="D1825" s="12" t="n">
        <x:v>131092.59</x:v>
      </x:c>
      <x:c r="E1825" s="12" t="n">
        <x:v>0</x:v>
      </x:c>
      <x:c r="F1825" s="12" t="n">
        <x:f>SUM(B1825,D1825:E1825)</x:f>
        <x:v>131211.673383</x:v>
      </x:c>
      <x:c r="G1825" s="12" t="n">
        <x:f>MAX(G1824,F1825)</x:f>
        <x:v>138687.599344</x:v>
      </x:c>
      <x:c r="H1825" s="14" t="n">
        <x:f>F1825/G1825-1</x:f>
        <x:v>-0.05390479030830109</x:v>
      </x:c>
      <x:c r="I1825" s="14" t="n">
        <x:f>F1825/F1824-1</x:f>
        <x:v>0.015060470787195968</x:v>
      </x:c>
      <x:c r="J1825" s="12" t="n">
        <x:v>0</x:v>
      </x:c>
      <x:c r="K1825" s="12" t="n">
        <x:v>0</x:v>
      </x:c>
      <x:c r="L1825" s="12" t="n">
        <x:v>0</x:v>
      </x:c>
      <x:c r="M1825" s="2" t="str">
        <x:v>持有</x:v>
      </x:c>
    </x:row>
    <x:row r="1826" ht="23" customHeight="1">
      <x:c r="A1826" s="11" t="d">
        <x:v>2022-03-25T00:00:00.000Z</x:v>
      </x:c>
      <x:c r="B1826" s="12" t="n">
        <x:v>119.083383</x:v>
      </x:c>
      <x:c r="C1826" s="13" t="n">
        <x:v>291</x:v>
      </x:c>
      <x:c r="D1826" s="12" t="n">
        <x:v>131732.79</x:v>
      </x:c>
      <x:c r="E1826" s="12" t="n">
        <x:v>0</x:v>
      </x:c>
      <x:c r="F1826" s="12" t="n">
        <x:f>SUM(B1826,D1826:E1826)</x:f>
        <x:v>131851.873383</x:v>
      </x:c>
      <x:c r="G1826" s="12" t="n">
        <x:f>MAX(G1825,F1826)</x:f>
        <x:v>138687.599344</x:v>
      </x:c>
      <x:c r="H1826" s="14" t="n">
        <x:f>F1826/G1826-1</x:f>
        <x:v>-0.049288660221485925</x:v>
      </x:c>
      <x:c r="I1826" s="14" t="n">
        <x:f>F1826/F1825-1</x:f>
        <x:v>0.00487913905442916</x:v>
      </x:c>
      <x:c r="J1826" s="12" t="n">
        <x:v>0</x:v>
      </x:c>
      <x:c r="K1826" s="12" t="n">
        <x:v>0</x:v>
      </x:c>
      <x:c r="L1826" s="12" t="n">
        <x:v>0</x:v>
      </x:c>
      <x:c r="M1826" s="2" t="str">
        <x:v>持有</x:v>
      </x:c>
    </x:row>
    <x:row r="1827" ht="23" customHeight="1">
      <x:c r="A1827" s="11" t="d">
        <x:v>2022-03-28T00:00:00.000Z</x:v>
      </x:c>
      <x:c r="B1827" s="12" t="n">
        <x:v>119.083383</x:v>
      </x:c>
      <x:c r="C1827" s="13" t="n">
        <x:v>291</x:v>
      </x:c>
      <x:c r="D1827" s="12" t="n">
        <x:v>132669.81</x:v>
      </x:c>
      <x:c r="E1827" s="12" t="n">
        <x:v>0</x:v>
      </x:c>
      <x:c r="F1827" s="12" t="n">
        <x:f>SUM(B1827,D1827:E1827)</x:f>
        <x:v>132788.893383</x:v>
      </x:c>
      <x:c r="G1827" s="12" t="n">
        <x:f>MAX(G1826,F1827)</x:f>
        <x:v>138687.599344</x:v>
      </x:c>
      <x:c r="H1827" s="14" t="n">
        <x:f>F1827/G1827-1</x:f>
        <x:v>-0.04253232436714749</x:v>
      </x:c>
      <x:c r="I1827" s="14" t="n">
        <x:f>F1827/F1826-1</x:f>
        <x:v>0.007106611199054758</x:v>
      </x:c>
      <x:c r="J1827" s="12" t="n">
        <x:v>0</x:v>
      </x:c>
      <x:c r="K1827" s="12" t="n">
        <x:v>0</x:v>
      </x:c>
      <x:c r="L1827" s="12" t="n">
        <x:v>0</x:v>
      </x:c>
      <x:c r="M1827" s="2" t="str">
        <x:v>持有</x:v>
      </x:c>
    </x:row>
    <x:row r="1828" ht="23" customHeight="1">
      <x:c r="A1828" s="11" t="d">
        <x:v>2022-03-29T00:00:00.000Z</x:v>
      </x:c>
      <x:c r="B1828" s="12" t="n">
        <x:v>119.083383</x:v>
      </x:c>
      <x:c r="C1828" s="13" t="n">
        <x:v>291</x:v>
      </x:c>
      <x:c r="D1828" s="12" t="n">
        <x:v>134311.05000000002</x:v>
      </x:c>
      <x:c r="E1828" s="12" t="n">
        <x:v>0</x:v>
      </x:c>
      <x:c r="F1828" s="12" t="n">
        <x:f>SUM(B1828,D1828:E1828)</x:f>
        <x:v>134430.133383</x:v>
      </x:c>
      <x:c r="G1828" s="12" t="n">
        <x:f>MAX(G1827,F1828)</x:f>
        <x:v>138687.599344</x:v>
      </x:c>
      <x:c r="H1828" s="14" t="n">
        <x:f>F1828/G1828-1</x:f>
        <x:v>-0.030698245417312253</x:v>
      </x:c>
      <x:c r="I1828" s="14" t="n">
        <x:f>F1828/F1827-1</x:f>
        <x:v>0.012359768638678492</x:v>
      </x:c>
      <x:c r="J1828" s="12" t="n">
        <x:v>0</x:v>
      </x:c>
      <x:c r="K1828" s="12" t="n">
        <x:v>0</x:v>
      </x:c>
      <x:c r="L1828" s="12" t="n">
        <x:v>0</x:v>
      </x:c>
      <x:c r="M1828" s="2" t="str">
        <x:v>持有</x:v>
      </x:c>
    </x:row>
    <x:row r="1829" ht="23" customHeight="1">
      <x:c r="A1829" s="11" t="d">
        <x:v>2022-03-30T00:00:00.000Z</x:v>
      </x:c>
      <x:c r="B1829" s="12" t="n">
        <x:v>119.083383</x:v>
      </x:c>
      <x:c r="C1829" s="13" t="n">
        <x:v>291</x:v>
      </x:c>
      <x:c r="D1829" s="12" t="n">
        <x:v>133481.69999999998</x:v>
      </x:c>
      <x:c r="E1829" s="12" t="n">
        <x:v>0</x:v>
      </x:c>
      <x:c r="F1829" s="12" t="n">
        <x:f>SUM(B1829,D1829:E1829)</x:f>
        <x:v>133600.78338299997</x:v>
      </x:c>
      <x:c r="G1829" s="12" t="n">
        <x:f>MAX(G1828,F1829)</x:f>
        <x:v>138687.599344</x:v>
      </x:c>
      <x:c r="H1829" s="14" t="n">
        <x:f>F1829/G1829-1</x:f>
        <x:v>-0.03667823212068655</x:v>
      </x:c>
      <x:c r="I1829" s="14" t="n">
        <x:f>F1829/F1828-1</x:f>
        <x:v>-0.006169375713086289</x:v>
      </x:c>
      <x:c r="J1829" s="12" t="n">
        <x:v>0</x:v>
      </x:c>
      <x:c r="K1829" s="12" t="n">
        <x:v>0</x:v>
      </x:c>
      <x:c r="L1829" s="12" t="n">
        <x:v>0</x:v>
      </x:c>
      <x:c r="M1829" s="2" t="str">
        <x:v>持有</x:v>
      </x:c>
    </x:row>
    <x:row r="1830" ht="23" customHeight="1">
      <x:c r="A1830" s="11" t="d">
        <x:v>2022-03-31T00:00:00.000Z</x:v>
      </x:c>
      <x:c r="B1830" s="12" t="n">
        <x:v>119.083383</x:v>
      </x:c>
      <x:c r="C1830" s="13" t="n">
        <x:v>291</x:v>
      </x:c>
      <x:c r="D1830" s="12" t="n">
        <x:v>131427.24</x:v>
      </x:c>
      <x:c r="E1830" s="12" t="n">
        <x:v>0</x:v>
      </x:c>
      <x:c r="F1830" s="12" t="n">
        <x:f>SUM(B1830,D1830:E1830)</x:f>
        <x:v>131546.32338299998</x:v>
      </x:c>
      <x:c r="G1830" s="12" t="n">
        <x:f>MAX(G1829,F1830)</x:f>
        <x:v>138687.599344</x:v>
      </x:c>
      <x:c r="H1830" s="14" t="n">
        <x:f>F1830/G1830-1</x:f>
        <x:v>-0.05149181321746599</x:v>
      </x:c>
      <x:c r="I1830" s="14" t="n">
        <x:f>F1830/F1829-1</x:f>
        <x:v>-0.01537760444196179</x:v>
      </x:c>
      <x:c r="J1830" s="12" t="n">
        <x:v>0</x:v>
      </x:c>
      <x:c r="K1830" s="12" t="n">
        <x:v>0</x:v>
      </x:c>
      <x:c r="L1830" s="12" t="n">
        <x:v>0</x:v>
      </x:c>
      <x:c r="M1830" s="2" t="str">
        <x:v>持有</x:v>
      </x:c>
    </x:row>
    <x:row r="1831" ht="23" customHeight="1">
      <x:c r="A1831" s="11" t="d">
        <x:v>2022-04-01T00:00:00.000Z</x:v>
      </x:c>
      <x:c r="B1831" s="12" t="n">
        <x:v>119.083383</x:v>
      </x:c>
      <x:c r="C1831" s="13" t="n">
        <x:v>291</x:v>
      </x:c>
      <x:c r="D1831" s="12" t="n">
        <x:v>131799.72</x:v>
      </x:c>
      <x:c r="E1831" s="12" t="n">
        <x:v>0</x:v>
      </x:c>
      <x:c r="F1831" s="12" t="n">
        <x:f>SUM(B1831,D1831:E1831)</x:f>
        <x:v>131918.803383</x:v>
      </x:c>
      <x:c r="G1831" s="12" t="n">
        <x:f>MAX(G1830,F1831)</x:f>
        <x:v>138687.599344</x:v>
      </x:c>
      <x:c r="H1831" s="14" t="n">
        <x:f>F1831/G1831-1</x:f>
        <x:v>-0.04880606480331895</x:v>
      </x:c>
      <x:c r="I1831" s="14" t="n">
        <x:f>F1831/F1830-1</x:f>
        <x:v>0.0028315500610041067</x:v>
      </x:c>
      <x:c r="J1831" s="12" t="n">
        <x:v>0</x:v>
      </x:c>
      <x:c r="K1831" s="12" t="n">
        <x:v>0</x:v>
      </x:c>
      <x:c r="L1831" s="12" t="n">
        <x:v>0</x:v>
      </x:c>
      <x:c r="M1831" s="2" t="str">
        <x:v>持有</x:v>
      </x:c>
    </x:row>
    <x:row r="1832" ht="23" customHeight="1">
      <x:c r="A1832" s="11" t="d">
        <x:v>2022-04-04T00:00:00.000Z</x:v>
      </x:c>
      <x:c r="B1832" s="12" t="n">
        <x:v>119.083383</x:v>
      </x:c>
      <x:c r="C1832" s="13" t="n">
        <x:v>291</x:v>
      </x:c>
      <x:c r="D1832" s="12" t="n">
        <x:v>132928.80000000002</x:v>
      </x:c>
      <x:c r="E1832" s="12" t="n">
        <x:v>0</x:v>
      </x:c>
      <x:c r="F1832" s="12" t="n">
        <x:f>SUM(B1832,D1832:E1832)</x:f>
        <x:v>133047.883383</x:v>
      </x:c>
      <x:c r="G1832" s="12" t="n">
        <x:f>MAX(G1831,F1832)</x:f>
        <x:v>138687.599344</x:v>
      </x:c>
      <x:c r="H1832" s="14" t="n">
        <x:f>F1832/G1832-1</x:f>
        <x:v>-0.04066488992293582</x:v>
      </x:c>
      <x:c r="I1832" s="14" t="n">
        <x:f>F1832/F1831-1</x:f>
        <x:v>0.008558901165302002</x:v>
      </x:c>
      <x:c r="J1832" s="12" t="n">
        <x:v>0</x:v>
      </x:c>
      <x:c r="K1832" s="12" t="n">
        <x:v>0</x:v>
      </x:c>
      <x:c r="L1832" s="12" t="n">
        <x:v>0</x:v>
      </x:c>
      <x:c r="M1832" s="2" t="str">
        <x:v>持有</x:v>
      </x:c>
    </x:row>
    <x:row r="1833" ht="23" customHeight="1">
      <x:c r="A1833" s="11" t="d">
        <x:v>2022-04-05T00:00:00.000Z</x:v>
      </x:c>
      <x:c r="B1833" s="12" t="n">
        <x:v>119.083383</x:v>
      </x:c>
      <x:c r="C1833" s="13" t="n">
        <x:v>291</x:v>
      </x:c>
      <x:c r="D1833" s="12" t="n">
        <x:v>131249.72999999998</x:v>
      </x:c>
      <x:c r="E1833" s="12" t="n">
        <x:v>0</x:v>
      </x:c>
      <x:c r="F1833" s="12" t="n">
        <x:f>SUM(B1833,D1833:E1833)</x:f>
        <x:v>131368.81338299997</x:v>
      </x:c>
      <x:c r="G1833" s="12" t="n">
        <x:f>MAX(G1832,F1833)</x:f>
        <x:v>138687.599344</x:v>
      </x:c>
      <x:c r="H1833" s="14" t="n">
        <x:f>F1833/G1833-1</x:f>
        <x:v>-0.052771740196082995</x:v>
      </x:c>
      <x:c r="I1833" s="14" t="n">
        <x:f>F1833/F1832-1</x:f>
        <x:v>-0.012620042929706421</x:v>
      </x:c>
      <x:c r="J1833" s="12" t="n">
        <x:v>0</x:v>
      </x:c>
      <x:c r="K1833" s="12" t="n">
        <x:v>0</x:v>
      </x:c>
      <x:c r="L1833" s="12" t="n">
        <x:v>0</x:v>
      </x:c>
      <x:c r="M1833" s="2" t="str">
        <x:v>持有</x:v>
      </x:c>
    </x:row>
    <x:row r="1834" ht="23" customHeight="1">
      <x:c r="A1834" s="11" t="d">
        <x:v>2022-04-06T00:00:00.000Z</x:v>
      </x:c>
      <x:c r="B1834" s="12" t="n">
        <x:v>119.083383</x:v>
      </x:c>
      <x:c r="C1834" s="13" t="n">
        <x:v>291</x:v>
      </x:c>
      <x:c r="D1834" s="12" t="n">
        <x:v>129937.31999999999</x:v>
      </x:c>
      <x:c r="E1834" s="12" t="n">
        <x:v>0</x:v>
      </x:c>
      <x:c r="F1834" s="12" t="n">
        <x:f>SUM(B1834,D1834:E1834)</x:f>
        <x:v>130056.403383</x:v>
      </x:c>
      <x:c r="G1834" s="12" t="n">
        <x:f>MAX(G1833,F1834)</x:f>
        <x:v>138687.599344</x:v>
      </x:c>
      <x:c r="H1834" s="14" t="n">
        <x:f>F1834/G1834-1</x:f>
        <x:v>-0.062234806874053805</x:v>
      </x:c>
      <x:c r="I1834" s="14" t="n">
        <x:f>F1834/F1833-1</x:f>
        <x:v>-0.009990270644933852</x:v>
      </x:c>
      <x:c r="J1834" s="12" t="n">
        <x:v>0</x:v>
      </x:c>
      <x:c r="K1834" s="12" t="n">
        <x:v>0</x:v>
      </x:c>
      <x:c r="L1834" s="12" t="n">
        <x:v>0</x:v>
      </x:c>
      <x:c r="M1834" s="2" t="str">
        <x:v>持有</x:v>
      </x:c>
    </x:row>
    <x:row r="1835" ht="23" customHeight="1">
      <x:c r="A1835" s="11" t="d">
        <x:v>2022-04-07T00:00:00.000Z</x:v>
      </x:c>
      <x:c r="B1835" s="12" t="n">
        <x:v>119.083383</x:v>
      </x:c>
      <x:c r="C1835" s="13" t="n">
        <x:v>291</x:v>
      </x:c>
      <x:c r="D1835" s="12" t="n">
        <x:v>130592.06999999999</x:v>
      </x:c>
      <x:c r="E1835" s="12" t="n">
        <x:v>0</x:v>
      </x:c>
      <x:c r="F1835" s="12" t="n">
        <x:f>SUM(B1835,D1835:E1835)</x:f>
        <x:v>130711.153383</x:v>
      </x:c>
      <x:c r="G1835" s="12" t="n">
        <x:f>MAX(G1834,F1835)</x:f>
        <x:v>138687.599344</x:v>
      </x:c>
      <x:c r="H1835" s="14" t="n">
        <x:f>F1835/G1835-1</x:f>
        <x:v>-0.05751376473981107</x:v>
      </x:c>
      <x:c r="I1835" s="14" t="n">
        <x:f>F1835/F1834-1</x:f>
        <x:v>0.0050343541953243864</x:v>
      </x:c>
      <x:c r="J1835" s="12" t="n">
        <x:v>0</x:v>
      </x:c>
      <x:c r="K1835" s="12" t="n">
        <x:v>0</x:v>
      </x:c>
      <x:c r="L1835" s="12" t="n">
        <x:v>0</x:v>
      </x:c>
      <x:c r="M1835" s="2" t="str">
        <x:v>持有</x:v>
      </x:c>
    </x:row>
    <x:row r="1836" ht="23" customHeight="1">
      <x:c r="A1836" s="11" t="d">
        <x:v>2022-04-08T00:00:00.000Z</x:v>
      </x:c>
      <x:c r="B1836" s="12" t="n">
        <x:v>119.083383</x:v>
      </x:c>
      <x:c r="C1836" s="13" t="n">
        <x:v>291</x:v>
      </x:c>
      <x:c r="D1836" s="12" t="n">
        <x:v>130242.87</x:v>
      </x:c>
      <x:c r="E1836" s="12" t="n">
        <x:v>0</x:v>
      </x:c>
      <x:c r="F1836" s="12" t="n">
        <x:f>SUM(B1836,D1836:E1836)</x:f>
        <x:v>130361.953383</x:v>
      </x:c>
      <x:c r="G1836" s="12" t="n">
        <x:f>MAX(G1835,F1836)</x:f>
        <x:v>138687.599344</x:v>
      </x:c>
      <x:c r="H1836" s="14" t="n">
        <x:f>F1836/G1836-1</x:f>
        <x:v>-0.060031653878073854</x:v>
      </x:c>
      <x:c r="I1836" s="14" t="n">
        <x:f>F1836/F1835-1</x:f>
        <x:v>-0.002671539428443448</x:v>
      </x:c>
      <x:c r="J1836" s="12" t="n">
        <x:v>0</x:v>
      </x:c>
      <x:c r="K1836" s="12" t="n">
        <x:v>0</x:v>
      </x:c>
      <x:c r="L1836" s="12" t="n">
        <x:v>0</x:v>
      </x:c>
      <x:c r="M1836" s="2" t="str">
        <x:v>持有</x:v>
      </x:c>
    </x:row>
    <x:row r="1837" ht="23" customHeight="1">
      <x:c r="A1837" s="11" t="d">
        <x:v>2022-04-11T00:00:00.000Z</x:v>
      </x:c>
      <x:c r="B1837" s="12" t="n">
        <x:v>119.083383</x:v>
      </x:c>
      <x:c r="C1837" s="13" t="n">
        <x:v>291</x:v>
      </x:c>
      <x:c r="D1837" s="12" t="n">
        <x:v>128016.72</x:v>
      </x:c>
      <x:c r="E1837" s="12" t="n">
        <x:v>0</x:v>
      </x:c>
      <x:c r="F1837" s="12" t="n">
        <x:f>SUM(B1837,D1837:E1837)</x:f>
        <x:v>128135.803383</x:v>
      </x:c>
      <x:c r="G1837" s="12" t="n">
        <x:f>MAX(G1836,F1837)</x:f>
        <x:v>138687.599344</x:v>
      </x:c>
      <x:c r="H1837" s="14" t="n">
        <x:f>F1837/G1837-1</x:f>
        <x:v>-0.07608319713449907</x:v>
      </x:c>
      <x:c r="I1837" s="14" t="n">
        <x:f>F1837/F1836-1</x:f>
        <x:v>-0.017076684893326366</x:v>
      </x:c>
      <x:c r="J1837" s="12" t="n">
        <x:v>0</x:v>
      </x:c>
      <x:c r="K1837" s="12" t="n">
        <x:v>0</x:v>
      </x:c>
      <x:c r="L1837" s="12" t="n">
        <x:v>0</x:v>
      </x:c>
      <x:c r="M1837" s="2" t="str">
        <x:v>持有</x:v>
      </x:c>
    </x:row>
    <x:row r="1838" ht="23" customHeight="1">
      <x:c r="A1838" s="11" t="d">
        <x:v>2022-04-12T00:00:00.000Z</x:v>
      </x:c>
      <x:c r="B1838" s="12" t="n">
        <x:v>128926.427103</x:v>
      </x:c>
      <x:c r="C1838" s="13" t="n">
        <x:v>0</x:v>
      </x:c>
      <x:c r="D1838" s="12" t="n">
        <x:v>0</x:v>
      </x:c>
      <x:c r="E1838" s="12" t="n">
        <x:v>0</x:v>
      </x:c>
      <x:c r="F1838" s="12" t="n">
        <x:f>SUM(B1838,D1838:E1838)</x:f>
        <x:v>128926.427103</x:v>
      </x:c>
      <x:c r="G1838" s="12" t="n">
        <x:f>MAX(G1837,F1838)</x:f>
        <x:v>138687.599344</x:v>
      </x:c>
      <x:c r="H1838" s="14" t="n">
        <x:f>F1838/G1838-1</x:f>
        <x:v>-0.07038244433655838</x:v>
      </x:c>
      <x:c r="I1838" s="14" t="n">
        <x:f>F1838/F1837-1</x:f>
        <x:v>0.006170201451321189</x:v>
      </x:c>
      <x:c r="J1838" s="12" t="n">
        <x:v>0</x:v>
      </x:c>
      <x:c r="K1838" s="12" t="n">
        <x:v>0</x:v>
      </x:c>
      <x:c r="L1838" s="12" t="n">
        <x:v>-291</x:v>
      </x:c>
      <x:c r="M1838" s="2" t="str">
        <x:v>卖出</x:v>
      </x:c>
    </x:row>
    <x:row r="1839" ht="23" customHeight="1">
      <x:c r="A1839" s="11" t="d">
        <x:v>2022-04-13T00:00:00.000Z</x:v>
      </x:c>
      <x:c r="B1839" s="12" t="n">
        <x:v>128926.427103</x:v>
      </x:c>
      <x:c r="C1839" s="13" t="n">
        <x:v>0</x:v>
      </x:c>
      <x:c r="D1839" s="12" t="n">
        <x:v>0</x:v>
      </x:c>
      <x:c r="E1839" s="12" t="n">
        <x:v>0</x:v>
      </x:c>
      <x:c r="F1839" s="12" t="n">
        <x:f>SUM(B1839,D1839:E1839)</x:f>
        <x:v>128926.427103</x:v>
      </x:c>
      <x:c r="G1839" s="12" t="n">
        <x:f>MAX(G1838,F1839)</x:f>
        <x:v>138687.599344</x:v>
      </x:c>
      <x:c r="H1839" s="14" t="n">
        <x:f>F1839/G1839-1</x:f>
        <x:v>-0.07038244433655838</x:v>
      </x:c>
      <x:c r="I1839" s="14" t="n">
        <x:f>F1839/F1838-1</x:f>
        <x:v>0</x:v>
      </x:c>
      <x:c r="J1839" s="12" t="n">
        <x:v>0</x:v>
      </x:c>
      <x:c r="K1839" s="12" t="n">
        <x:v>0</x:v>
      </x:c>
      <x:c r="L1839" s="12" t="n">
        <x:v>0</x:v>
      </x:c>
      <x:c r="M1839" s="2" t="str">
        <x:v>空仓</x:v>
      </x:c>
    </x:row>
    <x:row r="1840" ht="23" customHeight="1">
      <x:c r="A1840" s="11" t="d">
        <x:v>2022-04-14T00:00:00.000Z</x:v>
      </x:c>
      <x:c r="B1840" s="12" t="n">
        <x:v>168.297603</x:v>
      </x:c>
      <x:c r="C1840" s="13" t="n">
        <x:v>290</x:v>
      </x:c>
      <x:c r="D1840" s="12" t="n">
        <x:v>126959.1</x:v>
      </x:c>
      <x:c r="E1840" s="12" t="n">
        <x:v>0</x:v>
      </x:c>
      <x:c r="F1840" s="12" t="n">
        <x:f>SUM(B1840,D1840:E1840)</x:f>
        <x:v>127127.397603</x:v>
      </x:c>
      <x:c r="G1840" s="12" t="n">
        <x:f>MAX(G1839,F1840)</x:f>
        <x:v>138687.599344</x:v>
      </x:c>
      <x:c r="H1840" s="14" t="n">
        <x:f>F1840/G1840-1</x:f>
        <x:v>-0.08335425658588347</x:v>
      </x:c>
      <x:c r="I1840" s="14" t="n">
        <x:f>F1840/F1839-1</x:f>
        <x:v>-0.013953923492836195</x:v>
      </x:c>
      <x:c r="J1840" s="12" t="n">
        <x:v>0</x:v>
      </x:c>
      <x:c r="K1840" s="12" t="n">
        <x:v>0</x:v>
      </x:c>
      <x:c r="L1840" s="12" t="n">
        <x:v>290</x:v>
      </x:c>
      <x:c r="M1840" s="2" t="str">
        <x:v>买入</x:v>
      </x:c>
    </x:row>
    <x:row r="1841" ht="23" customHeight="1">
      <x:c r="A1841" s="11" t="d">
        <x:v>2022-04-18T00:00:00.000Z</x:v>
      </x:c>
      <x:c r="B1841" s="12" t="n">
        <x:v>126716.522703</x:v>
      </x:c>
      <x:c r="C1841" s="13" t="n">
        <x:v>0</x:v>
      </x:c>
      <x:c r="D1841" s="12" t="n">
        <x:v>0</x:v>
      </x:c>
      <x:c r="E1841" s="12" t="n">
        <x:v>0</x:v>
      </x:c>
      <x:c r="F1841" s="12" t="n">
        <x:f>SUM(B1841,D1841:E1841)</x:f>
        <x:v>126716.522703</x:v>
      </x:c>
      <x:c r="G1841" s="12" t="n">
        <x:f>MAX(G1840,F1841)</x:f>
        <x:v>138687.599344</x:v>
      </x:c>
      <x:c r="H1841" s="14" t="n">
        <x:f>F1841/G1841-1</x:f>
        <x:v>-0.0863168495065445</x:v>
      </x:c>
      <x:c r="I1841" s="14" t="n">
        <x:f>F1841/F1840-1</x:f>
        <x:v>-0.003231993321243909</x:v>
      </x:c>
      <x:c r="J1841" s="12" t="n">
        <x:v>0</x:v>
      </x:c>
      <x:c r="K1841" s="12" t="n">
        <x:v>0</x:v>
      </x:c>
      <x:c r="L1841" s="12" t="n">
        <x:v>-290</x:v>
      </x:c>
      <x:c r="M1841" s="2" t="str">
        <x:v>卖出</x:v>
      </x:c>
    </x:row>
    <x:row r="1842" ht="23" customHeight="1">
      <x:c r="A1842" s="11" t="d">
        <x:v>2022-04-19T00:00:00.000Z</x:v>
      </x:c>
      <x:c r="B1842" s="12" t="n">
        <x:v>126716.522703</x:v>
      </x:c>
      <x:c r="C1842" s="13" t="n">
        <x:v>0</x:v>
      </x:c>
      <x:c r="D1842" s="12" t="n">
        <x:v>0</x:v>
      </x:c>
      <x:c r="E1842" s="12" t="n">
        <x:v>0</x:v>
      </x:c>
      <x:c r="F1842" s="12" t="n">
        <x:f>SUM(B1842,D1842:E1842)</x:f>
        <x:v>126716.522703</x:v>
      </x:c>
      <x:c r="G1842" s="12" t="n">
        <x:f>MAX(G1841,F1842)</x:f>
        <x:v>138687.599344</x:v>
      </x:c>
      <x:c r="H1842" s="14" t="n">
        <x:f>F1842/G1842-1</x:f>
        <x:v>-0.0863168495065445</x:v>
      </x:c>
      <x:c r="I1842" s="14" t="n">
        <x:f>F1842/F1841-1</x:f>
        <x:v>0</x:v>
      </x:c>
      <x:c r="J1842" s="12" t="n">
        <x:v>0</x:v>
      </x:c>
      <x:c r="K1842" s="12" t="n">
        <x:v>0</x:v>
      </x:c>
      <x:c r="L1842" s="12" t="n">
        <x:v>0</x:v>
      </x:c>
      <x:c r="M1842" s="2" t="str">
        <x:v>空仓</x:v>
      </x:c>
    </x:row>
    <x:row r="1843" ht="23" customHeight="1">
      <x:c r="A1843" s="11" t="d">
        <x:v>2022-04-20T00:00:00.000Z</x:v>
      </x:c>
      <x:c r="B1843" s="12" t="n">
        <x:v>111.684343</x:v>
      </x:c>
      <x:c r="C1843" s="13" t="n">
        <x:v>283</x:v>
      </x:c>
      <x:c r="D1843" s="12" t="n">
        <x:v>125852.93</x:v>
      </x:c>
      <x:c r="E1843" s="12" t="n">
        <x:v>0</x:v>
      </x:c>
      <x:c r="F1843" s="12" t="n">
        <x:f>SUM(B1843,D1843:E1843)</x:f>
        <x:v>125964.614343</x:v>
      </x:c>
      <x:c r="G1843" s="12" t="n">
        <x:f>MAX(G1842,F1843)</x:f>
        <x:v>138687.599344</x:v>
      </x:c>
      <x:c r="H1843" s="14" t="n">
        <x:f>F1843/G1843-1</x:f>
        <x:v>-0.09173844713716595</x:v>
      </x:c>
      <x:c r="I1843" s="14" t="n">
        <x:f>F1843/F1842-1</x:f>
        <x:v>-0.00593378309285153</x:v>
      </x:c>
      <x:c r="J1843" s="12" t="n">
        <x:v>0</x:v>
      </x:c>
      <x:c r="K1843" s="12" t="n">
        <x:v>0</x:v>
      </x:c>
      <x:c r="L1843" s="12" t="n">
        <x:v>283</x:v>
      </x:c>
      <x:c r="M1843" s="2" t="str">
        <x:v>买入</x:v>
      </x:c>
    </x:row>
    <x:row r="1844" ht="23" customHeight="1">
      <x:c r="A1844" s="11" t="d">
        <x:v>2022-04-21T00:00:00.000Z</x:v>
      </x:c>
      <x:c r="B1844" s="12" t="n">
        <x:v>111.684343</x:v>
      </x:c>
      <x:c r="C1844" s="13" t="n">
        <x:v>283</x:v>
      </x:c>
      <x:c r="D1844" s="12" t="n">
        <x:v>123970.98</x:v>
      </x:c>
      <x:c r="E1844" s="12" t="n">
        <x:v>0</x:v>
      </x:c>
      <x:c r="F1844" s="12" t="n">
        <x:f>SUM(B1844,D1844:E1844)</x:f>
        <x:v>124082.664343</x:v>
      </x:c>
      <x:c r="G1844" s="12" t="n">
        <x:f>MAX(G1843,F1844)</x:f>
        <x:v>138687.599344</x:v>
      </x:c>
      <x:c r="H1844" s="14" t="n">
        <x:f>F1844/G1844-1</x:f>
        <x:v>-0.10530815350530354</x:v>
      </x:c>
      <x:c r="I1844" s="14" t="n">
        <x:f>F1844/F1843-1</x:f>
        <x:v>-0.01494030692520898</x:v>
      </x:c>
      <x:c r="J1844" s="12" t="n">
        <x:v>0</x:v>
      </x:c>
      <x:c r="K1844" s="12" t="n">
        <x:v>0</x:v>
      </x:c>
      <x:c r="L1844" s="12" t="n">
        <x:v>0</x:v>
      </x:c>
      <x:c r="M1844" s="2" t="str">
        <x:v>持有</x:v>
      </x:c>
    </x:row>
    <x:row r="1845" ht="23" customHeight="1">
      <x:c r="A1845" s="11" t="d">
        <x:v>2022-04-22T00:00:00.000Z</x:v>
      </x:c>
      <x:c r="B1845" s="12" t="n">
        <x:v>123633.568813</x:v>
      </x:c>
      <x:c r="C1845" s="13" t="n">
        <x:v>0</x:v>
      </x:c>
      <x:c r="D1845" s="12" t="n">
        <x:v>0</x:v>
      </x:c>
      <x:c r="E1845" s="12" t="n">
        <x:v>0</x:v>
      </x:c>
      <x:c r="F1845" s="12" t="n">
        <x:f>SUM(B1845,D1845:E1845)</x:f>
        <x:v>123633.568813</x:v>
      </x:c>
      <x:c r="G1845" s="12" t="n">
        <x:f>MAX(G1844,F1845)</x:f>
        <x:v>138687.599344</x:v>
      </x:c>
      <x:c r="H1845" s="14" t="n">
        <x:f>F1845/G1845-1</x:f>
        <x:v>-0.10854633436735783</x:v>
      </x:c>
      <x:c r="I1845" s="14" t="n">
        <x:f>F1845/F1844-1</x:f>
        <x:v>-0.003619325329431655</x:v>
      </x:c>
      <x:c r="J1845" s="12" t="n">
        <x:v>0</x:v>
      </x:c>
      <x:c r="K1845" s="12" t="n">
        <x:v>0</x:v>
      </x:c>
      <x:c r="L1845" s="12" t="n">
        <x:v>-283</x:v>
      </x:c>
      <x:c r="M1845" s="2" t="str">
        <x:v>卖出</x:v>
      </x:c>
    </x:row>
    <x:row r="1846" ht="23" customHeight="1">
      <x:c r="A1846" s="11" t="d">
        <x:v>2022-04-25T00:00:00.000Z</x:v>
      </x:c>
      <x:c r="B1846" s="12" t="n">
        <x:v>123633.568813</x:v>
      </x:c>
      <x:c r="C1846" s="13" t="n">
        <x:v>0</x:v>
      </x:c>
      <x:c r="D1846" s="12" t="n">
        <x:v>0</x:v>
      </x:c>
      <x:c r="E1846" s="12" t="n">
        <x:v>0</x:v>
      </x:c>
      <x:c r="F1846" s="12" t="n">
        <x:f>SUM(B1846,D1846:E1846)</x:f>
        <x:v>123633.568813</x:v>
      </x:c>
      <x:c r="G1846" s="12" t="n">
        <x:f>MAX(G1845,F1846)</x:f>
        <x:v>138687.599344</x:v>
      </x:c>
      <x:c r="H1846" s="14" t="n">
        <x:f>F1846/G1846-1</x:f>
        <x:v>-0.10854633436735783</x:v>
      </x:c>
      <x:c r="I1846" s="14" t="n">
        <x:f>F1846/F1845-1</x:f>
        <x:v>0</x:v>
      </x:c>
      <x:c r="J1846" s="12" t="n">
        <x:v>0</x:v>
      </x:c>
      <x:c r="K1846" s="12" t="n">
        <x:v>0</x:v>
      </x:c>
      <x:c r="L1846" s="12" t="n">
        <x:v>0</x:v>
      </x:c>
      <x:c r="M1846" s="2" t="str">
        <x:v>空仓</x:v>
      </x:c>
    </x:row>
    <x:row r="1847" ht="23" customHeight="1">
      <x:c r="A1847" s="11" t="d">
        <x:v>2022-04-26T00:00:00.000Z</x:v>
      </x:c>
      <x:c r="B1847" s="12" t="n">
        <x:v>123633.568813</x:v>
      </x:c>
      <x:c r="C1847" s="13" t="n">
        <x:v>0</x:v>
      </x:c>
      <x:c r="D1847" s="12" t="n">
        <x:v>0</x:v>
      </x:c>
      <x:c r="E1847" s="12" t="n">
        <x:v>0</x:v>
      </x:c>
      <x:c r="F1847" s="12" t="n">
        <x:f>SUM(B1847,D1847:E1847)</x:f>
        <x:v>123633.568813</x:v>
      </x:c>
      <x:c r="G1847" s="12" t="n">
        <x:f>MAX(G1846,F1847)</x:f>
        <x:v>138687.599344</x:v>
      </x:c>
      <x:c r="H1847" s="14" t="n">
        <x:f>F1847/G1847-1</x:f>
        <x:v>-0.10854633436735783</x:v>
      </x:c>
      <x:c r="I1847" s="14" t="n">
        <x:f>F1847/F1846-1</x:f>
        <x:v>0</x:v>
      </x:c>
      <x:c r="J1847" s="12" t="n">
        <x:v>0</x:v>
      </x:c>
      <x:c r="K1847" s="12" t="n">
        <x:v>0</x:v>
      </x:c>
      <x:c r="L1847" s="12" t="n">
        <x:v>0</x:v>
      </x:c>
      <x:c r="M1847" s="2" t="str">
        <x:v>空仓</x:v>
      </x:c>
    </x:row>
    <x:row r="1848" ht="23" customHeight="1">
      <x:c r="A1848" s="11" t="d">
        <x:v>2022-04-27T00:00:00.000Z</x:v>
      </x:c>
      <x:c r="B1848" s="12" t="n">
        <x:v>123633.568813</x:v>
      </x:c>
      <x:c r="C1848" s="13" t="n">
        <x:v>0</x:v>
      </x:c>
      <x:c r="D1848" s="12" t="n">
        <x:v>0</x:v>
      </x:c>
      <x:c r="E1848" s="12" t="n">
        <x:v>0</x:v>
      </x:c>
      <x:c r="F1848" s="12" t="n">
        <x:f>SUM(B1848,D1848:E1848)</x:f>
        <x:v>123633.568813</x:v>
      </x:c>
      <x:c r="G1848" s="12" t="n">
        <x:f>MAX(G1847,F1848)</x:f>
        <x:v>138687.599344</x:v>
      </x:c>
      <x:c r="H1848" s="14" t="n">
        <x:f>F1848/G1848-1</x:f>
        <x:v>-0.10854633436735783</x:v>
      </x:c>
      <x:c r="I1848" s="14" t="n">
        <x:f>F1848/F1847-1</x:f>
        <x:v>0</x:v>
      </x:c>
      <x:c r="J1848" s="12" t="n">
        <x:v>0</x:v>
      </x:c>
      <x:c r="K1848" s="12" t="n">
        <x:v>0</x:v>
      </x:c>
      <x:c r="L1848" s="12" t="n">
        <x:v>0</x:v>
      </x:c>
      <x:c r="M1848" s="2" t="str">
        <x:v>空仓</x:v>
      </x:c>
    </x:row>
    <x:row r="1849" ht="23" customHeight="1">
      <x:c r="A1849" s="11" t="d">
        <x:v>2022-04-28T00:00:00.000Z</x:v>
      </x:c>
      <x:c r="B1849" s="12" t="n">
        <x:v>123633.568813</x:v>
      </x:c>
      <x:c r="C1849" s="13" t="n">
        <x:v>0</x:v>
      </x:c>
      <x:c r="D1849" s="12" t="n">
        <x:v>0</x:v>
      </x:c>
      <x:c r="E1849" s="12" t="n">
        <x:v>0</x:v>
      </x:c>
      <x:c r="F1849" s="12" t="n">
        <x:f>SUM(B1849,D1849:E1849)</x:f>
        <x:v>123633.568813</x:v>
      </x:c>
      <x:c r="G1849" s="12" t="n">
        <x:f>MAX(G1848,F1849)</x:f>
        <x:v>138687.599344</x:v>
      </x:c>
      <x:c r="H1849" s="14" t="n">
        <x:f>F1849/G1849-1</x:f>
        <x:v>-0.10854633436735783</x:v>
      </x:c>
      <x:c r="I1849" s="14" t="n">
        <x:f>F1849/F1848-1</x:f>
        <x:v>0</x:v>
      </x:c>
      <x:c r="J1849" s="12" t="n">
        <x:v>0</x:v>
      </x:c>
      <x:c r="K1849" s="12" t="n">
        <x:v>0</x:v>
      </x:c>
      <x:c r="L1849" s="12" t="n">
        <x:v>0</x:v>
      </x:c>
      <x:c r="M1849" s="2" t="str">
        <x:v>空仓</x:v>
      </x:c>
    </x:row>
    <x:row r="1850" ht="23" customHeight="1">
      <x:c r="A1850" s="11" t="d">
        <x:v>2022-04-29T00:00:00.000Z</x:v>
      </x:c>
      <x:c r="B1850" s="12" t="n">
        <x:v>123633.568813</x:v>
      </x:c>
      <x:c r="C1850" s="13" t="n">
        <x:v>0</x:v>
      </x:c>
      <x:c r="D1850" s="12" t="n">
        <x:v>0</x:v>
      </x:c>
      <x:c r="E1850" s="12" t="n">
        <x:v>0</x:v>
      </x:c>
      <x:c r="F1850" s="12" t="n">
        <x:f>SUM(B1850,D1850:E1850)</x:f>
        <x:v>123633.568813</x:v>
      </x:c>
      <x:c r="G1850" s="12" t="n">
        <x:f>MAX(G1849,F1850)</x:f>
        <x:v>138687.599344</x:v>
      </x:c>
      <x:c r="H1850" s="14" t="n">
        <x:f>F1850/G1850-1</x:f>
        <x:v>-0.10854633436735783</x:v>
      </x:c>
      <x:c r="I1850" s="14" t="n">
        <x:f>F1850/F1849-1</x:f>
        <x:v>0</x:v>
      </x:c>
      <x:c r="J1850" s="12" t="n">
        <x:v>0</x:v>
      </x:c>
      <x:c r="K1850" s="12" t="n">
        <x:v>0</x:v>
      </x:c>
      <x:c r="L1850" s="12" t="n">
        <x:v>0</x:v>
      </x:c>
      <x:c r="M1850" s="2" t="str">
        <x:v>空仓</x:v>
      </x:c>
    </x:row>
    <x:row r="1851" ht="23" customHeight="1">
      <x:c r="A1851" s="11" t="d">
        <x:v>2022-05-02T00:00:00.000Z</x:v>
      </x:c>
      <x:c r="B1851" s="12" t="n">
        <x:v>123633.568813</x:v>
      </x:c>
      <x:c r="C1851" s="13" t="n">
        <x:v>0</x:v>
      </x:c>
      <x:c r="D1851" s="12" t="n">
        <x:v>0</x:v>
      </x:c>
      <x:c r="E1851" s="12" t="n">
        <x:v>0</x:v>
      </x:c>
      <x:c r="F1851" s="12" t="n">
        <x:f>SUM(B1851,D1851:E1851)</x:f>
        <x:v>123633.568813</x:v>
      </x:c>
      <x:c r="G1851" s="12" t="n">
        <x:f>MAX(G1850,F1851)</x:f>
        <x:v>138687.599344</x:v>
      </x:c>
      <x:c r="H1851" s="14" t="n">
        <x:f>F1851/G1851-1</x:f>
        <x:v>-0.10854633436735783</x:v>
      </x:c>
      <x:c r="I1851" s="14" t="n">
        <x:f>F1851/F1850-1</x:f>
        <x:v>0</x:v>
      </x:c>
      <x:c r="J1851" s="12" t="n">
        <x:v>0</x:v>
      </x:c>
      <x:c r="K1851" s="12" t="n">
        <x:v>0</x:v>
      </x:c>
      <x:c r="L1851" s="12" t="n">
        <x:v>0</x:v>
      </x:c>
      <x:c r="M1851" s="2" t="str">
        <x:v>空仓</x:v>
      </x:c>
    </x:row>
    <x:row r="1852" ht="23" customHeight="1">
      <x:c r="A1852" s="11" t="d">
        <x:v>2022-05-03T00:00:00.000Z</x:v>
      </x:c>
      <x:c r="B1852" s="12" t="n">
        <x:v>123633.568813</x:v>
      </x:c>
      <x:c r="C1852" s="13" t="n">
        <x:v>0</x:v>
      </x:c>
      <x:c r="D1852" s="12" t="n">
        <x:v>0</x:v>
      </x:c>
      <x:c r="E1852" s="12" t="n">
        <x:v>0</x:v>
      </x:c>
      <x:c r="F1852" s="12" t="n">
        <x:f>SUM(B1852,D1852:E1852)</x:f>
        <x:v>123633.568813</x:v>
      </x:c>
      <x:c r="G1852" s="12" t="n">
        <x:f>MAX(G1851,F1852)</x:f>
        <x:v>138687.599344</x:v>
      </x:c>
      <x:c r="H1852" s="14" t="n">
        <x:f>F1852/G1852-1</x:f>
        <x:v>-0.10854633436735783</x:v>
      </x:c>
      <x:c r="I1852" s="14" t="n">
        <x:f>F1852/F1851-1</x:f>
        <x:v>0</x:v>
      </x:c>
      <x:c r="J1852" s="12" t="n">
        <x:v>0</x:v>
      </x:c>
      <x:c r="K1852" s="12" t="n">
        <x:v>0</x:v>
      </x:c>
      <x:c r="L1852" s="12" t="n">
        <x:v>0</x:v>
      </x:c>
      <x:c r="M1852" s="2" t="str">
        <x:v>空仓</x:v>
      </x:c>
    </x:row>
    <x:row r="1853" ht="23" customHeight="1">
      <x:c r="A1853" s="11" t="d">
        <x:v>2022-05-04T00:00:00.000Z</x:v>
      </x:c>
      <x:c r="B1853" s="12" t="n">
        <x:v>123633.568813</x:v>
      </x:c>
      <x:c r="C1853" s="13" t="n">
        <x:v>0</x:v>
      </x:c>
      <x:c r="D1853" s="12" t="n">
        <x:v>0</x:v>
      </x:c>
      <x:c r="E1853" s="12" t="n">
        <x:v>0</x:v>
      </x:c>
      <x:c r="F1853" s="12" t="n">
        <x:f>SUM(B1853,D1853:E1853)</x:f>
        <x:v>123633.568813</x:v>
      </x:c>
      <x:c r="G1853" s="12" t="n">
        <x:f>MAX(G1852,F1853)</x:f>
        <x:v>138687.599344</x:v>
      </x:c>
      <x:c r="H1853" s="14" t="n">
        <x:f>F1853/G1853-1</x:f>
        <x:v>-0.10854633436735783</x:v>
      </x:c>
      <x:c r="I1853" s="14" t="n">
        <x:f>F1853/F1852-1</x:f>
        <x:v>0</x:v>
      </x:c>
      <x:c r="J1853" s="12" t="n">
        <x:v>0</x:v>
      </x:c>
      <x:c r="K1853" s="12" t="n">
        <x:v>0</x:v>
      </x:c>
      <x:c r="L1853" s="12" t="n">
        <x:v>0</x:v>
      </x:c>
      <x:c r="M1853" s="2" t="str">
        <x:v>空仓</x:v>
      </x:c>
    </x:row>
    <x:row r="1854" ht="23" customHeight="1">
      <x:c r="A1854" s="11" t="d">
        <x:v>2022-05-05T00:00:00.000Z</x:v>
      </x:c>
      <x:c r="B1854" s="12" t="n">
        <x:v>123633.568813</x:v>
      </x:c>
      <x:c r="C1854" s="13" t="n">
        <x:v>0</x:v>
      </x:c>
      <x:c r="D1854" s="12" t="n">
        <x:v>0</x:v>
      </x:c>
      <x:c r="E1854" s="12" t="n">
        <x:v>0</x:v>
      </x:c>
      <x:c r="F1854" s="12" t="n">
        <x:f>SUM(B1854,D1854:E1854)</x:f>
        <x:v>123633.568813</x:v>
      </x:c>
      <x:c r="G1854" s="12" t="n">
        <x:f>MAX(G1853,F1854)</x:f>
        <x:v>138687.599344</x:v>
      </x:c>
      <x:c r="H1854" s="14" t="n">
        <x:f>F1854/G1854-1</x:f>
        <x:v>-0.10854633436735783</x:v>
      </x:c>
      <x:c r="I1854" s="14" t="n">
        <x:f>F1854/F1853-1</x:f>
        <x:v>0</x:v>
      </x:c>
      <x:c r="J1854" s="12" t="n">
        <x:v>0</x:v>
      </x:c>
      <x:c r="K1854" s="12" t="n">
        <x:v>0</x:v>
      </x:c>
      <x:c r="L1854" s="12" t="n">
        <x:v>0</x:v>
      </x:c>
      <x:c r="M1854" s="2" t="str">
        <x:v>空仓</x:v>
      </x:c>
    </x:row>
    <x:row r="1855" ht="23" customHeight="1">
      <x:c r="A1855" s="11" t="d">
        <x:v>2022-05-06T00:00:00.000Z</x:v>
      </x:c>
      <x:c r="B1855" s="12" t="n">
        <x:v>123633.568813</x:v>
      </x:c>
      <x:c r="C1855" s="13" t="n">
        <x:v>0</x:v>
      </x:c>
      <x:c r="D1855" s="12" t="n">
        <x:v>0</x:v>
      </x:c>
      <x:c r="E1855" s="12" t="n">
        <x:v>0</x:v>
      </x:c>
      <x:c r="F1855" s="12" t="n">
        <x:f>SUM(B1855,D1855:E1855)</x:f>
        <x:v>123633.568813</x:v>
      </x:c>
      <x:c r="G1855" s="12" t="n">
        <x:f>MAX(G1854,F1855)</x:f>
        <x:v>138687.599344</x:v>
      </x:c>
      <x:c r="H1855" s="14" t="n">
        <x:f>F1855/G1855-1</x:f>
        <x:v>-0.10854633436735783</x:v>
      </x:c>
      <x:c r="I1855" s="14" t="n">
        <x:f>F1855/F1854-1</x:f>
        <x:v>0</x:v>
      </x:c>
      <x:c r="J1855" s="12" t="n">
        <x:v>0</x:v>
      </x:c>
      <x:c r="K1855" s="12" t="n">
        <x:v>0</x:v>
      </x:c>
      <x:c r="L1855" s="12" t="n">
        <x:v>0</x:v>
      </x:c>
      <x:c r="M1855" s="2" t="str">
        <x:v>空仓</x:v>
      </x:c>
    </x:row>
    <x:row r="1856" ht="23" customHeight="1">
      <x:c r="A1856" s="11" t="d">
        <x:v>2022-05-09T00:00:00.000Z</x:v>
      </x:c>
      <x:c r="B1856" s="12" t="n">
        <x:v>123633.568813</x:v>
      </x:c>
      <x:c r="C1856" s="13" t="n">
        <x:v>0</x:v>
      </x:c>
      <x:c r="D1856" s="12" t="n">
        <x:v>0</x:v>
      </x:c>
      <x:c r="E1856" s="12" t="n">
        <x:v>0</x:v>
      </x:c>
      <x:c r="F1856" s="12" t="n">
        <x:f>SUM(B1856,D1856:E1856)</x:f>
        <x:v>123633.568813</x:v>
      </x:c>
      <x:c r="G1856" s="12" t="n">
        <x:f>MAX(G1855,F1856)</x:f>
        <x:v>138687.599344</x:v>
      </x:c>
      <x:c r="H1856" s="14" t="n">
        <x:f>F1856/G1856-1</x:f>
        <x:v>-0.10854633436735783</x:v>
      </x:c>
      <x:c r="I1856" s="14" t="n">
        <x:f>F1856/F1855-1</x:f>
        <x:v>0</x:v>
      </x:c>
      <x:c r="J1856" s="12" t="n">
        <x:v>0</x:v>
      </x:c>
      <x:c r="K1856" s="12" t="n">
        <x:v>0</x:v>
      </x:c>
      <x:c r="L1856" s="12" t="n">
        <x:v>0</x:v>
      </x:c>
      <x:c r="M1856" s="2" t="str">
        <x:v>空仓</x:v>
      </x:c>
    </x:row>
    <x:row r="1857" ht="23" customHeight="1">
      <x:c r="A1857" s="11" t="d">
        <x:v>2022-05-10T00:00:00.000Z</x:v>
      </x:c>
      <x:c r="B1857" s="12" t="n">
        <x:v>123633.568813</x:v>
      </x:c>
      <x:c r="C1857" s="13" t="n">
        <x:v>0</x:v>
      </x:c>
      <x:c r="D1857" s="12" t="n">
        <x:v>0</x:v>
      </x:c>
      <x:c r="E1857" s="12" t="n">
        <x:v>0</x:v>
      </x:c>
      <x:c r="F1857" s="12" t="n">
        <x:f>SUM(B1857,D1857:E1857)</x:f>
        <x:v>123633.568813</x:v>
      </x:c>
      <x:c r="G1857" s="12" t="n">
        <x:f>MAX(G1856,F1857)</x:f>
        <x:v>138687.599344</x:v>
      </x:c>
      <x:c r="H1857" s="14" t="n">
        <x:f>F1857/G1857-1</x:f>
        <x:v>-0.10854633436735783</x:v>
      </x:c>
      <x:c r="I1857" s="14" t="n">
        <x:f>F1857/F1856-1</x:f>
        <x:v>0</x:v>
      </x:c>
      <x:c r="J1857" s="12" t="n">
        <x:v>0</x:v>
      </x:c>
      <x:c r="K1857" s="12" t="n">
        <x:v>0</x:v>
      </x:c>
      <x:c r="L1857" s="12" t="n">
        <x:v>0</x:v>
      </x:c>
      <x:c r="M1857" s="2" t="str">
        <x:v>空仓</x:v>
      </x:c>
    </x:row>
    <x:row r="1858" ht="23" customHeight="1">
      <x:c r="A1858" s="11" t="d">
        <x:v>2022-05-11T00:00:00.000Z</x:v>
      </x:c>
      <x:c r="B1858" s="12" t="n">
        <x:v>123633.568813</x:v>
      </x:c>
      <x:c r="C1858" s="13" t="n">
        <x:v>0</x:v>
      </x:c>
      <x:c r="D1858" s="12" t="n">
        <x:v>0</x:v>
      </x:c>
      <x:c r="E1858" s="12" t="n">
        <x:v>0</x:v>
      </x:c>
      <x:c r="F1858" s="12" t="n">
        <x:f>SUM(B1858,D1858:E1858)</x:f>
        <x:v>123633.568813</x:v>
      </x:c>
      <x:c r="G1858" s="12" t="n">
        <x:f>MAX(G1857,F1858)</x:f>
        <x:v>138687.599344</x:v>
      </x:c>
      <x:c r="H1858" s="14" t="n">
        <x:f>F1858/G1858-1</x:f>
        <x:v>-0.10854633436735783</x:v>
      </x:c>
      <x:c r="I1858" s="14" t="n">
        <x:f>F1858/F1857-1</x:f>
        <x:v>0</x:v>
      </x:c>
      <x:c r="J1858" s="12" t="n">
        <x:v>0</x:v>
      </x:c>
      <x:c r="K1858" s="12" t="n">
        <x:v>0</x:v>
      </x:c>
      <x:c r="L1858" s="12" t="n">
        <x:v>0</x:v>
      </x:c>
      <x:c r="M1858" s="2" t="str">
        <x:v>空仓</x:v>
      </x:c>
    </x:row>
    <x:row r="1859" ht="23" customHeight="1">
      <x:c r="A1859" s="11" t="d">
        <x:v>2022-05-12T00:00:00.000Z</x:v>
      </x:c>
      <x:c r="B1859" s="12" t="n">
        <x:v>123633.568813</x:v>
      </x:c>
      <x:c r="C1859" s="13" t="n">
        <x:v>0</x:v>
      </x:c>
      <x:c r="D1859" s="12" t="n">
        <x:v>0</x:v>
      </x:c>
      <x:c r="E1859" s="12" t="n">
        <x:v>0</x:v>
      </x:c>
      <x:c r="F1859" s="12" t="n">
        <x:f>SUM(B1859,D1859:E1859)</x:f>
        <x:v>123633.568813</x:v>
      </x:c>
      <x:c r="G1859" s="12" t="n">
        <x:f>MAX(G1858,F1859)</x:f>
        <x:v>138687.599344</x:v>
      </x:c>
      <x:c r="H1859" s="14" t="n">
        <x:f>F1859/G1859-1</x:f>
        <x:v>-0.10854633436735783</x:v>
      </x:c>
      <x:c r="I1859" s="14" t="n">
        <x:f>F1859/F1858-1</x:f>
        <x:v>0</x:v>
      </x:c>
      <x:c r="J1859" s="12" t="n">
        <x:v>0</x:v>
      </x:c>
      <x:c r="K1859" s="12" t="n">
        <x:v>0</x:v>
      </x:c>
      <x:c r="L1859" s="12" t="n">
        <x:v>0</x:v>
      </x:c>
      <x:c r="M1859" s="2" t="str">
        <x:v>空仓</x:v>
      </x:c>
    </x:row>
    <x:row r="1860" ht="23" customHeight="1">
      <x:c r="A1860" s="11" t="d">
        <x:v>2022-05-13T00:00:00.000Z</x:v>
      </x:c>
      <x:c r="B1860" s="12" t="n">
        <x:v>123633.568813</x:v>
      </x:c>
      <x:c r="C1860" s="13" t="n">
        <x:v>0</x:v>
      </x:c>
      <x:c r="D1860" s="12" t="n">
        <x:v>0</x:v>
      </x:c>
      <x:c r="E1860" s="12" t="n">
        <x:v>0</x:v>
      </x:c>
      <x:c r="F1860" s="12" t="n">
        <x:f>SUM(B1860,D1860:E1860)</x:f>
        <x:v>123633.568813</x:v>
      </x:c>
      <x:c r="G1860" s="12" t="n">
        <x:f>MAX(G1859,F1860)</x:f>
        <x:v>138687.599344</x:v>
      </x:c>
      <x:c r="H1860" s="14" t="n">
        <x:f>F1860/G1860-1</x:f>
        <x:v>-0.10854633436735783</x:v>
      </x:c>
      <x:c r="I1860" s="14" t="n">
        <x:f>F1860/F1859-1</x:f>
        <x:v>0</x:v>
      </x:c>
      <x:c r="J1860" s="12" t="n">
        <x:v>0</x:v>
      </x:c>
      <x:c r="K1860" s="12" t="n">
        <x:v>0</x:v>
      </x:c>
      <x:c r="L1860" s="12" t="n">
        <x:v>0</x:v>
      </x:c>
      <x:c r="M1860" s="2" t="str">
        <x:v>空仓</x:v>
      </x:c>
    </x:row>
    <x:row r="1861" ht="23" customHeight="1">
      <x:c r="A1861" s="11" t="d">
        <x:v>2022-05-16T00:00:00.000Z</x:v>
      </x:c>
      <x:c r="B1861" s="12" t="n">
        <x:v>123633.568813</x:v>
      </x:c>
      <x:c r="C1861" s="13" t="n">
        <x:v>0</x:v>
      </x:c>
      <x:c r="D1861" s="12" t="n">
        <x:v>0</x:v>
      </x:c>
      <x:c r="E1861" s="12" t="n">
        <x:v>0</x:v>
      </x:c>
      <x:c r="F1861" s="12" t="n">
        <x:f>SUM(B1861,D1861:E1861)</x:f>
        <x:v>123633.568813</x:v>
      </x:c>
      <x:c r="G1861" s="12" t="n">
        <x:f>MAX(G1860,F1861)</x:f>
        <x:v>138687.599344</x:v>
      </x:c>
      <x:c r="H1861" s="14" t="n">
        <x:f>F1861/G1861-1</x:f>
        <x:v>-0.10854633436735783</x:v>
      </x:c>
      <x:c r="I1861" s="14" t="n">
        <x:f>F1861/F1860-1</x:f>
        <x:v>0</x:v>
      </x:c>
      <x:c r="J1861" s="12" t="n">
        <x:v>0</x:v>
      </x:c>
      <x:c r="K1861" s="12" t="n">
        <x:v>0</x:v>
      </x:c>
      <x:c r="L1861" s="12" t="n">
        <x:v>0</x:v>
      </x:c>
      <x:c r="M1861" s="2" t="str">
        <x:v>空仓</x:v>
      </x:c>
    </x:row>
    <x:row r="1862" ht="23" customHeight="1">
      <x:c r="A1862" s="11" t="d">
        <x:v>2022-05-17T00:00:00.000Z</x:v>
      </x:c>
      <x:c r="B1862" s="12" t="n">
        <x:v>123633.568813</x:v>
      </x:c>
      <x:c r="C1862" s="13" t="n">
        <x:v>0</x:v>
      </x:c>
      <x:c r="D1862" s="12" t="n">
        <x:v>0</x:v>
      </x:c>
      <x:c r="E1862" s="12" t="n">
        <x:v>0</x:v>
      </x:c>
      <x:c r="F1862" s="12" t="n">
        <x:f>SUM(B1862,D1862:E1862)</x:f>
        <x:v>123633.568813</x:v>
      </x:c>
      <x:c r="G1862" s="12" t="n">
        <x:f>MAX(G1861,F1862)</x:f>
        <x:v>138687.599344</x:v>
      </x:c>
      <x:c r="H1862" s="14" t="n">
        <x:f>F1862/G1862-1</x:f>
        <x:v>-0.10854633436735783</x:v>
      </x:c>
      <x:c r="I1862" s="14" t="n">
        <x:f>F1862/F1861-1</x:f>
        <x:v>0</x:v>
      </x:c>
      <x:c r="J1862" s="12" t="n">
        <x:v>0</x:v>
      </x:c>
      <x:c r="K1862" s="12" t="n">
        <x:v>0</x:v>
      </x:c>
      <x:c r="L1862" s="12" t="n">
        <x:v>0</x:v>
      </x:c>
      <x:c r="M1862" s="2" t="str">
        <x:v>空仓</x:v>
      </x:c>
    </x:row>
    <x:row r="1863" ht="23" customHeight="1">
      <x:c r="A1863" s="11" t="d">
        <x:v>2022-05-18T00:00:00.000Z</x:v>
      </x:c>
      <x:c r="B1863" s="12" t="n">
        <x:v>123633.568813</x:v>
      </x:c>
      <x:c r="C1863" s="13" t="n">
        <x:v>0</x:v>
      </x:c>
      <x:c r="D1863" s="12" t="n">
        <x:v>0</x:v>
      </x:c>
      <x:c r="E1863" s="12" t="n">
        <x:v>0</x:v>
      </x:c>
      <x:c r="F1863" s="12" t="n">
        <x:f>SUM(B1863,D1863:E1863)</x:f>
        <x:v>123633.568813</x:v>
      </x:c>
      <x:c r="G1863" s="12" t="n">
        <x:f>MAX(G1862,F1863)</x:f>
        <x:v>138687.599344</x:v>
      </x:c>
      <x:c r="H1863" s="14" t="n">
        <x:f>F1863/G1863-1</x:f>
        <x:v>-0.10854633436735783</x:v>
      </x:c>
      <x:c r="I1863" s="14" t="n">
        <x:f>F1863/F1862-1</x:f>
        <x:v>0</x:v>
      </x:c>
      <x:c r="J1863" s="12" t="n">
        <x:v>0</x:v>
      </x:c>
      <x:c r="K1863" s="12" t="n">
        <x:v>0</x:v>
      </x:c>
      <x:c r="L1863" s="12" t="n">
        <x:v>0</x:v>
      </x:c>
      <x:c r="M1863" s="2" t="str">
        <x:v>空仓</x:v>
      </x:c>
    </x:row>
    <x:row r="1864" ht="23" customHeight="1">
      <x:c r="A1864" s="11" t="d">
        <x:v>2022-05-19T00:00:00.000Z</x:v>
      </x:c>
      <x:c r="B1864" s="12" t="n">
        <x:v>123633.568813</x:v>
      </x:c>
      <x:c r="C1864" s="13" t="n">
        <x:v>0</x:v>
      </x:c>
      <x:c r="D1864" s="12" t="n">
        <x:v>0</x:v>
      </x:c>
      <x:c r="E1864" s="12" t="n">
        <x:v>0</x:v>
      </x:c>
      <x:c r="F1864" s="12" t="n">
        <x:f>SUM(B1864,D1864:E1864)</x:f>
        <x:v>123633.568813</x:v>
      </x:c>
      <x:c r="G1864" s="12" t="n">
        <x:f>MAX(G1863,F1864)</x:f>
        <x:v>138687.599344</x:v>
      </x:c>
      <x:c r="H1864" s="14" t="n">
        <x:f>F1864/G1864-1</x:f>
        <x:v>-0.10854633436735783</x:v>
      </x:c>
      <x:c r="I1864" s="14" t="n">
        <x:f>F1864/F1863-1</x:f>
        <x:v>0</x:v>
      </x:c>
      <x:c r="J1864" s="12" t="n">
        <x:v>0</x:v>
      </x:c>
      <x:c r="K1864" s="12" t="n">
        <x:v>0</x:v>
      </x:c>
      <x:c r="L1864" s="12" t="n">
        <x:v>0</x:v>
      </x:c>
      <x:c r="M1864" s="2" t="str">
        <x:v>空仓</x:v>
      </x:c>
    </x:row>
    <x:row r="1865" ht="23" customHeight="1">
      <x:c r="A1865" s="11" t="d">
        <x:v>2022-05-20T00:00:00.000Z</x:v>
      </x:c>
      <x:c r="B1865" s="12" t="n">
        <x:v>123633.568813</x:v>
      </x:c>
      <x:c r="C1865" s="13" t="n">
        <x:v>0</x:v>
      </x:c>
      <x:c r="D1865" s="12" t="n">
        <x:v>0</x:v>
      </x:c>
      <x:c r="E1865" s="12" t="n">
        <x:v>0</x:v>
      </x:c>
      <x:c r="F1865" s="12" t="n">
        <x:f>SUM(B1865,D1865:E1865)</x:f>
        <x:v>123633.568813</x:v>
      </x:c>
      <x:c r="G1865" s="12" t="n">
        <x:f>MAX(G1864,F1865)</x:f>
        <x:v>138687.599344</x:v>
      </x:c>
      <x:c r="H1865" s="14" t="n">
        <x:f>F1865/G1865-1</x:f>
        <x:v>-0.10854633436735783</x:v>
      </x:c>
      <x:c r="I1865" s="14" t="n">
        <x:f>F1865/F1864-1</x:f>
        <x:v>0</x:v>
      </x:c>
      <x:c r="J1865" s="12" t="n">
        <x:v>0</x:v>
      </x:c>
      <x:c r="K1865" s="12" t="n">
        <x:v>0</x:v>
      </x:c>
      <x:c r="L1865" s="12" t="n">
        <x:v>0</x:v>
      </x:c>
      <x:c r="M1865" s="2" t="str">
        <x:v>空仓</x:v>
      </x:c>
    </x:row>
    <x:row r="1866" ht="23" customHeight="1">
      <x:c r="A1866" s="11" t="d">
        <x:v>2022-05-23T00:00:00.000Z</x:v>
      </x:c>
      <x:c r="B1866" s="12" t="n">
        <x:v>123633.568813</x:v>
      </x:c>
      <x:c r="C1866" s="13" t="n">
        <x:v>0</x:v>
      </x:c>
      <x:c r="D1866" s="12" t="n">
        <x:v>0</x:v>
      </x:c>
      <x:c r="E1866" s="12" t="n">
        <x:v>0</x:v>
      </x:c>
      <x:c r="F1866" s="12" t="n">
        <x:f>SUM(B1866,D1866:E1866)</x:f>
        <x:v>123633.568813</x:v>
      </x:c>
      <x:c r="G1866" s="12" t="n">
        <x:f>MAX(G1865,F1866)</x:f>
        <x:v>138687.599344</x:v>
      </x:c>
      <x:c r="H1866" s="14" t="n">
        <x:f>F1866/G1866-1</x:f>
        <x:v>-0.10854633436735783</x:v>
      </x:c>
      <x:c r="I1866" s="14" t="n">
        <x:f>F1866/F1865-1</x:f>
        <x:v>0</x:v>
      </x:c>
      <x:c r="J1866" s="12" t="n">
        <x:v>0</x:v>
      </x:c>
      <x:c r="K1866" s="12" t="n">
        <x:v>0</x:v>
      </x:c>
      <x:c r="L1866" s="12" t="n">
        <x:v>0</x:v>
      </x:c>
      <x:c r="M1866" s="2" t="str">
        <x:v>空仓</x:v>
      </x:c>
    </x:row>
    <x:row r="1867" ht="23" customHeight="1">
      <x:c r="A1867" s="11" t="d">
        <x:v>2022-05-24T00:00:00.000Z</x:v>
      </x:c>
      <x:c r="B1867" s="12" t="n">
        <x:v>123633.568813</x:v>
      </x:c>
      <x:c r="C1867" s="13" t="n">
        <x:v>0</x:v>
      </x:c>
      <x:c r="D1867" s="12" t="n">
        <x:v>0</x:v>
      </x:c>
      <x:c r="E1867" s="12" t="n">
        <x:v>0</x:v>
      </x:c>
      <x:c r="F1867" s="12" t="n">
        <x:f>SUM(B1867,D1867:E1867)</x:f>
        <x:v>123633.568813</x:v>
      </x:c>
      <x:c r="G1867" s="12" t="n">
        <x:f>MAX(G1866,F1867)</x:f>
        <x:v>138687.599344</x:v>
      </x:c>
      <x:c r="H1867" s="14" t="n">
        <x:f>F1867/G1867-1</x:f>
        <x:v>-0.10854633436735783</x:v>
      </x:c>
      <x:c r="I1867" s="14" t="n">
        <x:f>F1867/F1866-1</x:f>
        <x:v>0</x:v>
      </x:c>
      <x:c r="J1867" s="12" t="n">
        <x:v>0</x:v>
      </x:c>
      <x:c r="K1867" s="12" t="n">
        <x:v>0</x:v>
      </x:c>
      <x:c r="L1867" s="12" t="n">
        <x:v>0</x:v>
      </x:c>
      <x:c r="M1867" s="2" t="str">
        <x:v>空仓</x:v>
      </x:c>
    </x:row>
    <x:row r="1868" ht="23" customHeight="1">
      <x:c r="A1868" s="11" t="d">
        <x:v>2022-05-25T00:00:00.000Z</x:v>
      </x:c>
      <x:c r="B1868" s="12" t="n">
        <x:v>123633.568813</x:v>
      </x:c>
      <x:c r="C1868" s="13" t="n">
        <x:v>0</x:v>
      </x:c>
      <x:c r="D1868" s="12" t="n">
        <x:v>0</x:v>
      </x:c>
      <x:c r="E1868" s="12" t="n">
        <x:v>0</x:v>
      </x:c>
      <x:c r="F1868" s="12" t="n">
        <x:f>SUM(B1868,D1868:E1868)</x:f>
        <x:v>123633.568813</x:v>
      </x:c>
      <x:c r="G1868" s="12" t="n">
        <x:f>MAX(G1867,F1868)</x:f>
        <x:v>138687.599344</x:v>
      </x:c>
      <x:c r="H1868" s="14" t="n">
        <x:f>F1868/G1868-1</x:f>
        <x:v>-0.10854633436735783</x:v>
      </x:c>
      <x:c r="I1868" s="14" t="n">
        <x:f>F1868/F1867-1</x:f>
        <x:v>0</x:v>
      </x:c>
      <x:c r="J1868" s="12" t="n">
        <x:v>0</x:v>
      </x:c>
      <x:c r="K1868" s="12" t="n">
        <x:v>0</x:v>
      </x:c>
      <x:c r="L1868" s="12" t="n">
        <x:v>0</x:v>
      </x:c>
      <x:c r="M1868" s="2" t="str">
        <x:v>空仓</x:v>
      </x:c>
    </x:row>
    <x:row r="1869" ht="23" customHeight="1">
      <x:c r="A1869" s="11" t="d">
        <x:v>2022-05-26T00:00:00.000Z</x:v>
      </x:c>
      <x:c r="B1869" s="12" t="n">
        <x:v>123633.568813</x:v>
      </x:c>
      <x:c r="C1869" s="13" t="n">
        <x:v>0</x:v>
      </x:c>
      <x:c r="D1869" s="12" t="n">
        <x:v>0</x:v>
      </x:c>
      <x:c r="E1869" s="12" t="n">
        <x:v>0</x:v>
      </x:c>
      <x:c r="F1869" s="12" t="n">
        <x:f>SUM(B1869,D1869:E1869)</x:f>
        <x:v>123633.568813</x:v>
      </x:c>
      <x:c r="G1869" s="12" t="n">
        <x:f>MAX(G1868,F1869)</x:f>
        <x:v>138687.599344</x:v>
      </x:c>
      <x:c r="H1869" s="14" t="n">
        <x:f>F1869/G1869-1</x:f>
        <x:v>-0.10854633436735783</x:v>
      </x:c>
      <x:c r="I1869" s="14" t="n">
        <x:f>F1869/F1868-1</x:f>
        <x:v>0</x:v>
      </x:c>
      <x:c r="J1869" s="12" t="n">
        <x:v>0</x:v>
      </x:c>
      <x:c r="K1869" s="12" t="n">
        <x:v>0</x:v>
      </x:c>
      <x:c r="L1869" s="12" t="n">
        <x:v>0</x:v>
      </x:c>
      <x:c r="M1869" s="2" t="str">
        <x:v>空仓</x:v>
      </x:c>
    </x:row>
    <x:row r="1870" ht="23" customHeight="1">
      <x:c r="A1870" s="11" t="d">
        <x:v>2022-05-27T00:00:00.000Z</x:v>
      </x:c>
      <x:c r="B1870" s="12" t="n">
        <x:v>123633.568813</x:v>
      </x:c>
      <x:c r="C1870" s="13" t="n">
        <x:v>0</x:v>
      </x:c>
      <x:c r="D1870" s="12" t="n">
        <x:v>0</x:v>
      </x:c>
      <x:c r="E1870" s="12" t="n">
        <x:v>0</x:v>
      </x:c>
      <x:c r="F1870" s="12" t="n">
        <x:f>SUM(B1870,D1870:E1870)</x:f>
        <x:v>123633.568813</x:v>
      </x:c>
      <x:c r="G1870" s="12" t="n">
        <x:f>MAX(G1869,F1870)</x:f>
        <x:v>138687.599344</x:v>
      </x:c>
      <x:c r="H1870" s="14" t="n">
        <x:f>F1870/G1870-1</x:f>
        <x:v>-0.10854633436735783</x:v>
      </x:c>
      <x:c r="I1870" s="14" t="n">
        <x:f>F1870/F1869-1</x:f>
        <x:v>0</x:v>
      </x:c>
      <x:c r="J1870" s="12" t="n">
        <x:v>0</x:v>
      </x:c>
      <x:c r="K1870" s="12" t="n">
        <x:v>0</x:v>
      </x:c>
      <x:c r="L1870" s="12" t="n">
        <x:v>0</x:v>
      </x:c>
      <x:c r="M1870" s="2" t="str">
        <x:v>空仓</x:v>
      </x:c>
    </x:row>
    <x:row r="1871" ht="23" customHeight="1">
      <x:c r="A1871" s="11" t="d">
        <x:v>2022-05-31T00:00:00.000Z</x:v>
      </x:c>
      <x:c r="B1871" s="12" t="n">
        <x:v>123633.568813</x:v>
      </x:c>
      <x:c r="C1871" s="13" t="n">
        <x:v>0</x:v>
      </x:c>
      <x:c r="D1871" s="12" t="n">
        <x:v>0</x:v>
      </x:c>
      <x:c r="E1871" s="12" t="n">
        <x:v>0</x:v>
      </x:c>
      <x:c r="F1871" s="12" t="n">
        <x:f>SUM(B1871,D1871:E1871)</x:f>
        <x:v>123633.568813</x:v>
      </x:c>
      <x:c r="G1871" s="12" t="n">
        <x:f>MAX(G1870,F1871)</x:f>
        <x:v>138687.599344</x:v>
      </x:c>
      <x:c r="H1871" s="14" t="n">
        <x:f>F1871/G1871-1</x:f>
        <x:v>-0.10854633436735783</x:v>
      </x:c>
      <x:c r="I1871" s="14" t="n">
        <x:f>F1871/F1870-1</x:f>
        <x:v>0</x:v>
      </x:c>
      <x:c r="J1871" s="12" t="n">
        <x:v>0</x:v>
      </x:c>
      <x:c r="K1871" s="12" t="n">
        <x:v>0</x:v>
      </x:c>
      <x:c r="L1871" s="12" t="n">
        <x:v>0</x:v>
      </x:c>
      <x:c r="M1871" s="2" t="str">
        <x:v>空仓</x:v>
      </x:c>
    </x:row>
    <x:row r="1872" ht="23" customHeight="1">
      <x:c r="A1872" s="11" t="d">
        <x:v>2022-06-01T00:00:00.000Z</x:v>
      </x:c>
      <x:c r="B1872" s="12" t="n">
        <x:v>123633.568813</x:v>
      </x:c>
      <x:c r="C1872" s="13" t="n">
        <x:v>0</x:v>
      </x:c>
      <x:c r="D1872" s="12" t="n">
        <x:v>0</x:v>
      </x:c>
      <x:c r="E1872" s="12" t="n">
        <x:v>0</x:v>
      </x:c>
      <x:c r="F1872" s="12" t="n">
        <x:f>SUM(B1872,D1872:E1872)</x:f>
        <x:v>123633.568813</x:v>
      </x:c>
      <x:c r="G1872" s="12" t="n">
        <x:f>MAX(G1871,F1872)</x:f>
        <x:v>138687.599344</x:v>
      </x:c>
      <x:c r="H1872" s="14" t="n">
        <x:f>F1872/G1872-1</x:f>
        <x:v>-0.10854633436735783</x:v>
      </x:c>
      <x:c r="I1872" s="14" t="n">
        <x:f>F1872/F1871-1</x:f>
        <x:v>0</x:v>
      </x:c>
      <x:c r="J1872" s="12" t="n">
        <x:v>0</x:v>
      </x:c>
      <x:c r="K1872" s="12" t="n">
        <x:v>0</x:v>
      </x:c>
      <x:c r="L1872" s="12" t="n">
        <x:v>0</x:v>
      </x:c>
      <x:c r="M1872" s="2" t="str">
        <x:v>空仓</x:v>
      </x:c>
    </x:row>
    <x:row r="1873" ht="23" customHeight="1">
      <x:c r="A1873" s="11" t="d">
        <x:v>2022-06-02T00:00:00.000Z</x:v>
      </x:c>
      <x:c r="B1873" s="12" t="n">
        <x:v>123633.568813</x:v>
      </x:c>
      <x:c r="C1873" s="13" t="n">
        <x:v>0</x:v>
      </x:c>
      <x:c r="D1873" s="12" t="n">
        <x:v>0</x:v>
      </x:c>
      <x:c r="E1873" s="12" t="n">
        <x:v>0</x:v>
      </x:c>
      <x:c r="F1873" s="12" t="n">
        <x:f>SUM(B1873,D1873:E1873)</x:f>
        <x:v>123633.568813</x:v>
      </x:c>
      <x:c r="G1873" s="12" t="n">
        <x:f>MAX(G1872,F1873)</x:f>
        <x:v>138687.599344</x:v>
      </x:c>
      <x:c r="H1873" s="14" t="n">
        <x:f>F1873/G1873-1</x:f>
        <x:v>-0.10854633436735783</x:v>
      </x:c>
      <x:c r="I1873" s="14" t="n">
        <x:f>F1873/F1872-1</x:f>
        <x:v>0</x:v>
      </x:c>
      <x:c r="J1873" s="12" t="n">
        <x:v>0</x:v>
      </x:c>
      <x:c r="K1873" s="12" t="n">
        <x:v>0</x:v>
      </x:c>
      <x:c r="L1873" s="12" t="n">
        <x:v>0</x:v>
      </x:c>
      <x:c r="M1873" s="2" t="str">
        <x:v>空仓</x:v>
      </x:c>
    </x:row>
    <x:row r="1874" ht="23" customHeight="1">
      <x:c r="A1874" s="11" t="d">
        <x:v>2022-06-03T00:00:00.000Z</x:v>
      </x:c>
      <x:c r="B1874" s="12" t="n">
        <x:v>123633.568813</x:v>
      </x:c>
      <x:c r="C1874" s="13" t="n">
        <x:v>0</x:v>
      </x:c>
      <x:c r="D1874" s="12" t="n">
        <x:v>0</x:v>
      </x:c>
      <x:c r="E1874" s="12" t="n">
        <x:v>0</x:v>
      </x:c>
      <x:c r="F1874" s="12" t="n">
        <x:f>SUM(B1874,D1874:E1874)</x:f>
        <x:v>123633.568813</x:v>
      </x:c>
      <x:c r="G1874" s="12" t="n">
        <x:f>MAX(G1873,F1874)</x:f>
        <x:v>138687.599344</x:v>
      </x:c>
      <x:c r="H1874" s="14" t="n">
        <x:f>F1874/G1874-1</x:f>
        <x:v>-0.10854633436735783</x:v>
      </x:c>
      <x:c r="I1874" s="14" t="n">
        <x:f>F1874/F1873-1</x:f>
        <x:v>0</x:v>
      </x:c>
      <x:c r="J1874" s="12" t="n">
        <x:v>0</x:v>
      </x:c>
      <x:c r="K1874" s="12" t="n">
        <x:v>0</x:v>
      </x:c>
      <x:c r="L1874" s="12" t="n">
        <x:v>0</x:v>
      </x:c>
      <x:c r="M1874" s="2" t="str">
        <x:v>空仓</x:v>
      </x:c>
    </x:row>
    <x:row r="1875" ht="23" customHeight="1">
      <x:c r="A1875" s="11" t="d">
        <x:v>2022-06-06T00:00:00.000Z</x:v>
      </x:c>
      <x:c r="B1875" s="12" t="n">
        <x:v>123633.568813</x:v>
      </x:c>
      <x:c r="C1875" s="13" t="n">
        <x:v>0</x:v>
      </x:c>
      <x:c r="D1875" s="12" t="n">
        <x:v>0</x:v>
      </x:c>
      <x:c r="E1875" s="12" t="n">
        <x:v>0</x:v>
      </x:c>
      <x:c r="F1875" s="12" t="n">
        <x:f>SUM(B1875,D1875:E1875)</x:f>
        <x:v>123633.568813</x:v>
      </x:c>
      <x:c r="G1875" s="12" t="n">
        <x:f>MAX(G1874,F1875)</x:f>
        <x:v>138687.599344</x:v>
      </x:c>
      <x:c r="H1875" s="14" t="n">
        <x:f>F1875/G1875-1</x:f>
        <x:v>-0.10854633436735783</x:v>
      </x:c>
      <x:c r="I1875" s="14" t="n">
        <x:f>F1875/F1874-1</x:f>
        <x:v>0</x:v>
      </x:c>
      <x:c r="J1875" s="12" t="n">
        <x:v>0</x:v>
      </x:c>
      <x:c r="K1875" s="12" t="n">
        <x:v>0</x:v>
      </x:c>
      <x:c r="L1875" s="12" t="n">
        <x:v>0</x:v>
      </x:c>
      <x:c r="M1875" s="2" t="str">
        <x:v>空仓</x:v>
      </x:c>
    </x:row>
    <x:row r="1876" ht="23" customHeight="1">
      <x:c r="A1876" s="11" t="d">
        <x:v>2022-06-07T00:00:00.000Z</x:v>
      </x:c>
      <x:c r="B1876" s="12" t="n">
        <x:v>123633.568813</x:v>
      </x:c>
      <x:c r="C1876" s="13" t="n">
        <x:v>0</x:v>
      </x:c>
      <x:c r="D1876" s="12" t="n">
        <x:v>0</x:v>
      </x:c>
      <x:c r="E1876" s="12" t="n">
        <x:v>0</x:v>
      </x:c>
      <x:c r="F1876" s="12" t="n">
        <x:f>SUM(B1876,D1876:E1876)</x:f>
        <x:v>123633.568813</x:v>
      </x:c>
      <x:c r="G1876" s="12" t="n">
        <x:f>MAX(G1875,F1876)</x:f>
        <x:v>138687.599344</x:v>
      </x:c>
      <x:c r="H1876" s="14" t="n">
        <x:f>F1876/G1876-1</x:f>
        <x:v>-0.10854633436735783</x:v>
      </x:c>
      <x:c r="I1876" s="14" t="n">
        <x:f>F1876/F1875-1</x:f>
        <x:v>0</x:v>
      </x:c>
      <x:c r="J1876" s="12" t="n">
        <x:v>0</x:v>
      </x:c>
      <x:c r="K1876" s="12" t="n">
        <x:v>0</x:v>
      </x:c>
      <x:c r="L1876" s="12" t="n">
        <x:v>0</x:v>
      </x:c>
      <x:c r="M1876" s="2" t="str">
        <x:v>空仓</x:v>
      </x:c>
    </x:row>
    <x:row r="1877" ht="23" customHeight="1">
      <x:c r="A1877" s="11" t="d">
        <x:v>2022-06-08T00:00:00.000Z</x:v>
      </x:c>
      <x:c r="B1877" s="12" t="n">
        <x:v>123633.568813</x:v>
      </x:c>
      <x:c r="C1877" s="13" t="n">
        <x:v>0</x:v>
      </x:c>
      <x:c r="D1877" s="12" t="n">
        <x:v>0</x:v>
      </x:c>
      <x:c r="E1877" s="12" t="n">
        <x:v>0</x:v>
      </x:c>
      <x:c r="F1877" s="12" t="n">
        <x:f>SUM(B1877,D1877:E1877)</x:f>
        <x:v>123633.568813</x:v>
      </x:c>
      <x:c r="G1877" s="12" t="n">
        <x:f>MAX(G1876,F1877)</x:f>
        <x:v>138687.599344</x:v>
      </x:c>
      <x:c r="H1877" s="14" t="n">
        <x:f>F1877/G1877-1</x:f>
        <x:v>-0.10854633436735783</x:v>
      </x:c>
      <x:c r="I1877" s="14" t="n">
        <x:f>F1877/F1876-1</x:f>
        <x:v>0</x:v>
      </x:c>
      <x:c r="J1877" s="12" t="n">
        <x:v>0</x:v>
      </x:c>
      <x:c r="K1877" s="12" t="n">
        <x:v>0</x:v>
      </x:c>
      <x:c r="L1877" s="12" t="n">
        <x:v>0</x:v>
      </x:c>
      <x:c r="M1877" s="2" t="str">
        <x:v>空仓</x:v>
      </x:c>
    </x:row>
    <x:row r="1878" ht="23" customHeight="1">
      <x:c r="A1878" s="11" t="d">
        <x:v>2022-06-09T00:00:00.000Z</x:v>
      </x:c>
      <x:c r="B1878" s="12" t="n">
        <x:v>123633.568813</x:v>
      </x:c>
      <x:c r="C1878" s="13" t="n">
        <x:v>0</x:v>
      </x:c>
      <x:c r="D1878" s="12" t="n">
        <x:v>0</x:v>
      </x:c>
      <x:c r="E1878" s="12" t="n">
        <x:v>0</x:v>
      </x:c>
      <x:c r="F1878" s="12" t="n">
        <x:f>SUM(B1878,D1878:E1878)</x:f>
        <x:v>123633.568813</x:v>
      </x:c>
      <x:c r="G1878" s="12" t="n">
        <x:f>MAX(G1877,F1878)</x:f>
        <x:v>138687.599344</x:v>
      </x:c>
      <x:c r="H1878" s="14" t="n">
        <x:f>F1878/G1878-1</x:f>
        <x:v>-0.10854633436735783</x:v>
      </x:c>
      <x:c r="I1878" s="14" t="n">
        <x:f>F1878/F1877-1</x:f>
        <x:v>0</x:v>
      </x:c>
      <x:c r="J1878" s="12" t="n">
        <x:v>0</x:v>
      </x:c>
      <x:c r="K1878" s="12" t="n">
        <x:v>0</x:v>
      </x:c>
      <x:c r="L1878" s="12" t="n">
        <x:v>0</x:v>
      </x:c>
      <x:c r="M1878" s="2" t="str">
        <x:v>空仓</x:v>
      </x:c>
    </x:row>
    <x:row r="1879" ht="23" customHeight="1">
      <x:c r="A1879" s="11" t="d">
        <x:v>2022-06-10T00:00:00.000Z</x:v>
      </x:c>
      <x:c r="B1879" s="12" t="n">
        <x:v>123633.568813</x:v>
      </x:c>
      <x:c r="C1879" s="13" t="n">
        <x:v>0</x:v>
      </x:c>
      <x:c r="D1879" s="12" t="n">
        <x:v>0</x:v>
      </x:c>
      <x:c r="E1879" s="12" t="n">
        <x:v>0</x:v>
      </x:c>
      <x:c r="F1879" s="12" t="n">
        <x:f>SUM(B1879,D1879:E1879)</x:f>
        <x:v>123633.568813</x:v>
      </x:c>
      <x:c r="G1879" s="12" t="n">
        <x:f>MAX(G1878,F1879)</x:f>
        <x:v>138687.599344</x:v>
      </x:c>
      <x:c r="H1879" s="14" t="n">
        <x:f>F1879/G1879-1</x:f>
        <x:v>-0.10854633436735783</x:v>
      </x:c>
      <x:c r="I1879" s="14" t="n">
        <x:f>F1879/F1878-1</x:f>
        <x:v>0</x:v>
      </x:c>
      <x:c r="J1879" s="12" t="n">
        <x:v>0</x:v>
      </x:c>
      <x:c r="K1879" s="12" t="n">
        <x:v>0</x:v>
      </x:c>
      <x:c r="L1879" s="12" t="n">
        <x:v>0</x:v>
      </x:c>
      <x:c r="M1879" s="2" t="str">
        <x:v>空仓</x:v>
      </x:c>
    </x:row>
    <x:row r="1880" ht="23" customHeight="1">
      <x:c r="A1880" s="11" t="d">
        <x:v>2022-06-13T00:00:00.000Z</x:v>
      </x:c>
      <x:c r="B1880" s="12" t="n">
        <x:v>123633.568813</x:v>
      </x:c>
      <x:c r="C1880" s="13" t="n">
        <x:v>0</x:v>
      </x:c>
      <x:c r="D1880" s="12" t="n">
        <x:v>0</x:v>
      </x:c>
      <x:c r="E1880" s="12" t="n">
        <x:v>0</x:v>
      </x:c>
      <x:c r="F1880" s="12" t="n">
        <x:f>SUM(B1880,D1880:E1880)</x:f>
        <x:v>123633.568813</x:v>
      </x:c>
      <x:c r="G1880" s="12" t="n">
        <x:f>MAX(G1879,F1880)</x:f>
        <x:v>138687.599344</x:v>
      </x:c>
      <x:c r="H1880" s="14" t="n">
        <x:f>F1880/G1880-1</x:f>
        <x:v>-0.10854633436735783</x:v>
      </x:c>
      <x:c r="I1880" s="14" t="n">
        <x:f>F1880/F1879-1</x:f>
        <x:v>0</x:v>
      </x:c>
      <x:c r="J1880" s="12" t="n">
        <x:v>0</x:v>
      </x:c>
      <x:c r="K1880" s="12" t="n">
        <x:v>0</x:v>
      </x:c>
      <x:c r="L1880" s="12" t="n">
        <x:v>0</x:v>
      </x:c>
      <x:c r="M1880" s="2" t="str">
        <x:v>空仓</x:v>
      </x:c>
    </x:row>
    <x:row r="1881" ht="23" customHeight="1">
      <x:c r="A1881" s="11" t="d">
        <x:v>2022-06-14T00:00:00.000Z</x:v>
      </x:c>
      <x:c r="B1881" s="12" t="n">
        <x:v>123633.568813</x:v>
      </x:c>
      <x:c r="C1881" s="13" t="n">
        <x:v>0</x:v>
      </x:c>
      <x:c r="D1881" s="12" t="n">
        <x:v>0</x:v>
      </x:c>
      <x:c r="E1881" s="12" t="n">
        <x:v>0</x:v>
      </x:c>
      <x:c r="F1881" s="12" t="n">
        <x:f>SUM(B1881,D1881:E1881)</x:f>
        <x:v>123633.568813</x:v>
      </x:c>
      <x:c r="G1881" s="12" t="n">
        <x:f>MAX(G1880,F1881)</x:f>
        <x:v>138687.599344</x:v>
      </x:c>
      <x:c r="H1881" s="14" t="n">
        <x:f>F1881/G1881-1</x:f>
        <x:v>-0.10854633436735783</x:v>
      </x:c>
      <x:c r="I1881" s="14" t="n">
        <x:f>F1881/F1880-1</x:f>
        <x:v>0</x:v>
      </x:c>
      <x:c r="J1881" s="12" t="n">
        <x:v>0</x:v>
      </x:c>
      <x:c r="K1881" s="12" t="n">
        <x:v>0</x:v>
      </x:c>
      <x:c r="L1881" s="12" t="n">
        <x:v>0</x:v>
      </x:c>
      <x:c r="M1881" s="2" t="str">
        <x:v>空仓</x:v>
      </x:c>
    </x:row>
    <x:row r="1882" ht="23" customHeight="1">
      <x:c r="A1882" s="11" t="d">
        <x:v>2022-06-15T00:00:00.000Z</x:v>
      </x:c>
      <x:c r="B1882" s="12" t="n">
        <x:v>123633.568813</x:v>
      </x:c>
      <x:c r="C1882" s="13" t="n">
        <x:v>0</x:v>
      </x:c>
      <x:c r="D1882" s="12" t="n">
        <x:v>0</x:v>
      </x:c>
      <x:c r="E1882" s="12" t="n">
        <x:v>0</x:v>
      </x:c>
      <x:c r="F1882" s="12" t="n">
        <x:f>SUM(B1882,D1882:E1882)</x:f>
        <x:v>123633.568813</x:v>
      </x:c>
      <x:c r="G1882" s="12" t="n">
        <x:f>MAX(G1881,F1882)</x:f>
        <x:v>138687.599344</x:v>
      </x:c>
      <x:c r="H1882" s="14" t="n">
        <x:f>F1882/G1882-1</x:f>
        <x:v>-0.10854633436735783</x:v>
      </x:c>
      <x:c r="I1882" s="14" t="n">
        <x:f>F1882/F1881-1</x:f>
        <x:v>0</x:v>
      </x:c>
      <x:c r="J1882" s="12" t="n">
        <x:v>0</x:v>
      </x:c>
      <x:c r="K1882" s="12" t="n">
        <x:v>0</x:v>
      </x:c>
      <x:c r="L1882" s="12" t="n">
        <x:v>0</x:v>
      </x:c>
      <x:c r="M1882" s="2" t="str">
        <x:v>空仓</x:v>
      </x:c>
    </x:row>
    <x:row r="1883" ht="23" customHeight="1">
      <x:c r="A1883" s="11" t="d">
        <x:v>2022-06-16T00:00:00.000Z</x:v>
      </x:c>
      <x:c r="B1883" s="12" t="n">
        <x:v>123633.568813</x:v>
      </x:c>
      <x:c r="C1883" s="13" t="n">
        <x:v>0</x:v>
      </x:c>
      <x:c r="D1883" s="12" t="n">
        <x:v>0</x:v>
      </x:c>
      <x:c r="E1883" s="12" t="n">
        <x:v>0</x:v>
      </x:c>
      <x:c r="F1883" s="12" t="n">
        <x:f>SUM(B1883,D1883:E1883)</x:f>
        <x:v>123633.568813</x:v>
      </x:c>
      <x:c r="G1883" s="12" t="n">
        <x:f>MAX(G1882,F1883)</x:f>
        <x:v>138687.599344</x:v>
      </x:c>
      <x:c r="H1883" s="14" t="n">
        <x:f>F1883/G1883-1</x:f>
        <x:v>-0.10854633436735783</x:v>
      </x:c>
      <x:c r="I1883" s="14" t="n">
        <x:f>F1883/F1882-1</x:f>
        <x:v>0</x:v>
      </x:c>
      <x:c r="J1883" s="12" t="n">
        <x:v>0</x:v>
      </x:c>
      <x:c r="K1883" s="12" t="n">
        <x:v>0</x:v>
      </x:c>
      <x:c r="L1883" s="12" t="n">
        <x:v>0</x:v>
      </x:c>
      <x:c r="M1883" s="2" t="str">
        <x:v>空仓</x:v>
      </x:c>
    </x:row>
    <x:row r="1884" ht="23" customHeight="1">
      <x:c r="A1884" s="11" t="d">
        <x:v>2022-06-17T00:00:00.000Z</x:v>
      </x:c>
      <x:c r="B1884" s="12" t="n">
        <x:v>123633.568813</x:v>
      </x:c>
      <x:c r="C1884" s="13" t="n">
        <x:v>0</x:v>
      </x:c>
      <x:c r="D1884" s="12" t="n">
        <x:v>0</x:v>
      </x:c>
      <x:c r="E1884" s="12" t="n">
        <x:v>0</x:v>
      </x:c>
      <x:c r="F1884" s="12" t="n">
        <x:f>SUM(B1884,D1884:E1884)</x:f>
        <x:v>123633.568813</x:v>
      </x:c>
      <x:c r="G1884" s="12" t="n">
        <x:f>MAX(G1883,F1884)</x:f>
        <x:v>138687.599344</x:v>
      </x:c>
      <x:c r="H1884" s="14" t="n">
        <x:f>F1884/G1884-1</x:f>
        <x:v>-0.10854633436735783</x:v>
      </x:c>
      <x:c r="I1884" s="14" t="n">
        <x:f>F1884/F1883-1</x:f>
        <x:v>0</x:v>
      </x:c>
      <x:c r="J1884" s="12" t="n">
        <x:v>0</x:v>
      </x:c>
      <x:c r="K1884" s="12" t="n">
        <x:v>0</x:v>
      </x:c>
      <x:c r="L1884" s="12" t="n">
        <x:v>0</x:v>
      </x:c>
      <x:c r="M1884" s="2" t="str">
        <x:v>空仓</x:v>
      </x:c>
    </x:row>
    <x:row r="1885" ht="23" customHeight="1">
      <x:c r="A1885" s="11" t="d">
        <x:v>2022-06-21T00:00:00.000Z</x:v>
      </x:c>
      <x:c r="B1885" s="12" t="n">
        <x:v>123633.568813</x:v>
      </x:c>
      <x:c r="C1885" s="13" t="n">
        <x:v>0</x:v>
      </x:c>
      <x:c r="D1885" s="12" t="n">
        <x:v>0</x:v>
      </x:c>
      <x:c r="E1885" s="12" t="n">
        <x:v>0</x:v>
      </x:c>
      <x:c r="F1885" s="12" t="n">
        <x:f>SUM(B1885,D1885:E1885)</x:f>
        <x:v>123633.568813</x:v>
      </x:c>
      <x:c r="G1885" s="12" t="n">
        <x:f>MAX(G1884,F1885)</x:f>
        <x:v>138687.599344</x:v>
      </x:c>
      <x:c r="H1885" s="14" t="n">
        <x:f>F1885/G1885-1</x:f>
        <x:v>-0.10854633436735783</x:v>
      </x:c>
      <x:c r="I1885" s="14" t="n">
        <x:f>F1885/F1884-1</x:f>
        <x:v>0</x:v>
      </x:c>
      <x:c r="J1885" s="12" t="n">
        <x:v>0</x:v>
      </x:c>
      <x:c r="K1885" s="12" t="n">
        <x:v>0</x:v>
      </x:c>
      <x:c r="L1885" s="12" t="n">
        <x:v>0</x:v>
      </x:c>
      <x:c r="M1885" s="2" t="str">
        <x:v>空仓</x:v>
      </x:c>
    </x:row>
    <x:row r="1886" ht="23" customHeight="1">
      <x:c r="A1886" s="11" t="d">
        <x:v>2022-06-22T00:00:00.000Z</x:v>
      </x:c>
      <x:c r="B1886" s="12" t="n">
        <x:v>123633.568813</x:v>
      </x:c>
      <x:c r="C1886" s="13" t="n">
        <x:v>0</x:v>
      </x:c>
      <x:c r="D1886" s="12" t="n">
        <x:v>0</x:v>
      </x:c>
      <x:c r="E1886" s="12" t="n">
        <x:v>0</x:v>
      </x:c>
      <x:c r="F1886" s="12" t="n">
        <x:f>SUM(B1886,D1886:E1886)</x:f>
        <x:v>123633.568813</x:v>
      </x:c>
      <x:c r="G1886" s="12" t="n">
        <x:f>MAX(G1885,F1886)</x:f>
        <x:v>138687.599344</x:v>
      </x:c>
      <x:c r="H1886" s="14" t="n">
        <x:f>F1886/G1886-1</x:f>
        <x:v>-0.10854633436735783</x:v>
      </x:c>
      <x:c r="I1886" s="14" t="n">
        <x:f>F1886/F1885-1</x:f>
        <x:v>0</x:v>
      </x:c>
      <x:c r="J1886" s="12" t="n">
        <x:v>0</x:v>
      </x:c>
      <x:c r="K1886" s="12" t="n">
        <x:v>0</x:v>
      </x:c>
      <x:c r="L1886" s="12" t="n">
        <x:v>0</x:v>
      </x:c>
      <x:c r="M1886" s="2" t="str">
        <x:v>空仓</x:v>
      </x:c>
    </x:row>
    <x:row r="1887" ht="23" customHeight="1">
      <x:c r="A1887" s="11" t="d">
        <x:v>2022-06-23T00:00:00.000Z</x:v>
      </x:c>
      <x:c r="B1887" s="12" t="n">
        <x:v>123633.568813</x:v>
      </x:c>
      <x:c r="C1887" s="13" t="n">
        <x:v>0</x:v>
      </x:c>
      <x:c r="D1887" s="12" t="n">
        <x:v>0</x:v>
      </x:c>
      <x:c r="E1887" s="12" t="n">
        <x:v>0</x:v>
      </x:c>
      <x:c r="F1887" s="12" t="n">
        <x:f>SUM(B1887,D1887:E1887)</x:f>
        <x:v>123633.568813</x:v>
      </x:c>
      <x:c r="G1887" s="12" t="n">
        <x:f>MAX(G1886,F1887)</x:f>
        <x:v>138687.599344</x:v>
      </x:c>
      <x:c r="H1887" s="14" t="n">
        <x:f>F1887/G1887-1</x:f>
        <x:v>-0.10854633436735783</x:v>
      </x:c>
      <x:c r="I1887" s="14" t="n">
        <x:f>F1887/F1886-1</x:f>
        <x:v>0</x:v>
      </x:c>
      <x:c r="J1887" s="12" t="n">
        <x:v>0</x:v>
      </x:c>
      <x:c r="K1887" s="12" t="n">
        <x:v>0</x:v>
      </x:c>
      <x:c r="L1887" s="12" t="n">
        <x:v>0</x:v>
      </x:c>
      <x:c r="M1887" s="2" t="str">
        <x:v>空仓</x:v>
      </x:c>
    </x:row>
    <x:row r="1888" ht="23" customHeight="1">
      <x:c r="A1888" s="11" t="d">
        <x:v>2022-06-24T00:00:00.000Z</x:v>
      </x:c>
      <x:c r="B1888" s="12" t="n">
        <x:v>123633.568813</x:v>
      </x:c>
      <x:c r="C1888" s="13" t="n">
        <x:v>0</x:v>
      </x:c>
      <x:c r="D1888" s="12" t="n">
        <x:v>0</x:v>
      </x:c>
      <x:c r="E1888" s="12" t="n">
        <x:v>0</x:v>
      </x:c>
      <x:c r="F1888" s="12" t="n">
        <x:f>SUM(B1888,D1888:E1888)</x:f>
        <x:v>123633.568813</x:v>
      </x:c>
      <x:c r="G1888" s="12" t="n">
        <x:f>MAX(G1887,F1888)</x:f>
        <x:v>138687.599344</x:v>
      </x:c>
      <x:c r="H1888" s="14" t="n">
        <x:f>F1888/G1888-1</x:f>
        <x:v>-0.10854633436735783</x:v>
      </x:c>
      <x:c r="I1888" s="14" t="n">
        <x:f>F1888/F1887-1</x:f>
        <x:v>0</x:v>
      </x:c>
      <x:c r="J1888" s="12" t="n">
        <x:v>0</x:v>
      </x:c>
      <x:c r="K1888" s="12" t="n">
        <x:v>0</x:v>
      </x:c>
      <x:c r="L1888" s="12" t="n">
        <x:v>0</x:v>
      </x:c>
      <x:c r="M1888" s="2" t="str">
        <x:v>空仓</x:v>
      </x:c>
    </x:row>
    <x:row r="1889" ht="23" customHeight="1">
      <x:c r="A1889" s="11" t="d">
        <x:v>2022-06-27T00:00:00.000Z</x:v>
      </x:c>
      <x:c r="B1889" s="12" t="n">
        <x:v>123633.568813</x:v>
      </x:c>
      <x:c r="C1889" s="13" t="n">
        <x:v>0</x:v>
      </x:c>
      <x:c r="D1889" s="12" t="n">
        <x:v>0</x:v>
      </x:c>
      <x:c r="E1889" s="12" t="n">
        <x:v>0</x:v>
      </x:c>
      <x:c r="F1889" s="12" t="n">
        <x:f>SUM(B1889,D1889:E1889)</x:f>
        <x:v>123633.568813</x:v>
      </x:c>
      <x:c r="G1889" s="12" t="n">
        <x:f>MAX(G1888,F1889)</x:f>
        <x:v>138687.599344</x:v>
      </x:c>
      <x:c r="H1889" s="14" t="n">
        <x:f>F1889/G1889-1</x:f>
        <x:v>-0.10854633436735783</x:v>
      </x:c>
      <x:c r="I1889" s="14" t="n">
        <x:f>F1889/F1888-1</x:f>
        <x:v>0</x:v>
      </x:c>
      <x:c r="J1889" s="12" t="n">
        <x:v>0</x:v>
      </x:c>
      <x:c r="K1889" s="12" t="n">
        <x:v>0</x:v>
      </x:c>
      <x:c r="L1889" s="12" t="n">
        <x:v>0</x:v>
      </x:c>
      <x:c r="M1889" s="2" t="str">
        <x:v>空仓</x:v>
      </x:c>
    </x:row>
    <x:row r="1890" ht="23" customHeight="1">
      <x:c r="A1890" s="11" t="d">
        <x:v>2022-06-28T00:00:00.000Z</x:v>
      </x:c>
      <x:c r="B1890" s="12" t="n">
        <x:v>123633.568813</x:v>
      </x:c>
      <x:c r="C1890" s="13" t="n">
        <x:v>0</x:v>
      </x:c>
      <x:c r="D1890" s="12" t="n">
        <x:v>0</x:v>
      </x:c>
      <x:c r="E1890" s="12" t="n">
        <x:v>0</x:v>
      </x:c>
      <x:c r="F1890" s="12" t="n">
        <x:f>SUM(B1890,D1890:E1890)</x:f>
        <x:v>123633.568813</x:v>
      </x:c>
      <x:c r="G1890" s="12" t="n">
        <x:f>MAX(G1889,F1890)</x:f>
        <x:v>138687.599344</x:v>
      </x:c>
      <x:c r="H1890" s="14" t="n">
        <x:f>F1890/G1890-1</x:f>
        <x:v>-0.10854633436735783</x:v>
      </x:c>
      <x:c r="I1890" s="14" t="n">
        <x:f>F1890/F1889-1</x:f>
        <x:v>0</x:v>
      </x:c>
      <x:c r="J1890" s="12" t="n">
        <x:v>0</x:v>
      </x:c>
      <x:c r="K1890" s="12" t="n">
        <x:v>0</x:v>
      </x:c>
      <x:c r="L1890" s="12" t="n">
        <x:v>0</x:v>
      </x:c>
      <x:c r="M1890" s="2" t="str">
        <x:v>空仓</x:v>
      </x:c>
    </x:row>
    <x:row r="1891" ht="23" customHeight="1">
      <x:c r="A1891" s="11" t="d">
        <x:v>2022-06-29T00:00:00.000Z</x:v>
      </x:c>
      <x:c r="B1891" s="12" t="n">
        <x:v>123633.568813</x:v>
      </x:c>
      <x:c r="C1891" s="13" t="n">
        <x:v>0</x:v>
      </x:c>
      <x:c r="D1891" s="12" t="n">
        <x:v>0</x:v>
      </x:c>
      <x:c r="E1891" s="12" t="n">
        <x:v>0</x:v>
      </x:c>
      <x:c r="F1891" s="12" t="n">
        <x:f>SUM(B1891,D1891:E1891)</x:f>
        <x:v>123633.568813</x:v>
      </x:c>
      <x:c r="G1891" s="12" t="n">
        <x:f>MAX(G1890,F1891)</x:f>
        <x:v>138687.599344</x:v>
      </x:c>
      <x:c r="H1891" s="14" t="n">
        <x:f>F1891/G1891-1</x:f>
        <x:v>-0.10854633436735783</x:v>
      </x:c>
      <x:c r="I1891" s="14" t="n">
        <x:f>F1891/F1890-1</x:f>
        <x:v>0</x:v>
      </x:c>
      <x:c r="J1891" s="12" t="n">
        <x:v>0</x:v>
      </x:c>
      <x:c r="K1891" s="12" t="n">
        <x:v>0</x:v>
      </x:c>
      <x:c r="L1891" s="12" t="n">
        <x:v>0</x:v>
      </x:c>
      <x:c r="M1891" s="2" t="str">
        <x:v>空仓</x:v>
      </x:c>
    </x:row>
    <x:row r="1892" ht="23" customHeight="1">
      <x:c r="A1892" s="11" t="d">
        <x:v>2022-06-30T00:00:00.000Z</x:v>
      </x:c>
      <x:c r="B1892" s="12" t="n">
        <x:v>123633.568813</x:v>
      </x:c>
      <x:c r="C1892" s="13" t="n">
        <x:v>0</x:v>
      </x:c>
      <x:c r="D1892" s="12" t="n">
        <x:v>0</x:v>
      </x:c>
      <x:c r="E1892" s="12" t="n">
        <x:v>0</x:v>
      </x:c>
      <x:c r="F1892" s="12" t="n">
        <x:f>SUM(B1892,D1892:E1892)</x:f>
        <x:v>123633.568813</x:v>
      </x:c>
      <x:c r="G1892" s="12" t="n">
        <x:f>MAX(G1891,F1892)</x:f>
        <x:v>138687.599344</x:v>
      </x:c>
      <x:c r="H1892" s="14" t="n">
        <x:f>F1892/G1892-1</x:f>
        <x:v>-0.10854633436735783</x:v>
      </x:c>
      <x:c r="I1892" s="14" t="n">
        <x:f>F1892/F1891-1</x:f>
        <x:v>0</x:v>
      </x:c>
      <x:c r="J1892" s="12" t="n">
        <x:v>0</x:v>
      </x:c>
      <x:c r="K1892" s="12" t="n">
        <x:v>0</x:v>
      </x:c>
      <x:c r="L1892" s="12" t="n">
        <x:v>0</x:v>
      </x:c>
      <x:c r="M1892" s="2" t="str">
        <x:v>空仓</x:v>
      </x:c>
    </x:row>
    <x:row r="1893" ht="23" customHeight="1">
      <x:c r="A1893" s="11" t="d">
        <x:v>2022-07-01T00:00:00.000Z</x:v>
      </x:c>
      <x:c r="B1893" s="12" t="n">
        <x:v>123633.568813</x:v>
      </x:c>
      <x:c r="C1893" s="13" t="n">
        <x:v>0</x:v>
      </x:c>
      <x:c r="D1893" s="12" t="n">
        <x:v>0</x:v>
      </x:c>
      <x:c r="E1893" s="12" t="n">
        <x:v>0</x:v>
      </x:c>
      <x:c r="F1893" s="12" t="n">
        <x:f>SUM(B1893,D1893:E1893)</x:f>
        <x:v>123633.568813</x:v>
      </x:c>
      <x:c r="G1893" s="12" t="n">
        <x:f>MAX(G1892,F1893)</x:f>
        <x:v>138687.599344</x:v>
      </x:c>
      <x:c r="H1893" s="14" t="n">
        <x:f>F1893/G1893-1</x:f>
        <x:v>-0.10854633436735783</x:v>
      </x:c>
      <x:c r="I1893" s="14" t="n">
        <x:f>F1893/F1892-1</x:f>
        <x:v>0</x:v>
      </x:c>
      <x:c r="J1893" s="12" t="n">
        <x:v>0</x:v>
      </x:c>
      <x:c r="K1893" s="12" t="n">
        <x:v>0</x:v>
      </x:c>
      <x:c r="L1893" s="12" t="n">
        <x:v>0</x:v>
      </x:c>
      <x:c r="M1893" s="2" t="str">
        <x:v>空仓</x:v>
      </x:c>
    </x:row>
    <x:row r="1894" ht="23" customHeight="1">
      <x:c r="A1894" s="11" t="d">
        <x:v>2022-07-05T00:00:00.000Z</x:v>
      </x:c>
      <x:c r="B1894" s="12" t="n">
        <x:v>123633.568813</x:v>
      </x:c>
      <x:c r="C1894" s="13" t="n">
        <x:v>0</x:v>
      </x:c>
      <x:c r="D1894" s="12" t="n">
        <x:v>0</x:v>
      </x:c>
      <x:c r="E1894" s="12" t="n">
        <x:v>0</x:v>
      </x:c>
      <x:c r="F1894" s="12" t="n">
        <x:f>SUM(B1894,D1894:E1894)</x:f>
        <x:v>123633.568813</x:v>
      </x:c>
      <x:c r="G1894" s="12" t="n">
        <x:f>MAX(G1893,F1894)</x:f>
        <x:v>138687.599344</x:v>
      </x:c>
      <x:c r="H1894" s="14" t="n">
        <x:f>F1894/G1894-1</x:f>
        <x:v>-0.10854633436735783</x:v>
      </x:c>
      <x:c r="I1894" s="14" t="n">
        <x:f>F1894/F1893-1</x:f>
        <x:v>0</x:v>
      </x:c>
      <x:c r="J1894" s="12" t="n">
        <x:v>0</x:v>
      </x:c>
      <x:c r="K1894" s="12" t="n">
        <x:v>0</x:v>
      </x:c>
      <x:c r="L1894" s="12" t="n">
        <x:v>0</x:v>
      </x:c>
      <x:c r="M1894" s="2" t="str">
        <x:v>空仓</x:v>
      </x:c>
    </x:row>
    <x:row r="1895" ht="23" customHeight="1">
      <x:c r="A1895" s="11" t="d">
        <x:v>2022-07-06T00:00:00.000Z</x:v>
      </x:c>
      <x:c r="B1895" s="12" t="n">
        <x:v>123633.568813</x:v>
      </x:c>
      <x:c r="C1895" s="13" t="n">
        <x:v>0</x:v>
      </x:c>
      <x:c r="D1895" s="12" t="n">
        <x:v>0</x:v>
      </x:c>
      <x:c r="E1895" s="12" t="n">
        <x:v>0</x:v>
      </x:c>
      <x:c r="F1895" s="12" t="n">
        <x:f>SUM(B1895,D1895:E1895)</x:f>
        <x:v>123633.568813</x:v>
      </x:c>
      <x:c r="G1895" s="12" t="n">
        <x:f>MAX(G1894,F1895)</x:f>
        <x:v>138687.599344</x:v>
      </x:c>
      <x:c r="H1895" s="14" t="n">
        <x:f>F1895/G1895-1</x:f>
        <x:v>-0.10854633436735783</x:v>
      </x:c>
      <x:c r="I1895" s="14" t="n">
        <x:f>F1895/F1894-1</x:f>
        <x:v>0</x:v>
      </x:c>
      <x:c r="J1895" s="12" t="n">
        <x:v>0</x:v>
      </x:c>
      <x:c r="K1895" s="12" t="n">
        <x:v>0</x:v>
      </x:c>
      <x:c r="L1895" s="12" t="n">
        <x:v>0</x:v>
      </x:c>
      <x:c r="M1895" s="2" t="str">
        <x:v>空仓</x:v>
      </x:c>
    </x:row>
    <x:row r="1896" ht="23" customHeight="1">
      <x:c r="A1896" s="11" t="d">
        <x:v>2022-07-07T00:00:00.000Z</x:v>
      </x:c>
      <x:c r="B1896" s="12" t="n">
        <x:v>123633.568813</x:v>
      </x:c>
      <x:c r="C1896" s="13" t="n">
        <x:v>0</x:v>
      </x:c>
      <x:c r="D1896" s="12" t="n">
        <x:v>0</x:v>
      </x:c>
      <x:c r="E1896" s="12" t="n">
        <x:v>0</x:v>
      </x:c>
      <x:c r="F1896" s="12" t="n">
        <x:f>SUM(B1896,D1896:E1896)</x:f>
        <x:v>123633.568813</x:v>
      </x:c>
      <x:c r="G1896" s="12" t="n">
        <x:f>MAX(G1895,F1896)</x:f>
        <x:v>138687.599344</x:v>
      </x:c>
      <x:c r="H1896" s="14" t="n">
        <x:f>F1896/G1896-1</x:f>
        <x:v>-0.10854633436735783</x:v>
      </x:c>
      <x:c r="I1896" s="14" t="n">
        <x:f>F1896/F1895-1</x:f>
        <x:v>0</x:v>
      </x:c>
      <x:c r="J1896" s="12" t="n">
        <x:v>0</x:v>
      </x:c>
      <x:c r="K1896" s="12" t="n">
        <x:v>0</x:v>
      </x:c>
      <x:c r="L1896" s="12" t="n">
        <x:v>0</x:v>
      </x:c>
      <x:c r="M1896" s="2" t="str">
        <x:v>空仓</x:v>
      </x:c>
    </x:row>
    <x:row r="1897" ht="23" customHeight="1">
      <x:c r="A1897" s="11" t="d">
        <x:v>2022-07-08T00:00:00.000Z</x:v>
      </x:c>
      <x:c r="B1897" s="12" t="n">
        <x:v>123633.568813</x:v>
      </x:c>
      <x:c r="C1897" s="13" t="n">
        <x:v>0</x:v>
      </x:c>
      <x:c r="D1897" s="12" t="n">
        <x:v>0</x:v>
      </x:c>
      <x:c r="E1897" s="12" t="n">
        <x:v>0</x:v>
      </x:c>
      <x:c r="F1897" s="12" t="n">
        <x:f>SUM(B1897,D1897:E1897)</x:f>
        <x:v>123633.568813</x:v>
      </x:c>
      <x:c r="G1897" s="12" t="n">
        <x:f>MAX(G1896,F1897)</x:f>
        <x:v>138687.599344</x:v>
      </x:c>
      <x:c r="H1897" s="14" t="n">
        <x:f>F1897/G1897-1</x:f>
        <x:v>-0.10854633436735783</x:v>
      </x:c>
      <x:c r="I1897" s="14" t="n">
        <x:f>F1897/F1896-1</x:f>
        <x:v>0</x:v>
      </x:c>
      <x:c r="J1897" s="12" t="n">
        <x:v>0</x:v>
      </x:c>
      <x:c r="K1897" s="12" t="n">
        <x:v>0</x:v>
      </x:c>
      <x:c r="L1897" s="12" t="n">
        <x:v>0</x:v>
      </x:c>
      <x:c r="M1897" s="2" t="str">
        <x:v>空仓</x:v>
      </x:c>
    </x:row>
    <x:row r="1898" ht="23" customHeight="1">
      <x:c r="A1898" s="11" t="d">
        <x:v>2022-07-11T00:00:00.000Z</x:v>
      </x:c>
      <x:c r="B1898" s="12" t="n">
        <x:v>123633.568813</x:v>
      </x:c>
      <x:c r="C1898" s="13" t="n">
        <x:v>0</x:v>
      </x:c>
      <x:c r="D1898" s="12" t="n">
        <x:v>0</x:v>
      </x:c>
      <x:c r="E1898" s="12" t="n">
        <x:v>0</x:v>
      </x:c>
      <x:c r="F1898" s="12" t="n">
        <x:f>SUM(B1898,D1898:E1898)</x:f>
        <x:v>123633.568813</x:v>
      </x:c>
      <x:c r="G1898" s="12" t="n">
        <x:f>MAX(G1897,F1898)</x:f>
        <x:v>138687.599344</x:v>
      </x:c>
      <x:c r="H1898" s="14" t="n">
        <x:f>F1898/G1898-1</x:f>
        <x:v>-0.10854633436735783</x:v>
      </x:c>
      <x:c r="I1898" s="14" t="n">
        <x:f>F1898/F1897-1</x:f>
        <x:v>0</x:v>
      </x:c>
      <x:c r="J1898" s="12" t="n">
        <x:v>0</x:v>
      </x:c>
      <x:c r="K1898" s="12" t="n">
        <x:v>0</x:v>
      </x:c>
      <x:c r="L1898" s="12" t="n">
        <x:v>0</x:v>
      </x:c>
      <x:c r="M1898" s="2" t="str">
        <x:v>空仓</x:v>
      </x:c>
    </x:row>
    <x:row r="1899" ht="23" customHeight="1">
      <x:c r="A1899" s="11" t="d">
        <x:v>2022-07-12T00:00:00.000Z</x:v>
      </x:c>
      <x:c r="B1899" s="12" t="n">
        <x:v>123633.568813</x:v>
      </x:c>
      <x:c r="C1899" s="13" t="n">
        <x:v>0</x:v>
      </x:c>
      <x:c r="D1899" s="12" t="n">
        <x:v>0</x:v>
      </x:c>
      <x:c r="E1899" s="12" t="n">
        <x:v>0</x:v>
      </x:c>
      <x:c r="F1899" s="12" t="n">
        <x:f>SUM(B1899,D1899:E1899)</x:f>
        <x:v>123633.568813</x:v>
      </x:c>
      <x:c r="G1899" s="12" t="n">
        <x:f>MAX(G1898,F1899)</x:f>
        <x:v>138687.599344</x:v>
      </x:c>
      <x:c r="H1899" s="14" t="n">
        <x:f>F1899/G1899-1</x:f>
        <x:v>-0.10854633436735783</x:v>
      </x:c>
      <x:c r="I1899" s="14" t="n">
        <x:f>F1899/F1898-1</x:f>
        <x:v>0</x:v>
      </x:c>
      <x:c r="J1899" s="12" t="n">
        <x:v>0</x:v>
      </x:c>
      <x:c r="K1899" s="12" t="n">
        <x:v>0</x:v>
      </x:c>
      <x:c r="L1899" s="12" t="n">
        <x:v>0</x:v>
      </x:c>
      <x:c r="M1899" s="2" t="str">
        <x:v>空仓</x:v>
      </x:c>
    </x:row>
    <x:row r="1900" ht="23" customHeight="1">
      <x:c r="A1900" s="11" t="d">
        <x:v>2022-07-13T00:00:00.000Z</x:v>
      </x:c>
      <x:c r="B1900" s="12" t="n">
        <x:v>123633.568813</x:v>
      </x:c>
      <x:c r="C1900" s="13" t="n">
        <x:v>0</x:v>
      </x:c>
      <x:c r="D1900" s="12" t="n">
        <x:v>0</x:v>
      </x:c>
      <x:c r="E1900" s="12" t="n">
        <x:v>0</x:v>
      </x:c>
      <x:c r="F1900" s="12" t="n">
        <x:f>SUM(B1900,D1900:E1900)</x:f>
        <x:v>123633.568813</x:v>
      </x:c>
      <x:c r="G1900" s="12" t="n">
        <x:f>MAX(G1899,F1900)</x:f>
        <x:v>138687.599344</x:v>
      </x:c>
      <x:c r="H1900" s="14" t="n">
        <x:f>F1900/G1900-1</x:f>
        <x:v>-0.10854633436735783</x:v>
      </x:c>
      <x:c r="I1900" s="14" t="n">
        <x:f>F1900/F1899-1</x:f>
        <x:v>0</x:v>
      </x:c>
      <x:c r="J1900" s="12" t="n">
        <x:v>0</x:v>
      </x:c>
      <x:c r="K1900" s="12" t="n">
        <x:v>0</x:v>
      </x:c>
      <x:c r="L1900" s="12" t="n">
        <x:v>0</x:v>
      </x:c>
      <x:c r="M1900" s="2" t="str">
        <x:v>空仓</x:v>
      </x:c>
    </x:row>
    <x:row r="1901" ht="23" customHeight="1">
      <x:c r="A1901" s="11" t="d">
        <x:v>2022-07-14T00:00:00.000Z</x:v>
      </x:c>
      <x:c r="B1901" s="12" t="n">
        <x:v>123633.568813</x:v>
      </x:c>
      <x:c r="C1901" s="13" t="n">
        <x:v>0</x:v>
      </x:c>
      <x:c r="D1901" s="12" t="n">
        <x:v>0</x:v>
      </x:c>
      <x:c r="E1901" s="12" t="n">
        <x:v>0</x:v>
      </x:c>
      <x:c r="F1901" s="12" t="n">
        <x:f>SUM(B1901,D1901:E1901)</x:f>
        <x:v>123633.568813</x:v>
      </x:c>
      <x:c r="G1901" s="12" t="n">
        <x:f>MAX(G1900,F1901)</x:f>
        <x:v>138687.599344</x:v>
      </x:c>
      <x:c r="H1901" s="14" t="n">
        <x:f>F1901/G1901-1</x:f>
        <x:v>-0.10854633436735783</x:v>
      </x:c>
      <x:c r="I1901" s="14" t="n">
        <x:f>F1901/F1900-1</x:f>
        <x:v>0</x:v>
      </x:c>
      <x:c r="J1901" s="12" t="n">
        <x:v>0</x:v>
      </x:c>
      <x:c r="K1901" s="12" t="n">
        <x:v>0</x:v>
      </x:c>
      <x:c r="L1901" s="12" t="n">
        <x:v>0</x:v>
      </x:c>
      <x:c r="M1901" s="2" t="str">
        <x:v>空仓</x:v>
      </x:c>
    </x:row>
    <x:row r="1902" ht="23" customHeight="1">
      <x:c r="A1902" s="11" t="d">
        <x:v>2022-07-15T00:00:00.000Z</x:v>
      </x:c>
      <x:c r="B1902" s="12" t="n">
        <x:v>123633.568813</x:v>
      </x:c>
      <x:c r="C1902" s="13" t="n">
        <x:v>0</x:v>
      </x:c>
      <x:c r="D1902" s="12" t="n">
        <x:v>0</x:v>
      </x:c>
      <x:c r="E1902" s="12" t="n">
        <x:v>0</x:v>
      </x:c>
      <x:c r="F1902" s="12" t="n">
        <x:f>SUM(B1902,D1902:E1902)</x:f>
        <x:v>123633.568813</x:v>
      </x:c>
      <x:c r="G1902" s="12" t="n">
        <x:f>MAX(G1901,F1902)</x:f>
        <x:v>138687.599344</x:v>
      </x:c>
      <x:c r="H1902" s="14" t="n">
        <x:f>F1902/G1902-1</x:f>
        <x:v>-0.10854633436735783</x:v>
      </x:c>
      <x:c r="I1902" s="14" t="n">
        <x:f>F1902/F1901-1</x:f>
        <x:v>0</x:v>
      </x:c>
      <x:c r="J1902" s="12" t="n">
        <x:v>0</x:v>
      </x:c>
      <x:c r="K1902" s="12" t="n">
        <x:v>0</x:v>
      </x:c>
      <x:c r="L1902" s="12" t="n">
        <x:v>0</x:v>
      </x:c>
      <x:c r="M1902" s="2" t="str">
        <x:v>空仓</x:v>
      </x:c>
    </x:row>
    <x:row r="1903" ht="23" customHeight="1">
      <x:c r="A1903" s="11" t="d">
        <x:v>2022-07-18T00:00:00.000Z</x:v>
      </x:c>
      <x:c r="B1903" s="12" t="n">
        <x:v>123633.568813</x:v>
      </x:c>
      <x:c r="C1903" s="13" t="n">
        <x:v>0</x:v>
      </x:c>
      <x:c r="D1903" s="12" t="n">
        <x:v>0</x:v>
      </x:c>
      <x:c r="E1903" s="12" t="n">
        <x:v>0</x:v>
      </x:c>
      <x:c r="F1903" s="12" t="n">
        <x:f>SUM(B1903,D1903:E1903)</x:f>
        <x:v>123633.568813</x:v>
      </x:c>
      <x:c r="G1903" s="12" t="n">
        <x:f>MAX(G1902,F1903)</x:f>
        <x:v>138687.599344</x:v>
      </x:c>
      <x:c r="H1903" s="14" t="n">
        <x:f>F1903/G1903-1</x:f>
        <x:v>-0.10854633436735783</x:v>
      </x:c>
      <x:c r="I1903" s="14" t="n">
        <x:f>F1903/F1902-1</x:f>
        <x:v>0</x:v>
      </x:c>
      <x:c r="J1903" s="12" t="n">
        <x:v>0</x:v>
      </x:c>
      <x:c r="K1903" s="12" t="n">
        <x:v>0</x:v>
      </x:c>
      <x:c r="L1903" s="12" t="n">
        <x:v>0</x:v>
      </x:c>
      <x:c r="M1903" s="2" t="str">
        <x:v>空仓</x:v>
      </x:c>
    </x:row>
    <x:row r="1904" ht="23" customHeight="1">
      <x:c r="A1904" s="11" t="d">
        <x:v>2022-07-19T00:00:00.000Z</x:v>
      </x:c>
      <x:c r="B1904" s="12" t="n">
        <x:v>123633.568813</x:v>
      </x:c>
      <x:c r="C1904" s="13" t="n">
        <x:v>0</x:v>
      </x:c>
      <x:c r="D1904" s="12" t="n">
        <x:v>0</x:v>
      </x:c>
      <x:c r="E1904" s="12" t="n">
        <x:v>0</x:v>
      </x:c>
      <x:c r="F1904" s="12" t="n">
        <x:f>SUM(B1904,D1904:E1904)</x:f>
        <x:v>123633.568813</x:v>
      </x:c>
      <x:c r="G1904" s="12" t="n">
        <x:f>MAX(G1903,F1904)</x:f>
        <x:v>138687.599344</x:v>
      </x:c>
      <x:c r="H1904" s="14" t="n">
        <x:f>F1904/G1904-1</x:f>
        <x:v>-0.10854633436735783</x:v>
      </x:c>
      <x:c r="I1904" s="14" t="n">
        <x:f>F1904/F1903-1</x:f>
        <x:v>0</x:v>
      </x:c>
      <x:c r="J1904" s="12" t="n">
        <x:v>0</x:v>
      </x:c>
      <x:c r="K1904" s="12" t="n">
        <x:v>0</x:v>
      </x:c>
      <x:c r="L1904" s="12" t="n">
        <x:v>0</x:v>
      </x:c>
      <x:c r="M1904" s="2" t="str">
        <x:v>空仓</x:v>
      </x:c>
    </x:row>
    <x:row r="1905" ht="23" customHeight="1">
      <x:c r="A1905" s="11" t="d">
        <x:v>2022-07-20T00:00:00.000Z</x:v>
      </x:c>
      <x:c r="B1905" s="12" t="n">
        <x:v>274.753233</x:v>
      </x:c>
      <x:c r="C1905" s="13" t="n">
        <x:v>314</x:v>
      </x:c>
      <x:c r="D1905" s="12" t="n">
        <x:v>123957.78</x:v>
      </x:c>
      <x:c r="E1905" s="12" t="n">
        <x:v>0</x:v>
      </x:c>
      <x:c r="F1905" s="12" t="n">
        <x:f>SUM(B1905,D1905:E1905)</x:f>
        <x:v>124232.533233</x:v>
      </x:c>
      <x:c r="G1905" s="12" t="n">
        <x:f>MAX(G1904,F1905)</x:f>
        <x:v>138687.599344</x:v>
      </x:c>
      <x:c r="H1905" s="14" t="n">
        <x:f>F1905/G1905-1</x:f>
        <x:v>-0.10422753136814866</x:v>
      </x:c>
      <x:c r="I1905" s="14" t="n">
        <x:f>F1905/F1904-1</x:f>
        <x:v>0.004844674676551142</x:v>
      </x:c>
      <x:c r="J1905" s="12" t="n">
        <x:v>0</x:v>
      </x:c>
      <x:c r="K1905" s="12" t="n">
        <x:v>0</x:v>
      </x:c>
      <x:c r="L1905" s="12" t="n">
        <x:v>314</x:v>
      </x:c>
      <x:c r="M1905" s="2" t="str">
        <x:v>买入</x:v>
      </x:c>
    </x:row>
    <x:row r="1906" ht="23" customHeight="1">
      <x:c r="A1906" s="11" t="d">
        <x:v>2022-07-21T00:00:00.000Z</x:v>
      </x:c>
      <x:c r="B1906" s="12" t="n">
        <x:v>274.753233</x:v>
      </x:c>
      <x:c r="C1906" s="13" t="n">
        <x:v>314</x:v>
      </x:c>
      <x:c r="D1906" s="12" t="n">
        <x:v>125220.06000000001</x:v>
      </x:c>
      <x:c r="E1906" s="12" t="n">
        <x:v>0</x:v>
      </x:c>
      <x:c r="F1906" s="12" t="n">
        <x:f>SUM(B1906,D1906:E1906)</x:f>
        <x:v>125494.81323300001</x:v>
      </x:c>
      <x:c r="G1906" s="12" t="n">
        <x:f>MAX(G1905,F1906)</x:f>
        <x:v>138687.599344</x:v>
      </x:c>
      <x:c r="H1906" s="14" t="n">
        <x:f>F1906/G1906-1</x:f>
        <x:v>-0.09512592454842816</x:v>
      </x:c>
      <x:c r="I1906" s="14" t="n">
        <x:f>F1906/F1905-1</x:f>
        <x:v>0.010160623527112556</x:v>
      </x:c>
      <x:c r="J1906" s="12" t="n">
        <x:v>0</x:v>
      </x:c>
      <x:c r="K1906" s="12" t="n">
        <x:v>0</x:v>
      </x:c>
      <x:c r="L1906" s="12" t="n">
        <x:v>0</x:v>
      </x:c>
      <x:c r="M1906" s="2" t="str">
        <x:v>持有</x:v>
      </x:c>
    </x:row>
    <x:row r="1907" ht="23" customHeight="1">
      <x:c r="A1907" s="11" t="d">
        <x:v>2022-07-22T00:00:00.000Z</x:v>
      </x:c>
      <x:c r="B1907" s="12" t="n">
        <x:v>274.753233</x:v>
      </x:c>
      <x:c r="C1907" s="13" t="n">
        <x:v>314</x:v>
      </x:c>
      <x:c r="D1907" s="12" t="n">
        <x:v>124058.26</x:v>
      </x:c>
      <x:c r="E1907" s="12" t="n">
        <x:v>0</x:v>
      </x:c>
      <x:c r="F1907" s="12" t="n">
        <x:f>SUM(B1907,D1907:E1907)</x:f>
        <x:v>124333.01323299999</x:v>
      </x:c>
      <x:c r="G1907" s="12" t="n">
        <x:f>MAX(G1906,F1907)</x:f>
        <x:v>138687.599344</x:v>
      </x:c>
      <x:c r="H1907" s="14" t="n">
        <x:f>F1907/G1907-1</x:f>
        <x:v>-0.10350302535264855</x:v>
      </x:c>
      <x:c r="I1907" s="14" t="n">
        <x:f>F1907/F1906-1</x:f>
        <x:v>-0.00925775312994781</x:v>
      </x:c>
      <x:c r="J1907" s="12" t="n">
        <x:v>0</x:v>
      </x:c>
      <x:c r="K1907" s="12" t="n">
        <x:v>0</x:v>
      </x:c>
      <x:c r="L1907" s="12" t="n">
        <x:v>0</x:v>
      </x:c>
      <x:c r="M1907" s="2" t="str">
        <x:v>持有</x:v>
      </x:c>
    </x:row>
    <x:row r="1908" ht="23" customHeight="1">
      <x:c r="A1908" s="11" t="d">
        <x:v>2022-07-25T00:00:00.000Z</x:v>
      </x:c>
      <x:c r="B1908" s="12" t="n">
        <x:v>274.753233</x:v>
      </x:c>
      <x:c r="C1908" s="13" t="n">
        <x:v>314</x:v>
      </x:c>
      <x:c r="D1908" s="12" t="n">
        <x:v>124208.98</x:v>
      </x:c>
      <x:c r="E1908" s="12" t="n">
        <x:v>0</x:v>
      </x:c>
      <x:c r="F1908" s="12" t="n">
        <x:f>SUM(B1908,D1908:E1908)</x:f>
        <x:v>124483.73323299999</x:v>
      </x:c>
      <x:c r="G1908" s="12" t="n">
        <x:f>MAX(G1907,F1908)</x:f>
        <x:v>138687.599344</x:v>
      </x:c>
      <x:c r="H1908" s="14" t="n">
        <x:f>F1908/G1908-1</x:f>
        <x:v>-0.10241626632939838</x:v>
      </x:c>
      <x:c r="I1908" s="14" t="n">
        <x:f>F1908/F1907-1</x:f>
        <x:v>0.001212228321994857</x:v>
      </x:c>
      <x:c r="J1908" s="12" t="n">
        <x:v>0</x:v>
      </x:c>
      <x:c r="K1908" s="12" t="n">
        <x:v>0</x:v>
      </x:c>
      <x:c r="L1908" s="12" t="n">
        <x:v>0</x:v>
      </x:c>
      <x:c r="M1908" s="2" t="str">
        <x:v>持有</x:v>
      </x:c>
    </x:row>
    <x:row r="1909" ht="23" customHeight="1">
      <x:c r="A1909" s="11" t="d">
        <x:v>2022-07-26T00:00:00.000Z</x:v>
      </x:c>
      <x:c r="B1909" s="12" t="n">
        <x:v>274.753233</x:v>
      </x:c>
      <x:c r="C1909" s="13" t="n">
        <x:v>314</x:v>
      </x:c>
      <x:c r="D1909" s="12" t="n">
        <x:v>122739.45999999999</x:v>
      </x:c>
      <x:c r="E1909" s="12" t="n">
        <x:v>0</x:v>
      </x:c>
      <x:c r="F1909" s="12" t="n">
        <x:f>SUM(B1909,D1909:E1909)</x:f>
        <x:v>123014.21323299999</x:v>
      </x:c>
      <x:c r="G1909" s="12" t="n">
        <x:f>MAX(G1908,F1909)</x:f>
        <x:v>138687.599344</x:v>
      </x:c>
      <x:c r="H1909" s="14" t="n">
        <x:f>F1909/G1909-1</x:f>
        <x:v>-0.11301216680608783</x:v>
      </x:c>
      <x:c r="I1909" s="14" t="n">
        <x:f>F1909/F1908-1</x:f>
        <x:v>-0.011804915886073686</x:v>
      </x:c>
      <x:c r="J1909" s="12" t="n">
        <x:v>0</x:v>
      </x:c>
      <x:c r="K1909" s="12" t="n">
        <x:v>0</x:v>
      </x:c>
      <x:c r="L1909" s="12" t="n">
        <x:v>0</x:v>
      </x:c>
      <x:c r="M1909" s="2" t="str">
        <x:v>持有</x:v>
      </x:c>
    </x:row>
    <x:row r="1910" ht="23" customHeight="1">
      <x:c r="A1910" s="11" t="d">
        <x:v>2022-07-27T00:00:00.000Z</x:v>
      </x:c>
      <x:c r="B1910" s="12" t="n">
        <x:v>123979.964193</x:v>
      </x:c>
      <x:c r="C1910" s="13" t="n">
        <x:v>0</x:v>
      </x:c>
      <x:c r="D1910" s="12" t="n">
        <x:v>0</x:v>
      </x:c>
      <x:c r="E1910" s="12" t="n">
        <x:v>0</x:v>
      </x:c>
      <x:c r="F1910" s="12" t="n">
        <x:f>SUM(B1910,D1910:E1910)</x:f>
        <x:v>123979.964193</x:v>
      </x:c>
      <x:c r="G1910" s="12" t="n">
        <x:f>MAX(G1909,F1910)</x:f>
        <x:v>138687.599344</x:v>
      </x:c>
      <x:c r="H1910" s="14" t="n">
        <x:f>F1910/G1910-1</x:f>
        <x:v>-0.10604866780136013</x:v>
      </x:c>
      <x:c r="I1910" s="14" t="n">
        <x:f>F1910/F1909-1</x:f>
        <x:v>0.007850726632464777</x:v>
      </x:c>
      <x:c r="J1910" s="12" t="n">
        <x:v>0</x:v>
      </x:c>
      <x:c r="K1910" s="12" t="n">
        <x:v>0</x:v>
      </x:c>
      <x:c r="L1910" s="12" t="n">
        <x:v>-314</x:v>
      </x:c>
      <x:c r="M1910" s="2" t="str">
        <x:v>卖出</x:v>
      </x:c>
    </x:row>
    <x:row r="1911" ht="23" customHeight="1">
      <x:c r="A1911" s="11" t="d">
        <x:v>2022-07-28T00:00:00.000Z</x:v>
      </x:c>
      <x:c r="B1911" s="12" t="n">
        <x:v>74.062073</x:v>
      </x:c>
      <x:c r="C1911" s="13" t="n">
        <x:v>308</x:v>
      </x:c>
      <x:c r="D1911" s="12" t="n">
        <x:v>125069.56</x:v>
      </x:c>
      <x:c r="E1911" s="12" t="n">
        <x:v>0</x:v>
      </x:c>
      <x:c r="F1911" s="12" t="n">
        <x:f>SUM(B1911,D1911:E1911)</x:f>
        <x:v>125143.62207299999</x:v>
      </x:c>
      <x:c r="G1911" s="12" t="n">
        <x:f>MAX(G1910,F1911)</x:f>
        <x:v>138687.599344</x:v>
      </x:c>
      <x:c r="H1911" s="14" t="n">
        <x:f>F1911/G1911-1</x:f>
        <x:v>-0.09765817084630324</x:v>
      </x:c>
      <x:c r="I1911" s="14" t="n">
        <x:f>F1911/F1910-1</x:f>
        <x:v>0.009385854299719831</x:v>
      </x:c>
      <x:c r="J1911" s="12" t="n">
        <x:v>0</x:v>
      </x:c>
      <x:c r="K1911" s="12" t="n">
        <x:v>0</x:v>
      </x:c>
      <x:c r="L1911" s="12" t="n">
        <x:v>308</x:v>
      </x:c>
      <x:c r="M1911" s="2" t="str">
        <x:v>买入</x:v>
      </x:c>
    </x:row>
    <x:row r="1912" ht="23" customHeight="1">
      <x:c r="A1912" s="11" t="d">
        <x:v>2022-07-29T00:00:00.000Z</x:v>
      </x:c>
      <x:c r="B1912" s="12" t="n">
        <x:v>74.062073</x:v>
      </x:c>
      <x:c r="C1912" s="13" t="n">
        <x:v>308</x:v>
      </x:c>
      <x:c r="D1912" s="12" t="n">
        <x:v>126892.92</x:v>
      </x:c>
      <x:c r="E1912" s="12" t="n">
        <x:v>0</x:v>
      </x:c>
      <x:c r="F1912" s="12" t="n">
        <x:f>SUM(B1912,D1912:E1912)</x:f>
        <x:v>126966.98207299999</x:v>
      </x:c>
      <x:c r="G1912" s="12" t="n">
        <x:f>MAX(G1911,F1912)</x:f>
        <x:v>138687.599344</x:v>
      </x:c>
      <x:c r="H1912" s="14" t="n">
        <x:f>F1912/G1912-1</x:f>
        <x:v>-0.08451092474337407</x:v>
      </x:c>
      <x:c r="I1912" s="14" t="n">
        <x:f>F1912/F1911-1</x:f>
        <x:v>0.014570139251174785</x:v>
      </x:c>
      <x:c r="J1912" s="12" t="n">
        <x:v>0</x:v>
      </x:c>
      <x:c r="K1912" s="12" t="n">
        <x:v>0</x:v>
      </x:c>
      <x:c r="L1912" s="12" t="n">
        <x:v>0</x:v>
      </x:c>
      <x:c r="M1912" s="2" t="str">
        <x:v>持有</x:v>
      </x:c>
    </x:row>
    <x:row r="1913" ht="23" customHeight="1">
      <x:c r="A1913" s="11" t="d">
        <x:v>2022-08-01T00:00:00.000Z</x:v>
      </x:c>
      <x:c r="B1913" s="12" t="n">
        <x:v>74.062073</x:v>
      </x:c>
      <x:c r="C1913" s="13" t="n">
        <x:v>308</x:v>
      </x:c>
      <x:c r="D1913" s="12" t="n">
        <x:v>126517.15999999999</x:v>
      </x:c>
      <x:c r="E1913" s="12" t="n">
        <x:v>0</x:v>
      </x:c>
      <x:c r="F1913" s="12" t="n">
        <x:f>SUM(B1913,D1913:E1913)</x:f>
        <x:v>126591.22207299998</x:v>
      </x:c>
      <x:c r="G1913" s="12" t="n">
        <x:f>MAX(G1912,F1913)</x:f>
        <x:v>138687.599344</x:v>
      </x:c>
      <x:c r="H1913" s="14" t="n">
        <x:f>F1913/G1913-1</x:f>
        <x:v>-0.08722032343350483</x:v>
      </x:c>
      <x:c r="I1913" s="14" t="n">
        <x:f>F1913/F1912-1</x:f>
        <x:v>-0.0029595095816640216</x:v>
      </x:c>
      <x:c r="J1913" s="12" t="n">
        <x:v>0</x:v>
      </x:c>
      <x:c r="K1913" s="12" t="n">
        <x:v>0</x:v>
      </x:c>
      <x:c r="L1913" s="12" t="n">
        <x:v>0</x:v>
      </x:c>
      <x:c r="M1913" s="2" t="str">
        <x:v>持有</x:v>
      </x:c>
    </x:row>
    <x:row r="1914" ht="23" customHeight="1">
      <x:c r="A1914" s="11" t="d">
        <x:v>2022-08-02T00:00:00.000Z</x:v>
      </x:c>
      <x:c r="B1914" s="12" t="n">
        <x:v>74.062073</x:v>
      </x:c>
      <x:c r="C1914" s="13" t="n">
        <x:v>308</x:v>
      </x:c>
      <x:c r="D1914" s="12" t="n">
        <x:v>125682.48</x:v>
      </x:c>
      <x:c r="E1914" s="12" t="n">
        <x:v>0</x:v>
      </x:c>
      <x:c r="F1914" s="12" t="n">
        <x:f>SUM(B1914,D1914:E1914)</x:f>
        <x:v>125756.54207299999</x:v>
      </x:c>
      <x:c r="G1914" s="12" t="n">
        <x:f>MAX(G1913,F1914)</x:f>
        <x:v>138687.599344</x:v>
      </x:c>
      <x:c r="H1914" s="14" t="n">
        <x:f>F1914/G1914-1</x:f>
        <x:v>-0.09323874183535241</x:v>
      </x:c>
      <x:c r="I1914" s="14" t="n">
        <x:f>F1914/F1913-1</x:f>
        <x:v>-0.006593506139933369</x:v>
      </x:c>
      <x:c r="J1914" s="12" t="n">
        <x:v>0</x:v>
      </x:c>
      <x:c r="K1914" s="12" t="n">
        <x:v>0</x:v>
      </x:c>
      <x:c r="L1914" s="12" t="n">
        <x:v>0</x:v>
      </x:c>
      <x:c r="M1914" s="2" t="str">
        <x:v>持有</x:v>
      </x:c>
    </x:row>
    <x:row r="1915" ht="23" customHeight="1">
      <x:c r="A1915" s="11" t="d">
        <x:v>2022-08-03T00:00:00.000Z</x:v>
      </x:c>
      <x:c r="B1915" s="12" t="n">
        <x:v>74.062073</x:v>
      </x:c>
      <x:c r="C1915" s="13" t="n">
        <x:v>308</x:v>
      </x:c>
      <x:c r="D1915" s="12" t="n">
        <x:v>127650.59999999999</x:v>
      </x:c>
      <x:c r="E1915" s="12" t="n">
        <x:v>0</x:v>
      </x:c>
      <x:c r="F1915" s="12" t="n">
        <x:f>SUM(B1915,D1915:E1915)</x:f>
        <x:v>127724.66207299998</x:v>
      </x:c>
      <x:c r="G1915" s="12" t="n">
        <x:f>MAX(G1914,F1915)</x:f>
        <x:v>138687.599344</x:v>
      </x:c>
      <x:c r="H1915" s="14" t="n">
        <x:f>F1915/G1915-1</x:f>
        <x:v>-0.07904771099114338</x:v>
      </x:c>
      <x:c r="I1915" s="14" t="n">
        <x:f>F1915/F1914-1</x:f>
        <x:v>0.01565023948302846</x:v>
      </x:c>
      <x:c r="J1915" s="12" t="n">
        <x:v>0</x:v>
      </x:c>
      <x:c r="K1915" s="12" t="n">
        <x:v>0</x:v>
      </x:c>
      <x:c r="L1915" s="12" t="n">
        <x:v>0</x:v>
      </x:c>
      <x:c r="M1915" s="2" t="str">
        <x:v>持有</x:v>
      </x:c>
    </x:row>
    <x:row r="1916" ht="23" customHeight="1">
      <x:c r="A1916" s="11" t="d">
        <x:v>2022-08-04T00:00:00.000Z</x:v>
      </x:c>
      <x:c r="B1916" s="12" t="n">
        <x:v>74.062073</x:v>
      </x:c>
      <x:c r="C1916" s="13" t="n">
        <x:v>308</x:v>
      </x:c>
      <x:c r="D1916" s="12" t="n">
        <x:v>127564.36</x:v>
      </x:c>
      <x:c r="E1916" s="12" t="n">
        <x:v>0</x:v>
      </x:c>
      <x:c r="F1916" s="12" t="n">
        <x:f>SUM(B1916,D1916:E1916)</x:f>
        <x:v>127638.422073</x:v>
      </x:c>
      <x:c r="G1916" s="12" t="n">
        <x:f>MAX(G1915,F1916)</x:f>
        <x:v>138687.599344</x:v>
      </x:c>
      <x:c r="H1916" s="14" t="n">
        <x:f>F1916/G1916-1</x:f>
        <x:v>-0.0796695401987143</x:v>
      </x:c>
      <x:c r="I1916" s="14" t="n">
        <x:f>F1916/F1915-1</x:f>
        <x:v>-0.0006752024127548717</x:v>
      </x:c>
      <x:c r="J1916" s="12" t="n">
        <x:v>0</x:v>
      </x:c>
      <x:c r="K1916" s="12" t="n">
        <x:v>0</x:v>
      </x:c>
      <x:c r="L1916" s="12" t="n">
        <x:v>0</x:v>
      </x:c>
      <x:c r="M1916" s="2" t="str">
        <x:v>持有</x:v>
      </x:c>
    </x:row>
    <x:row r="1917" ht="23" customHeight="1">
      <x:c r="A1917" s="11" t="d">
        <x:v>2022-08-05T00:00:00.000Z</x:v>
      </x:c>
      <x:c r="B1917" s="12" t="n">
        <x:v>74.062073</x:v>
      </x:c>
      <x:c r="C1917" s="13" t="n">
        <x:v>308</x:v>
      </x:c>
      <x:c r="D1917" s="12" t="n">
        <x:v>127348.76000000001</x:v>
      </x:c>
      <x:c r="E1917" s="12" t="n">
        <x:v>0</x:v>
      </x:c>
      <x:c r="F1917" s="12" t="n">
        <x:f>SUM(B1917,D1917:E1917)</x:f>
        <x:v>127422.822073</x:v>
      </x:c>
      <x:c r="G1917" s="12" t="n">
        <x:f>MAX(G1916,F1917)</x:f>
        <x:v>138687.599344</x:v>
      </x:c>
      <x:c r="H1917" s="14" t="n">
        <x:f>F1917/G1917-1</x:f>
        <x:v>-0.08122411321764167</x:v>
      </x:c>
      <x:c r="I1917" s="14" t="n">
        <x:f>F1917/F1916-1</x:f>
        <x:v>-0.001689146547711795</x:v>
      </x:c>
      <x:c r="J1917" s="12" t="n">
        <x:v>0</x:v>
      </x:c>
      <x:c r="K1917" s="12" t="n">
        <x:v>0</x:v>
      </x:c>
      <x:c r="L1917" s="12" t="n">
        <x:v>0</x:v>
      </x:c>
      <x:c r="M1917" s="2" t="str">
        <x:v>持有</x:v>
      </x:c>
    </x:row>
    <x:row r="1918" ht="23" customHeight="1">
      <x:c r="A1918" s="11" t="d">
        <x:v>2022-08-08T00:00:00.000Z</x:v>
      </x:c>
      <x:c r="B1918" s="12" t="n">
        <x:v>74.062073</x:v>
      </x:c>
      <x:c r="C1918" s="13" t="n">
        <x:v>308</x:v>
      </x:c>
      <x:c r="D1918" s="12" t="n">
        <x:v>127200.92</x:v>
      </x:c>
      <x:c r="E1918" s="12" t="n">
        <x:v>0</x:v>
      </x:c>
      <x:c r="F1918" s="12" t="n">
        <x:f>SUM(B1918,D1918:E1918)</x:f>
        <x:v>127274.98207299999</x:v>
      </x:c>
      <x:c r="G1918" s="12" t="n">
        <x:f>MAX(G1917,F1918)</x:f>
        <x:v>138687.599344</x:v>
      </x:c>
      <x:c r="H1918" s="14" t="n">
        <x:f>F1918/G1918-1</x:f>
        <x:v>-0.08229010614490628</x:v>
      </x:c>
      <x:c r="I1918" s="14" t="n">
        <x:f>F1918/F1917-1</x:f>
        <x:v>-0.0011602317198351475</x:v>
      </x:c>
      <x:c r="J1918" s="12" t="n">
        <x:v>0</x:v>
      </x:c>
      <x:c r="K1918" s="12" t="n">
        <x:v>0</x:v>
      </x:c>
      <x:c r="L1918" s="12" t="n">
        <x:v>0</x:v>
      </x:c>
      <x:c r="M1918" s="2" t="str">
        <x:v>持有</x:v>
      </x:c>
    </x:row>
    <x:row r="1919" ht="23" customHeight="1">
      <x:c r="A1919" s="11" t="d">
        <x:v>2022-08-09T00:00:00.000Z</x:v>
      </x:c>
      <x:c r="B1919" s="12" t="n">
        <x:v>74.062073</x:v>
      </x:c>
      <x:c r="C1919" s="13" t="n">
        <x:v>308</x:v>
      </x:c>
      <x:c r="D1919" s="12" t="n">
        <x:v>126695.8</x:v>
      </x:c>
      <x:c r="E1919" s="12" t="n">
        <x:v>0</x:v>
      </x:c>
      <x:c r="F1919" s="12" t="n">
        <x:f>SUM(B1919,D1919:E1919)</x:f>
        <x:v>126769.862073</x:v>
      </x:c>
      <x:c r="G1919" s="12" t="n">
        <x:f>MAX(G1918,F1919)</x:f>
        <x:v>138687.599344</x:v>
      </x:c>
      <x:c r="H1919" s="14" t="n">
        <x:f>F1919/G1919-1</x:f>
        <x:v>-0.08593224864639337</x:v>
      </x:c>
      <x:c r="I1919" s="14" t="n">
        <x:f>F1919/F1918-1</x:f>
        <x:v>-0.003968729688842321</x:v>
      </x:c>
      <x:c r="J1919" s="12" t="n">
        <x:v>0</x:v>
      </x:c>
      <x:c r="K1919" s="12" t="n">
        <x:v>0</x:v>
      </x:c>
      <x:c r="L1919" s="12" t="n">
        <x:v>0</x:v>
      </x:c>
      <x:c r="M1919" s="2" t="str">
        <x:v>持有</x:v>
      </x:c>
    </x:row>
    <x:row r="1920" ht="23" customHeight="1">
      <x:c r="A1920" s="11" t="d">
        <x:v>2022-08-10T00:00:00.000Z</x:v>
      </x:c>
      <x:c r="B1920" s="12" t="n">
        <x:v>74.062073</x:v>
      </x:c>
      <x:c r="C1920" s="13" t="n">
        <x:v>308</x:v>
      </x:c>
      <x:c r="D1920" s="12" t="n">
        <x:v>129356.92</x:v>
      </x:c>
      <x:c r="E1920" s="12" t="n">
        <x:v>0</x:v>
      </x:c>
      <x:c r="F1920" s="12" t="n">
        <x:f>SUM(B1920,D1920:E1920)</x:f>
        <x:v>129430.98207299999</x:v>
      </x:c>
      <x:c r="G1920" s="12" t="n">
        <x:f>MAX(G1919,F1920)</x:f>
        <x:v>138687.599344</x:v>
      </x:c>
      <x:c r="H1920" s="14" t="n">
        <x:f>F1920/G1920-1</x:f>
        <x:v>-0.06674437595563198</x:v>
      </x:c>
      <x:c r="I1920" s="14" t="n">
        <x:f>F1920/F1919-1</x:f>
        <x:v>0.0209917401224875</x:v>
      </x:c>
      <x:c r="J1920" s="12" t="n">
        <x:v>0</x:v>
      </x:c>
      <x:c r="K1920" s="12" t="n">
        <x:v>0</x:v>
      </x:c>
      <x:c r="L1920" s="12" t="n">
        <x:v>0</x:v>
      </x:c>
      <x:c r="M1920" s="2" t="str">
        <x:v>持有</x:v>
      </x:c>
    </x:row>
    <x:row r="1921" ht="23" customHeight="1">
      <x:c r="A1921" s="11" t="d">
        <x:v>2022-08-11T00:00:00.000Z</x:v>
      </x:c>
      <x:c r="B1921" s="12" t="n">
        <x:v>74.062073</x:v>
      </x:c>
      <x:c r="C1921" s="13" t="n">
        <x:v>308</x:v>
      </x:c>
      <x:c r="D1921" s="12" t="n">
        <x:v>129356.92</x:v>
      </x:c>
      <x:c r="E1921" s="12" t="n">
        <x:v>0</x:v>
      </x:c>
      <x:c r="F1921" s="12" t="n">
        <x:f>SUM(B1921,D1921:E1921)</x:f>
        <x:v>129430.98207299999</x:v>
      </x:c>
      <x:c r="G1921" s="12" t="n">
        <x:f>MAX(G1920,F1921)</x:f>
        <x:v>138687.599344</x:v>
      </x:c>
      <x:c r="H1921" s="14" t="n">
        <x:f>F1921/G1921-1</x:f>
        <x:v>-0.06674437595563198</x:v>
      </x:c>
      <x:c r="I1921" s="14" t="n">
        <x:f>F1921/F1920-1</x:f>
        <x:v>0</x:v>
      </x:c>
      <x:c r="J1921" s="12" t="n">
        <x:v>0</x:v>
      </x:c>
      <x:c r="K1921" s="12" t="n">
        <x:v>0</x:v>
      </x:c>
      <x:c r="L1921" s="12" t="n">
        <x:v>0</x:v>
      </x:c>
      <x:c r="M1921" s="2" t="str">
        <x:v>持有</x:v>
      </x:c>
    </x:row>
    <x:row r="1922" ht="23" customHeight="1">
      <x:c r="A1922" s="11" t="d">
        <x:v>2022-08-12T00:00:00.000Z</x:v>
      </x:c>
      <x:c r="B1922" s="12" t="n">
        <x:v>74.062073</x:v>
      </x:c>
      <x:c r="C1922" s="13" t="n">
        <x:v>308</x:v>
      </x:c>
      <x:c r="D1922" s="12" t="n">
        <x:v>131546.80000000002</x:v>
      </x:c>
      <x:c r="E1922" s="12" t="n">
        <x:v>0</x:v>
      </x:c>
      <x:c r="F1922" s="12" t="n">
        <x:f>SUM(B1922,D1922:E1922)</x:f>
        <x:v>131620.86207300003</x:v>
      </x:c>
      <x:c r="G1922" s="12" t="n">
        <x:f>MAX(G1921,F1922)</x:f>
        <x:v>138687.599344</x:v>
      </x:c>
      <x:c r="H1922" s="14" t="n">
        <x:f>F1922/G1922-1</x:f>
        <x:v>-0.05095435572052598</x:v>
      </x:c>
      <x:c r="I1922" s="14" t="n">
        <x:f>F1922/F1921-1</x:f>
        <x:v>0.016919287522402682</x:v>
      </x:c>
      <x:c r="J1922" s="12" t="n">
        <x:v>0</x:v>
      </x:c>
      <x:c r="K1922" s="12" t="n">
        <x:v>0</x:v>
      </x:c>
      <x:c r="L1922" s="12" t="n">
        <x:v>0</x:v>
      </x:c>
      <x:c r="M1922" s="2" t="str">
        <x:v>持有</x:v>
      </x:c>
    </x:row>
    <x:row r="1923" ht="23" customHeight="1">
      <x:c r="A1923" s="11" t="d">
        <x:v>2022-08-15T00:00:00.000Z</x:v>
      </x:c>
      <x:c r="B1923" s="12" t="n">
        <x:v>74.062073</x:v>
      </x:c>
      <x:c r="C1923" s="13" t="n">
        <x:v>308</x:v>
      </x:c>
      <x:c r="D1923" s="12" t="n">
        <x:v>132088.88</x:v>
      </x:c>
      <x:c r="E1923" s="12" t="n">
        <x:v>0</x:v>
      </x:c>
      <x:c r="F1923" s="12" t="n">
        <x:f>SUM(B1923,D1923:E1923)</x:f>
        <x:v>132162.942073</x:v>
      </x:c>
      <x:c r="G1923" s="12" t="n">
        <x:f>MAX(G1922,F1923)</x:f>
        <x:v>138687.599344</x:v>
      </x:c>
      <x:c r="H1923" s="14" t="n">
        <x:f>F1923/G1923-1</x:f>
        <x:v>-0.047045714987222875</x:v>
      </x:c>
      <x:c r="I1923" s="14" t="n">
        <x:f>F1923/F1922-1</x:f>
        <x:v>0.004118496045857345</x:v>
      </x:c>
      <x:c r="J1923" s="12" t="n">
        <x:v>0</x:v>
      </x:c>
      <x:c r="K1923" s="12" t="n">
        <x:v>0</x:v>
      </x:c>
      <x:c r="L1923" s="12" t="n">
        <x:v>0</x:v>
      </x:c>
      <x:c r="M1923" s="2" t="str">
        <x:v>持有</x:v>
      </x:c>
    </x:row>
    <x:row r="1924" ht="23" customHeight="1">
      <x:c r="A1924" s="11" t="d">
        <x:v>2022-08-16T00:00:00.000Z</x:v>
      </x:c>
      <x:c r="B1924" s="12" t="n">
        <x:v>74.062073</x:v>
      </x:c>
      <x:c r="C1924" s="13" t="n">
        <x:v>308</x:v>
      </x:c>
      <x:c r="D1924" s="12" t="n">
        <x:v>132347.6</x:v>
      </x:c>
      <x:c r="E1924" s="12" t="n">
        <x:v>0</x:v>
      </x:c>
      <x:c r="F1924" s="12" t="n">
        <x:f>SUM(B1924,D1924:E1924)</x:f>
        <x:v>132421.662073</x:v>
      </x:c>
      <x:c r="G1924" s="12" t="n">
        <x:f>MAX(G1923,F1924)</x:f>
        <x:v>138687.599344</x:v>
      </x:c>
      <x:c r="H1924" s="14" t="n">
        <x:f>F1924/G1924-1</x:f>
        <x:v>-0.045180227364509884</x:v>
      </x:c>
      <x:c r="I1924" s="14" t="n">
        <x:f>F1924/F1923-1</x:f>
        <x:v>0.001957583539999419</x:v>
      </x:c>
      <x:c r="J1924" s="12" t="n">
        <x:v>0</x:v>
      </x:c>
      <x:c r="K1924" s="12" t="n">
        <x:v>0</x:v>
      </x:c>
      <x:c r="L1924" s="12" t="n">
        <x:v>0</x:v>
      </x:c>
      <x:c r="M1924" s="2" t="str">
        <x:v>持有</x:v>
      </x:c>
    </x:row>
    <x:row r="1925" ht="23" customHeight="1">
      <x:c r="A1925" s="11" t="d">
        <x:v>2022-08-17T00:00:00.000Z</x:v>
      </x:c>
      <x:c r="B1925" s="12" t="n">
        <x:v>74.062073</x:v>
      </x:c>
      <x:c r="C1925" s="13" t="n">
        <x:v>308</x:v>
      </x:c>
      <x:c r="D1925" s="12" t="n">
        <x:v>131408.19999999998</x:v>
      </x:c>
      <x:c r="E1925" s="12" t="n">
        <x:v>0</x:v>
      </x:c>
      <x:c r="F1925" s="12" t="n">
        <x:f>SUM(B1925,D1925:E1925)</x:f>
        <x:v>131482.262073</x:v>
      </x:c>
      <x:c r="G1925" s="12" t="n">
        <x:f>MAX(G1924,F1925)</x:f>
        <x:v>138687.599344</x:v>
      </x:c>
      <x:c r="H1925" s="14" t="n">
        <x:f>F1925/G1925-1</x:f>
        <x:v>-0.051953724089836784</x:v>
      </x:c>
      <x:c r="I1925" s="14" t="n">
        <x:f>F1925/F1924-1</x:f>
        <x:v>-0.007094005507060963</x:v>
      </x:c>
      <x:c r="J1925" s="12" t="n">
        <x:v>0</x:v>
      </x:c>
      <x:c r="K1925" s="12" t="n">
        <x:v>0</x:v>
      </x:c>
      <x:c r="L1925" s="12" t="n">
        <x:v>0</x:v>
      </x:c>
      <x:c r="M1925" s="2" t="str">
        <x:v>持有</x:v>
      </x:c>
    </x:row>
    <x:row r="1926" ht="23" customHeight="1">
      <x:c r="A1926" s="11" t="d">
        <x:v>2022-08-18T00:00:00.000Z</x:v>
      </x:c>
      <x:c r="B1926" s="12" t="n">
        <x:v>74.062073</x:v>
      </x:c>
      <x:c r="C1926" s="13" t="n">
        <x:v>308</x:v>
      </x:c>
      <x:c r="D1926" s="12" t="n">
        <x:v>131790.12</x:v>
      </x:c>
      <x:c r="E1926" s="12" t="n">
        <x:v>0</x:v>
      </x:c>
      <x:c r="F1926" s="12" t="n">
        <x:f>SUM(B1926,D1926:E1926)</x:f>
        <x:v>131864.182073</x:v>
      </x:c>
      <x:c r="G1926" s="12" t="n">
        <x:f>MAX(G1925,F1926)</x:f>
        <x:v>138687.599344</x:v>
      </x:c>
      <x:c r="H1926" s="14" t="n">
        <x:f>F1926/G1926-1</x:f>
        <x:v>-0.04919990902773663</x:v>
      </x:c>
      <x:c r="I1926" s="14" t="n">
        <x:f>F1926/F1925-1</x:f>
        <x:v>0.0029047264169212994</x:v>
      </x:c>
      <x:c r="J1926" s="12" t="n">
        <x:v>0</x:v>
      </x:c>
      <x:c r="K1926" s="12" t="n">
        <x:v>0</x:v>
      </x:c>
      <x:c r="L1926" s="12" t="n">
        <x:v>0</x:v>
      </x:c>
      <x:c r="M1926" s="2" t="str">
        <x:v>持有</x:v>
      </x:c>
    </x:row>
    <x:row r="1927" ht="23" customHeight="1">
      <x:c r="A1927" s="11" t="d">
        <x:v>2022-08-19T00:00:00.000Z</x:v>
      </x:c>
      <x:c r="B1927" s="12" t="n">
        <x:v>74.062073</x:v>
      </x:c>
      <x:c r="C1927" s="13" t="n">
        <x:v>308</x:v>
      </x:c>
      <x:c r="D1927" s="12" t="n">
        <x:v>130019.12</x:v>
      </x:c>
      <x:c r="E1927" s="12" t="n">
        <x:v>0</x:v>
      </x:c>
      <x:c r="F1927" s="12" t="n">
        <x:f>SUM(B1927,D1927:E1927)</x:f>
        <x:v>130093.18207299999</x:v>
      </x:c>
      <x:c r="G1927" s="12" t="n">
        <x:f>MAX(G1926,F1927)</x:f>
        <x:v>138687.599344</x:v>
      </x:c>
      <x:c r="H1927" s="14" t="n">
        <x:f>F1927/G1927-1</x:f>
        <x:v>-0.06196961596892636</x:v>
      </x:c>
      <x:c r="I1927" s="14" t="n">
        <x:f>F1927/F1926-1</x:f>
        <x:v>-0.013430485611472531</x:v>
      </x:c>
      <x:c r="J1927" s="12" t="n">
        <x:v>0</x:v>
      </x:c>
      <x:c r="K1927" s="12" t="n">
        <x:v>0</x:v>
      </x:c>
      <x:c r="L1927" s="12" t="n">
        <x:v>0</x:v>
      </x:c>
      <x:c r="M1927" s="2" t="str">
        <x:v>持有</x:v>
      </x:c>
    </x:row>
    <x:row r="1928" ht="23" customHeight="1">
      <x:c r="A1928" s="11" t="d">
        <x:v>2022-08-22T00:00:00.000Z</x:v>
      </x:c>
      <x:c r="B1928" s="12" t="n">
        <x:v>74.062073</x:v>
      </x:c>
      <x:c r="C1928" s="13" t="n">
        <x:v>308</x:v>
      </x:c>
      <x:c r="D1928" s="12" t="n">
        <x:v>127311.8</x:v>
      </x:c>
      <x:c r="E1928" s="12" t="n">
        <x:v>0</x:v>
      </x:c>
      <x:c r="F1928" s="12" t="n">
        <x:f>SUM(B1928,D1928:E1928)</x:f>
        <x:v>127385.862073</x:v>
      </x:c>
      <x:c r="G1928" s="12" t="n">
        <x:f>MAX(G1927,F1928)</x:f>
        <x:v>138687.599344</x:v>
      </x:c>
      <x:c r="H1928" s="14" t="n">
        <x:f>F1928/G1928-1</x:f>
        <x:v>-0.0814906114494579</x:v>
      </x:c>
      <x:c r="I1928" s="14" t="n">
        <x:f>F1928/F1927-1</x:f>
        <x:v>-0.020810621716369604</x:v>
      </x:c>
      <x:c r="J1928" s="12" t="n">
        <x:v>0</x:v>
      </x:c>
      <x:c r="K1928" s="12" t="n">
        <x:v>0</x:v>
      </x:c>
      <x:c r="L1928" s="12" t="n">
        <x:v>0</x:v>
      </x:c>
      <x:c r="M1928" s="2" t="str">
        <x:v>持有</x:v>
      </x:c>
    </x:row>
    <x:row r="1929" ht="23" customHeight="1">
      <x:c r="A1929" s="11" t="d">
        <x:v>2022-08-23T00:00:00.000Z</x:v>
      </x:c>
      <x:c r="B1929" s="12" t="n">
        <x:v>74.062073</x:v>
      </x:c>
      <x:c r="C1929" s="13" t="n">
        <x:v>308</x:v>
      </x:c>
      <x:c r="D1929" s="12" t="n">
        <x:v>127003.8</x:v>
      </x:c>
      <x:c r="E1929" s="12" t="n">
        <x:v>0</x:v>
      </x:c>
      <x:c r="F1929" s="12" t="n">
        <x:f>SUM(B1929,D1929:E1929)</x:f>
        <x:v>127077.862073</x:v>
      </x:c>
      <x:c r="G1929" s="12" t="n">
        <x:f>MAX(G1928,F1929)</x:f>
        <x:v>138687.599344</x:v>
      </x:c>
      <x:c r="H1929" s="14" t="n">
        <x:f>F1929/G1929-1</x:f>
        <x:v>-0.08371143004792558</x:v>
      </x:c>
      <x:c r="I1929" s="14" t="n">
        <x:f>F1929/F1928-1</x:f>
        <x:v>-0.002417850733101745</x:v>
      </x:c>
      <x:c r="J1929" s="12" t="n">
        <x:v>0</x:v>
      </x:c>
      <x:c r="K1929" s="12" t="n">
        <x:v>0</x:v>
      </x:c>
      <x:c r="L1929" s="12" t="n">
        <x:v>0</x:v>
      </x:c>
      <x:c r="M1929" s="2" t="str">
        <x:v>持有</x:v>
      </x:c>
    </x:row>
    <x:row r="1930" ht="23" customHeight="1">
      <x:c r="A1930" s="11" t="d">
        <x:v>2022-08-24T00:00:00.000Z</x:v>
      </x:c>
      <x:c r="B1930" s="12" t="n">
        <x:v>74.062073</x:v>
      </x:c>
      <x:c r="C1930" s="13" t="n">
        <x:v>308</x:v>
      </x:c>
      <x:c r="D1930" s="12" t="n">
        <x:v>127410.36</x:v>
      </x:c>
      <x:c r="E1930" s="12" t="n">
        <x:v>0</x:v>
      </x:c>
      <x:c r="F1930" s="12" t="n">
        <x:f>SUM(B1930,D1930:E1930)</x:f>
        <x:v>127484.422073</x:v>
      </x:c>
      <x:c r="G1930" s="12" t="n">
        <x:f>MAX(G1929,F1930)</x:f>
        <x:v>138687.599344</x:v>
      </x:c>
      <x:c r="H1930" s="14" t="n">
        <x:f>F1930/G1930-1</x:f>
        <x:v>-0.0807799494979482</x:v>
      </x:c>
      <x:c r="I1930" s="14" t="n">
        <x:f>F1930/F1929-1</x:f>
        <x:v>0.0031992983936608432</x:v>
      </x:c>
      <x:c r="J1930" s="12" t="n">
        <x:v>0</x:v>
      </x:c>
      <x:c r="K1930" s="12" t="n">
        <x:v>0</x:v>
      </x:c>
      <x:c r="L1930" s="12" t="n">
        <x:v>0</x:v>
      </x:c>
      <x:c r="M1930" s="2" t="str">
        <x:v>持有</x:v>
      </x:c>
    </x:row>
    <x:row r="1931" ht="23" customHeight="1">
      <x:c r="A1931" s="11" t="d">
        <x:v>2022-08-25T00:00:00.000Z</x:v>
      </x:c>
      <x:c r="B1931" s="12" t="n">
        <x:v>74.062073</x:v>
      </x:c>
      <x:c r="C1931" s="13" t="n">
        <x:v>308</x:v>
      </x:c>
      <x:c r="D1931" s="12" t="n">
        <x:v>129209.08</x:v>
      </x:c>
      <x:c r="E1931" s="12" t="n">
        <x:v>0</x:v>
      </x:c>
      <x:c r="F1931" s="12" t="n">
        <x:f>SUM(B1931,D1931:E1931)</x:f>
        <x:v>129283.142073</x:v>
      </x:c>
      <x:c r="G1931" s="12" t="n">
        <x:f>MAX(G1930,F1931)</x:f>
        <x:v>138687.599344</x:v>
      </x:c>
      <x:c r="H1931" s="14" t="n">
        <x:f>F1931/G1931-1</x:f>
        <x:v>-0.06781036888289649</x:v>
      </x:c>
      <x:c r="I1931" s="14" t="n">
        <x:f>F1931/F1930-1</x:f>
        <x:v>0.014109331718741513</x:v>
      </x:c>
      <x:c r="J1931" s="12" t="n">
        <x:v>0</x:v>
      </x:c>
      <x:c r="K1931" s="12" t="n">
        <x:v>0</x:v>
      </x:c>
      <x:c r="L1931" s="12" t="n">
        <x:v>0</x:v>
      </x:c>
      <x:c r="M1931" s="2" t="str">
        <x:v>持有</x:v>
      </x:c>
    </x:row>
    <x:row r="1932" ht="23" customHeight="1">
      <x:c r="A1932" s="11" t="d">
        <x:v>2022-08-26T00:00:00.000Z</x:v>
      </x:c>
      <x:c r="B1932" s="12" t="n">
        <x:v>74.062073</x:v>
      </x:c>
      <x:c r="C1932" s="13" t="n">
        <x:v>308</x:v>
      </x:c>
      <x:c r="D1932" s="12" t="n">
        <x:v>124835.48</x:v>
      </x:c>
      <x:c r="E1932" s="12" t="n">
        <x:v>0</x:v>
      </x:c>
      <x:c r="F1932" s="12" t="n">
        <x:f>SUM(B1932,D1932:E1932)</x:f>
        <x:v>124909.54207299999</x:v>
      </x:c>
      <x:c r="G1932" s="12" t="n">
        <x:f>MAX(G1931,F1932)</x:f>
        <x:v>138687.599344</x:v>
      </x:c>
      <x:c r="H1932" s="14" t="n">
        <x:f>F1932/G1932-1</x:f>
        <x:v>-0.09934599298113866</x:v>
      </x:c>
      <x:c r="I1932" s="14" t="n">
        <x:f>F1932/F1931-1</x:f>
        <x:v>-0.033829623335813186</x:v>
      </x:c>
      <x:c r="J1932" s="12" t="n">
        <x:v>0</x:v>
      </x:c>
      <x:c r="K1932" s="12" t="n">
        <x:v>0</x:v>
      </x:c>
      <x:c r="L1932" s="12" t="n">
        <x:v>0</x:v>
      </x:c>
      <x:c r="M1932" s="2" t="str">
        <x:v>持有</x:v>
      </x:c>
    </x:row>
    <x:row r="1933" ht="23" customHeight="1">
      <x:c r="A1933" s="11" t="d">
        <x:v>2022-08-29T00:00:00.000Z</x:v>
      </x:c>
      <x:c r="B1933" s="12" t="n">
        <x:v>74.062073</x:v>
      </x:c>
      <x:c r="C1933" s="13" t="n">
        <x:v>308</x:v>
      </x:c>
      <x:c r="D1933" s="12" t="n">
        <x:v>124010.04</x:v>
      </x:c>
      <x:c r="E1933" s="12" t="n">
        <x:v>0</x:v>
      </x:c>
      <x:c r="F1933" s="12" t="n">
        <x:f>SUM(B1933,D1933:E1933)</x:f>
        <x:v>124084.10207299999</x:v>
      </x:c>
      <x:c r="G1933" s="12" t="n">
        <x:f>MAX(G1932,F1933)</x:f>
        <x:v>138687.599344</x:v>
      </x:c>
      <x:c r="H1933" s="14" t="n">
        <x:f>F1933/G1933-1</x:f>
        <x:v>-0.10529778682503232</x:v>
      </x:c>
      <x:c r="I1933" s="14" t="n">
        <x:f>F1933/F1932-1</x:f>
        <x:v>-0.006608302186534298</x:v>
      </x:c>
      <x:c r="J1933" s="12" t="n">
        <x:v>0</x:v>
      </x:c>
      <x:c r="K1933" s="12" t="n">
        <x:v>0</x:v>
      </x:c>
      <x:c r="L1933" s="12" t="n">
        <x:v>0</x:v>
      </x:c>
      <x:c r="M1933" s="2" t="str">
        <x:v>持有</x:v>
      </x:c>
    </x:row>
    <x:row r="1934" ht="23" customHeight="1">
      <x:c r="A1934" s="11" t="d">
        <x:v>2022-08-30T00:00:00.000Z</x:v>
      </x:c>
      <x:c r="B1934" s="12" t="n">
        <x:v>74.062073</x:v>
      </x:c>
      <x:c r="C1934" s="13" t="n">
        <x:v>308</x:v>
      </x:c>
      <x:c r="D1934" s="12" t="n">
        <x:v>122648.68</x:v>
      </x:c>
      <x:c r="E1934" s="12" t="n">
        <x:v>0</x:v>
      </x:c>
      <x:c r="F1934" s="12" t="n">
        <x:f>SUM(B1934,D1934:E1934)</x:f>
        <x:v>122722.74207299999</x:v>
      </x:c>
      <x:c r="G1934" s="12" t="n">
        <x:f>MAX(G1933,F1934)</x:f>
        <x:v>138687.599344</x:v>
      </x:c>
      <x:c r="H1934" s="14" t="n">
        <x:f>F1934/G1934-1</x:f>
        <x:v>-0.11511380503025981</x:v>
      </x:c>
      <x:c r="I1934" s="14" t="n">
        <x:f>F1934/F1933-1</x:f>
        <x:v>-0.010971268496580588</x:v>
      </x:c>
      <x:c r="J1934" s="12" t="n">
        <x:v>0</x:v>
      </x:c>
      <x:c r="K1934" s="12" t="n">
        <x:v>0</x:v>
      </x:c>
      <x:c r="L1934" s="12" t="n">
        <x:v>0</x:v>
      </x:c>
      <x:c r="M1934" s="2" t="str">
        <x:v>持有</x:v>
      </x:c>
    </x:row>
    <x:row r="1935" ht="23" customHeight="1">
      <x:c r="A1935" s="11" t="d">
        <x:v>2022-08-31T00:00:00.000Z</x:v>
      </x:c>
      <x:c r="B1935" s="12" t="n">
        <x:v>123129.323633</x:v>
      </x:c>
      <x:c r="C1935" s="13" t="n">
        <x:v>0</x:v>
      </x:c>
      <x:c r="D1935" s="12" t="n">
        <x:v>0</x:v>
      </x:c>
      <x:c r="E1935" s="12" t="n">
        <x:v>0</x:v>
      </x:c>
      <x:c r="F1935" s="12" t="n">
        <x:f>SUM(B1935,D1935:E1935)</x:f>
        <x:v>123129.323633</x:v>
      </x:c>
      <x:c r="G1935" s="12" t="n">
        <x:f>MAX(G1934,F1935)</x:f>
        <x:v>138687.599344</x:v>
      </x:c>
      <x:c r="H1935" s="14" t="n">
        <x:f>F1935/G1935-1</x:f>
        <x:v>-0.11218216902298028</x:v>
      </x:c>
      <x:c r="I1935" s="14" t="n">
        <x:f>F1935/F1934-1</x:f>
        <x:v>0.003313009089694008</x:v>
      </x:c>
      <x:c r="J1935" s="12" t="n">
        <x:v>0</x:v>
      </x:c>
      <x:c r="K1935" s="12" t="n">
        <x:v>0</x:v>
      </x:c>
      <x:c r="L1935" s="12" t="n">
        <x:v>-308</x:v>
      </x:c>
      <x:c r="M1935" s="2" t="str">
        <x:v>卖出</x:v>
      </x:c>
    </x:row>
    <x:row r="1936" ht="23" customHeight="1">
      <x:c r="A1936" s="11" t="d">
        <x:v>2022-09-01T00:00:00.000Z</x:v>
      </x:c>
      <x:c r="B1936" s="12" t="n">
        <x:v>123129.323633</x:v>
      </x:c>
      <x:c r="C1936" s="13" t="n">
        <x:v>0</x:v>
      </x:c>
      <x:c r="D1936" s="12" t="n">
        <x:v>0</x:v>
      </x:c>
      <x:c r="E1936" s="12" t="n">
        <x:v>0</x:v>
      </x:c>
      <x:c r="F1936" s="12" t="n">
        <x:f>SUM(B1936,D1936:E1936)</x:f>
        <x:v>123129.323633</x:v>
      </x:c>
      <x:c r="G1936" s="12" t="n">
        <x:f>MAX(G1935,F1936)</x:f>
        <x:v>138687.599344</x:v>
      </x:c>
      <x:c r="H1936" s="14" t="n">
        <x:f>F1936/G1936-1</x:f>
        <x:v>-0.11218216902298028</x:v>
      </x:c>
      <x:c r="I1936" s="14" t="n">
        <x:f>F1936/F1935-1</x:f>
        <x:v>0</x:v>
      </x:c>
      <x:c r="J1936" s="12" t="n">
        <x:v>0</x:v>
      </x:c>
      <x:c r="K1936" s="12" t="n">
        <x:v>0</x:v>
      </x:c>
      <x:c r="L1936" s="12" t="n">
        <x:v>0</x:v>
      </x:c>
      <x:c r="M1936" s="2" t="str">
        <x:v>空仓</x:v>
      </x:c>
    </x:row>
    <x:row r="1937" ht="23" customHeight="1">
      <x:c r="A1937" s="11" t="d">
        <x:v>2022-09-02T00:00:00.000Z</x:v>
      </x:c>
      <x:c r="B1937" s="12" t="n">
        <x:v>123129.323633</x:v>
      </x:c>
      <x:c r="C1937" s="13" t="n">
        <x:v>0</x:v>
      </x:c>
      <x:c r="D1937" s="12" t="n">
        <x:v>0</x:v>
      </x:c>
      <x:c r="E1937" s="12" t="n">
        <x:v>0</x:v>
      </x:c>
      <x:c r="F1937" s="12" t="n">
        <x:f>SUM(B1937,D1937:E1937)</x:f>
        <x:v>123129.323633</x:v>
      </x:c>
      <x:c r="G1937" s="12" t="n">
        <x:f>MAX(G1936,F1937)</x:f>
        <x:v>138687.599344</x:v>
      </x:c>
      <x:c r="H1937" s="14" t="n">
        <x:f>F1937/G1937-1</x:f>
        <x:v>-0.11218216902298028</x:v>
      </x:c>
      <x:c r="I1937" s="14" t="n">
        <x:f>F1937/F1936-1</x:f>
        <x:v>0</x:v>
      </x:c>
      <x:c r="J1937" s="12" t="n">
        <x:v>0</x:v>
      </x:c>
      <x:c r="K1937" s="12" t="n">
        <x:v>0</x:v>
      </x:c>
      <x:c r="L1937" s="12" t="n">
        <x:v>0</x:v>
      </x:c>
      <x:c r="M1937" s="2" t="str">
        <x:v>空仓</x:v>
      </x:c>
    </x:row>
    <x:row r="1938" ht="23" customHeight="1">
      <x:c r="A1938" s="11" t="d">
        <x:v>2022-09-06T00:00:00.000Z</x:v>
      </x:c>
      <x:c r="B1938" s="12" t="n">
        <x:v>123129.323633</x:v>
      </x:c>
      <x:c r="C1938" s="13" t="n">
        <x:v>0</x:v>
      </x:c>
      <x:c r="D1938" s="12" t="n">
        <x:v>0</x:v>
      </x:c>
      <x:c r="E1938" s="12" t="n">
        <x:v>0</x:v>
      </x:c>
      <x:c r="F1938" s="12" t="n">
        <x:f>SUM(B1938,D1938:E1938)</x:f>
        <x:v>123129.323633</x:v>
      </x:c>
      <x:c r="G1938" s="12" t="n">
        <x:f>MAX(G1937,F1938)</x:f>
        <x:v>138687.599344</x:v>
      </x:c>
      <x:c r="H1938" s="14" t="n">
        <x:f>F1938/G1938-1</x:f>
        <x:v>-0.11218216902298028</x:v>
      </x:c>
      <x:c r="I1938" s="14" t="n">
        <x:f>F1938/F1937-1</x:f>
        <x:v>0</x:v>
      </x:c>
      <x:c r="J1938" s="12" t="n">
        <x:v>0</x:v>
      </x:c>
      <x:c r="K1938" s="12" t="n">
        <x:v>0</x:v>
      </x:c>
      <x:c r="L1938" s="12" t="n">
        <x:v>0</x:v>
      </x:c>
      <x:c r="M1938" s="2" t="str">
        <x:v>空仓</x:v>
      </x:c>
    </x:row>
    <x:row r="1939" ht="23" customHeight="1">
      <x:c r="A1939" s="11" t="d">
        <x:v>2022-09-07T00:00:00.000Z</x:v>
      </x:c>
      <x:c r="B1939" s="12" t="n">
        <x:v>123129.323633</x:v>
      </x:c>
      <x:c r="C1939" s="13" t="n">
        <x:v>0</x:v>
      </x:c>
      <x:c r="D1939" s="12" t="n">
        <x:v>0</x:v>
      </x:c>
      <x:c r="E1939" s="12" t="n">
        <x:v>0</x:v>
      </x:c>
      <x:c r="F1939" s="12" t="n">
        <x:f>SUM(B1939,D1939:E1939)</x:f>
        <x:v>123129.323633</x:v>
      </x:c>
      <x:c r="G1939" s="12" t="n">
        <x:f>MAX(G1938,F1939)</x:f>
        <x:v>138687.599344</x:v>
      </x:c>
      <x:c r="H1939" s="14" t="n">
        <x:f>F1939/G1939-1</x:f>
        <x:v>-0.11218216902298028</x:v>
      </x:c>
      <x:c r="I1939" s="14" t="n">
        <x:f>F1939/F1938-1</x:f>
        <x:v>0</x:v>
      </x:c>
      <x:c r="J1939" s="12" t="n">
        <x:v>0</x:v>
      </x:c>
      <x:c r="K1939" s="12" t="n">
        <x:v>0</x:v>
      </x:c>
      <x:c r="L1939" s="12" t="n">
        <x:v>0</x:v>
      </x:c>
      <x:c r="M1939" s="2" t="str">
        <x:v>空仓</x:v>
      </x:c>
    </x:row>
    <x:row r="1940" ht="23" customHeight="1">
      <x:c r="A1940" s="11" t="d">
        <x:v>2022-09-08T00:00:00.000Z</x:v>
      </x:c>
      <x:c r="B1940" s="12" t="n">
        <x:v>123129.323633</x:v>
      </x:c>
      <x:c r="C1940" s="13" t="n">
        <x:v>0</x:v>
      </x:c>
      <x:c r="D1940" s="12" t="n">
        <x:v>0</x:v>
      </x:c>
      <x:c r="E1940" s="12" t="n">
        <x:v>0</x:v>
      </x:c>
      <x:c r="F1940" s="12" t="n">
        <x:f>SUM(B1940,D1940:E1940)</x:f>
        <x:v>123129.323633</x:v>
      </x:c>
      <x:c r="G1940" s="12" t="n">
        <x:f>MAX(G1939,F1940)</x:f>
        <x:v>138687.599344</x:v>
      </x:c>
      <x:c r="H1940" s="14" t="n">
        <x:f>F1940/G1940-1</x:f>
        <x:v>-0.11218216902298028</x:v>
      </x:c>
      <x:c r="I1940" s="14" t="n">
        <x:f>F1940/F1939-1</x:f>
        <x:v>0</x:v>
      </x:c>
      <x:c r="J1940" s="12" t="n">
        <x:v>0</x:v>
      </x:c>
      <x:c r="K1940" s="12" t="n">
        <x:v>0</x:v>
      </x:c>
      <x:c r="L1940" s="12" t="n">
        <x:v>0</x:v>
      </x:c>
      <x:c r="M1940" s="2" t="str">
        <x:v>空仓</x:v>
      </x:c>
    </x:row>
    <x:row r="1941" ht="23" customHeight="1">
      <x:c r="A1941" s="11" t="d">
        <x:v>2022-09-09T00:00:00.000Z</x:v>
      </x:c>
      <x:c r="B1941" s="12" t="n">
        <x:v>123129.323633</x:v>
      </x:c>
      <x:c r="C1941" s="13" t="n">
        <x:v>0</x:v>
      </x:c>
      <x:c r="D1941" s="12" t="n">
        <x:v>0</x:v>
      </x:c>
      <x:c r="E1941" s="12" t="n">
        <x:v>0</x:v>
      </x:c>
      <x:c r="F1941" s="12" t="n">
        <x:f>SUM(B1941,D1941:E1941)</x:f>
        <x:v>123129.323633</x:v>
      </x:c>
      <x:c r="G1941" s="12" t="n">
        <x:f>MAX(G1940,F1941)</x:f>
        <x:v>138687.599344</x:v>
      </x:c>
      <x:c r="H1941" s="14" t="n">
        <x:f>F1941/G1941-1</x:f>
        <x:v>-0.11218216902298028</x:v>
      </x:c>
      <x:c r="I1941" s="14" t="n">
        <x:f>F1941/F1940-1</x:f>
        <x:v>0</x:v>
      </x:c>
      <x:c r="J1941" s="12" t="n">
        <x:v>0</x:v>
      </x:c>
      <x:c r="K1941" s="12" t="n">
        <x:v>0</x:v>
      </x:c>
      <x:c r="L1941" s="12" t="n">
        <x:v>0</x:v>
      </x:c>
      <x:c r="M1941" s="2" t="str">
        <x:v>空仓</x:v>
      </x:c>
    </x:row>
    <x:row r="1942" ht="23" customHeight="1">
      <x:c r="A1942" s="11" t="d">
        <x:v>2022-09-12T00:00:00.000Z</x:v>
      </x:c>
      <x:c r="B1942" s="12" t="n">
        <x:v>372.689633</x:v>
      </x:c>
      <x:c r="C1942" s="13" t="n">
        <x:v>300</x:v>
      </x:c>
      <x:c r="D1942" s="12" t="n">
        <x:v>123291.00000000001</x:v>
      </x:c>
      <x:c r="E1942" s="12" t="n">
        <x:v>0</x:v>
      </x:c>
      <x:c r="F1942" s="12" t="n">
        <x:f>SUM(B1942,D1942:E1942)</x:f>
        <x:v>123663.68963300002</x:v>
      </x:c>
      <x:c r="G1942" s="12" t="n">
        <x:f>MAX(G1941,F1942)</x:f>
        <x:v>138687.599344</x:v>
      </x:c>
      <x:c r="H1942" s="14" t="n">
        <x:f>F1942/G1942-1</x:f>
        <x:v>-0.10832914970093865</x:v>
      </x:c>
      <x:c r="I1942" s="14" t="n">
        <x:f>F1942/F1941-1</x:f>
        <x:v>0.004339876028172984</x:v>
      </x:c>
      <x:c r="J1942" s="12" t="n">
        <x:v>0</x:v>
      </x:c>
      <x:c r="K1942" s="12" t="n">
        <x:v>0</x:v>
      </x:c>
      <x:c r="L1942" s="12" t="n">
        <x:v>300</x:v>
      </x:c>
      <x:c r="M1942" s="2" t="str">
        <x:v>买入</x:v>
      </x:c>
    </x:row>
    <x:row r="1943" ht="23" customHeight="1">
      <x:c r="A1943" s="11" t="d">
        <x:v>2022-09-13T00:00:00.000Z</x:v>
      </x:c>
      <x:c r="B1943" s="12" t="n">
        <x:v>372.689633</x:v>
      </x:c>
      <x:c r="C1943" s="13" t="n">
        <x:v>300</x:v>
      </x:c>
      <x:c r="D1943" s="12" t="n">
        <x:v>117930</x:v>
      </x:c>
      <x:c r="E1943" s="12" t="n">
        <x:v>0</x:v>
      </x:c>
      <x:c r="F1943" s="12" t="n">
        <x:f>SUM(B1943,D1943:E1943)</x:f>
        <x:v>118302.689633</x:v>
      </x:c>
      <x:c r="G1943" s="12" t="n">
        <x:f>MAX(G1942,F1943)</x:f>
        <x:v>138687.599344</x:v>
      </x:c>
      <x:c r="H1943" s="14" t="n">
        <x:f>F1943/G1943-1</x:f>
        <x:v>-0.14698437212426874</x:v>
      </x:c>
      <x:c r="I1943" s="14" t="n">
        <x:f>F1943/F1942-1</x:f>
        <x:v>-0.043351447914177554</x:v>
      </x:c>
      <x:c r="J1943" s="12" t="n">
        <x:v>0</x:v>
      </x:c>
      <x:c r="K1943" s="12" t="n">
        <x:v>0</x:v>
      </x:c>
      <x:c r="L1943" s="12" t="n">
        <x:v>0</x:v>
      </x:c>
      <x:c r="M1943" s="2" t="str">
        <x:v>持有</x:v>
      </x:c>
    </x:row>
    <x:row r="1944" ht="23" customHeight="1">
      <x:c r="A1944" s="11" t="d">
        <x:v>2022-09-14T00:00:00.000Z</x:v>
      </x:c>
      <x:c r="B1944" s="12" t="n">
        <x:v>118595.348633</x:v>
      </x:c>
      <x:c r="C1944" s="13" t="n">
        <x:v>0</x:v>
      </x:c>
      <x:c r="D1944" s="12" t="n">
        <x:v>0</x:v>
      </x:c>
      <x:c r="E1944" s="12" t="n">
        <x:v>0</x:v>
      </x:c>
      <x:c r="F1944" s="12" t="n">
        <x:f>SUM(B1944,D1944:E1944)</x:f>
        <x:v>118595.348633</x:v>
      </x:c>
      <x:c r="G1944" s="12" t="n">
        <x:f>MAX(G1943,F1944)</x:f>
        <x:v>138687.599344</x:v>
      </x:c>
      <x:c r="H1944" s="14" t="n">
        <x:f>F1944/G1944-1</x:f>
        <x:v>-0.14487416903917472</x:v>
      </x:c>
      <x:c r="I1944" s="14" t="n">
        <x:f>F1944/F1943-1</x:f>
        <x:v>0.0024738152691869963</x:v>
      </x:c>
      <x:c r="J1944" s="12" t="n">
        <x:v>0</x:v>
      </x:c>
      <x:c r="K1944" s="12" t="n">
        <x:v>0</x:v>
      </x:c>
      <x:c r="L1944" s="12" t="n">
        <x:v>-300</x:v>
      </x:c>
      <x:c r="M1944" s="2" t="str">
        <x:v>卖出</x:v>
      </x:c>
    </x:row>
    <x:row r="1945" ht="23" customHeight="1">
      <x:c r="A1945" s="11" t="d">
        <x:v>2022-09-15T00:00:00.000Z</x:v>
      </x:c>
      <x:c r="B1945" s="12" t="n">
        <x:v>118595.348633</x:v>
      </x:c>
      <x:c r="C1945" s="13" t="n">
        <x:v>0</x:v>
      </x:c>
      <x:c r="D1945" s="12" t="n">
        <x:v>0</x:v>
      </x:c>
      <x:c r="E1945" s="12" t="n">
        <x:v>0</x:v>
      </x:c>
      <x:c r="F1945" s="12" t="n">
        <x:f>SUM(B1945,D1945:E1945)</x:f>
        <x:v>118595.348633</x:v>
      </x:c>
      <x:c r="G1945" s="12" t="n">
        <x:f>MAX(G1944,F1945)</x:f>
        <x:v>138687.599344</x:v>
      </x:c>
      <x:c r="H1945" s="14" t="n">
        <x:f>F1945/G1945-1</x:f>
        <x:v>-0.14487416903917472</x:v>
      </x:c>
      <x:c r="I1945" s="14" t="n">
        <x:f>F1945/F1944-1</x:f>
        <x:v>0</x:v>
      </x:c>
      <x:c r="J1945" s="12" t="n">
        <x:v>0</x:v>
      </x:c>
      <x:c r="K1945" s="12" t="n">
        <x:v>0</x:v>
      </x:c>
      <x:c r="L1945" s="12" t="n">
        <x:v>0</x:v>
      </x:c>
      <x:c r="M1945" s="2" t="str">
        <x:v>空仓</x:v>
      </x:c>
    </x:row>
    <x:row r="1946" ht="23" customHeight="1">
      <x:c r="A1946" s="11" t="d">
        <x:v>2022-09-16T00:00:00.000Z</x:v>
      </x:c>
      <x:c r="B1946" s="12" t="n">
        <x:v>118595.348633</x:v>
      </x:c>
      <x:c r="C1946" s="13" t="n">
        <x:v>0</x:v>
      </x:c>
      <x:c r="D1946" s="12" t="n">
        <x:v>0</x:v>
      </x:c>
      <x:c r="E1946" s="12" t="n">
        <x:v>0</x:v>
      </x:c>
      <x:c r="F1946" s="12" t="n">
        <x:f>SUM(B1946,D1946:E1946)</x:f>
        <x:v>118595.348633</x:v>
      </x:c>
      <x:c r="G1946" s="12" t="n">
        <x:f>MAX(G1945,F1946)</x:f>
        <x:v>138687.599344</x:v>
      </x:c>
      <x:c r="H1946" s="14" t="n">
        <x:f>F1946/G1946-1</x:f>
        <x:v>-0.14487416903917472</x:v>
      </x:c>
      <x:c r="I1946" s="14" t="n">
        <x:f>F1946/F1945-1</x:f>
        <x:v>0</x:v>
      </x:c>
      <x:c r="J1946" s="12" t="n">
        <x:v>0</x:v>
      </x:c>
      <x:c r="K1946" s="12" t="n">
        <x:v>0</x:v>
      </x:c>
      <x:c r="L1946" s="12" t="n">
        <x:v>0</x:v>
      </x:c>
      <x:c r="M1946" s="2" t="str">
        <x:v>空仓</x:v>
      </x:c>
    </x:row>
    <x:row r="1947" ht="23" customHeight="1">
      <x:c r="A1947" s="11" t="d">
        <x:v>2022-09-19T00:00:00.000Z</x:v>
      </x:c>
      <x:c r="B1947" s="12" t="n">
        <x:v>118595.348633</x:v>
      </x:c>
      <x:c r="C1947" s="13" t="n">
        <x:v>0</x:v>
      </x:c>
      <x:c r="D1947" s="12" t="n">
        <x:v>0</x:v>
      </x:c>
      <x:c r="E1947" s="12" t="n">
        <x:v>0</x:v>
      </x:c>
      <x:c r="F1947" s="12" t="n">
        <x:f>SUM(B1947,D1947:E1947)</x:f>
        <x:v>118595.348633</x:v>
      </x:c>
      <x:c r="G1947" s="12" t="n">
        <x:f>MAX(G1946,F1947)</x:f>
        <x:v>138687.599344</x:v>
      </x:c>
      <x:c r="H1947" s="14" t="n">
        <x:f>F1947/G1947-1</x:f>
        <x:v>-0.14487416903917472</x:v>
      </x:c>
      <x:c r="I1947" s="14" t="n">
        <x:f>F1947/F1946-1</x:f>
        <x:v>0</x:v>
      </x:c>
      <x:c r="J1947" s="12" t="n">
        <x:v>0</x:v>
      </x:c>
      <x:c r="K1947" s="12" t="n">
        <x:v>0</x:v>
      </x:c>
      <x:c r="L1947" s="12" t="n">
        <x:v>0</x:v>
      </x:c>
      <x:c r="M1947" s="2" t="str">
        <x:v>空仓</x:v>
      </x:c>
    </x:row>
    <x:row r="1948" ht="23" customHeight="1">
      <x:c r="A1948" s="11" t="d">
        <x:v>2022-09-20T00:00:00.000Z</x:v>
      </x:c>
      <x:c r="B1948" s="12" t="n">
        <x:v>118595.348633</x:v>
      </x:c>
      <x:c r="C1948" s="13" t="n">
        <x:v>0</x:v>
      </x:c>
      <x:c r="D1948" s="12" t="n">
        <x:v>0</x:v>
      </x:c>
      <x:c r="E1948" s="12" t="n">
        <x:v>0</x:v>
      </x:c>
      <x:c r="F1948" s="12" t="n">
        <x:f>SUM(B1948,D1948:E1948)</x:f>
        <x:v>118595.348633</x:v>
      </x:c>
      <x:c r="G1948" s="12" t="n">
        <x:f>MAX(G1947,F1948)</x:f>
        <x:v>138687.599344</x:v>
      </x:c>
      <x:c r="H1948" s="14" t="n">
        <x:f>F1948/G1948-1</x:f>
        <x:v>-0.14487416903917472</x:v>
      </x:c>
      <x:c r="I1948" s="14" t="n">
        <x:f>F1948/F1947-1</x:f>
        <x:v>0</x:v>
      </x:c>
      <x:c r="J1948" s="12" t="n">
        <x:v>0</x:v>
      </x:c>
      <x:c r="K1948" s="12" t="n">
        <x:v>0</x:v>
      </x:c>
      <x:c r="L1948" s="12" t="n">
        <x:v>0</x:v>
      </x:c>
      <x:c r="M1948" s="2" t="str">
        <x:v>空仓</x:v>
      </x:c>
    </x:row>
    <x:row r="1949" ht="23" customHeight="1">
      <x:c r="A1949" s="11" t="d">
        <x:v>2022-09-21T00:00:00.000Z</x:v>
      </x:c>
      <x:c r="B1949" s="12" t="n">
        <x:v>118595.348633</x:v>
      </x:c>
      <x:c r="C1949" s="13" t="n">
        <x:v>0</x:v>
      </x:c>
      <x:c r="D1949" s="12" t="n">
        <x:v>0</x:v>
      </x:c>
      <x:c r="E1949" s="12" t="n">
        <x:v>0</x:v>
      </x:c>
      <x:c r="F1949" s="12" t="n">
        <x:f>SUM(B1949,D1949:E1949)</x:f>
        <x:v>118595.348633</x:v>
      </x:c>
      <x:c r="G1949" s="12" t="n">
        <x:f>MAX(G1948,F1949)</x:f>
        <x:v>138687.599344</x:v>
      </x:c>
      <x:c r="H1949" s="14" t="n">
        <x:f>F1949/G1949-1</x:f>
        <x:v>-0.14487416903917472</x:v>
      </x:c>
      <x:c r="I1949" s="14" t="n">
        <x:f>F1949/F1948-1</x:f>
        <x:v>0</x:v>
      </x:c>
      <x:c r="J1949" s="12" t="n">
        <x:v>0</x:v>
      </x:c>
      <x:c r="K1949" s="12" t="n">
        <x:v>0</x:v>
      </x:c>
      <x:c r="L1949" s="12" t="n">
        <x:v>0</x:v>
      </x:c>
      <x:c r="M1949" s="2" t="str">
        <x:v>空仓</x:v>
      </x:c>
    </x:row>
    <x:row r="1950" ht="23" customHeight="1">
      <x:c r="A1950" s="11" t="d">
        <x:v>2022-09-22T00:00:00.000Z</x:v>
      </x:c>
      <x:c r="B1950" s="12" t="n">
        <x:v>118595.348633</x:v>
      </x:c>
      <x:c r="C1950" s="13" t="n">
        <x:v>0</x:v>
      </x:c>
      <x:c r="D1950" s="12" t="n">
        <x:v>0</x:v>
      </x:c>
      <x:c r="E1950" s="12" t="n">
        <x:v>0</x:v>
      </x:c>
      <x:c r="F1950" s="12" t="n">
        <x:f>SUM(B1950,D1950:E1950)</x:f>
        <x:v>118595.348633</x:v>
      </x:c>
      <x:c r="G1950" s="12" t="n">
        <x:f>MAX(G1949,F1950)</x:f>
        <x:v>138687.599344</x:v>
      </x:c>
      <x:c r="H1950" s="14" t="n">
        <x:f>F1950/G1950-1</x:f>
        <x:v>-0.14487416903917472</x:v>
      </x:c>
      <x:c r="I1950" s="14" t="n">
        <x:f>F1950/F1949-1</x:f>
        <x:v>0</x:v>
      </x:c>
      <x:c r="J1950" s="12" t="n">
        <x:v>0</x:v>
      </x:c>
      <x:c r="K1950" s="12" t="n">
        <x:v>0</x:v>
      </x:c>
      <x:c r="L1950" s="12" t="n">
        <x:v>0</x:v>
      </x:c>
      <x:c r="M1950" s="2" t="str">
        <x:v>空仓</x:v>
      </x:c>
    </x:row>
    <x:row r="1951" ht="23" customHeight="1">
      <x:c r="A1951" s="11" t="d">
        <x:v>2022-09-23T00:00:00.000Z</x:v>
      </x:c>
      <x:c r="B1951" s="12" t="n">
        <x:v>118595.348633</x:v>
      </x:c>
      <x:c r="C1951" s="13" t="n">
        <x:v>0</x:v>
      </x:c>
      <x:c r="D1951" s="12" t="n">
        <x:v>0</x:v>
      </x:c>
      <x:c r="E1951" s="12" t="n">
        <x:v>0</x:v>
      </x:c>
      <x:c r="F1951" s="12" t="n">
        <x:f>SUM(B1951,D1951:E1951)</x:f>
        <x:v>118595.348633</x:v>
      </x:c>
      <x:c r="G1951" s="12" t="n">
        <x:f>MAX(G1950,F1951)</x:f>
        <x:v>138687.599344</x:v>
      </x:c>
      <x:c r="H1951" s="14" t="n">
        <x:f>F1951/G1951-1</x:f>
        <x:v>-0.14487416903917472</x:v>
      </x:c>
      <x:c r="I1951" s="14" t="n">
        <x:f>F1951/F1950-1</x:f>
        <x:v>0</x:v>
      </x:c>
      <x:c r="J1951" s="12" t="n">
        <x:v>0</x:v>
      </x:c>
      <x:c r="K1951" s="12" t="n">
        <x:v>0</x:v>
      </x:c>
      <x:c r="L1951" s="12" t="n">
        <x:v>0</x:v>
      </x:c>
      <x:c r="M1951" s="2" t="str">
        <x:v>空仓</x:v>
      </x:c>
    </x:row>
    <x:row r="1952" ht="23" customHeight="1">
      <x:c r="A1952" s="11" t="d">
        <x:v>2022-09-26T00:00:00.000Z</x:v>
      </x:c>
      <x:c r="B1952" s="12" t="n">
        <x:v>118595.348633</x:v>
      </x:c>
      <x:c r="C1952" s="13" t="n">
        <x:v>0</x:v>
      </x:c>
      <x:c r="D1952" s="12" t="n">
        <x:v>0</x:v>
      </x:c>
      <x:c r="E1952" s="12" t="n">
        <x:v>0</x:v>
      </x:c>
      <x:c r="F1952" s="12" t="n">
        <x:f>SUM(B1952,D1952:E1952)</x:f>
        <x:v>118595.348633</x:v>
      </x:c>
      <x:c r="G1952" s="12" t="n">
        <x:f>MAX(G1951,F1952)</x:f>
        <x:v>138687.599344</x:v>
      </x:c>
      <x:c r="H1952" s="14" t="n">
        <x:f>F1952/G1952-1</x:f>
        <x:v>-0.14487416903917472</x:v>
      </x:c>
      <x:c r="I1952" s="14" t="n">
        <x:f>F1952/F1951-1</x:f>
        <x:v>0</x:v>
      </x:c>
      <x:c r="J1952" s="12" t="n">
        <x:v>0</x:v>
      </x:c>
      <x:c r="K1952" s="12" t="n">
        <x:v>0</x:v>
      </x:c>
      <x:c r="L1952" s="12" t="n">
        <x:v>0</x:v>
      </x:c>
      <x:c r="M1952" s="2" t="str">
        <x:v>空仓</x:v>
      </x:c>
    </x:row>
    <x:row r="1953" ht="23" customHeight="1">
      <x:c r="A1953" s="11" t="d">
        <x:v>2022-09-27T00:00:00.000Z</x:v>
      </x:c>
      <x:c r="B1953" s="12" t="n">
        <x:v>118595.348633</x:v>
      </x:c>
      <x:c r="C1953" s="13" t="n">
        <x:v>0</x:v>
      </x:c>
      <x:c r="D1953" s="12" t="n">
        <x:v>0</x:v>
      </x:c>
      <x:c r="E1953" s="12" t="n">
        <x:v>0</x:v>
      </x:c>
      <x:c r="F1953" s="12" t="n">
        <x:f>SUM(B1953,D1953:E1953)</x:f>
        <x:v>118595.348633</x:v>
      </x:c>
      <x:c r="G1953" s="12" t="n">
        <x:f>MAX(G1952,F1953)</x:f>
        <x:v>138687.599344</x:v>
      </x:c>
      <x:c r="H1953" s="14" t="n">
        <x:f>F1953/G1953-1</x:f>
        <x:v>-0.14487416903917472</x:v>
      </x:c>
      <x:c r="I1953" s="14" t="n">
        <x:f>F1953/F1952-1</x:f>
        <x:v>0</x:v>
      </x:c>
      <x:c r="J1953" s="12" t="n">
        <x:v>0</x:v>
      </x:c>
      <x:c r="K1953" s="12" t="n">
        <x:v>0</x:v>
      </x:c>
      <x:c r="L1953" s="12" t="n">
        <x:v>0</x:v>
      </x:c>
      <x:c r="M1953" s="2" t="str">
        <x:v>空仓</x:v>
      </x:c>
    </x:row>
    <x:row r="1954" ht="23" customHeight="1">
      <x:c r="A1954" s="11" t="d">
        <x:v>2022-09-28T00:00:00.000Z</x:v>
      </x:c>
      <x:c r="B1954" s="12" t="n">
        <x:v>118595.348633</x:v>
      </x:c>
      <x:c r="C1954" s="13" t="n">
        <x:v>0</x:v>
      </x:c>
      <x:c r="D1954" s="12" t="n">
        <x:v>0</x:v>
      </x:c>
      <x:c r="E1954" s="12" t="n">
        <x:v>0</x:v>
      </x:c>
      <x:c r="F1954" s="12" t="n">
        <x:f>SUM(B1954,D1954:E1954)</x:f>
        <x:v>118595.348633</x:v>
      </x:c>
      <x:c r="G1954" s="12" t="n">
        <x:f>MAX(G1953,F1954)</x:f>
        <x:v>138687.599344</x:v>
      </x:c>
      <x:c r="H1954" s="14" t="n">
        <x:f>F1954/G1954-1</x:f>
        <x:v>-0.14487416903917472</x:v>
      </x:c>
      <x:c r="I1954" s="14" t="n">
        <x:f>F1954/F1953-1</x:f>
        <x:v>0</x:v>
      </x:c>
      <x:c r="J1954" s="12" t="n">
        <x:v>0</x:v>
      </x:c>
      <x:c r="K1954" s="12" t="n">
        <x:v>0</x:v>
      </x:c>
      <x:c r="L1954" s="12" t="n">
        <x:v>0</x:v>
      </x:c>
      <x:c r="M1954" s="2" t="str">
        <x:v>空仓</x:v>
      </x:c>
    </x:row>
    <x:row r="1955" ht="23" customHeight="1">
      <x:c r="A1955" s="11" t="d">
        <x:v>2022-09-29T00:00:00.000Z</x:v>
      </x:c>
      <x:c r="B1955" s="12" t="n">
        <x:v>118595.348633</x:v>
      </x:c>
      <x:c r="C1955" s="13" t="n">
        <x:v>0</x:v>
      </x:c>
      <x:c r="D1955" s="12" t="n">
        <x:v>0</x:v>
      </x:c>
      <x:c r="E1955" s="12" t="n">
        <x:v>0</x:v>
      </x:c>
      <x:c r="F1955" s="12" t="n">
        <x:f>SUM(B1955,D1955:E1955)</x:f>
        <x:v>118595.348633</x:v>
      </x:c>
      <x:c r="G1955" s="12" t="n">
        <x:f>MAX(G1954,F1955)</x:f>
        <x:v>138687.599344</x:v>
      </x:c>
      <x:c r="H1955" s="14" t="n">
        <x:f>F1955/G1955-1</x:f>
        <x:v>-0.14487416903917472</x:v>
      </x:c>
      <x:c r="I1955" s="14" t="n">
        <x:f>F1955/F1954-1</x:f>
        <x:v>0</x:v>
      </x:c>
      <x:c r="J1955" s="12" t="n">
        <x:v>0</x:v>
      </x:c>
      <x:c r="K1955" s="12" t="n">
        <x:v>0</x:v>
      </x:c>
      <x:c r="L1955" s="12" t="n">
        <x:v>0</x:v>
      </x:c>
      <x:c r="M1955" s="2" t="str">
        <x:v>空仓</x:v>
      </x:c>
    </x:row>
    <x:row r="1956" ht="23" customHeight="1">
      <x:c r="A1956" s="11" t="d">
        <x:v>2022-09-30T00:00:00.000Z</x:v>
      </x:c>
      <x:c r="B1956" s="12" t="n">
        <x:v>118595.348633</x:v>
      </x:c>
      <x:c r="C1956" s="13" t="n">
        <x:v>0</x:v>
      </x:c>
      <x:c r="D1956" s="12" t="n">
        <x:v>0</x:v>
      </x:c>
      <x:c r="E1956" s="12" t="n">
        <x:v>0</x:v>
      </x:c>
      <x:c r="F1956" s="12" t="n">
        <x:f>SUM(B1956,D1956:E1956)</x:f>
        <x:v>118595.348633</x:v>
      </x:c>
      <x:c r="G1956" s="12" t="n">
        <x:f>MAX(G1955,F1956)</x:f>
        <x:v>138687.599344</x:v>
      </x:c>
      <x:c r="H1956" s="14" t="n">
        <x:f>F1956/G1956-1</x:f>
        <x:v>-0.14487416903917472</x:v>
      </x:c>
      <x:c r="I1956" s="14" t="n">
        <x:f>F1956/F1955-1</x:f>
        <x:v>0</x:v>
      </x:c>
      <x:c r="J1956" s="12" t="n">
        <x:v>0</x:v>
      </x:c>
      <x:c r="K1956" s="12" t="n">
        <x:v>0</x:v>
      </x:c>
      <x:c r="L1956" s="12" t="n">
        <x:v>0</x:v>
      </x:c>
      <x:c r="M1956" s="2" t="str">
        <x:v>空仓</x:v>
      </x:c>
    </x:row>
    <x:row r="1957" ht="23" customHeight="1">
      <x:c r="A1957" s="11" t="d">
        <x:v>2022-10-03T00:00:00.000Z</x:v>
      </x:c>
      <x:c r="B1957" s="12" t="n">
        <x:v>118595.348633</x:v>
      </x:c>
      <x:c r="C1957" s="13" t="n">
        <x:v>0</x:v>
      </x:c>
      <x:c r="D1957" s="12" t="n">
        <x:v>0</x:v>
      </x:c>
      <x:c r="E1957" s="12" t="n">
        <x:v>0</x:v>
      </x:c>
      <x:c r="F1957" s="12" t="n">
        <x:f>SUM(B1957,D1957:E1957)</x:f>
        <x:v>118595.348633</x:v>
      </x:c>
      <x:c r="G1957" s="12" t="n">
        <x:f>MAX(G1956,F1957)</x:f>
        <x:v>138687.599344</x:v>
      </x:c>
      <x:c r="H1957" s="14" t="n">
        <x:f>F1957/G1957-1</x:f>
        <x:v>-0.14487416903917472</x:v>
      </x:c>
      <x:c r="I1957" s="14" t="n">
        <x:f>F1957/F1956-1</x:f>
        <x:v>0</x:v>
      </x:c>
      <x:c r="J1957" s="12" t="n">
        <x:v>0</x:v>
      </x:c>
      <x:c r="K1957" s="12" t="n">
        <x:v>0</x:v>
      </x:c>
      <x:c r="L1957" s="12" t="n">
        <x:v>0</x:v>
      </x:c>
      <x:c r="M1957" s="2" t="str">
        <x:v>空仓</x:v>
      </x:c>
    </x:row>
    <x:row r="1958" ht="23" customHeight="1">
      <x:c r="A1958" s="11" t="d">
        <x:v>2022-10-04T00:00:00.000Z</x:v>
      </x:c>
      <x:c r="B1958" s="12" t="n">
        <x:v>118595.348633</x:v>
      </x:c>
      <x:c r="C1958" s="13" t="n">
        <x:v>0</x:v>
      </x:c>
      <x:c r="D1958" s="12" t="n">
        <x:v>0</x:v>
      </x:c>
      <x:c r="E1958" s="12" t="n">
        <x:v>0</x:v>
      </x:c>
      <x:c r="F1958" s="12" t="n">
        <x:f>SUM(B1958,D1958:E1958)</x:f>
        <x:v>118595.348633</x:v>
      </x:c>
      <x:c r="G1958" s="12" t="n">
        <x:f>MAX(G1957,F1958)</x:f>
        <x:v>138687.599344</x:v>
      </x:c>
      <x:c r="H1958" s="14" t="n">
        <x:f>F1958/G1958-1</x:f>
        <x:v>-0.14487416903917472</x:v>
      </x:c>
      <x:c r="I1958" s="14" t="n">
        <x:f>F1958/F1957-1</x:f>
        <x:v>0</x:v>
      </x:c>
      <x:c r="J1958" s="12" t="n">
        <x:v>0</x:v>
      </x:c>
      <x:c r="K1958" s="12" t="n">
        <x:v>0</x:v>
      </x:c>
      <x:c r="L1958" s="12" t="n">
        <x:v>0</x:v>
      </x:c>
      <x:c r="M1958" s="2" t="str">
        <x:v>空仓</x:v>
      </x:c>
    </x:row>
    <x:row r="1959" ht="23" customHeight="1">
      <x:c r="A1959" s="11" t="d">
        <x:v>2022-10-05T00:00:00.000Z</x:v>
      </x:c>
      <x:c r="B1959" s="12" t="n">
        <x:v>118595.348633</x:v>
      </x:c>
      <x:c r="C1959" s="13" t="n">
        <x:v>0</x:v>
      </x:c>
      <x:c r="D1959" s="12" t="n">
        <x:v>0</x:v>
      </x:c>
      <x:c r="E1959" s="12" t="n">
        <x:v>0</x:v>
      </x:c>
      <x:c r="F1959" s="12" t="n">
        <x:f>SUM(B1959,D1959:E1959)</x:f>
        <x:v>118595.348633</x:v>
      </x:c>
      <x:c r="G1959" s="12" t="n">
        <x:f>MAX(G1958,F1959)</x:f>
        <x:v>138687.599344</x:v>
      </x:c>
      <x:c r="H1959" s="14" t="n">
        <x:f>F1959/G1959-1</x:f>
        <x:v>-0.14487416903917472</x:v>
      </x:c>
      <x:c r="I1959" s="14" t="n">
        <x:f>F1959/F1958-1</x:f>
        <x:v>0</x:v>
      </x:c>
      <x:c r="J1959" s="12" t="n">
        <x:v>0</x:v>
      </x:c>
      <x:c r="K1959" s="12" t="n">
        <x:v>0</x:v>
      </x:c>
      <x:c r="L1959" s="12" t="n">
        <x:v>0</x:v>
      </x:c>
      <x:c r="M1959" s="2" t="str">
        <x:v>空仓</x:v>
      </x:c>
    </x:row>
    <x:row r="1960" ht="23" customHeight="1">
      <x:c r="A1960" s="11" t="d">
        <x:v>2022-10-06T00:00:00.000Z</x:v>
      </x:c>
      <x:c r="B1960" s="12" t="n">
        <x:v>118595.348633</x:v>
      </x:c>
      <x:c r="C1960" s="13" t="n">
        <x:v>0</x:v>
      </x:c>
      <x:c r="D1960" s="12" t="n">
        <x:v>0</x:v>
      </x:c>
      <x:c r="E1960" s="12" t="n">
        <x:v>0</x:v>
      </x:c>
      <x:c r="F1960" s="12" t="n">
        <x:f>SUM(B1960,D1960:E1960)</x:f>
        <x:v>118595.348633</x:v>
      </x:c>
      <x:c r="G1960" s="12" t="n">
        <x:f>MAX(G1959,F1960)</x:f>
        <x:v>138687.599344</x:v>
      </x:c>
      <x:c r="H1960" s="14" t="n">
        <x:f>F1960/G1960-1</x:f>
        <x:v>-0.14487416903917472</x:v>
      </x:c>
      <x:c r="I1960" s="14" t="n">
        <x:f>F1960/F1959-1</x:f>
        <x:v>0</x:v>
      </x:c>
      <x:c r="J1960" s="12" t="n">
        <x:v>0</x:v>
      </x:c>
      <x:c r="K1960" s="12" t="n">
        <x:v>0</x:v>
      </x:c>
      <x:c r="L1960" s="12" t="n">
        <x:v>0</x:v>
      </x:c>
      <x:c r="M1960" s="2" t="str">
        <x:v>空仓</x:v>
      </x:c>
    </x:row>
    <x:row r="1961" ht="23" customHeight="1">
      <x:c r="A1961" s="11" t="d">
        <x:v>2022-10-07T00:00:00.000Z</x:v>
      </x:c>
      <x:c r="B1961" s="12" t="n">
        <x:v>118595.348633</x:v>
      </x:c>
      <x:c r="C1961" s="13" t="n">
        <x:v>0</x:v>
      </x:c>
      <x:c r="D1961" s="12" t="n">
        <x:v>0</x:v>
      </x:c>
      <x:c r="E1961" s="12" t="n">
        <x:v>0</x:v>
      </x:c>
      <x:c r="F1961" s="12" t="n">
        <x:f>SUM(B1961,D1961:E1961)</x:f>
        <x:v>118595.348633</x:v>
      </x:c>
      <x:c r="G1961" s="12" t="n">
        <x:f>MAX(G1960,F1961)</x:f>
        <x:v>138687.599344</x:v>
      </x:c>
      <x:c r="H1961" s="14" t="n">
        <x:f>F1961/G1961-1</x:f>
        <x:v>-0.14487416903917472</x:v>
      </x:c>
      <x:c r="I1961" s="14" t="n">
        <x:f>F1961/F1960-1</x:f>
        <x:v>0</x:v>
      </x:c>
      <x:c r="J1961" s="12" t="n">
        <x:v>0</x:v>
      </x:c>
      <x:c r="K1961" s="12" t="n">
        <x:v>0</x:v>
      </x:c>
      <x:c r="L1961" s="12" t="n">
        <x:v>0</x:v>
      </x:c>
      <x:c r="M1961" s="2" t="str">
        <x:v>空仓</x:v>
      </x:c>
    </x:row>
    <x:row r="1962" ht="23" customHeight="1">
      <x:c r="A1962" s="11" t="d">
        <x:v>2022-10-10T00:00:00.000Z</x:v>
      </x:c>
      <x:c r="B1962" s="12" t="n">
        <x:v>118595.348633</x:v>
      </x:c>
      <x:c r="C1962" s="13" t="n">
        <x:v>0</x:v>
      </x:c>
      <x:c r="D1962" s="12" t="n">
        <x:v>0</x:v>
      </x:c>
      <x:c r="E1962" s="12" t="n">
        <x:v>0</x:v>
      </x:c>
      <x:c r="F1962" s="12" t="n">
        <x:f>SUM(B1962,D1962:E1962)</x:f>
        <x:v>118595.348633</x:v>
      </x:c>
      <x:c r="G1962" s="12" t="n">
        <x:f>MAX(G1961,F1962)</x:f>
        <x:v>138687.599344</x:v>
      </x:c>
      <x:c r="H1962" s="14" t="n">
        <x:f>F1962/G1962-1</x:f>
        <x:v>-0.14487416903917472</x:v>
      </x:c>
      <x:c r="I1962" s="14" t="n">
        <x:f>F1962/F1961-1</x:f>
        <x:v>0</x:v>
      </x:c>
      <x:c r="J1962" s="12" t="n">
        <x:v>0</x:v>
      </x:c>
      <x:c r="K1962" s="12" t="n">
        <x:v>0</x:v>
      </x:c>
      <x:c r="L1962" s="12" t="n">
        <x:v>0</x:v>
      </x:c>
      <x:c r="M1962" s="2" t="str">
        <x:v>空仓</x:v>
      </x:c>
    </x:row>
    <x:row r="1963" ht="23" customHeight="1">
      <x:c r="A1963" s="11" t="d">
        <x:v>2022-10-11T00:00:00.000Z</x:v>
      </x:c>
      <x:c r="B1963" s="12" t="n">
        <x:v>118595.348633</x:v>
      </x:c>
      <x:c r="C1963" s="13" t="n">
        <x:v>0</x:v>
      </x:c>
      <x:c r="D1963" s="12" t="n">
        <x:v>0</x:v>
      </x:c>
      <x:c r="E1963" s="12" t="n">
        <x:v>0</x:v>
      </x:c>
      <x:c r="F1963" s="12" t="n">
        <x:f>SUM(B1963,D1963:E1963)</x:f>
        <x:v>118595.348633</x:v>
      </x:c>
      <x:c r="G1963" s="12" t="n">
        <x:f>MAX(G1962,F1963)</x:f>
        <x:v>138687.599344</x:v>
      </x:c>
      <x:c r="H1963" s="14" t="n">
        <x:f>F1963/G1963-1</x:f>
        <x:v>-0.14487416903917472</x:v>
      </x:c>
      <x:c r="I1963" s="14" t="n">
        <x:f>F1963/F1962-1</x:f>
        <x:v>0</x:v>
      </x:c>
      <x:c r="J1963" s="12" t="n">
        <x:v>0</x:v>
      </x:c>
      <x:c r="K1963" s="12" t="n">
        <x:v>0</x:v>
      </x:c>
      <x:c r="L1963" s="12" t="n">
        <x:v>0</x:v>
      </x:c>
      <x:c r="M1963" s="2" t="str">
        <x:v>空仓</x:v>
      </x:c>
    </x:row>
    <x:row r="1964" ht="23" customHeight="1">
      <x:c r="A1964" s="11" t="d">
        <x:v>2022-10-12T00:00:00.000Z</x:v>
      </x:c>
      <x:c r="B1964" s="12" t="n">
        <x:v>118595.348633</x:v>
      </x:c>
      <x:c r="C1964" s="13" t="n">
        <x:v>0</x:v>
      </x:c>
      <x:c r="D1964" s="12" t="n">
        <x:v>0</x:v>
      </x:c>
      <x:c r="E1964" s="12" t="n">
        <x:v>0</x:v>
      </x:c>
      <x:c r="F1964" s="12" t="n">
        <x:f>SUM(B1964,D1964:E1964)</x:f>
        <x:v>118595.348633</x:v>
      </x:c>
      <x:c r="G1964" s="12" t="n">
        <x:f>MAX(G1963,F1964)</x:f>
        <x:v>138687.599344</x:v>
      </x:c>
      <x:c r="H1964" s="14" t="n">
        <x:f>F1964/G1964-1</x:f>
        <x:v>-0.14487416903917472</x:v>
      </x:c>
      <x:c r="I1964" s="14" t="n">
        <x:f>F1964/F1963-1</x:f>
        <x:v>0</x:v>
      </x:c>
      <x:c r="J1964" s="12" t="n">
        <x:v>0</x:v>
      </x:c>
      <x:c r="K1964" s="12" t="n">
        <x:v>0</x:v>
      </x:c>
      <x:c r="L1964" s="12" t="n">
        <x:v>0</x:v>
      </x:c>
      <x:c r="M1964" s="2" t="str">
        <x:v>空仓</x:v>
      </x:c>
    </x:row>
    <x:row r="1965" ht="23" customHeight="1">
      <x:c r="A1965" s="11" t="d">
        <x:v>2022-10-13T00:00:00.000Z</x:v>
      </x:c>
      <x:c r="B1965" s="12" t="n">
        <x:v>118595.348633</x:v>
      </x:c>
      <x:c r="C1965" s="13" t="n">
        <x:v>0</x:v>
      </x:c>
      <x:c r="D1965" s="12" t="n">
        <x:v>0</x:v>
      </x:c>
      <x:c r="E1965" s="12" t="n">
        <x:v>0</x:v>
      </x:c>
      <x:c r="F1965" s="12" t="n">
        <x:f>SUM(B1965,D1965:E1965)</x:f>
        <x:v>118595.348633</x:v>
      </x:c>
      <x:c r="G1965" s="12" t="n">
        <x:f>MAX(G1964,F1965)</x:f>
        <x:v>138687.599344</x:v>
      </x:c>
      <x:c r="H1965" s="14" t="n">
        <x:f>F1965/G1965-1</x:f>
        <x:v>-0.14487416903917472</x:v>
      </x:c>
      <x:c r="I1965" s="14" t="n">
        <x:f>F1965/F1964-1</x:f>
        <x:v>0</x:v>
      </x:c>
      <x:c r="J1965" s="12" t="n">
        <x:v>0</x:v>
      </x:c>
      <x:c r="K1965" s="12" t="n">
        <x:v>0</x:v>
      </x:c>
      <x:c r="L1965" s="12" t="n">
        <x:v>0</x:v>
      </x:c>
      <x:c r="M1965" s="2" t="str">
        <x:v>空仓</x:v>
      </x:c>
    </x:row>
    <x:row r="1966" ht="23" customHeight="1">
      <x:c r="A1966" s="11" t="d">
        <x:v>2022-10-14T00:00:00.000Z</x:v>
      </x:c>
      <x:c r="B1966" s="12" t="n">
        <x:v>118595.348633</x:v>
      </x:c>
      <x:c r="C1966" s="13" t="n">
        <x:v>0</x:v>
      </x:c>
      <x:c r="D1966" s="12" t="n">
        <x:v>0</x:v>
      </x:c>
      <x:c r="E1966" s="12" t="n">
        <x:v>0</x:v>
      </x:c>
      <x:c r="F1966" s="12" t="n">
        <x:f>SUM(B1966,D1966:E1966)</x:f>
        <x:v>118595.348633</x:v>
      </x:c>
      <x:c r="G1966" s="12" t="n">
        <x:f>MAX(G1965,F1966)</x:f>
        <x:v>138687.599344</x:v>
      </x:c>
      <x:c r="H1966" s="14" t="n">
        <x:f>F1966/G1966-1</x:f>
        <x:v>-0.14487416903917472</x:v>
      </x:c>
      <x:c r="I1966" s="14" t="n">
        <x:f>F1966/F1965-1</x:f>
        <x:v>0</x:v>
      </x:c>
      <x:c r="J1966" s="12" t="n">
        <x:v>0</x:v>
      </x:c>
      <x:c r="K1966" s="12" t="n">
        <x:v>0</x:v>
      </x:c>
      <x:c r="L1966" s="12" t="n">
        <x:v>0</x:v>
      </x:c>
      <x:c r="M1966" s="2" t="str">
        <x:v>空仓</x:v>
      </x:c>
    </x:row>
    <x:row r="1967" ht="23" customHeight="1">
      <x:c r="A1967" s="11" t="d">
        <x:v>2022-10-17T00:00:00.000Z</x:v>
      </x:c>
      <x:c r="B1967" s="12" t="n">
        <x:v>118595.348633</x:v>
      </x:c>
      <x:c r="C1967" s="13" t="n">
        <x:v>0</x:v>
      </x:c>
      <x:c r="D1967" s="12" t="n">
        <x:v>0</x:v>
      </x:c>
      <x:c r="E1967" s="12" t="n">
        <x:v>0</x:v>
      </x:c>
      <x:c r="F1967" s="12" t="n">
        <x:f>SUM(B1967,D1967:E1967)</x:f>
        <x:v>118595.348633</x:v>
      </x:c>
      <x:c r="G1967" s="12" t="n">
        <x:f>MAX(G1966,F1967)</x:f>
        <x:v>138687.599344</x:v>
      </x:c>
      <x:c r="H1967" s="14" t="n">
        <x:f>F1967/G1967-1</x:f>
        <x:v>-0.14487416903917472</x:v>
      </x:c>
      <x:c r="I1967" s="14" t="n">
        <x:f>F1967/F1966-1</x:f>
        <x:v>0</x:v>
      </x:c>
      <x:c r="J1967" s="12" t="n">
        <x:v>0</x:v>
      </x:c>
      <x:c r="K1967" s="12" t="n">
        <x:v>0</x:v>
      </x:c>
      <x:c r="L1967" s="12" t="n">
        <x:v>0</x:v>
      </x:c>
      <x:c r="M1967" s="2" t="str">
        <x:v>空仓</x:v>
      </x:c>
    </x:row>
    <x:row r="1968" ht="23" customHeight="1">
      <x:c r="A1968" s="11" t="d">
        <x:v>2022-10-18T00:00:00.000Z</x:v>
      </x:c>
      <x:c r="B1968" s="12" t="n">
        <x:v>118595.348633</x:v>
      </x:c>
      <x:c r="C1968" s="13" t="n">
        <x:v>0</x:v>
      </x:c>
      <x:c r="D1968" s="12" t="n">
        <x:v>0</x:v>
      </x:c>
      <x:c r="E1968" s="12" t="n">
        <x:v>0</x:v>
      </x:c>
      <x:c r="F1968" s="12" t="n">
        <x:f>SUM(B1968,D1968:E1968)</x:f>
        <x:v>118595.348633</x:v>
      </x:c>
      <x:c r="G1968" s="12" t="n">
        <x:f>MAX(G1967,F1968)</x:f>
        <x:v>138687.599344</x:v>
      </x:c>
      <x:c r="H1968" s="14" t="n">
        <x:f>F1968/G1968-1</x:f>
        <x:v>-0.14487416903917472</x:v>
      </x:c>
      <x:c r="I1968" s="14" t="n">
        <x:f>F1968/F1967-1</x:f>
        <x:v>0</x:v>
      </x:c>
      <x:c r="J1968" s="12" t="n">
        <x:v>0</x:v>
      </x:c>
      <x:c r="K1968" s="12" t="n">
        <x:v>0</x:v>
      </x:c>
      <x:c r="L1968" s="12" t="n">
        <x:v>0</x:v>
      </x:c>
      <x:c r="M1968" s="2" t="str">
        <x:v>空仓</x:v>
      </x:c>
    </x:row>
    <x:row r="1969" ht="23" customHeight="1">
      <x:c r="A1969" s="11" t="d">
        <x:v>2022-10-19T00:00:00.000Z</x:v>
      </x:c>
      <x:c r="B1969" s="12" t="n">
        <x:v>118595.348633</x:v>
      </x:c>
      <x:c r="C1969" s="13" t="n">
        <x:v>0</x:v>
      </x:c>
      <x:c r="D1969" s="12" t="n">
        <x:v>0</x:v>
      </x:c>
      <x:c r="E1969" s="12" t="n">
        <x:v>0</x:v>
      </x:c>
      <x:c r="F1969" s="12" t="n">
        <x:f>SUM(B1969,D1969:E1969)</x:f>
        <x:v>118595.348633</x:v>
      </x:c>
      <x:c r="G1969" s="12" t="n">
        <x:f>MAX(G1968,F1969)</x:f>
        <x:v>138687.599344</x:v>
      </x:c>
      <x:c r="H1969" s="14" t="n">
        <x:f>F1969/G1969-1</x:f>
        <x:v>-0.14487416903917472</x:v>
      </x:c>
      <x:c r="I1969" s="14" t="n">
        <x:f>F1969/F1968-1</x:f>
        <x:v>0</x:v>
      </x:c>
      <x:c r="J1969" s="12" t="n">
        <x:v>0</x:v>
      </x:c>
      <x:c r="K1969" s="12" t="n">
        <x:v>0</x:v>
      </x:c>
      <x:c r="L1969" s="12" t="n">
        <x:v>0</x:v>
      </x:c>
      <x:c r="M1969" s="2" t="str">
        <x:v>空仓</x:v>
      </x:c>
    </x:row>
    <x:row r="1970" ht="23" customHeight="1">
      <x:c r="A1970" s="11" t="d">
        <x:v>2022-10-20T00:00:00.000Z</x:v>
      </x:c>
      <x:c r="B1970" s="12" t="n">
        <x:v>118595.348633</x:v>
      </x:c>
      <x:c r="C1970" s="13" t="n">
        <x:v>0</x:v>
      </x:c>
      <x:c r="D1970" s="12" t="n">
        <x:v>0</x:v>
      </x:c>
      <x:c r="E1970" s="12" t="n">
        <x:v>0</x:v>
      </x:c>
      <x:c r="F1970" s="12" t="n">
        <x:f>SUM(B1970,D1970:E1970)</x:f>
        <x:v>118595.348633</x:v>
      </x:c>
      <x:c r="G1970" s="12" t="n">
        <x:f>MAX(G1969,F1970)</x:f>
        <x:v>138687.599344</x:v>
      </x:c>
      <x:c r="H1970" s="14" t="n">
        <x:f>F1970/G1970-1</x:f>
        <x:v>-0.14487416903917472</x:v>
      </x:c>
      <x:c r="I1970" s="14" t="n">
        <x:f>F1970/F1969-1</x:f>
        <x:v>0</x:v>
      </x:c>
      <x:c r="J1970" s="12" t="n">
        <x:v>0</x:v>
      </x:c>
      <x:c r="K1970" s="12" t="n">
        <x:v>0</x:v>
      </x:c>
      <x:c r="L1970" s="12" t="n">
        <x:v>0</x:v>
      </x:c>
      <x:c r="M1970" s="2" t="str">
        <x:v>空仓</x:v>
      </x:c>
    </x:row>
    <x:row r="1971" ht="23" customHeight="1">
      <x:c r="A1971" s="11" t="d">
        <x:v>2022-10-21T00:00:00.000Z</x:v>
      </x:c>
      <x:c r="B1971" s="12" t="n">
        <x:v>118595.348633</x:v>
      </x:c>
      <x:c r="C1971" s="13" t="n">
        <x:v>0</x:v>
      </x:c>
      <x:c r="D1971" s="12" t="n">
        <x:v>0</x:v>
      </x:c>
      <x:c r="E1971" s="12" t="n">
        <x:v>0</x:v>
      </x:c>
      <x:c r="F1971" s="12" t="n">
        <x:f>SUM(B1971,D1971:E1971)</x:f>
        <x:v>118595.348633</x:v>
      </x:c>
      <x:c r="G1971" s="12" t="n">
        <x:f>MAX(G1970,F1971)</x:f>
        <x:v>138687.599344</x:v>
      </x:c>
      <x:c r="H1971" s="14" t="n">
        <x:f>F1971/G1971-1</x:f>
        <x:v>-0.14487416903917472</x:v>
      </x:c>
      <x:c r="I1971" s="14" t="n">
        <x:f>F1971/F1970-1</x:f>
        <x:v>0</x:v>
      </x:c>
      <x:c r="J1971" s="12" t="n">
        <x:v>0</x:v>
      </x:c>
      <x:c r="K1971" s="12" t="n">
        <x:v>0</x:v>
      </x:c>
      <x:c r="L1971" s="12" t="n">
        <x:v>0</x:v>
      </x:c>
      <x:c r="M1971" s="2" t="str">
        <x:v>空仓</x:v>
      </x:c>
    </x:row>
    <x:row r="1972" ht="23" customHeight="1">
      <x:c r="A1972" s="11" t="d">
        <x:v>2022-10-24T00:00:00.000Z</x:v>
      </x:c>
      <x:c r="B1972" s="12" t="n">
        <x:v>118595.348633</x:v>
      </x:c>
      <x:c r="C1972" s="13" t="n">
        <x:v>0</x:v>
      </x:c>
      <x:c r="D1972" s="12" t="n">
        <x:v>0</x:v>
      </x:c>
      <x:c r="E1972" s="12" t="n">
        <x:v>0</x:v>
      </x:c>
      <x:c r="F1972" s="12" t="n">
        <x:f>SUM(B1972,D1972:E1972)</x:f>
        <x:v>118595.348633</x:v>
      </x:c>
      <x:c r="G1972" s="12" t="n">
        <x:f>MAX(G1971,F1972)</x:f>
        <x:v>138687.599344</x:v>
      </x:c>
      <x:c r="H1972" s="14" t="n">
        <x:f>F1972/G1972-1</x:f>
        <x:v>-0.14487416903917472</x:v>
      </x:c>
      <x:c r="I1972" s="14" t="n">
        <x:f>F1972/F1971-1</x:f>
        <x:v>0</x:v>
      </x:c>
      <x:c r="J1972" s="12" t="n">
        <x:v>0</x:v>
      </x:c>
      <x:c r="K1972" s="12" t="n">
        <x:v>0</x:v>
      </x:c>
      <x:c r="L1972" s="12" t="n">
        <x:v>0</x:v>
      </x:c>
      <x:c r="M1972" s="2" t="str">
        <x:v>空仓</x:v>
      </x:c>
    </x:row>
    <x:row r="1973" ht="23" customHeight="1">
      <x:c r="A1973" s="11" t="d">
        <x:v>2022-10-25T00:00:00.000Z</x:v>
      </x:c>
      <x:c r="B1973" s="12" t="n">
        <x:v>118595.348633</x:v>
      </x:c>
      <x:c r="C1973" s="13" t="n">
        <x:v>0</x:v>
      </x:c>
      <x:c r="D1973" s="12" t="n">
        <x:v>0</x:v>
      </x:c>
      <x:c r="E1973" s="12" t="n">
        <x:v>0</x:v>
      </x:c>
      <x:c r="F1973" s="12" t="n">
        <x:f>SUM(B1973,D1973:E1973)</x:f>
        <x:v>118595.348633</x:v>
      </x:c>
      <x:c r="G1973" s="12" t="n">
        <x:f>MAX(G1972,F1973)</x:f>
        <x:v>138687.599344</x:v>
      </x:c>
      <x:c r="H1973" s="14" t="n">
        <x:f>F1973/G1973-1</x:f>
        <x:v>-0.14487416903917472</x:v>
      </x:c>
      <x:c r="I1973" s="14" t="n">
        <x:f>F1973/F1972-1</x:f>
        <x:v>0</x:v>
      </x:c>
      <x:c r="J1973" s="12" t="n">
        <x:v>0</x:v>
      </x:c>
      <x:c r="K1973" s="12" t="n">
        <x:v>0</x:v>
      </x:c>
      <x:c r="L1973" s="12" t="n">
        <x:v>0</x:v>
      </x:c>
      <x:c r="M1973" s="2" t="str">
        <x:v>空仓</x:v>
      </x:c>
    </x:row>
    <x:row r="1974" ht="23" customHeight="1">
      <x:c r="A1974" s="11" t="d">
        <x:v>2022-10-26T00:00:00.000Z</x:v>
      </x:c>
      <x:c r="B1974" s="12" t="n">
        <x:v>118595.348633</x:v>
      </x:c>
      <x:c r="C1974" s="13" t="n">
        <x:v>0</x:v>
      </x:c>
      <x:c r="D1974" s="12" t="n">
        <x:v>0</x:v>
      </x:c>
      <x:c r="E1974" s="12" t="n">
        <x:v>0</x:v>
      </x:c>
      <x:c r="F1974" s="12" t="n">
        <x:f>SUM(B1974,D1974:E1974)</x:f>
        <x:v>118595.348633</x:v>
      </x:c>
      <x:c r="G1974" s="12" t="n">
        <x:f>MAX(G1973,F1974)</x:f>
        <x:v>138687.599344</x:v>
      </x:c>
      <x:c r="H1974" s="14" t="n">
        <x:f>F1974/G1974-1</x:f>
        <x:v>-0.14487416903917472</x:v>
      </x:c>
      <x:c r="I1974" s="14" t="n">
        <x:f>F1974/F1973-1</x:f>
        <x:v>0</x:v>
      </x:c>
      <x:c r="J1974" s="12" t="n">
        <x:v>0</x:v>
      </x:c>
      <x:c r="K1974" s="12" t="n">
        <x:v>0</x:v>
      </x:c>
      <x:c r="L1974" s="12" t="n">
        <x:v>0</x:v>
      </x:c>
      <x:c r="M1974" s="2" t="str">
        <x:v>空仓</x:v>
      </x:c>
    </x:row>
    <x:row r="1975" ht="23" customHeight="1">
      <x:c r="A1975" s="11" t="d">
        <x:v>2022-10-27T00:00:00.000Z</x:v>
      </x:c>
      <x:c r="B1975" s="12" t="n">
        <x:v>118595.348633</x:v>
      </x:c>
      <x:c r="C1975" s="13" t="n">
        <x:v>0</x:v>
      </x:c>
      <x:c r="D1975" s="12" t="n">
        <x:v>0</x:v>
      </x:c>
      <x:c r="E1975" s="12" t="n">
        <x:v>0</x:v>
      </x:c>
      <x:c r="F1975" s="12" t="n">
        <x:f>SUM(B1975,D1975:E1975)</x:f>
        <x:v>118595.348633</x:v>
      </x:c>
      <x:c r="G1975" s="12" t="n">
        <x:f>MAX(G1974,F1975)</x:f>
        <x:v>138687.599344</x:v>
      </x:c>
      <x:c r="H1975" s="14" t="n">
        <x:f>F1975/G1975-1</x:f>
        <x:v>-0.14487416903917472</x:v>
      </x:c>
      <x:c r="I1975" s="14" t="n">
        <x:f>F1975/F1974-1</x:f>
        <x:v>0</x:v>
      </x:c>
      <x:c r="J1975" s="12" t="n">
        <x:v>0</x:v>
      </x:c>
      <x:c r="K1975" s="12" t="n">
        <x:v>0</x:v>
      </x:c>
      <x:c r="L1975" s="12" t="n">
        <x:v>0</x:v>
      </x:c>
      <x:c r="M1975" s="2" t="str">
        <x:v>空仓</x:v>
      </x:c>
    </x:row>
    <x:row r="1976" ht="23" customHeight="1">
      <x:c r="A1976" s="11" t="d">
        <x:v>2022-10-28T00:00:00.000Z</x:v>
      </x:c>
      <x:c r="B1976" s="12" t="n">
        <x:v>118595.348633</x:v>
      </x:c>
      <x:c r="C1976" s="13" t="n">
        <x:v>0</x:v>
      </x:c>
      <x:c r="D1976" s="12" t="n">
        <x:v>0</x:v>
      </x:c>
      <x:c r="E1976" s="12" t="n">
        <x:v>0</x:v>
      </x:c>
      <x:c r="F1976" s="12" t="n">
        <x:f>SUM(B1976,D1976:E1976)</x:f>
        <x:v>118595.348633</x:v>
      </x:c>
      <x:c r="G1976" s="12" t="n">
        <x:f>MAX(G1975,F1976)</x:f>
        <x:v>138687.599344</x:v>
      </x:c>
      <x:c r="H1976" s="14" t="n">
        <x:f>F1976/G1976-1</x:f>
        <x:v>-0.14487416903917472</x:v>
      </x:c>
      <x:c r="I1976" s="14" t="n">
        <x:f>F1976/F1975-1</x:f>
        <x:v>0</x:v>
      </x:c>
      <x:c r="J1976" s="12" t="n">
        <x:v>0</x:v>
      </x:c>
      <x:c r="K1976" s="12" t="n">
        <x:v>0</x:v>
      </x:c>
      <x:c r="L1976" s="12" t="n">
        <x:v>0</x:v>
      </x:c>
      <x:c r="M1976" s="2" t="str">
        <x:v>空仓</x:v>
      </x:c>
    </x:row>
    <x:row r="1977" ht="23" customHeight="1">
      <x:c r="A1977" s="11" t="d">
        <x:v>2022-10-31T00:00:00.000Z</x:v>
      </x:c>
      <x:c r="B1977" s="12" t="n">
        <x:v>226.457993</x:v>
      </x:c>
      <x:c r="C1977" s="13" t="n">
        <x:v>306</x:v>
      </x:c>
      <x:c r="D1977" s="12" t="n">
        <x:v>118180.26</x:v>
      </x:c>
      <x:c r="E1977" s="12" t="n">
        <x:v>0</x:v>
      </x:c>
      <x:c r="F1977" s="12" t="n">
        <x:f>SUM(B1977,D1977:E1977)</x:f>
        <x:v>118406.717993</x:v>
      </x:c>
      <x:c r="G1977" s="12" t="n">
        <x:f>MAX(G1976,F1977)</x:f>
        <x:v>138687.599344</x:v>
      </x:c>
      <x:c r="H1977" s="14" t="n">
        <x:f>F1977/G1977-1</x:f>
        <x:v>-0.1462342808364243</x:v>
      </x:c>
      <x:c r="I1977" s="14" t="n">
        <x:f>F1977/F1976-1</x:f>
        <x:v>-0.0015905399509700269</x:v>
      </x:c>
      <x:c r="J1977" s="12" t="n">
        <x:v>0</x:v>
      </x:c>
      <x:c r="K1977" s="12" t="n">
        <x:v>0</x:v>
      </x:c>
      <x:c r="L1977" s="12" t="n">
        <x:v>306</x:v>
      </x:c>
      <x:c r="M1977" s="2" t="str">
        <x:v>买入</x:v>
      </x:c>
    </x:row>
    <x:row r="1978" ht="23" customHeight="1">
      <x:c r="A1978" s="11" t="d">
        <x:v>2022-11-01T00:00:00.000Z</x:v>
      </x:c>
      <x:c r="B1978" s="12" t="n">
        <x:v>226.457993</x:v>
      </x:c>
      <x:c r="C1978" s="13" t="n">
        <x:v>306</x:v>
      </x:c>
      <x:c r="D1978" s="12" t="n">
        <x:v>117663.12</x:v>
      </x:c>
      <x:c r="E1978" s="12" t="n">
        <x:v>0</x:v>
      </x:c>
      <x:c r="F1978" s="12" t="n">
        <x:f>SUM(B1978,D1978:E1978)</x:f>
        <x:v>117889.577993</x:v>
      </x:c>
      <x:c r="G1978" s="12" t="n">
        <x:f>MAX(G1977,F1978)</x:f>
        <x:v>138687.599344</x:v>
      </x:c>
      <x:c r="H1978" s="14" t="n">
        <x:f>F1978/G1978-1</x:f>
        <x:v>-0.14996309294685162</x:v>
      </x:c>
      <x:c r="I1978" s="14" t="n">
        <x:f>F1978/F1977-1</x:f>
        <x:v>-0.004367488676027431</x:v>
      </x:c>
      <x:c r="J1978" s="12" t="n">
        <x:v>0</x:v>
      </x:c>
      <x:c r="K1978" s="12" t="n">
        <x:v>0</x:v>
      </x:c>
      <x:c r="L1978" s="12" t="n">
        <x:v>0</x:v>
      </x:c>
      <x:c r="M1978" s="2" t="str">
        <x:v>持有</x:v>
      </x:c>
    </x:row>
    <x:row r="1979" ht="23" customHeight="1">
      <x:c r="A1979" s="11" t="d">
        <x:v>2022-11-02T00:00:00.000Z</x:v>
      </x:c>
      <x:c r="B1979" s="12" t="n">
        <x:v>226.457993</x:v>
      </x:c>
      <x:c r="C1979" s="13" t="n">
        <x:v>306</x:v>
      </x:c>
      <x:c r="D1979" s="12" t="n">
        <x:v>114710.22</x:v>
      </x:c>
      <x:c r="E1979" s="12" t="n">
        <x:v>0</x:v>
      </x:c>
      <x:c r="F1979" s="12" t="n">
        <x:f>SUM(B1979,D1979:E1979)</x:f>
        <x:v>114936.677993</x:v>
      </x:c>
      <x:c r="G1979" s="12" t="n">
        <x:f>MAX(G1978,F1979)</x:f>
        <x:v>138687.599344</x:v>
      </x:c>
      <x:c r="H1979" s="14" t="n">
        <x:f>F1979/G1979-1</x:f>
        <x:v>-0.1712548307371614</x:v>
      </x:c>
      <x:c r="I1979" s="14" t="n">
        <x:f>F1979/F1978-1</x:f>
        <x:v>-0.025048015696309767</x:v>
      </x:c>
      <x:c r="J1979" s="12" t="n">
        <x:v>0</x:v>
      </x:c>
      <x:c r="K1979" s="12" t="n">
        <x:v>0</x:v>
      </x:c>
      <x:c r="L1979" s="12" t="n">
        <x:v>0</x:v>
      </x:c>
      <x:c r="M1979" s="2" t="str">
        <x:v>持有</x:v>
      </x:c>
    </x:row>
    <x:row r="1980" ht="23" customHeight="1">
      <x:c r="A1980" s="11" t="d">
        <x:v>2022-11-03T00:00:00.000Z</x:v>
      </x:c>
      <x:c r="B1980" s="12" t="n">
        <x:v>113782.608173</x:v>
      </x:c>
      <x:c r="C1980" s="13" t="n">
        <x:v>0</x:v>
      </x:c>
      <x:c r="D1980" s="12" t="n">
        <x:v>0</x:v>
      </x:c>
      <x:c r="E1980" s="12" t="n">
        <x:v>0</x:v>
      </x:c>
      <x:c r="F1980" s="12" t="n">
        <x:f>SUM(B1980,D1980:E1980)</x:f>
        <x:v>113782.608173</x:v>
      </x:c>
      <x:c r="G1980" s="12" t="n">
        <x:f>MAX(G1979,F1980)</x:f>
        <x:v>138687.599344</x:v>
      </x:c>
      <x:c r="H1980" s="14" t="n">
        <x:f>F1980/G1980-1</x:f>
        <x:v>-0.17957619346503917</x:v>
      </x:c>
      <x:c r="I1980" s="14" t="n">
        <x:f>F1980/F1979-1</x:f>
        <x:v>-0.010040918531422083</x:v>
      </x:c>
      <x:c r="J1980" s="12" t="n">
        <x:v>0</x:v>
      </x:c>
      <x:c r="K1980" s="12" t="n">
        <x:v>0</x:v>
      </x:c>
      <x:c r="L1980" s="12" t="n">
        <x:v>-306</x:v>
      </x:c>
      <x:c r="M1980" s="2" t="str">
        <x:v>卖出</x:v>
      </x:c>
    </x:row>
    <x:row r="1981" ht="23" customHeight="1">
      <x:c r="A1981" s="11" t="d">
        <x:v>2022-11-04T00:00:00.000Z</x:v>
      </x:c>
      <x:c r="B1981" s="12" t="n">
        <x:v>113782.608173</x:v>
      </x:c>
      <x:c r="C1981" s="13" t="n">
        <x:v>0</x:v>
      </x:c>
      <x:c r="D1981" s="12" t="n">
        <x:v>0</x:v>
      </x:c>
      <x:c r="E1981" s="12" t="n">
        <x:v>0</x:v>
      </x:c>
      <x:c r="F1981" s="12" t="n">
        <x:f>SUM(B1981,D1981:E1981)</x:f>
        <x:v>113782.608173</x:v>
      </x:c>
      <x:c r="G1981" s="12" t="n">
        <x:f>MAX(G1980,F1981)</x:f>
        <x:v>138687.599344</x:v>
      </x:c>
      <x:c r="H1981" s="14" t="n">
        <x:f>F1981/G1981-1</x:f>
        <x:v>-0.17957619346503917</x:v>
      </x:c>
      <x:c r="I1981" s="14" t="n">
        <x:f>F1981/F1980-1</x:f>
        <x:v>0</x:v>
      </x:c>
      <x:c r="J1981" s="12" t="n">
        <x:v>0</x:v>
      </x:c>
      <x:c r="K1981" s="12" t="n">
        <x:v>0</x:v>
      </x:c>
      <x:c r="L1981" s="12" t="n">
        <x:v>0</x:v>
      </x:c>
      <x:c r="M1981" s="2" t="str">
        <x:v>空仓</x:v>
      </x:c>
    </x:row>
    <x:row r="1982" ht="23" customHeight="1">
      <x:c r="A1982" s="11" t="d">
        <x:v>2022-11-07T00:00:00.000Z</x:v>
      </x:c>
      <x:c r="B1982" s="12" t="n">
        <x:v>113782.608173</x:v>
      </x:c>
      <x:c r="C1982" s="13" t="n">
        <x:v>0</x:v>
      </x:c>
      <x:c r="D1982" s="12" t="n">
        <x:v>0</x:v>
      </x:c>
      <x:c r="E1982" s="12" t="n">
        <x:v>0</x:v>
      </x:c>
      <x:c r="F1982" s="12" t="n">
        <x:f>SUM(B1982,D1982:E1982)</x:f>
        <x:v>113782.608173</x:v>
      </x:c>
      <x:c r="G1982" s="12" t="n">
        <x:f>MAX(G1981,F1982)</x:f>
        <x:v>138687.599344</x:v>
      </x:c>
      <x:c r="H1982" s="14" t="n">
        <x:f>F1982/G1982-1</x:f>
        <x:v>-0.17957619346503917</x:v>
      </x:c>
      <x:c r="I1982" s="14" t="n">
        <x:f>F1982/F1981-1</x:f>
        <x:v>0</x:v>
      </x:c>
      <x:c r="J1982" s="12" t="n">
        <x:v>0</x:v>
      </x:c>
      <x:c r="K1982" s="12" t="n">
        <x:v>0</x:v>
      </x:c>
      <x:c r="L1982" s="12" t="n">
        <x:v>0</x:v>
      </x:c>
      <x:c r="M1982" s="2" t="str">
        <x:v>空仓</x:v>
      </x:c>
    </x:row>
    <x:row r="1983" ht="23" customHeight="1">
      <x:c r="A1983" s="11" t="d">
        <x:v>2022-11-08T00:00:00.000Z</x:v>
      </x:c>
      <x:c r="B1983" s="12" t="n">
        <x:v>98.257393</x:v>
      </x:c>
      <x:c r="C1983" s="13" t="n">
        <x:v>298</x:v>
      </x:c>
      <x:c r="D1983" s="12" t="n">
        <x:v>113836</x:v>
      </x:c>
      <x:c r="E1983" s="12" t="n">
        <x:v>0</x:v>
      </x:c>
      <x:c r="F1983" s="12" t="n">
        <x:f>SUM(B1983,D1983:E1983)</x:f>
        <x:v>113934.257393</x:v>
      </x:c>
      <x:c r="G1983" s="12" t="n">
        <x:f>MAX(G1982,F1983)</x:f>
        <x:v>138687.599344</x:v>
      </x:c>
      <x:c r="H1983" s="14" t="n">
        <x:f>F1983/G1983-1</x:f>
        <x:v>-0.17848273434744455</x:v>
      </x:c>
      <x:c r="I1983" s="14" t="n">
        <x:f>F1983/F1982-1</x:f>
        <x:v>0.0013327978891943815</x:v>
      </x:c>
      <x:c r="J1983" s="12" t="n">
        <x:v>0</x:v>
      </x:c>
      <x:c r="K1983" s="12" t="n">
        <x:v>0</x:v>
      </x:c>
      <x:c r="L1983" s="12" t="n">
        <x:v>298</x:v>
      </x:c>
      <x:c r="M1983" s="2" t="str">
        <x:v>买入</x:v>
      </x:c>
    </x:row>
    <x:row r="1984" ht="23" customHeight="1">
      <x:c r="A1984" s="11" t="d">
        <x:v>2022-11-09T00:00:00.000Z</x:v>
      </x:c>
      <x:c r="B1984" s="12" t="n">
        <x:v>98.257393</x:v>
      </x:c>
      <x:c r="C1984" s="13" t="n">
        <x:v>298</x:v>
      </x:c>
      <x:c r="D1984" s="12" t="n">
        <x:v>111490.74</x:v>
      </x:c>
      <x:c r="E1984" s="12" t="n">
        <x:v>0</x:v>
      </x:c>
      <x:c r="F1984" s="12" t="n">
        <x:f>SUM(B1984,D1984:E1984)</x:f>
        <x:v>111588.99739300001</x:v>
      </x:c>
      <x:c r="G1984" s="12" t="n">
        <x:f>MAX(G1983,F1984)</x:f>
        <x:v>138687.599344</x:v>
      </x:c>
      <x:c r="H1984" s="14" t="n">
        <x:f>F1984/G1984-1</x:f>
        <x:v>-0.19539311430277728</x:v>
      </x:c>
      <x:c r="I1984" s="14" t="n">
        <x:f>F1984/F1983-1</x:f>
        <x:v>-0.02058432690626455</x:v>
      </x:c>
      <x:c r="J1984" s="12" t="n">
        <x:v>0</x:v>
      </x:c>
      <x:c r="K1984" s="12" t="n">
        <x:v>0</x:v>
      </x:c>
      <x:c r="L1984" s="12" t="n">
        <x:v>0</x:v>
      </x:c>
      <x:c r="M1984" s="2" t="str">
        <x:v>持有</x:v>
      </x:c>
    </x:row>
    <x:row r="1985" ht="23" customHeight="1">
      <x:c r="A1985" s="11" t="d">
        <x:v>2022-11-10T00:00:00.000Z</x:v>
      </x:c>
      <x:c r="B1985" s="12" t="n">
        <x:v>115621.518493</x:v>
      </x:c>
      <x:c r="C1985" s="13" t="n">
        <x:v>0</x:v>
      </x:c>
      <x:c r="D1985" s="12" t="n">
        <x:v>0</x:v>
      </x:c>
      <x:c r="E1985" s="12" t="n">
        <x:v>0</x:v>
      </x:c>
      <x:c r="F1985" s="12" t="n">
        <x:f>SUM(B1985,D1985:E1985)</x:f>
        <x:v>115621.518493</x:v>
      </x:c>
      <x:c r="G1985" s="12" t="n">
        <x:f>MAX(G1984,F1985)</x:f>
        <x:v>138687.599344</x:v>
      </x:c>
      <x:c r="H1985" s="14" t="n">
        <x:f>F1985/G1985-1</x:f>
        <x:v>-0.16631682255734348</x:v>
      </x:c>
      <x:c r="I1985" s="14" t="n">
        <x:f>F1985/F1984-1</x:f>
        <x:v>0.0361372643738167</x:v>
      </x:c>
      <x:c r="J1985" s="12" t="n">
        <x:v>0</x:v>
      </x:c>
      <x:c r="K1985" s="12" t="n">
        <x:v>0</x:v>
      </x:c>
      <x:c r="L1985" s="12" t="n">
        <x:v>-298</x:v>
      </x:c>
      <x:c r="M1985" s="2" t="str">
        <x:v>卖出</x:v>
      </x:c>
    </x:row>
    <x:row r="1986" ht="23" customHeight="1">
      <x:c r="A1986" s="11" t="d">
        <x:v>2022-11-11T00:00:00.000Z</x:v>
      </x:c>
      <x:c r="B1986" s="12" t="n">
        <x:v>389.711803</x:v>
      </x:c>
      <x:c r="C1986" s="13" t="n">
        <x:v>291</x:v>
      </x:c>
      <x:c r="D1986" s="12" t="n">
        <x:v>115966.41</x:v>
      </x:c>
      <x:c r="E1986" s="12" t="n">
        <x:v>0</x:v>
      </x:c>
      <x:c r="F1986" s="12" t="n">
        <x:f>SUM(B1986,D1986:E1986)</x:f>
        <x:v>116356.121803</x:v>
      </x:c>
      <x:c r="G1986" s="12" t="n">
        <x:f>MAX(G1985,F1986)</x:f>
        <x:v>138687.599344</x:v>
      </x:c>
      <x:c r="H1986" s="14" t="n">
        <x:f>F1986/G1986-1</x:f>
        <x:v>-0.16102000212440848</x:v>
      </x:c>
      <x:c r="I1986" s="14" t="n">
        <x:f>F1986/F1985-1</x:f>
        <x:v>0.006353517230829997</x:v>
      </x:c>
      <x:c r="J1986" s="12" t="n">
        <x:v>0</x:v>
      </x:c>
      <x:c r="K1986" s="12" t="n">
        <x:v>0</x:v>
      </x:c>
      <x:c r="L1986" s="12" t="n">
        <x:v>291</x:v>
      </x:c>
      <x:c r="M1986" s="2" t="str">
        <x:v>买入</x:v>
      </x:c>
    </x:row>
    <x:row r="1987" ht="23" customHeight="1">
      <x:c r="A1987" s="11" t="d">
        <x:v>2022-11-14T00:00:00.000Z</x:v>
      </x:c>
      <x:c r="B1987" s="12" t="n">
        <x:v>389.711803</x:v>
      </x:c>
      <x:c r="C1987" s="13" t="n">
        <x:v>291</x:v>
      </x:c>
      <x:c r="D1987" s="12" t="n">
        <x:v>114979.92</x:v>
      </x:c>
      <x:c r="E1987" s="12" t="n">
        <x:v>0</x:v>
      </x:c>
      <x:c r="F1987" s="12" t="n">
        <x:f>SUM(B1987,D1987:E1987)</x:f>
        <x:v>115369.631803</x:v>
      </x:c>
      <x:c r="G1987" s="12" t="n">
        <x:f>MAX(G1986,F1987)</x:f>
        <x:v>138687.599344</x:v>
      </x:c>
      <x:c r="H1987" s="14" t="n">
        <x:f>F1987/G1987-1</x:f>
        <x:v>-0.16813303894000087</x:v>
      </x:c>
      <x:c r="I1987" s="14" t="n">
        <x:f>F1987/F1986-1</x:f>
        <x:v>-0.00847819594460364</x:v>
      </x:c>
      <x:c r="J1987" s="12" t="n">
        <x:v>0</x:v>
      </x:c>
      <x:c r="K1987" s="12" t="n">
        <x:v>0</x:v>
      </x:c>
      <x:c r="L1987" s="12" t="n">
        <x:v>0</x:v>
      </x:c>
      <x:c r="M1987" s="2" t="str">
        <x:v>持有</x:v>
      </x:c>
    </x:row>
    <x:row r="1988" ht="23" customHeight="1">
      <x:c r="A1988" s="11" t="d">
        <x:v>2022-11-15T00:00:00.000Z</x:v>
      </x:c>
      <x:c r="B1988" s="12" t="n">
        <x:v>389.711803</x:v>
      </x:c>
      <x:c r="C1988" s="13" t="n">
        <x:v>291</x:v>
      </x:c>
      <x:c r="D1988" s="12" t="n">
        <x:v>115960.59</x:v>
      </x:c>
      <x:c r="E1988" s="12" t="n">
        <x:v>0</x:v>
      </x:c>
      <x:c r="F1988" s="12" t="n">
        <x:f>SUM(B1988,D1988:E1988)</x:f>
        <x:v>116350.301803</x:v>
      </x:c>
      <x:c r="G1988" s="12" t="n">
        <x:f>MAX(G1987,F1988)</x:f>
        <x:v>138687.599344</x:v>
      </x:c>
      <x:c r="H1988" s="14" t="n">
        <x:f>F1988/G1988-1</x:f>
        <x:v>-0.1610619669433796</x:v>
      </x:c>
      <x:c r="I1988" s="14" t="n">
        <x:f>F1988/F1987-1</x:f>
        <x:v>0.008500243822174403</x:v>
      </x:c>
      <x:c r="J1988" s="12" t="n">
        <x:v>0</x:v>
      </x:c>
      <x:c r="K1988" s="12" t="n">
        <x:v>0</x:v>
      </x:c>
      <x:c r="L1988" s="12" t="n">
        <x:v>0</x:v>
      </x:c>
      <x:c r="M1988" s="2" t="str">
        <x:v>持有</x:v>
      </x:c>
    </x:row>
    <x:row r="1989" ht="23" customHeight="1">
      <x:c r="A1989" s="11" t="d">
        <x:v>2022-11-16T00:00:00.000Z</x:v>
      </x:c>
      <x:c r="B1989" s="12" t="n">
        <x:v>389.711803</x:v>
      </x:c>
      <x:c r="C1989" s="13" t="n">
        <x:v>291</x:v>
      </x:c>
      <x:c r="D1989" s="12" t="n">
        <x:v>115075.95</x:v>
      </x:c>
      <x:c r="E1989" s="12" t="n">
        <x:v>0</x:v>
      </x:c>
      <x:c r="F1989" s="12" t="n">
        <x:f>SUM(B1989,D1989:E1989)</x:f>
        <x:v>115465.661803</x:v>
      </x:c>
      <x:c r="G1989" s="12" t="n">
        <x:f>MAX(G1988,F1989)</x:f>
        <x:v>138687.599344</x:v>
      </x:c>
      <x:c r="H1989" s="14" t="n">
        <x:f>F1989/G1989-1</x:f>
        <x:v>-0.16744061942697863</x:v>
      </x:c>
      <x:c r="I1989" s="14" t="n">
        <x:f>F1989/F1988-1</x:f>
        <x:v>-0.007603246285496024</x:v>
      </x:c>
      <x:c r="J1989" s="12" t="n">
        <x:v>0</x:v>
      </x:c>
      <x:c r="K1989" s="12" t="n">
        <x:v>0</x:v>
      </x:c>
      <x:c r="L1989" s="12" t="n">
        <x:v>0</x:v>
      </x:c>
      <x:c r="M1989" s="2" t="str">
        <x:v>持有</x:v>
      </x:c>
    </x:row>
    <x:row r="1990" ht="23" customHeight="1">
      <x:c r="A1990" s="11" t="d">
        <x:v>2022-11-17T00:00:00.000Z</x:v>
      </x:c>
      <x:c r="B1990" s="12" t="n">
        <x:v>389.711803</x:v>
      </x:c>
      <x:c r="C1990" s="13" t="n">
        <x:v>291</x:v>
      </x:c>
      <x:c r="D1990" s="12" t="n">
        <x:v>114723.84</x:v>
      </x:c>
      <x:c r="E1990" s="12" t="n">
        <x:v>0</x:v>
      </x:c>
      <x:c r="F1990" s="12" t="n">
        <x:f>SUM(B1990,D1990:E1990)</x:f>
        <x:v>115113.551803</x:v>
      </x:c>
      <x:c r="G1990" s="12" t="n">
        <x:f>MAX(G1989,F1990)</x:f>
        <x:v>138687.599344</x:v>
      </x:c>
      <x:c r="H1990" s="14" t="n">
        <x:f>F1990/G1990-1</x:f>
        <x:v>-0.16997949097472698</x:v>
      </x:c>
      <x:c r="I1990" s="14" t="n">
        <x:f>F1990/F1989-1</x:f>
        <x:v>-0.003049478039633513</x:v>
      </x:c>
      <x:c r="J1990" s="12" t="n">
        <x:v>0</x:v>
      </x:c>
      <x:c r="K1990" s="12" t="n">
        <x:v>0</x:v>
      </x:c>
      <x:c r="L1990" s="12" t="n">
        <x:v>0</x:v>
      </x:c>
      <x:c r="M1990" s="2" t="str">
        <x:v>持有</x:v>
      </x:c>
    </x:row>
    <x:row r="1991" ht="23" customHeight="1">
      <x:c r="A1991" s="11" t="d">
        <x:v>2022-11-18T00:00:00.000Z</x:v>
      </x:c>
      <x:c r="B1991" s="12" t="n">
        <x:v>389.711803</x:v>
      </x:c>
      <x:c r="C1991" s="13" t="n">
        <x:v>291</x:v>
      </x:c>
      <x:c r="D1991" s="12" t="n">
        <x:v>115244.73</x:v>
      </x:c>
      <x:c r="E1991" s="12" t="n">
        <x:v>0</x:v>
      </x:c>
      <x:c r="F1991" s="12" t="n">
        <x:f>SUM(B1991,D1991:E1991)</x:f>
        <x:v>115634.441803</x:v>
      </x:c>
      <x:c r="G1991" s="12" t="n">
        <x:f>MAX(G1990,F1991)</x:f>
        <x:v>138687.599344</x:v>
      </x:c>
      <x:c r="H1991" s="14" t="n">
        <x:f>F1991/G1991-1</x:f>
        <x:v>-0.1662236396768183</x:v>
      </x:c>
      <x:c r="I1991" s="14" t="n">
        <x:f>F1991/F1990-1</x:f>
        <x:v>0.00452501023416807</x:v>
      </x:c>
      <x:c r="J1991" s="12" t="n">
        <x:v>0</x:v>
      </x:c>
      <x:c r="K1991" s="12" t="n">
        <x:v>0</x:v>
      </x:c>
      <x:c r="L1991" s="12" t="n">
        <x:v>0</x:v>
      </x:c>
      <x:c r="M1991" s="2" t="str">
        <x:v>持有</x:v>
      </x:c>
    </x:row>
    <x:row r="1992" ht="23" customHeight="1">
      <x:c r="A1992" s="11" t="d">
        <x:v>2022-11-21T00:00:00.000Z</x:v>
      </x:c>
      <x:c r="B1992" s="12" t="n">
        <x:v>389.711803</x:v>
      </x:c>
      <x:c r="C1992" s="13" t="n">
        <x:v>291</x:v>
      </x:c>
      <x:c r="D1992" s="12" t="n">
        <x:v>114825.68999999999</x:v>
      </x:c>
      <x:c r="E1992" s="12" t="n">
        <x:v>0</x:v>
      </x:c>
      <x:c r="F1992" s="12" t="n">
        <x:f>SUM(B1992,D1992:E1992)</x:f>
        <x:v>115215.40180299999</x:v>
      </x:c>
      <x:c r="G1992" s="12" t="n">
        <x:f>MAX(G1991,F1992)</x:f>
        <x:v>138687.599344</x:v>
      </x:c>
      <x:c r="H1992" s="14" t="n">
        <x:f>F1992/G1992-1</x:f>
        <x:v>-0.16924510664273373</x:v>
      </x:c>
      <x:c r="I1992" s="14" t="n">
        <x:f>F1992/F1991-1</x:f>
        <x:v>-0.0036238338116761915</x:v>
      </x:c>
      <x:c r="J1992" s="12" t="n">
        <x:v>0</x:v>
      </x:c>
      <x:c r="K1992" s="12" t="n">
        <x:v>0</x:v>
      </x:c>
      <x:c r="L1992" s="12" t="n">
        <x:v>0</x:v>
      </x:c>
      <x:c r="M1992" s="2" t="str">
        <x:v>持有</x:v>
      </x:c>
    </x:row>
    <x:row r="1993" ht="23" customHeight="1">
      <x:c r="A1993" s="11" t="d">
        <x:v>2022-11-22T00:00:00.000Z</x:v>
      </x:c>
      <x:c r="B1993" s="12" t="n">
        <x:v>389.711803</x:v>
      </x:c>
      <x:c r="C1993" s="13" t="n">
        <x:v>291</x:v>
      </x:c>
      <x:c r="D1993" s="12" t="n">
        <x:v>116370.9</x:v>
      </x:c>
      <x:c r="E1993" s="12" t="n">
        <x:v>0</x:v>
      </x:c>
      <x:c r="F1993" s="12" t="n">
        <x:f>SUM(B1993,D1993:E1993)</x:f>
        <x:v>116760.61180299999</x:v>
      </x:c>
      <x:c r="G1993" s="12" t="n">
        <x:f>MAX(G1992,F1993)</x:f>
        <x:v>138687.599344</x:v>
      </x:c>
      <x:c r="H1993" s="14" t="n">
        <x:f>F1993/G1993-1</x:f>
        <x:v>-0.15810344720592073</x:v>
      </x:c>
      <x:c r="I1993" s="14" t="n">
        <x:f>F1993/F1992-1</x:f>
        <x:v>0.013411488184905007</x:v>
      </x:c>
      <x:c r="J1993" s="12" t="n">
        <x:v>0</x:v>
      </x:c>
      <x:c r="K1993" s="12" t="n">
        <x:v>0</x:v>
      </x:c>
      <x:c r="L1993" s="12" t="n">
        <x:v>0</x:v>
      </x:c>
      <x:c r="M1993" s="2" t="str">
        <x:v>持有</x:v>
      </x:c>
    </x:row>
    <x:row r="1994" ht="23" customHeight="1">
      <x:c r="A1994" s="11" t="d">
        <x:v>2022-11-23T00:00:00.000Z</x:v>
      </x:c>
      <x:c r="B1994" s="12" t="n">
        <x:v>389.711803</x:v>
      </x:c>
      <x:c r="C1994" s="13" t="n">
        <x:v>291</x:v>
      </x:c>
      <x:c r="D1994" s="12" t="n">
        <x:v>117104.22</x:v>
      </x:c>
      <x:c r="E1994" s="12" t="n">
        <x:v>0</x:v>
      </x:c>
      <x:c r="F1994" s="12" t="n">
        <x:f>SUM(B1994,D1994:E1994)</x:f>
        <x:v>117493.931803</x:v>
      </x:c>
      <x:c r="G1994" s="12" t="n">
        <x:f>MAX(G1993,F1994)</x:f>
        <x:v>138687.599344</x:v>
      </x:c>
      <x:c r="H1994" s="14" t="n">
        <x:f>F1994/G1994-1</x:f>
        <x:v>-0.1528158800155689</x:v>
      </x:c>
      <x:c r="I1994" s="14" t="n">
        <x:f>F1994/F1993-1</x:f>
        <x:v>0.006280542630568542</x:v>
      </x:c>
      <x:c r="J1994" s="12" t="n">
        <x:v>0</x:v>
      </x:c>
      <x:c r="K1994" s="12" t="n">
        <x:v>0</x:v>
      </x:c>
      <x:c r="L1994" s="12" t="n">
        <x:v>0</x:v>
      </x:c>
      <x:c r="M1994" s="2" t="str">
        <x:v>持有</x:v>
      </x:c>
    </x:row>
    <x:row r="1995" ht="23" customHeight="1">
      <x:c r="A1995" s="11" t="d">
        <x:v>2022-11-25T00:00:00.000Z</x:v>
      </x:c>
      <x:c r="B1995" s="12" t="n">
        <x:v>389.711803</x:v>
      </x:c>
      <x:c r="C1995" s="13" t="n">
        <x:v>291</x:v>
      </x:c>
      <x:c r="D1995" s="12" t="n">
        <x:v>117078.03</x:v>
      </x:c>
      <x:c r="E1995" s="12" t="n">
        <x:v>0</x:v>
      </x:c>
      <x:c r="F1995" s="12" t="n">
        <x:f>SUM(B1995,D1995:E1995)</x:f>
        <x:v>117467.741803</x:v>
      </x:c>
      <x:c r="G1995" s="12" t="n">
        <x:f>MAX(G1994,F1995)</x:f>
        <x:v>138687.599344</x:v>
      </x:c>
      <x:c r="H1995" s="14" t="n">
        <x:f>F1995/G1995-1</x:f>
        <x:v>-0.1530047217009386</x:v>
      </x:c>
      <x:c r="I1995" s="14" t="n">
        <x:f>F1995/F1994-1</x:f>
        <x:v>-0.00022290512878497815</x:v>
      </x:c>
      <x:c r="J1995" s="12" t="n">
        <x:v>0</x:v>
      </x:c>
      <x:c r="K1995" s="12" t="n">
        <x:v>0</x:v>
      </x:c>
      <x:c r="L1995" s="12" t="n">
        <x:v>0</x:v>
      </x:c>
      <x:c r="M1995" s="2" t="str">
        <x:v>持有</x:v>
      </x:c>
    </x:row>
    <x:row r="1996" ht="23" customHeight="1">
      <x:c r="A1996" s="11" t="d">
        <x:v>2022-11-28T00:00:00.000Z</x:v>
      </x:c>
      <x:c r="B1996" s="12" t="n">
        <x:v>389.711803</x:v>
      </x:c>
      <x:c r="C1996" s="13" t="n">
        <x:v>291</x:v>
      </x:c>
      <x:c r="D1996" s="12" t="n">
        <x:v>115209.81000000001</x:v>
      </x:c>
      <x:c r="E1996" s="12" t="n">
        <x:v>0</x:v>
      </x:c>
      <x:c r="F1996" s="12" t="n">
        <x:f>SUM(B1996,D1996:E1996)</x:f>
        <x:v>115599.52180300001</x:v>
      </x:c>
      <x:c r="G1996" s="12" t="n">
        <x:f>MAX(G1995,F1996)</x:f>
        <x:v>138687.599344</x:v>
      </x:c>
      <x:c r="H1996" s="14" t="n">
        <x:f>F1996/G1996-1</x:f>
        <x:v>-0.16647542859064446</x:v>
      </x:c>
      <x:c r="I1996" s="14" t="n">
        <x:f>F1996/F1995-1</x:f>
        <x:v>-0.01590411096122968</x:v>
      </x:c>
      <x:c r="J1996" s="12" t="n">
        <x:v>0</x:v>
      </x:c>
      <x:c r="K1996" s="12" t="n">
        <x:v>0</x:v>
      </x:c>
      <x:c r="L1996" s="12" t="n">
        <x:v>0</x:v>
      </x:c>
      <x:c r="M1996" s="2" t="str">
        <x:v>持有</x:v>
      </x:c>
    </x:row>
    <x:row r="1997" ht="23" customHeight="1">
      <x:c r="A1997" s="11" t="d">
        <x:v>2022-11-29T00:00:00.000Z</x:v>
      </x:c>
      <x:c r="B1997" s="12" t="n">
        <x:v>389.711803</x:v>
      </x:c>
      <x:c r="C1997" s="13" t="n">
        <x:v>291</x:v>
      </x:c>
      <x:c r="D1997" s="12" t="n">
        <x:v>115011.93000000001</x:v>
      </x:c>
      <x:c r="E1997" s="12" t="n">
        <x:v>0</x:v>
      </x:c>
      <x:c r="F1997" s="12" t="n">
        <x:f>SUM(B1997,D1997:E1997)</x:f>
        <x:v>115401.641803</x:v>
      </x:c>
      <x:c r="G1997" s="12" t="n">
        <x:f>MAX(G1996,F1997)</x:f>
        <x:v>138687.599344</x:v>
      </x:c>
      <x:c r="H1997" s="14" t="n">
        <x:f>F1997/G1997-1</x:f>
        <x:v>-0.16790223243566005</x:v>
      </x:c>
      <x:c r="I1997" s="14" t="n">
        <x:f>F1997/F1996-1</x:f>
        <x:v>-0.001711771786886973</x:v>
      </x:c>
      <x:c r="J1997" s="12" t="n">
        <x:v>0</x:v>
      </x:c>
      <x:c r="K1997" s="12" t="n">
        <x:v>0</x:v>
      </x:c>
      <x:c r="L1997" s="12" t="n">
        <x:v>0</x:v>
      </x:c>
      <x:c r="M1997" s="2" t="str">
        <x:v>持有</x:v>
      </x:c>
    </x:row>
    <x:row r="1998" ht="23" customHeight="1">
      <x:c r="A1998" s="11" t="d">
        <x:v>2022-11-30T00:00:00.000Z</x:v>
      </x:c>
      <x:c r="B1998" s="12" t="n">
        <x:v>389.711803</x:v>
      </x:c>
      <x:c r="C1998" s="13" t="n">
        <x:v>291</x:v>
      </x:c>
      <x:c r="D1998" s="12" t="n">
        <x:v>118634.88</x:v>
      </x:c>
      <x:c r="E1998" s="12" t="n">
        <x:v>0</x:v>
      </x:c>
      <x:c r="F1998" s="12" t="n">
        <x:f>SUM(B1998,D1998:E1998)</x:f>
        <x:v>119024.591803</x:v>
      </x:c>
      <x:c r="G1998" s="12" t="n">
        <x:f>MAX(G1997,F1998)</x:f>
        <x:v>138687.599344</x:v>
      </x:c>
      <x:c r="H1998" s="14" t="n">
        <x:f>F1998/G1998-1</x:f>
        <x:v>-0.14177913262618358</x:v>
      </x:c>
      <x:c r="I1998" s="14" t="n">
        <x:f>F1998/F1997-1</x:f>
        <x:v>0.03139426738992723</x:v>
      </x:c>
      <x:c r="J1998" s="12" t="n">
        <x:v>0</x:v>
      </x:c>
      <x:c r="K1998" s="12" t="n">
        <x:v>0</x:v>
      </x:c>
      <x:c r="L1998" s="12" t="n">
        <x:v>0</x:v>
      </x:c>
      <x:c r="M1998" s="2" t="str">
        <x:v>持有</x:v>
      </x:c>
    </x:row>
    <x:row r="1999" ht="23" customHeight="1">
      <x:c r="A1999" s="11" t="d">
        <x:v>2022-12-01T00:00:00.000Z</x:v>
      </x:c>
      <x:c r="B1999" s="12" t="n">
        <x:v>389.711803</x:v>
      </x:c>
      <x:c r="C1999" s="13" t="n">
        <x:v>291</x:v>
      </x:c>
      <x:c r="D1999" s="12" t="n">
        <x:v>118547.58</x:v>
      </x:c>
      <x:c r="E1999" s="12" t="n">
        <x:v>0</x:v>
      </x:c>
      <x:c r="F1999" s="12" t="n">
        <x:f>SUM(B1999,D1999:E1999)</x:f>
        <x:v>118937.291803</x:v>
      </x:c>
      <x:c r="G1999" s="12" t="n">
        <x:f>MAX(G1998,F1999)</x:f>
        <x:v>138687.599344</x:v>
      </x:c>
      <x:c r="H1999" s="14" t="n">
        <x:f>F1999/G1999-1</x:f>
        <x:v>-0.14240860491074925</x:v>
      </x:c>
      <x:c r="I1999" s="14" t="n">
        <x:f>F1999/F1998-1</x:f>
        <x:v>-0.0007334618726900777</x:v>
      </x:c>
      <x:c r="J1999" s="12" t="n">
        <x:v>0</x:v>
      </x:c>
      <x:c r="K1999" s="12" t="n">
        <x:v>0</x:v>
      </x:c>
      <x:c r="L1999" s="12" t="n">
        <x:v>0</x:v>
      </x:c>
      <x:c r="M1999" s="2" t="str">
        <x:v>持有</x:v>
      </x:c>
    </x:row>
    <x:row r="2000" ht="23" customHeight="1">
      <x:c r="A2000" s="11" t="d">
        <x:v>2022-12-02T00:00:00.000Z</x:v>
      </x:c>
      <x:c r="B2000" s="12" t="n">
        <x:v>389.711803</x:v>
      </x:c>
      <x:c r="C2000" s="13" t="n">
        <x:v>291</x:v>
      </x:c>
      <x:c r="D2000" s="12" t="n">
        <x:v>118410.81000000001</x:v>
      </x:c>
      <x:c r="E2000" s="12" t="n">
        <x:v>0</x:v>
      </x:c>
      <x:c r="F2000" s="12" t="n">
        <x:f>SUM(B2000,D2000:E2000)</x:f>
        <x:v>118800.52180300001</x:v>
      </x:c>
      <x:c r="G2000" s="12" t="n">
        <x:f>MAX(G1999,F2000)</x:f>
        <x:v>138687.599344</x:v>
      </x:c>
      <x:c r="H2000" s="14" t="n">
        <x:f>F2000/G2000-1</x:f>
        <x:v>-0.14339477815656887</x:v>
      </x:c>
      <x:c r="I2000" s="14" t="n">
        <x:f>F2000/F1999-1</x:f>
        <x:v>-0.0011499336997392584</x:v>
      </x:c>
      <x:c r="J2000" s="12" t="n">
        <x:v>0</x:v>
      </x:c>
      <x:c r="K2000" s="12" t="n">
        <x:v>0</x:v>
      </x:c>
      <x:c r="L2000" s="12" t="n">
        <x:v>0</x:v>
      </x:c>
      <x:c r="M2000" s="2" t="str">
        <x:v>持有</x:v>
      </x:c>
    </x:row>
    <x:row r="2001" ht="23" customHeight="1">
      <x:c r="A2001" s="11" t="d">
        <x:v>2022-12-05T00:00:00.000Z</x:v>
      </x:c>
      <x:c r="B2001" s="12" t="n">
        <x:v>389.711803</x:v>
      </x:c>
      <x:c r="C2001" s="13" t="n">
        <x:v>291</x:v>
      </x:c>
      <x:c r="D2001" s="12" t="n">
        <x:v>116280.68999999999</x:v>
      </x:c>
      <x:c r="E2001" s="12" t="n">
        <x:v>0</x:v>
      </x:c>
      <x:c r="F2001" s="12" t="n">
        <x:f>SUM(B2001,D2001:E2001)</x:f>
        <x:v>116670.40180299999</x:v>
      </x:c>
      <x:c r="G2001" s="12" t="n">
        <x:f>MAX(G2000,F2001)</x:f>
        <x:v>138687.599344</x:v>
      </x:c>
      <x:c r="H2001" s="14" t="n">
        <x:f>F2001/G2001-1</x:f>
        <x:v>-0.15875390189997207</x:v>
      </x:c>
      <x:c r="I2001" s="14" t="n">
        <x:f>F2001/F2000-1</x:f>
        <x:v>-0.01793022427571722</x:v>
      </x:c>
      <x:c r="J2001" s="12" t="n">
        <x:v>0</x:v>
      </x:c>
      <x:c r="K2001" s="12" t="n">
        <x:v>0</x:v>
      </x:c>
      <x:c r="L2001" s="12" t="n">
        <x:v>0</x:v>
      </x:c>
      <x:c r="M2001" s="2" t="str">
        <x:v>持有</x:v>
      </x:c>
    </x:row>
    <x:row r="2002" ht="23" customHeight="1">
      <x:c r="A2002" s="11" t="d">
        <x:v>2022-12-06T00:00:00.000Z</x:v>
      </x:c>
      <x:c r="B2002" s="12" t="n">
        <x:v>389.711803</x:v>
      </x:c>
      <x:c r="C2002" s="13" t="n">
        <x:v>291</x:v>
      </x:c>
      <x:c r="D2002" s="12" t="n">
        <x:v>114604.53</x:v>
      </x:c>
      <x:c r="E2002" s="12" t="n">
        <x:v>0</x:v>
      </x:c>
      <x:c r="F2002" s="12" t="n">
        <x:f>SUM(B2002,D2002:E2002)</x:f>
        <x:v>114994.241803</x:v>
      </x:c>
      <x:c r="G2002" s="12" t="n">
        <x:f>MAX(G2001,F2002)</x:f>
        <x:v>138687.599344</x:v>
      </x:c>
      <x:c r="H2002" s="14" t="n">
        <x:f>F2002/G2002-1</x:f>
        <x:v>-0.17083976976363335</x:v>
      </x:c>
      <x:c r="I2002" s="14" t="n">
        <x:f>F2002/F2001-1</x:f>
        <x:v>-0.014366625760235396</x:v>
      </x:c>
      <x:c r="J2002" s="12" t="n">
        <x:v>0</x:v>
      </x:c>
      <x:c r="K2002" s="12" t="n">
        <x:v>0</x:v>
      </x:c>
      <x:c r="L2002" s="12" t="n">
        <x:v>0</x:v>
      </x:c>
      <x:c r="M2002" s="2" t="str">
        <x:v>持有</x:v>
      </x:c>
    </x:row>
    <x:row r="2003" ht="23" customHeight="1">
      <x:c r="A2003" s="11" t="d">
        <x:v>2022-12-07T00:00:00.000Z</x:v>
      </x:c>
      <x:c r="B2003" s="12" t="n">
        <x:v>389.711803</x:v>
      </x:c>
      <x:c r="C2003" s="13" t="n">
        <x:v>291</x:v>
      </x:c>
      <x:c r="D2003" s="12" t="n">
        <x:v>114409.56000000001</x:v>
      </x:c>
      <x:c r="E2003" s="12" t="n">
        <x:v>0</x:v>
      </x:c>
      <x:c r="F2003" s="12" t="n">
        <x:f>SUM(B2003,D2003:E2003)</x:f>
        <x:v>114799.27180300001</x:v>
      </x:c>
      <x:c r="G2003" s="12" t="n">
        <x:f>MAX(G2002,F2003)</x:f>
        <x:v>138687.599344</x:v>
      </x:c>
      <x:c r="H2003" s="14" t="n">
        <x:f>F2003/G2003-1</x:f>
        <x:v>-0.17224559119916338</x:v>
      </x:c>
      <x:c r="I2003" s="14" t="n">
        <x:f>F2003/F2002-1</x:f>
        <x:v>-0.0016954761990082279</x:v>
      </x:c>
      <x:c r="J2003" s="12" t="n">
        <x:v>0</x:v>
      </x:c>
      <x:c r="K2003" s="12" t="n">
        <x:v>0</x:v>
      </x:c>
      <x:c r="L2003" s="12" t="n">
        <x:v>0</x:v>
      </x:c>
      <x:c r="M2003" s="2" t="str">
        <x:v>持有</x:v>
      </x:c>
    </x:row>
    <x:row r="2004" ht="23" customHeight="1">
      <x:c r="A2004" s="11" t="d">
        <x:v>2022-12-08T00:00:00.000Z</x:v>
      </x:c>
      <x:c r="B2004" s="12" t="n">
        <x:v>389.711803</x:v>
      </x:c>
      <x:c r="C2004" s="13" t="n">
        <x:v>291</x:v>
      </x:c>
      <x:c r="D2004" s="12" t="n">
        <x:v>115305.84</x:v>
      </x:c>
      <x:c r="E2004" s="12" t="n">
        <x:v>0</x:v>
      </x:c>
      <x:c r="F2004" s="12" t="n">
        <x:f>SUM(B2004,D2004:E2004)</x:f>
        <x:v>115695.551803</x:v>
      </x:c>
      <x:c r="G2004" s="12" t="n">
        <x:f>MAX(G2003,F2004)</x:f>
        <x:v>138687.599344</x:v>
      </x:c>
      <x:c r="H2004" s="14" t="n">
        <x:f>F2004/G2004-1</x:f>
        <x:v>-0.16578300907762233</x:v>
      </x:c>
      <x:c r="I2004" s="14" t="n">
        <x:f>F2004/F2003-1</x:f>
        <x:v>0.0078073665966977845</x:v>
      </x:c>
      <x:c r="J2004" s="12" t="n">
        <x:v>0</x:v>
      </x:c>
      <x:c r="K2004" s="12" t="n">
        <x:v>0</x:v>
      </x:c>
      <x:c r="L2004" s="12" t="n">
        <x:v>0</x:v>
      </x:c>
      <x:c r="M2004" s="2" t="str">
        <x:v>持有</x:v>
      </x:c>
    </x:row>
    <x:row r="2005" ht="23" customHeight="1">
      <x:c r="A2005" s="11" t="d">
        <x:v>2022-12-09T00:00:00.000Z</x:v>
      </x:c>
      <x:c r="B2005" s="12" t="n">
        <x:v>389.711803</x:v>
      </x:c>
      <x:c r="C2005" s="13" t="n">
        <x:v>291</x:v>
      </x:c>
      <x:c r="D2005" s="12" t="n">
        <x:v>114444.48</x:v>
      </x:c>
      <x:c r="E2005" s="12" t="n">
        <x:v>0</x:v>
      </x:c>
      <x:c r="F2005" s="12" t="n">
        <x:f>SUM(B2005,D2005:E2005)</x:f>
        <x:v>114834.191803</x:v>
      </x:c>
      <x:c r="G2005" s="12" t="n">
        <x:f>MAX(G2004,F2005)</x:f>
        <x:v>138687.599344</x:v>
      </x:c>
      <x:c r="H2005" s="14" t="n">
        <x:f>F2005/G2005-1</x:f>
        <x:v>-0.17199380228533723</x:v>
      </x:c>
      <x:c r="I2005" s="14" t="n">
        <x:f>F2005/F2004-1</x:f>
        <x:v>-0.007445057191711846</x:v>
      </x:c>
      <x:c r="J2005" s="12" t="n">
        <x:v>0</x:v>
      </x:c>
      <x:c r="K2005" s="12" t="n">
        <x:v>0</x:v>
      </x:c>
      <x:c r="L2005" s="12" t="n">
        <x:v>0</x:v>
      </x:c>
      <x:c r="M2005" s="2" t="str">
        <x:v>持有</x:v>
      </x:c>
    </x:row>
    <x:row r="2006" ht="23" customHeight="1">
      <x:c r="A2006" s="11" t="d">
        <x:v>2022-12-12T00:00:00.000Z</x:v>
      </x:c>
      <x:c r="B2006" s="12" t="n">
        <x:v>389.711803</x:v>
      </x:c>
      <x:c r="C2006" s="13" t="n">
        <x:v>291</x:v>
      </x:c>
      <x:c r="D2006" s="12" t="n">
        <x:v>116094.45</x:v>
      </x:c>
      <x:c r="E2006" s="12" t="n">
        <x:v>0</x:v>
      </x:c>
      <x:c r="F2006" s="12" t="n">
        <x:f>SUM(B2006,D2006:E2006)</x:f>
        <x:v>116484.161803</x:v>
      </x:c>
      <x:c r="G2006" s="12" t="n">
        <x:f>MAX(G2005,F2006)</x:f>
        <x:v>138687.599344</x:v>
      </x:c>
      <x:c r="H2006" s="14" t="n">
        <x:f>F2006/G2006-1</x:f>
        <x:v>-0.16009677610704542</x:v>
      </x:c>
      <x:c r="I2006" s="14" t="n">
        <x:f>F2006/F2005-1</x:f>
        <x:v>0.014368281555292794</x:v>
      </x:c>
      <x:c r="J2006" s="12" t="n">
        <x:v>0</x:v>
      </x:c>
      <x:c r="K2006" s="12" t="n">
        <x:v>0</x:v>
      </x:c>
      <x:c r="L2006" s="12" t="n">
        <x:v>0</x:v>
      </x:c>
      <x:c r="M2006" s="2" t="str">
        <x:v>持有</x:v>
      </x:c>
    </x:row>
    <x:row r="2007" ht="23" customHeight="1">
      <x:c r="A2007" s="11" t="d">
        <x:v>2022-12-13T00:00:00.000Z</x:v>
      </x:c>
      <x:c r="B2007" s="12" t="n">
        <x:v>389.711803</x:v>
      </x:c>
      <x:c r="C2007" s="13" t="n">
        <x:v>291</x:v>
      </x:c>
      <x:c r="D2007" s="12" t="n">
        <x:v>116973.27</x:v>
      </x:c>
      <x:c r="E2007" s="12" t="n">
        <x:v>0</x:v>
      </x:c>
      <x:c r="F2007" s="12" t="n">
        <x:f>SUM(B2007,D2007:E2007)</x:f>
        <x:v>117362.981803</x:v>
      </x:c>
      <x:c r="G2007" s="12" t="n">
        <x:f>MAX(G2006,F2007)</x:f>
        <x:v>138687.599344</x:v>
      </x:c>
      <x:c r="H2007" s="14" t="n">
        <x:f>F2007/G2007-1</x:f>
        <x:v>-0.1537600884424174</x:v>
      </x:c>
      <x:c r="I2007" s="14" t="n">
        <x:f>F2007/F2006-1</x:f>
        <x:v>0.007544544995621738</x:v>
      </x:c>
      <x:c r="J2007" s="12" t="n">
        <x:v>0</x:v>
      </x:c>
      <x:c r="K2007" s="12" t="n">
        <x:v>0</x:v>
      </x:c>
      <x:c r="L2007" s="12" t="n">
        <x:v>0</x:v>
      </x:c>
      <x:c r="M2007" s="2" t="str">
        <x:v>持有</x:v>
      </x:c>
    </x:row>
    <x:row r="2008" ht="23" customHeight="1">
      <x:c r="A2008" s="11" t="d">
        <x:v>2022-12-14T00:00:00.000Z</x:v>
      </x:c>
      <x:c r="B2008" s="12" t="n">
        <x:v>389.711803</x:v>
      </x:c>
      <x:c r="C2008" s="13" t="n">
        <x:v>291</x:v>
      </x:c>
      <x:c r="D2008" s="12" t="n">
        <x:v>116225.4</x:v>
      </x:c>
      <x:c r="E2008" s="12" t="n">
        <x:v>0</x:v>
      </x:c>
      <x:c r="F2008" s="12" t="n">
        <x:f>SUM(B2008,D2008:E2008)</x:f>
        <x:v>116615.11180299999</x:v>
      </x:c>
      <x:c r="G2008" s="12" t="n">
        <x:f>MAX(G2007,F2008)</x:f>
        <x:v>138687.599344</x:v>
      </x:c>
      <x:c r="H2008" s="14" t="n">
        <x:f>F2008/G2008-1</x:f>
        <x:v>-0.15915256768019692</x:v>
      </x:c>
      <x:c r="I2008" s="14" t="n">
        <x:f>F2008/F2007-1</x:f>
        <x:v>-0.006372281860181017</x:v>
      </x:c>
      <x:c r="J2008" s="12" t="n">
        <x:v>0</x:v>
      </x:c>
      <x:c r="K2008" s="12" t="n">
        <x:v>0</x:v>
      </x:c>
      <x:c r="L2008" s="12" t="n">
        <x:v>0</x:v>
      </x:c>
      <x:c r="M2008" s="2" t="str">
        <x:v>持有</x:v>
      </x:c>
    </x:row>
    <x:row r="2009" ht="23" customHeight="1">
      <x:c r="A2009" s="11" t="d">
        <x:v>2022-12-15T00:00:00.000Z</x:v>
      </x:c>
      <x:c r="B2009" s="12" t="n">
        <x:v>389.711803</x:v>
      </x:c>
      <x:c r="C2009" s="13" t="n">
        <x:v>291</x:v>
      </x:c>
      <x:c r="D2009" s="12" t="n">
        <x:v>113382.33</x:v>
      </x:c>
      <x:c r="E2009" s="12" t="n">
        <x:v>0</x:v>
      </x:c>
      <x:c r="F2009" s="12" t="n">
        <x:f>SUM(B2009,D2009:E2009)</x:f>
        <x:v>113772.041803</x:v>
      </x:c>
      <x:c r="G2009" s="12" t="n">
        <x:f>MAX(G2008,F2009)</x:f>
        <x:v>138687.599344</x:v>
      </x:c>
      <x:c r="H2009" s="14" t="n">
        <x:f>F2009/G2009-1</x:f>
        <x:v>-0.17965238174755316</x:v>
      </x:c>
      <x:c r="I2009" s="14" t="n">
        <x:f>F2009/F2008-1</x:f>
        <x:v>-0.024379944897731987</x:v>
      </x:c>
      <x:c r="J2009" s="12" t="n">
        <x:v>0</x:v>
      </x:c>
      <x:c r="K2009" s="12" t="n">
        <x:v>0</x:v>
      </x:c>
      <x:c r="L2009" s="12" t="n">
        <x:v>0</x:v>
      </x:c>
      <x:c r="M2009" s="2" t="str">
        <x:v>持有</x:v>
      </x:c>
    </x:row>
    <x:row r="2010" ht="23" customHeight="1">
      <x:c r="A2010" s="11" t="d">
        <x:v>2022-12-16T00:00:00.000Z</x:v>
      </x:c>
      <x:c r="B2010" s="12" t="n">
        <x:v>389.711803</x:v>
      </x:c>
      <x:c r="C2010" s="13" t="n">
        <x:v>291</x:v>
      </x:c>
      <x:c r="D2010" s="12" t="n">
        <x:v>111531.56999999999</x:v>
      </x:c>
      <x:c r="E2010" s="12" t="n">
        <x:v>518.3874</x:v>
      </x:c>
      <x:c r="F2010" s="12" t="n">
        <x:f>SUM(B2010,D2010:E2010)</x:f>
        <x:v>112439.669203</x:v>
      </x:c>
      <x:c r="G2010" s="12" t="n">
        <x:f>MAX(G2009,F2010)</x:f>
        <x:v>138687.599344</x:v>
      </x:c>
      <x:c r="H2010" s="14" t="n">
        <x:f>F2010/G2010-1</x:f>
        <x:v>-0.18925938775459483</x:v>
      </x:c>
      <x:c r="I2010" s="14" t="n">
        <x:f>F2010/F2009-1</x:f>
        <x:v>-0.011710896445956798</x:v>
      </x:c>
      <x:c r="J2010" s="12" t="n">
        <x:v>518.3874</x:v>
      </x:c>
      <x:c r="K2010" s="12" t="n">
        <x:v>0</x:v>
      </x:c>
      <x:c r="L2010" s="12" t="n">
        <x:v>0</x:v>
      </x:c>
      <x:c r="M2010" s="2" t="str">
        <x:v>持有</x:v>
      </x:c>
    </x:row>
    <x:row r="2011" ht="23" customHeight="1">
      <x:c r="A2011" s="11" t="d">
        <x:v>2022-12-19T00:00:00.000Z</x:v>
      </x:c>
      <x:c r="B2011" s="12" t="n">
        <x:v>111867.892033</x:v>
      </x:c>
      <x:c r="C2011" s="13" t="n">
        <x:v>0</x:v>
      </x:c>
      <x:c r="D2011" s="12" t="n">
        <x:v>0</x:v>
      </x:c>
      <x:c r="E2011" s="12" t="n">
        <x:v>518.3874</x:v>
      </x:c>
      <x:c r="F2011" s="12" t="n">
        <x:f>SUM(B2011,D2011:E2011)</x:f>
        <x:v>112386.279433</x:v>
      </x:c>
      <x:c r="G2011" s="12" t="n">
        <x:f>MAX(G2010,F2011)</x:f>
        <x:v>138687.599344</x:v>
      </x:c>
      <x:c r="H2011" s="14" t="n">
        <x:f>F2011/G2011-1</x:f>
        <x:v>-0.1896443520214257</x:v>
      </x:c>
      <x:c r="I2011" s="14" t="n">
        <x:f>F2011/F2010-1</x:f>
        <x:v>-0.00047483037239826054</x:v>
      </x:c>
      <x:c r="J2011" s="12" t="n">
        <x:v>0</x:v>
      </x:c>
      <x:c r="K2011" s="12" t="n">
        <x:v>0</x:v>
      </x:c>
      <x:c r="L2011" s="12" t="n">
        <x:v>-291</x:v>
      </x:c>
      <x:c r="M2011" s="2" t="str">
        <x:v>卖出</x:v>
      </x:c>
    </x:row>
    <x:row r="2012" ht="23" customHeight="1">
      <x:c r="A2012" s="11" t="d">
        <x:v>2022-12-20T00:00:00.000Z</x:v>
      </x:c>
      <x:c r="B2012" s="12" t="n">
        <x:v>111867.892033</x:v>
      </x:c>
      <x:c r="C2012" s="13" t="n">
        <x:v>0</x:v>
      </x:c>
      <x:c r="D2012" s="12" t="n">
        <x:v>0</x:v>
      </x:c>
      <x:c r="E2012" s="12" t="n">
        <x:v>518.3874</x:v>
      </x:c>
      <x:c r="F2012" s="12" t="n">
        <x:f>SUM(B2012,D2012:E2012)</x:f>
        <x:v>112386.279433</x:v>
      </x:c>
      <x:c r="G2012" s="12" t="n">
        <x:f>MAX(G2011,F2012)</x:f>
        <x:v>138687.599344</x:v>
      </x:c>
      <x:c r="H2012" s="14" t="n">
        <x:f>F2012/G2012-1</x:f>
        <x:v>-0.1896443520214257</x:v>
      </x:c>
      <x:c r="I2012" s="14" t="n">
        <x:f>F2012/F2011-1</x:f>
        <x:v>0</x:v>
      </x:c>
      <x:c r="J2012" s="12" t="n">
        <x:v>0</x:v>
      </x:c>
      <x:c r="K2012" s="12" t="n">
        <x:v>0</x:v>
      </x:c>
      <x:c r="L2012" s="12" t="n">
        <x:v>0</x:v>
      </x:c>
      <x:c r="M2012" s="2" t="str">
        <x:v>空仓</x:v>
      </x:c>
    </x:row>
    <x:row r="2013" ht="23" customHeight="1">
      <x:c r="A2013" s="11" t="d">
        <x:v>2022-12-21T00:00:00.000Z</x:v>
      </x:c>
      <x:c r="B2013" s="12" t="n">
        <x:v>111867.892033</x:v>
      </x:c>
      <x:c r="C2013" s="13" t="n">
        <x:v>0</x:v>
      </x:c>
      <x:c r="D2013" s="12" t="n">
        <x:v>0</x:v>
      </x:c>
      <x:c r="E2013" s="12" t="n">
        <x:v>518.3874</x:v>
      </x:c>
      <x:c r="F2013" s="12" t="n">
        <x:f>SUM(B2013,D2013:E2013)</x:f>
        <x:v>112386.279433</x:v>
      </x:c>
      <x:c r="G2013" s="12" t="n">
        <x:f>MAX(G2012,F2013)</x:f>
        <x:v>138687.599344</x:v>
      </x:c>
      <x:c r="H2013" s="14" t="n">
        <x:f>F2013/G2013-1</x:f>
        <x:v>-0.1896443520214257</x:v>
      </x:c>
      <x:c r="I2013" s="14" t="n">
        <x:f>F2013/F2012-1</x:f>
        <x:v>0</x:v>
      </x:c>
      <x:c r="J2013" s="12" t="n">
        <x:v>0</x:v>
      </x:c>
      <x:c r="K2013" s="12" t="n">
        <x:v>0</x:v>
      </x:c>
      <x:c r="L2013" s="12" t="n">
        <x:v>0</x:v>
      </x:c>
      <x:c r="M2013" s="2" t="str">
        <x:v>空仓</x:v>
      </x:c>
    </x:row>
    <x:row r="2014" ht="23" customHeight="1">
      <x:c r="A2014" s="11" t="d">
        <x:v>2022-12-22T00:00:00.000Z</x:v>
      </x:c>
      <x:c r="B2014" s="12" t="n">
        <x:v>111867.892033</x:v>
      </x:c>
      <x:c r="C2014" s="13" t="n">
        <x:v>0</x:v>
      </x:c>
      <x:c r="D2014" s="12" t="n">
        <x:v>0</x:v>
      </x:c>
      <x:c r="E2014" s="12" t="n">
        <x:v>518.3874</x:v>
      </x:c>
      <x:c r="F2014" s="12" t="n">
        <x:f>SUM(B2014,D2014:E2014)</x:f>
        <x:v>112386.279433</x:v>
      </x:c>
      <x:c r="G2014" s="12" t="n">
        <x:f>MAX(G2013,F2014)</x:f>
        <x:v>138687.599344</x:v>
      </x:c>
      <x:c r="H2014" s="14" t="n">
        <x:f>F2014/G2014-1</x:f>
        <x:v>-0.1896443520214257</x:v>
      </x:c>
      <x:c r="I2014" s="14" t="n">
        <x:f>F2014/F2013-1</x:f>
        <x:v>0</x:v>
      </x:c>
      <x:c r="J2014" s="12" t="n">
        <x:v>0</x:v>
      </x:c>
      <x:c r="K2014" s="12" t="n">
        <x:v>0</x:v>
      </x:c>
      <x:c r="L2014" s="12" t="n">
        <x:v>0</x:v>
      </x:c>
      <x:c r="M2014" s="2" t="str">
        <x:v>空仓</x:v>
      </x:c>
    </x:row>
    <x:row r="2015" ht="23" customHeight="1">
      <x:c r="A2015" s="11" t="d">
        <x:v>2022-12-23T00:00:00.000Z</x:v>
      </x:c>
      <x:c r="B2015" s="12" t="n">
        <x:v>111867.892033</x:v>
      </x:c>
      <x:c r="C2015" s="13" t="n">
        <x:v>0</x:v>
      </x:c>
      <x:c r="D2015" s="12" t="n">
        <x:v>0</x:v>
      </x:c>
      <x:c r="E2015" s="12" t="n">
        <x:v>518.3874</x:v>
      </x:c>
      <x:c r="F2015" s="12" t="n">
        <x:f>SUM(B2015,D2015:E2015)</x:f>
        <x:v>112386.279433</x:v>
      </x:c>
      <x:c r="G2015" s="12" t="n">
        <x:f>MAX(G2014,F2015)</x:f>
        <x:v>138687.599344</x:v>
      </x:c>
      <x:c r="H2015" s="14" t="n">
        <x:f>F2015/G2015-1</x:f>
        <x:v>-0.1896443520214257</x:v>
      </x:c>
      <x:c r="I2015" s="14" t="n">
        <x:f>F2015/F2014-1</x:f>
        <x:v>0</x:v>
      </x:c>
      <x:c r="J2015" s="12" t="n">
        <x:v>0</x:v>
      </x:c>
      <x:c r="K2015" s="12" t="n">
        <x:v>0</x:v>
      </x:c>
      <x:c r="L2015" s="12" t="n">
        <x:v>0</x:v>
      </x:c>
      <x:c r="M2015" s="2" t="str">
        <x:v>空仓</x:v>
      </x:c>
    </x:row>
    <x:row r="2016" ht="23" customHeight="1">
      <x:c r="A2016" s="11" t="d">
        <x:v>2022-12-27T00:00:00.000Z</x:v>
      </x:c>
      <x:c r="B2016" s="12" t="n">
        <x:v>111867.892033</x:v>
      </x:c>
      <x:c r="C2016" s="13" t="n">
        <x:v>0</x:v>
      </x:c>
      <x:c r="D2016" s="12" t="n">
        <x:v>0</x:v>
      </x:c>
      <x:c r="E2016" s="12" t="n">
        <x:v>518.3874</x:v>
      </x:c>
      <x:c r="F2016" s="12" t="n">
        <x:f>SUM(B2016,D2016:E2016)</x:f>
        <x:v>112386.279433</x:v>
      </x:c>
      <x:c r="G2016" s="12" t="n">
        <x:f>MAX(G2015,F2016)</x:f>
        <x:v>138687.599344</x:v>
      </x:c>
      <x:c r="H2016" s="14" t="n">
        <x:f>F2016/G2016-1</x:f>
        <x:v>-0.1896443520214257</x:v>
      </x:c>
      <x:c r="I2016" s="14" t="n">
        <x:f>F2016/F2015-1</x:f>
        <x:v>0</x:v>
      </x:c>
      <x:c r="J2016" s="12" t="n">
        <x:v>0</x:v>
      </x:c>
      <x:c r="K2016" s="12" t="n">
        <x:v>0</x:v>
      </x:c>
      <x:c r="L2016" s="12" t="n">
        <x:v>0</x:v>
      </x:c>
      <x:c r="M2016" s="2" t="str">
        <x:v>空仓</x:v>
      </x:c>
    </x:row>
    <x:row r="2017" ht="23" customHeight="1">
      <x:c r="A2017" s="11" t="d">
        <x:v>2022-12-28T00:00:00.000Z</x:v>
      </x:c>
      <x:c r="B2017" s="12" t="n">
        <x:v>111867.892033</x:v>
      </x:c>
      <x:c r="C2017" s="13" t="n">
        <x:v>0</x:v>
      </x:c>
      <x:c r="D2017" s="12" t="n">
        <x:v>0</x:v>
      </x:c>
      <x:c r="E2017" s="12" t="n">
        <x:v>518.3874</x:v>
      </x:c>
      <x:c r="F2017" s="12" t="n">
        <x:f>SUM(B2017,D2017:E2017)</x:f>
        <x:v>112386.279433</x:v>
      </x:c>
      <x:c r="G2017" s="12" t="n">
        <x:f>MAX(G2016,F2017)</x:f>
        <x:v>138687.599344</x:v>
      </x:c>
      <x:c r="H2017" s="14" t="n">
        <x:f>F2017/G2017-1</x:f>
        <x:v>-0.1896443520214257</x:v>
      </x:c>
      <x:c r="I2017" s="14" t="n">
        <x:f>F2017/F2016-1</x:f>
        <x:v>0</x:v>
      </x:c>
      <x:c r="J2017" s="12" t="n">
        <x:v>0</x:v>
      </x:c>
      <x:c r="K2017" s="12" t="n">
        <x:v>0</x:v>
      </x:c>
      <x:c r="L2017" s="12" t="n">
        <x:v>0</x:v>
      </x:c>
      <x:c r="M2017" s="2" t="str">
        <x:v>空仓</x:v>
      </x:c>
    </x:row>
    <x:row r="2018" ht="23" customHeight="1">
      <x:c r="A2018" s="11" t="d">
        <x:v>2022-12-29T00:00:00.000Z</x:v>
      </x:c>
      <x:c r="B2018" s="12" t="n">
        <x:v>111867.892033</x:v>
      </x:c>
      <x:c r="C2018" s="13" t="n">
        <x:v>0</x:v>
      </x:c>
      <x:c r="D2018" s="12" t="n">
        <x:v>0</x:v>
      </x:c>
      <x:c r="E2018" s="12" t="n">
        <x:v>518.3874</x:v>
      </x:c>
      <x:c r="F2018" s="12" t="n">
        <x:f>SUM(B2018,D2018:E2018)</x:f>
        <x:v>112386.279433</x:v>
      </x:c>
      <x:c r="G2018" s="12" t="n">
        <x:f>MAX(G2017,F2018)</x:f>
        <x:v>138687.599344</x:v>
      </x:c>
      <x:c r="H2018" s="14" t="n">
        <x:f>F2018/G2018-1</x:f>
        <x:v>-0.1896443520214257</x:v>
      </x:c>
      <x:c r="I2018" s="14" t="n">
        <x:f>F2018/F2017-1</x:f>
        <x:v>0</x:v>
      </x:c>
      <x:c r="J2018" s="12" t="n">
        <x:v>0</x:v>
      </x:c>
      <x:c r="K2018" s="12" t="n">
        <x:v>0</x:v>
      </x:c>
      <x:c r="L2018" s="12" t="n">
        <x:v>0</x:v>
      </x:c>
      <x:c r="M2018" s="2" t="str">
        <x:v>空仓</x:v>
      </x:c>
    </x:row>
    <x:row r="2019" ht="23" customHeight="1">
      <x:c r="A2019" s="11" t="d">
        <x:v>2022-12-30T00:00:00.000Z</x:v>
      </x:c>
      <x:c r="B2019" s="12" t="n">
        <x:v>111867.892033</x:v>
      </x:c>
      <x:c r="C2019" s="13" t="n">
        <x:v>0</x:v>
      </x:c>
      <x:c r="D2019" s="12" t="n">
        <x:v>0</x:v>
      </x:c>
      <x:c r="E2019" s="12" t="n">
        <x:v>518.3874</x:v>
      </x:c>
      <x:c r="F2019" s="12" t="n">
        <x:f>SUM(B2019,D2019:E2019)</x:f>
        <x:v>112386.279433</x:v>
      </x:c>
      <x:c r="G2019" s="12" t="n">
        <x:f>MAX(G2018,F2019)</x:f>
        <x:v>138687.599344</x:v>
      </x:c>
      <x:c r="H2019" s="14" t="n">
        <x:f>F2019/G2019-1</x:f>
        <x:v>-0.1896443520214257</x:v>
      </x:c>
      <x:c r="I2019" s="14" t="n">
        <x:f>F2019/F2018-1</x:f>
        <x:v>0</x:v>
      </x:c>
      <x:c r="J2019" s="12" t="n">
        <x:v>0</x:v>
      </x:c>
      <x:c r="K2019" s="12" t="n">
        <x:v>0</x:v>
      </x:c>
      <x:c r="L2019" s="12" t="n">
        <x:v>0</x:v>
      </x:c>
      <x:c r="M2019" s="2" t="str">
        <x:v>空仓</x:v>
      </x:c>
    </x:row>
    <x:row r="2020" ht="23" customHeight="1">
      <x:c r="A2020" s="11" t="d">
        <x:v>2023-01-03T00:00:00.000Z</x:v>
      </x:c>
      <x:c r="B2020" s="12" t="n">
        <x:v>111867.892033</x:v>
      </x:c>
      <x:c r="C2020" s="13" t="n">
        <x:v>0</x:v>
      </x:c>
      <x:c r="D2020" s="12" t="n">
        <x:v>0</x:v>
      </x:c>
      <x:c r="E2020" s="12" t="n">
        <x:v>518.3874</x:v>
      </x:c>
      <x:c r="F2020" s="12" t="n">
        <x:f>SUM(B2020,D2020:E2020)</x:f>
        <x:v>112386.279433</x:v>
      </x:c>
      <x:c r="G2020" s="12" t="n">
        <x:f>MAX(G2019,F2020)</x:f>
        <x:v>138687.599344</x:v>
      </x:c>
      <x:c r="H2020" s="14" t="n">
        <x:f>F2020/G2020-1</x:f>
        <x:v>-0.1896443520214257</x:v>
      </x:c>
      <x:c r="I2020" s="14" t="n">
        <x:f>F2020/F2019-1</x:f>
        <x:v>0</x:v>
      </x:c>
      <x:c r="J2020" s="12" t="n">
        <x:v>0</x:v>
      </x:c>
      <x:c r="K2020" s="12" t="n">
        <x:v>0</x:v>
      </x:c>
      <x:c r="L2020" s="12" t="n">
        <x:v>0</x:v>
      </x:c>
      <x:c r="M2020" s="2" t="str">
        <x:v>空仓</x:v>
      </x:c>
    </x:row>
    <x:row r="2021" ht="23" customHeight="1">
      <x:c r="A2021" s="11" t="d">
        <x:v>2023-01-04T00:00:00.000Z</x:v>
      </x:c>
      <x:c r="B2021" s="12" t="n">
        <x:v>111867.892033</x:v>
      </x:c>
      <x:c r="C2021" s="13" t="n">
        <x:v>0</x:v>
      </x:c>
      <x:c r="D2021" s="12" t="n">
        <x:v>0</x:v>
      </x:c>
      <x:c r="E2021" s="12" t="n">
        <x:v>518.3874</x:v>
      </x:c>
      <x:c r="F2021" s="12" t="n">
        <x:f>SUM(B2021,D2021:E2021)</x:f>
        <x:v>112386.279433</x:v>
      </x:c>
      <x:c r="G2021" s="12" t="n">
        <x:f>MAX(G2020,F2021)</x:f>
        <x:v>138687.599344</x:v>
      </x:c>
      <x:c r="H2021" s="14" t="n">
        <x:f>F2021/G2021-1</x:f>
        <x:v>-0.1896443520214257</x:v>
      </x:c>
      <x:c r="I2021" s="14" t="n">
        <x:f>F2021/F2020-1</x:f>
        <x:v>0</x:v>
      </x:c>
      <x:c r="J2021" s="12" t="n">
        <x:v>0</x:v>
      </x:c>
      <x:c r="K2021" s="12" t="n">
        <x:v>0</x:v>
      </x:c>
      <x:c r="L2021" s="12" t="n">
        <x:v>0</x:v>
      </x:c>
      <x:c r="M2021" s="2" t="str">
        <x:v>空仓</x:v>
      </x:c>
    </x:row>
    <x:row r="2022" ht="23" customHeight="1">
      <x:c r="A2022" s="11" t="d">
        <x:v>2023-01-05T00:00:00.000Z</x:v>
      </x:c>
      <x:c r="B2022" s="12" t="n">
        <x:v>111867.892033</x:v>
      </x:c>
      <x:c r="C2022" s="13" t="n">
        <x:v>0</x:v>
      </x:c>
      <x:c r="D2022" s="12" t="n">
        <x:v>0</x:v>
      </x:c>
      <x:c r="E2022" s="12" t="n">
        <x:v>518.3874</x:v>
      </x:c>
      <x:c r="F2022" s="12" t="n">
        <x:f>SUM(B2022,D2022:E2022)</x:f>
        <x:v>112386.279433</x:v>
      </x:c>
      <x:c r="G2022" s="12" t="n">
        <x:f>MAX(G2021,F2022)</x:f>
        <x:v>138687.599344</x:v>
      </x:c>
      <x:c r="H2022" s="14" t="n">
        <x:f>F2022/G2022-1</x:f>
        <x:v>-0.1896443520214257</x:v>
      </x:c>
      <x:c r="I2022" s="14" t="n">
        <x:f>F2022/F2021-1</x:f>
        <x:v>0</x:v>
      </x:c>
      <x:c r="J2022" s="12" t="n">
        <x:v>0</x:v>
      </x:c>
      <x:c r="K2022" s="12" t="n">
        <x:v>0</x:v>
      </x:c>
      <x:c r="L2022" s="12" t="n">
        <x:v>0</x:v>
      </x:c>
      <x:c r="M2022" s="2" t="str">
        <x:v>空仓</x:v>
      </x:c>
    </x:row>
    <x:row r="2023" ht="23" customHeight="1">
      <x:c r="A2023" s="11" t="d">
        <x:v>2023-01-06T00:00:00.000Z</x:v>
      </x:c>
      <x:c r="B2023" s="12" t="n">
        <x:v>111867.892033</x:v>
      </x:c>
      <x:c r="C2023" s="13" t="n">
        <x:v>0</x:v>
      </x:c>
      <x:c r="D2023" s="12" t="n">
        <x:v>0</x:v>
      </x:c>
      <x:c r="E2023" s="12" t="n">
        <x:v>518.3874</x:v>
      </x:c>
      <x:c r="F2023" s="12" t="n">
        <x:f>SUM(B2023,D2023:E2023)</x:f>
        <x:v>112386.279433</x:v>
      </x:c>
      <x:c r="G2023" s="12" t="n">
        <x:f>MAX(G2022,F2023)</x:f>
        <x:v>138687.599344</x:v>
      </x:c>
      <x:c r="H2023" s="14" t="n">
        <x:f>F2023/G2023-1</x:f>
        <x:v>-0.1896443520214257</x:v>
      </x:c>
      <x:c r="I2023" s="14" t="n">
        <x:f>F2023/F2022-1</x:f>
        <x:v>0</x:v>
      </x:c>
      <x:c r="J2023" s="12" t="n">
        <x:v>0</x:v>
      </x:c>
      <x:c r="K2023" s="12" t="n">
        <x:v>0</x:v>
      </x:c>
      <x:c r="L2023" s="12" t="n">
        <x:v>0</x:v>
      </x:c>
      <x:c r="M2023" s="2" t="str">
        <x:v>空仓</x:v>
      </x:c>
    </x:row>
    <x:row r="2024" ht="23" customHeight="1">
      <x:c r="A2024" s="11" t="d">
        <x:v>2023-01-09T00:00:00.000Z</x:v>
      </x:c>
      <x:c r="B2024" s="12" t="n">
        <x:v>111867.892033</x:v>
      </x:c>
      <x:c r="C2024" s="13" t="n">
        <x:v>0</x:v>
      </x:c>
      <x:c r="D2024" s="12" t="n">
        <x:v>0</x:v>
      </x:c>
      <x:c r="E2024" s="12" t="n">
        <x:v>518.3874</x:v>
      </x:c>
      <x:c r="F2024" s="12" t="n">
        <x:f>SUM(B2024,D2024:E2024)</x:f>
        <x:v>112386.279433</x:v>
      </x:c>
      <x:c r="G2024" s="12" t="n">
        <x:f>MAX(G2023,F2024)</x:f>
        <x:v>138687.599344</x:v>
      </x:c>
      <x:c r="H2024" s="14" t="n">
        <x:f>F2024/G2024-1</x:f>
        <x:v>-0.1896443520214257</x:v>
      </x:c>
      <x:c r="I2024" s="14" t="n">
        <x:f>F2024/F2023-1</x:f>
        <x:v>0</x:v>
      </x:c>
      <x:c r="J2024" s="12" t="n">
        <x:v>0</x:v>
      </x:c>
      <x:c r="K2024" s="12" t="n">
        <x:v>0</x:v>
      </x:c>
      <x:c r="L2024" s="12" t="n">
        <x:v>0</x:v>
      </x:c>
      <x:c r="M2024" s="2" t="str">
        <x:v>空仓</x:v>
      </x:c>
    </x:row>
    <x:row r="2025" ht="23" customHeight="1">
      <x:c r="A2025" s="11" t="d">
        <x:v>2023-01-10T00:00:00.000Z</x:v>
      </x:c>
      <x:c r="B2025" s="12" t="n">
        <x:v>111867.892033</x:v>
      </x:c>
      <x:c r="C2025" s="13" t="n">
        <x:v>0</x:v>
      </x:c>
      <x:c r="D2025" s="12" t="n">
        <x:v>0</x:v>
      </x:c>
      <x:c r="E2025" s="12" t="n">
        <x:v>518.3874</x:v>
      </x:c>
      <x:c r="F2025" s="12" t="n">
        <x:f>SUM(B2025,D2025:E2025)</x:f>
        <x:v>112386.279433</x:v>
      </x:c>
      <x:c r="G2025" s="12" t="n">
        <x:f>MAX(G2024,F2025)</x:f>
        <x:v>138687.599344</x:v>
      </x:c>
      <x:c r="H2025" s="14" t="n">
        <x:f>F2025/G2025-1</x:f>
        <x:v>-0.1896443520214257</x:v>
      </x:c>
      <x:c r="I2025" s="14" t="n">
        <x:f>F2025/F2024-1</x:f>
        <x:v>0</x:v>
      </x:c>
      <x:c r="J2025" s="12" t="n">
        <x:v>0</x:v>
      </x:c>
      <x:c r="K2025" s="12" t="n">
        <x:v>0</x:v>
      </x:c>
      <x:c r="L2025" s="12" t="n">
        <x:v>0</x:v>
      </x:c>
      <x:c r="M2025" s="2" t="str">
        <x:v>空仓</x:v>
      </x:c>
    </x:row>
    <x:row r="2026" ht="23" customHeight="1">
      <x:c r="A2026" s="11" t="d">
        <x:v>2023-01-11T00:00:00.000Z</x:v>
      </x:c>
      <x:c r="B2026" s="12" t="n">
        <x:v>363.178713</x:v>
      </x:c>
      <x:c r="C2026" s="13" t="n">
        <x:v>284</x:v>
      </x:c>
      <x:c r="D2026" s="12" t="n">
        <x:v>112327.68</x:v>
      </x:c>
      <x:c r="E2026" s="12" t="n">
        <x:v>518.3874</x:v>
      </x:c>
      <x:c r="F2026" s="12" t="n">
        <x:f>SUM(B2026,D2026:E2026)</x:f>
        <x:v>113209.246113</x:v>
      </x:c>
      <x:c r="G2026" s="12" t="n">
        <x:f>MAX(G2025,F2026)</x:f>
        <x:v>138687.599344</x:v>
      </x:c>
      <x:c r="H2026" s="14" t="n">
        <x:f>F2026/G2026-1</x:f>
        <x:v>-0.18371039192771388</x:v>
      </x:c>
      <x:c r="I2026" s="14" t="n">
        <x:f>F2026/F2025-1</x:f>
        <x:v>0.007322661486365956</x:v>
      </x:c>
      <x:c r="J2026" s="12" t="n">
        <x:v>0</x:v>
      </x:c>
      <x:c r="K2026" s="12" t="n">
        <x:v>0</x:v>
      </x:c>
      <x:c r="L2026" s="12" t="n">
        <x:v>284</x:v>
      </x:c>
      <x:c r="M2026" s="2" t="str">
        <x:v>买入</x:v>
      </x:c>
    </x:row>
    <x:row r="2027" ht="23" customHeight="1">
      <x:c r="A2027" s="11" t="d">
        <x:v>2023-01-12T00:00:00.000Z</x:v>
      </x:c>
      <x:c r="B2027" s="12" t="n">
        <x:v>363.178713</x:v>
      </x:c>
      <x:c r="C2027" s="13" t="n">
        <x:v>284</x:v>
      </x:c>
      <x:c r="D2027" s="12" t="n">
        <x:v>112736.64</x:v>
      </x:c>
      <x:c r="E2027" s="12" t="n">
        <x:v>518.3874</x:v>
      </x:c>
      <x:c r="F2027" s="12" t="n">
        <x:f>SUM(B2027,D2027:E2027)</x:f>
        <x:v>113618.20611300001</x:v>
      </x:c>
      <x:c r="G2027" s="12" t="n">
        <x:f>MAX(G2026,F2027)</x:f>
        <x:v>138687.599344</x:v>
      </x:c>
      <x:c r="H2027" s="14" t="n">
        <x:f>F2027/G2027-1</x:f>
        <x:v>-0.1807616062977483</x:v>
      </x:c>
      <x:c r="I2027" s="14" t="n">
        <x:f>F2027/F2026-1</x:f>
        <x:v>0.0036124257871288368</x:v>
      </x:c>
      <x:c r="J2027" s="12" t="n">
        <x:v>0</x:v>
      </x:c>
      <x:c r="K2027" s="12" t="n">
        <x:v>0</x:v>
      </x:c>
      <x:c r="L2027" s="12" t="n">
        <x:v>0</x:v>
      </x:c>
      <x:c r="M2027" s="2" t="str">
        <x:v>持有</x:v>
      </x:c>
    </x:row>
    <x:row r="2028" ht="23" customHeight="1">
      <x:c r="A2028" s="11" t="d">
        <x:v>2023-01-13T00:00:00.000Z</x:v>
      </x:c>
      <x:c r="B2028" s="12" t="n">
        <x:v>363.178713</x:v>
      </x:c>
      <x:c r="C2028" s="13" t="n">
        <x:v>284</x:v>
      </x:c>
      <x:c r="D2028" s="12" t="n">
        <x:v>113174</x:v>
      </x:c>
      <x:c r="E2028" s="12" t="n">
        <x:v>518.3874</x:v>
      </x:c>
      <x:c r="F2028" s="12" t="n">
        <x:f>SUM(B2028,D2028:E2028)</x:f>
        <x:v>114055.56611300001</x:v>
      </x:c>
      <x:c r="G2028" s="12" t="n">
        <x:f>MAX(G2027,F2028)</x:f>
        <x:v>138687.599344</x:v>
      </x:c>
      <x:c r="H2028" s="14" t="n">
        <x:f>F2028/G2028-1</x:f>
        <x:v>-0.17760804388792406</x:v>
      </x:c>
      <x:c r="I2028" s="14" t="n">
        <x:f>F2028/F2027-1</x:f>
        <x:v>0.003849383078315949</x:v>
      </x:c>
      <x:c r="J2028" s="12" t="n">
        <x:v>0</x:v>
      </x:c>
      <x:c r="K2028" s="12" t="n">
        <x:v>0</x:v>
      </x:c>
      <x:c r="L2028" s="12" t="n">
        <x:v>0</x:v>
      </x:c>
      <x:c r="M2028" s="2" t="str">
        <x:v>持有</x:v>
      </x:c>
    </x:row>
    <x:row r="2029" ht="23" customHeight="1">
      <x:c r="A2029" s="11" t="d">
        <x:v>2023-01-17T00:00:00.000Z</x:v>
      </x:c>
      <x:c r="B2029" s="12" t="n">
        <x:v>363.178713</x:v>
      </x:c>
      <x:c r="C2029" s="13" t="n">
        <x:v>284</x:v>
      </x:c>
      <x:c r="D2029" s="12" t="n">
        <x:v>112966.68</x:v>
      </x:c>
      <x:c r="E2029" s="12" t="n">
        <x:v>518.3874</x:v>
      </x:c>
      <x:c r="F2029" s="12" t="n">
        <x:f>SUM(B2029,D2029:E2029)</x:f>
        <x:v>113848.246113</x:v>
      </x:c>
      <x:c r="G2029" s="12" t="n">
        <x:f>MAX(G2028,F2029)</x:f>
        <x:v>138687.599344</x:v>
      </x:c>
      <x:c r="H2029" s="14" t="n">
        <x:f>F2029/G2029-1</x:f>
        <x:v>-0.17910291438089276</x:v>
      </x:c>
      <x:c r="I2029" s="14" t="n">
        <x:f>F2029/F2028-1</x:f>
        <x:v>-0.0018177104990615423</x:v>
      </x:c>
      <x:c r="J2029" s="12" t="n">
        <x:v>0</x:v>
      </x:c>
      <x:c r="K2029" s="12" t="n">
        <x:v>0</x:v>
      </x:c>
      <x:c r="L2029" s="12" t="n">
        <x:v>0</x:v>
      </x:c>
      <x:c r="M2029" s="2" t="str">
        <x:v>持有</x:v>
      </x:c>
    </x:row>
    <x:row r="2030" ht="23" customHeight="1">
      <x:c r="A2030" s="11" t="d">
        <x:v>2023-01-18T00:00:00.000Z</x:v>
      </x:c>
      <x:c r="B2030" s="12" t="n">
        <x:v>363.178713</x:v>
      </x:c>
      <x:c r="C2030" s="13" t="n">
        <x:v>284</x:v>
      </x:c>
      <x:c r="D2030" s="12" t="n">
        <x:v>111183.16</x:v>
      </x:c>
      <x:c r="E2030" s="12" t="n">
        <x:v>518.3874</x:v>
      </x:c>
      <x:c r="F2030" s="12" t="n">
        <x:f>SUM(B2030,D2030:E2030)</x:f>
        <x:v>112064.72611300001</x:v>
      </x:c>
      <x:c r="G2030" s="12" t="n">
        <x:f>MAX(G2029,F2030)</x:f>
        <x:v>138687.599344</x:v>
      </x:c>
      <x:c r="H2030" s="14" t="n">
        <x:f>F2030/G2030-1</x:f>
        <x:v>-0.19196289615602002</x:v>
      </x:c>
      <x:c r="I2030" s="14" t="n">
        <x:f>F2030/F2029-1</x:f>
        <x:v>-0.015665766148296734</x:v>
      </x:c>
      <x:c r="J2030" s="12" t="n">
        <x:v>0</x:v>
      </x:c>
      <x:c r="K2030" s="12" t="n">
        <x:v>0</x:v>
      </x:c>
      <x:c r="L2030" s="12" t="n">
        <x:v>0</x:v>
      </x:c>
      <x:c r="M2030" s="2" t="str">
        <x:v>持有</x:v>
      </x:c>
    </x:row>
    <x:row r="2031" ht="23" customHeight="1">
      <x:c r="A2031" s="11" t="d">
        <x:v>2023-01-19T00:00:00.000Z</x:v>
      </x:c>
      <x:c r="B2031" s="12" t="n">
        <x:v>363.178713</x:v>
      </x:c>
      <x:c r="C2031" s="13" t="n">
        <x:v>284</x:v>
      </x:c>
      <x:c r="D2031" s="12" t="n">
        <x:v>110373.76</x:v>
      </x:c>
      <x:c r="E2031" s="12" t="n">
        <x:v>518.3874</x:v>
      </x:c>
      <x:c r="F2031" s="12" t="n">
        <x:f>SUM(B2031,D2031:E2031)</x:f>
        <x:v>111255.326113</x:v>
      </x:c>
      <x:c r="G2031" s="12" t="n">
        <x:f>MAX(G2030,F2031)</x:f>
        <x:v>138687.599344</x:v>
      </x:c>
      <x:c r="H2031" s="14" t="n">
        <x:f>F2031/G2031-1</x:f>
        <x:v>-0.19779903438199342</x:v>
      </x:c>
      <x:c r="I2031" s="14" t="n">
        <x:f>F2031/F2030-1</x:f>
        <x:v>-0.0072226116823223</x:v>
      </x:c>
      <x:c r="J2031" s="12" t="n">
        <x:v>0</x:v>
      </x:c>
      <x:c r="K2031" s="12" t="n">
        <x:v>0</x:v>
      </x:c>
      <x:c r="L2031" s="12" t="n">
        <x:v>0</x:v>
      </x:c>
      <x:c r="M2031" s="2" t="str">
        <x:v>持有</x:v>
      </x:c>
    </x:row>
    <x:row r="2032" ht="23" customHeight="1">
      <x:c r="A2032" s="11" t="d">
        <x:v>2023-01-20T00:00:00.000Z</x:v>
      </x:c>
      <x:c r="B2032" s="12" t="n">
        <x:v>111040.790313</x:v>
      </x:c>
      <x:c r="C2032" s="13" t="n">
        <x:v>0</x:v>
      </x:c>
      <x:c r="D2032" s="12" t="n">
        <x:v>0</x:v>
      </x:c>
      <x:c r="E2032" s="12" t="n">
        <x:v>518.3874</x:v>
      </x:c>
      <x:c r="F2032" s="12" t="n">
        <x:f>SUM(B2032,D2032:E2032)</x:f>
        <x:v>111559.17771300001</x:v>
      </x:c>
      <x:c r="G2032" s="12" t="n">
        <x:f>MAX(G2031,F2032)</x:f>
        <x:v>138687.599344</x:v>
      </x:c>
      <x:c r="H2032" s="14" t="n">
        <x:f>F2032/G2032-1</x:f>
        <x:v>-0.19560812761428503</x:v>
      </x:c>
      <x:c r="I2032" s="14" t="n">
        <x:f>F2032/F2031-1</x:f>
        <x:v>0.002731119584256092</x:v>
      </x:c>
      <x:c r="J2032" s="12" t="n">
        <x:v>0</x:v>
      </x:c>
      <x:c r="K2032" s="12" t="n">
        <x:v>0</x:v>
      </x:c>
      <x:c r="L2032" s="12" t="n">
        <x:v>-284</x:v>
      </x:c>
      <x:c r="M2032" s="2" t="str">
        <x:v>卖出</x:v>
      </x:c>
    </x:row>
    <x:row r="2033" ht="23" customHeight="1">
      <x:c r="A2033" s="11" t="d">
        <x:v>2023-01-23T00:00:00.000Z</x:v>
      </x:c>
      <x:c r="B2033" s="12" t="n">
        <x:v>245.225433</x:v>
      </x:c>
      <x:c r="C2033" s="13" t="n">
        <x:v>279</x:v>
      </x:c>
      <x:c r="D2033" s="12" t="n">
        <x:v>111775.77</x:v>
      </x:c>
      <x:c r="E2033" s="12" t="n">
        <x:v>518.3874</x:v>
      </x:c>
      <x:c r="F2033" s="12" t="n">
        <x:f>SUM(B2033,D2033:E2033)</x:f>
        <x:v>112539.38283300001</x:v>
      </x:c>
      <x:c r="G2033" s="12" t="n">
        <x:f>MAX(G2032,F2033)</x:f>
        <x:v>138687.599344</x:v>
      </x:c>
      <x:c r="H2033" s="14" t="n">
        <x:f>F2033/G2033-1</x:f>
        <x:v>-0.18854040761165736</x:v>
      </x:c>
      <x:c r="I2033" s="14" t="n">
        <x:f>F2033/F2032-1</x:f>
        <x:v>0.00878641399205815</x:v>
      </x:c>
      <x:c r="J2033" s="12" t="n">
        <x:v>0</x:v>
      </x:c>
      <x:c r="K2033" s="12" t="n">
        <x:v>0</x:v>
      </x:c>
      <x:c r="L2033" s="12" t="n">
        <x:v>279</x:v>
      </x:c>
      <x:c r="M2033" s="2" t="str">
        <x:v>买入</x:v>
      </x:c>
    </x:row>
    <x:row r="2034" ht="23" customHeight="1">
      <x:c r="A2034" s="11" t="d">
        <x:v>2023-01-24T00:00:00.000Z</x:v>
      </x:c>
      <x:c r="B2034" s="12" t="n">
        <x:v>245.225433</x:v>
      </x:c>
      <x:c r="C2034" s="13" t="n">
        <x:v>279</x:v>
      </x:c>
      <x:c r="D2034" s="12" t="n">
        <x:v>111655.8</x:v>
      </x:c>
      <x:c r="E2034" s="12" t="n">
        <x:v>518.3874</x:v>
      </x:c>
      <x:c r="F2034" s="12" t="n">
        <x:f>SUM(B2034,D2034:E2034)</x:f>
        <x:v>112419.41283300001</x:v>
      </x:c>
      <x:c r="G2034" s="12" t="n">
        <x:f>MAX(G2033,F2034)</x:f>
        <x:v>138687.599344</x:v>
      </x:c>
      <x:c r="H2034" s="14" t="n">
        <x:f>F2034/G2034-1</x:f>
        <x:v>-0.18940544529756054</x:v>
      </x:c>
      <x:c r="I2034" s="14" t="n">
        <x:f>F2034/F2033-1</x:f>
        <x:v>-0.001066026816390342</x:v>
      </x:c>
      <x:c r="J2034" s="12" t="n">
        <x:v>0</x:v>
      </x:c>
      <x:c r="K2034" s="12" t="n">
        <x:v>0</x:v>
      </x:c>
      <x:c r="L2034" s="12" t="n">
        <x:v>0</x:v>
      </x:c>
      <x:c r="M2034" s="2" t="str">
        <x:v>持有</x:v>
      </x:c>
    </x:row>
    <x:row r="2035" ht="23" customHeight="1">
      <x:c r="A2035" s="11" t="d">
        <x:v>2023-01-25T00:00:00.000Z</x:v>
      </x:c>
      <x:c r="B2035" s="12" t="n">
        <x:v>245.225433</x:v>
      </x:c>
      <x:c r="C2035" s="13" t="n">
        <x:v>279</x:v>
      </x:c>
      <x:c r="D2035" s="12" t="n">
        <x:v>111697.65000000001</x:v>
      </x:c>
      <x:c r="E2035" s="12" t="n">
        <x:v>518.3874</x:v>
      </x:c>
      <x:c r="F2035" s="12" t="n">
        <x:f>SUM(B2035,D2035:E2035)</x:f>
        <x:v>112461.26283300002</x:v>
      </x:c>
      <x:c r="G2035" s="12" t="n">
        <x:f>MAX(G2034,F2035)</x:f>
        <x:v>138687.599344</x:v>
      </x:c>
      <x:c r="H2035" s="14" t="n">
        <x:f>F2035/G2035-1</x:f>
        <x:v>-0.18910368796526866</x:v>
      </x:c>
      <x:c r="I2035" s="14" t="n">
        <x:f>F2035/F2034-1</x:f>
        <x:v>0.00037226666591982926</x:v>
      </x:c>
      <x:c r="J2035" s="12" t="n">
        <x:v>0</x:v>
      </x:c>
      <x:c r="K2035" s="12" t="n">
        <x:v>0</x:v>
      </x:c>
      <x:c r="L2035" s="12" t="n">
        <x:v>0</x:v>
      </x:c>
      <x:c r="M2035" s="2" t="str">
        <x:v>持有</x:v>
      </x:c>
    </x:row>
    <x:row r="2036" ht="23" customHeight="1">
      <x:c r="A2036" s="11" t="d">
        <x:v>2023-01-26T00:00:00.000Z</x:v>
      </x:c>
      <x:c r="B2036" s="12" t="n">
        <x:v>245.225433</x:v>
      </x:c>
      <x:c r="C2036" s="13" t="n">
        <x:v>279</x:v>
      </x:c>
      <x:c r="D2036" s="12" t="n">
        <x:v>112925.25</x:v>
      </x:c>
      <x:c r="E2036" s="12" t="n">
        <x:v>518.3874</x:v>
      </x:c>
      <x:c r="F2036" s="12" t="n">
        <x:f>SUM(B2036,D2036:E2036)</x:f>
        <x:v>113688.862833</x:v>
      </x:c>
      <x:c r="G2036" s="12" t="n">
        <x:f>MAX(G2035,F2036)</x:f>
        <x:v>138687.599344</x:v>
      </x:c>
      <x:c r="H2036" s="14" t="n">
        <x:f>F2036/G2036-1</x:f>
        <x:v>-0.18025213955137576</x:v>
      </x:c>
      <x:c r="I2036" s="14" t="n">
        <x:f>F2036/F2035-1</x:f>
        <x:v>0.010915758627243255</x:v>
      </x:c>
      <x:c r="J2036" s="12" t="n">
        <x:v>0</x:v>
      </x:c>
      <x:c r="K2036" s="12" t="n">
        <x:v>0</x:v>
      </x:c>
      <x:c r="L2036" s="12" t="n">
        <x:v>0</x:v>
      </x:c>
      <x:c r="M2036" s="2" t="str">
        <x:v>持有</x:v>
      </x:c>
    </x:row>
    <x:row r="2037" ht="23" customHeight="1">
      <x:c r="A2037" s="11" t="d">
        <x:v>2023-01-27T00:00:00.000Z</x:v>
      </x:c>
      <x:c r="B2037" s="12" t="n">
        <x:v>245.225433</x:v>
      </x:c>
      <x:c r="C2037" s="13" t="n">
        <x:v>279</x:v>
      </x:c>
      <x:c r="D2037" s="12" t="n">
        <x:v>113184.72</x:v>
      </x:c>
      <x:c r="E2037" s="12" t="n">
        <x:v>518.3874</x:v>
      </x:c>
      <x:c r="F2037" s="12" t="n">
        <x:f>SUM(B2037,D2037:E2037)</x:f>
        <x:v>113948.33283300001</x:v>
      </x:c>
      <x:c r="G2037" s="12" t="n">
        <x:f>MAX(G2036,F2037)</x:f>
        <x:v>138687.599344</x:v>
      </x:c>
      <x:c r="H2037" s="14" t="n">
        <x:f>F2037/G2037-1</x:f>
        <x:v>-0.17838124409116662</x:v>
      </x:c>
      <x:c r="I2037" s="14" t="n">
        <x:f>F2037/F2036-1</x:f>
        <x:v>0.002282281602034697</x:v>
      </x:c>
      <x:c r="J2037" s="12" t="n">
        <x:v>0</x:v>
      </x:c>
      <x:c r="K2037" s="12" t="n">
        <x:v>0</x:v>
      </x:c>
      <x:c r="L2037" s="12" t="n">
        <x:v>0</x:v>
      </x:c>
      <x:c r="M2037" s="2" t="str">
        <x:v>持有</x:v>
      </x:c>
    </x:row>
    <x:row r="2038" ht="23" customHeight="1">
      <x:c r="A2038" s="11" t="d">
        <x:v>2023-01-30T00:00:00.000Z</x:v>
      </x:c>
      <x:c r="B2038" s="12" t="n">
        <x:v>245.225433</x:v>
      </x:c>
      <x:c r="C2038" s="13" t="n">
        <x:v>279</x:v>
      </x:c>
      <x:c r="D2038" s="12" t="n">
        <x:v>111764.60999999999</x:v>
      </x:c>
      <x:c r="E2038" s="12" t="n">
        <x:v>518.3874</x:v>
      </x:c>
      <x:c r="F2038" s="12" t="n">
        <x:f>SUM(B2038,D2038:E2038)</x:f>
        <x:v>112528.22283299999</x:v>
      </x:c>
      <x:c r="G2038" s="12" t="n">
        <x:f>MAX(G2037,F2038)</x:f>
        <x:v>138687.599344</x:v>
      </x:c>
      <x:c r="H2038" s="14" t="n">
        <x:f>F2038/G2038-1</x:f>
        <x:v>-0.1886208762336019</x:v>
      </x:c>
      <x:c r="I2038" s="14" t="n">
        <x:f>F2038/F2037-1</x:f>
        <x:v>-0.012462753641874658</x:v>
      </x:c>
      <x:c r="J2038" s="12" t="n">
        <x:v>0</x:v>
      </x:c>
      <x:c r="K2038" s="12" t="n">
        <x:v>0</x:v>
      </x:c>
      <x:c r="L2038" s="12" t="n">
        <x:v>0</x:v>
      </x:c>
      <x:c r="M2038" s="2" t="str">
        <x:v>持有</x:v>
      </x:c>
    </x:row>
    <x:row r="2039" ht="23" customHeight="1">
      <x:c r="A2039" s="11" t="d">
        <x:v>2023-01-31T00:00:00.000Z</x:v>
      </x:c>
      <x:c r="B2039" s="12" t="n">
        <x:v>763.612833</x:v>
      </x:c>
      <x:c r="C2039" s="13" t="n">
        <x:v>279</x:v>
      </x:c>
      <x:c r="D2039" s="12" t="n">
        <x:v>113407.92</x:v>
      </x:c>
      <x:c r="E2039" s="12" t="n">
        <x:v>0</x:v>
      </x:c>
      <x:c r="F2039" s="12" t="n">
        <x:f>SUM(B2039,D2039:E2039)</x:f>
        <x:v>114171.532833</x:v>
      </x:c>
      <x:c r="G2039" s="12" t="n">
        <x:f>MAX(G2038,F2039)</x:f>
        <x:v>138687.599344</x:v>
      </x:c>
      <x:c r="H2039" s="14" t="n">
        <x:f>F2039/G2039-1</x:f>
        <x:v>-0.17677187165227704</x:v>
      </x:c>
      <x:c r="I2039" s="14" t="n">
        <x:f>F2039/F2038-1</x:f>
        <x:v>0.014603536416271323</x:v>
      </x:c>
      <x:c r="J2039" s="12" t="n">
        <x:v>0</x:v>
      </x:c>
      <x:c r="K2039" s="12" t="n">
        <x:v>518.3874</x:v>
      </x:c>
      <x:c r="L2039" s="12" t="n">
        <x:v>0</x:v>
      </x:c>
      <x:c r="M2039" s="2" t="str">
        <x:v>持有</x:v>
      </x:c>
    </x:row>
    <x:row r="2040" ht="23" customHeight="1">
      <x:c r="A2040" s="11" t="d">
        <x:v>2023-02-01T00:00:00.000Z</x:v>
      </x:c>
      <x:c r="B2040" s="12" t="n">
        <x:v>763.612833</x:v>
      </x:c>
      <x:c r="C2040" s="13" t="n">
        <x:v>279</x:v>
      </x:c>
      <x:c r="D2040" s="12" t="n">
        <x:v>114613.2</x:v>
      </x:c>
      <x:c r="E2040" s="12" t="n">
        <x:v>0</x:v>
      </x:c>
      <x:c r="F2040" s="12" t="n">
        <x:f>SUM(B2040,D2040:E2040)</x:f>
        <x:v>115376.812833</x:v>
      </x:c>
      <x:c r="G2040" s="12" t="n">
        <x:f>MAX(G2039,F2040)</x:f>
        <x:v>138687.599344</x:v>
      </x:c>
      <x:c r="H2040" s="14" t="n">
        <x:f>F2040/G2040-1</x:f>
        <x:v>-0.168081260482273</x:v>
      </x:c>
      <x:c r="I2040" s="14" t="n">
        <x:f>F2040/F2039-1</x:f>
        <x:v>0.010556747116314602</x:v>
      </x:c>
      <x:c r="J2040" s="12" t="n">
        <x:v>0</x:v>
      </x:c>
      <x:c r="K2040" s="12" t="n">
        <x:v>0</x:v>
      </x:c>
      <x:c r="L2040" s="12" t="n">
        <x:v>0</x:v>
      </x:c>
      <x:c r="M2040" s="2" t="str">
        <x:v>持有</x:v>
      </x:c>
    </x:row>
    <x:row r="2041" ht="23" customHeight="1">
      <x:c r="A2041" s="11" t="d">
        <x:v>2023-02-02T00:00:00.000Z</x:v>
      </x:c>
      <x:c r="B2041" s="12" t="n">
        <x:v>763.612833</x:v>
      </x:c>
      <x:c r="C2041" s="13" t="n">
        <x:v>279</x:v>
      </x:c>
      <x:c r="D2041" s="12" t="n">
        <x:v>116281.62</x:v>
      </x:c>
      <x:c r="E2041" s="12" t="n">
        <x:v>0</x:v>
      </x:c>
      <x:c r="F2041" s="12" t="n">
        <x:f>SUM(B2041,D2041:E2041)</x:f>
        <x:v>117045.232833</x:v>
      </x:c>
      <x:c r="G2041" s="12" t="n">
        <x:f>MAX(G2040,F2041)</x:f>
        <x:v>138687.599344</x:v>
      </x:c>
      <x:c r="H2041" s="14" t="n">
        <x:f>F2041/G2041-1</x:f>
        <x:v>-0.15605120150157314</x:v>
      </x:c>
      <x:c r="I2041" s="14" t="n">
        <x:f>F2041/F2040-1</x:f>
        <x:v>0.014460617857549263</x:v>
      </x:c>
      <x:c r="J2041" s="12" t="n">
        <x:v>0</x:v>
      </x:c>
      <x:c r="K2041" s="12" t="n">
        <x:v>0</x:v>
      </x:c>
      <x:c r="L2041" s="12" t="n">
        <x:v>0</x:v>
      </x:c>
      <x:c r="M2041" s="2" t="str">
        <x:v>持有</x:v>
      </x:c>
    </x:row>
    <x:row r="2042" ht="23" customHeight="1">
      <x:c r="A2042" s="11" t="d">
        <x:v>2023-02-03T00:00:00.000Z</x:v>
      </x:c>
      <x:c r="B2042" s="12" t="n">
        <x:v>763.612833</x:v>
      </x:c>
      <x:c r="C2042" s="13" t="n">
        <x:v>279</x:v>
      </x:c>
      <x:c r="D2042" s="12" t="n">
        <x:v>115045.65000000001</x:v>
      </x:c>
      <x:c r="E2042" s="12" t="n">
        <x:v>0</x:v>
      </x:c>
      <x:c r="F2042" s="12" t="n">
        <x:f>SUM(B2042,D2042:E2042)</x:f>
        <x:v>115809.26283300002</x:v>
      </x:c>
      <x:c r="G2042" s="12" t="n">
        <x:f>MAX(G2041,F2042)</x:f>
        <x:v>138687.599344</x:v>
      </x:c>
      <x:c r="H2042" s="14" t="n">
        <x:f>F2042/G2042-1</x:f>
        <x:v>-0.16496310138192438</x:v>
      </x:c>
      <x:c r="I2042" s="14" t="n">
        <x:f>F2042/F2041-1</x:f>
        <x:v>-0.010559763692071678</x:v>
      </x:c>
      <x:c r="J2042" s="12" t="n">
        <x:v>0</x:v>
      </x:c>
      <x:c r="K2042" s="12" t="n">
        <x:v>0</x:v>
      </x:c>
      <x:c r="L2042" s="12" t="n">
        <x:v>0</x:v>
      </x:c>
      <x:c r="M2042" s="2" t="str">
        <x:v>持有</x:v>
      </x:c>
    </x:row>
    <x:row r="2043" ht="23" customHeight="1">
      <x:c r="A2043" s="11" t="d">
        <x:v>2023-02-06T00:00:00.000Z</x:v>
      </x:c>
      <x:c r="B2043" s="12" t="n">
        <x:v>763.612833</x:v>
      </x:c>
      <x:c r="C2043" s="13" t="n">
        <x:v>279</x:v>
      </x:c>
      <x:c r="D2043" s="12" t="n">
        <x:v>114342.56999999999</x:v>
      </x:c>
      <x:c r="E2043" s="12" t="n">
        <x:v>0</x:v>
      </x:c>
      <x:c r="F2043" s="12" t="n">
        <x:f>SUM(B2043,D2043:E2043)</x:f>
        <x:v>115106.182833</x:v>
      </x:c>
      <x:c r="G2043" s="12" t="n">
        <x:f>MAX(G2042,F2043)</x:f>
        <x:v>138687.599344</x:v>
      </x:c>
      <x:c r="H2043" s="14" t="n">
        <x:f>F2043/G2043-1</x:f>
        <x:v>-0.1700326245644268</x:v>
      </x:c>
      <x:c r="I2043" s="14" t="n">
        <x:f>F2043/F2042-1</x:f>
        <x:v>-0.0060710169704980554</x:v>
      </x:c>
      <x:c r="J2043" s="12" t="n">
        <x:v>0</x:v>
      </x:c>
      <x:c r="K2043" s="12" t="n">
        <x:v>0</x:v>
      </x:c>
      <x:c r="L2043" s="12" t="n">
        <x:v>0</x:v>
      </x:c>
      <x:c r="M2043" s="2" t="str">
        <x:v>持有</x:v>
      </x:c>
    </x:row>
    <x:row r="2044" ht="23" customHeight="1">
      <x:c r="A2044" s="11" t="d">
        <x:v>2023-02-07T00:00:00.000Z</x:v>
      </x:c>
      <x:c r="B2044" s="12" t="n">
        <x:v>763.612833</x:v>
      </x:c>
      <x:c r="C2044" s="13" t="n">
        <x:v>279</x:v>
      </x:c>
      <x:c r="D2044" s="12" t="n">
        <x:v>115838.01</x:v>
      </x:c>
      <x:c r="E2044" s="12" t="n">
        <x:v>0</x:v>
      </x:c>
      <x:c r="F2044" s="12" t="n">
        <x:f>SUM(B2044,D2044:E2044)</x:f>
        <x:v>116601.622833</x:v>
      </x:c>
      <x:c r="G2044" s="12" t="n">
        <x:f>MAX(G2043,F2044)</x:f>
        <x:v>138687.599344</x:v>
      </x:c>
      <x:c r="H2044" s="14" t="n">
        <x:f>F2044/G2044-1</x:f>
        <x:v>-0.15924982922386632</x:v>
      </x:c>
      <x:c r="I2044" s="14" t="n">
        <x:f>F2044/F2043-1</x:f>
        <x:v>0.01299183035345397</x:v>
      </x:c>
      <x:c r="J2044" s="12" t="n">
        <x:v>0</x:v>
      </x:c>
      <x:c r="K2044" s="12" t="n">
        <x:v>0</x:v>
      </x:c>
      <x:c r="L2044" s="12" t="n">
        <x:v>0</x:v>
      </x:c>
      <x:c r="M2044" s="2" t="str">
        <x:v>持有</x:v>
      </x:c>
    </x:row>
    <x:row r="2045" ht="23" customHeight="1">
      <x:c r="A2045" s="11" t="d">
        <x:v>2023-02-08T00:00:00.000Z</x:v>
      </x:c>
      <x:c r="B2045" s="12" t="n">
        <x:v>763.612833</x:v>
      </x:c>
      <x:c r="C2045" s="13" t="n">
        <x:v>279</x:v>
      </x:c>
      <x:c r="D2045" s="12" t="n">
        <x:v>114571.34999999999</x:v>
      </x:c>
      <x:c r="E2045" s="12" t="n">
        <x:v>0</x:v>
      </x:c>
      <x:c r="F2045" s="12" t="n">
        <x:f>SUM(B2045,D2045:E2045)</x:f>
        <x:v>115334.962833</x:v>
      </x:c>
      <x:c r="G2045" s="12" t="n">
        <x:f>MAX(G2044,F2045)</x:f>
        <x:v>138687.599344</x:v>
      </x:c>
      <x:c r="H2045" s="14" t="n">
        <x:f>F2045/G2045-1</x:f>
        <x:v>-0.16838301781456488</x:v>
      </x:c>
      <x:c r="I2045" s="14" t="n">
        <x:f>F2045/F2044-1</x:f>
        <x:v>-0.010863142117791491</x:v>
      </x:c>
      <x:c r="J2045" s="12" t="n">
        <x:v>0</x:v>
      </x:c>
      <x:c r="K2045" s="12" t="n">
        <x:v>0</x:v>
      </x:c>
      <x:c r="L2045" s="12" t="n">
        <x:v>0</x:v>
      </x:c>
      <x:c r="M2045" s="2" t="str">
        <x:v>持有</x:v>
      </x:c>
    </x:row>
    <x:row r="2046" ht="23" customHeight="1">
      <x:c r="A2046" s="11" t="d">
        <x:v>2023-02-09T00:00:00.000Z</x:v>
      </x:c>
      <x:c r="B2046" s="12" t="n">
        <x:v>763.612833</x:v>
      </x:c>
      <x:c r="C2046" s="13" t="n">
        <x:v>279</x:v>
      </x:c>
      <x:c r="D2046" s="12" t="n">
        <x:v>113578.10999999999</x:v>
      </x:c>
      <x:c r="E2046" s="12" t="n">
        <x:v>0</x:v>
      </x:c>
      <x:c r="F2046" s="12" t="n">
        <x:f>SUM(B2046,D2046:E2046)</x:f>
        <x:v>114341.72283299999</x:v>
      </x:c>
      <x:c r="G2046" s="12" t="n">
        <x:f>MAX(G2045,F2046)</x:f>
        <x:v>138687.599344</x:v>
      </x:c>
      <x:c r="H2046" s="14" t="n">
        <x:f>F2046/G2046-1</x:f>
        <x:v>-0.17554472516762376</x:v>
      </x:c>
      <x:c r="I2046" s="14" t="n">
        <x:f>F2046/F2045-1</x:f>
        <x:v>-0.00861178584188882</x:v>
      </x:c>
      <x:c r="J2046" s="12" t="n">
        <x:v>0</x:v>
      </x:c>
      <x:c r="K2046" s="12" t="n">
        <x:v>0</x:v>
      </x:c>
      <x:c r="L2046" s="12" t="n">
        <x:v>0</x:v>
      </x:c>
      <x:c r="M2046" s="2" t="str">
        <x:v>持有</x:v>
      </x:c>
    </x:row>
    <x:row r="2047" ht="23" customHeight="1">
      <x:c r="A2047" s="11" t="d">
        <x:v>2023-02-10T00:00:00.000Z</x:v>
      </x:c>
      <x:c r="B2047" s="12" t="n">
        <x:v>763.612833</x:v>
      </x:c>
      <x:c r="C2047" s="13" t="n">
        <x:v>279</x:v>
      </x:c>
      <x:c r="D2047" s="12" t="n">
        <x:v>113843.16</x:v>
      </x:c>
      <x:c r="E2047" s="12" t="n">
        <x:v>0</x:v>
      </x:c>
      <x:c r="F2047" s="12" t="n">
        <x:f>SUM(B2047,D2047:E2047)</x:f>
        <x:v>114606.77283300001</x:v>
      </x:c>
      <x:c r="G2047" s="12" t="n">
        <x:f>MAX(G2046,F2047)</x:f>
        <x:v>138687.599344</x:v>
      </x:c>
      <x:c r="H2047" s="14" t="n">
        <x:f>F2047/G2047-1</x:f>
        <x:v>-0.1736335953964422</x:v>
      </x:c>
      <x:c r="I2047" s="14" t="n">
        <x:f>F2047/F2046-1</x:f>
        <x:v>0.002318051481410066</x:v>
      </x:c>
      <x:c r="J2047" s="12" t="n">
        <x:v>0</x:v>
      </x:c>
      <x:c r="K2047" s="12" t="n">
        <x:v>0</x:v>
      </x:c>
      <x:c r="L2047" s="12" t="n">
        <x:v>0</x:v>
      </x:c>
      <x:c r="M2047" s="2" t="str">
        <x:v>持有</x:v>
      </x:c>
    </x:row>
    <x:row r="2048" ht="23" customHeight="1">
      <x:c r="A2048" s="11" t="d">
        <x:v>2023-02-13T00:00:00.000Z</x:v>
      </x:c>
      <x:c r="B2048" s="12" t="n">
        <x:v>763.612833</x:v>
      </x:c>
      <x:c r="C2048" s="13" t="n">
        <x:v>279</x:v>
      </x:c>
      <x:c r="D2048" s="12" t="n">
        <x:v>115179.56999999999</x:v>
      </x:c>
      <x:c r="E2048" s="12" t="n">
        <x:v>0</x:v>
      </x:c>
      <x:c r="F2048" s="12" t="n">
        <x:f>SUM(B2048,D2048:E2048)</x:f>
        <x:v>115943.182833</x:v>
      </x:c>
      <x:c r="G2048" s="12" t="n">
        <x:f>MAX(G2047,F2048)</x:f>
        <x:v>138687.599344</x:v>
      </x:c>
      <x:c r="H2048" s="14" t="n">
        <x:f>F2048/G2048-1</x:f>
        <x:v>-0.16399747791859065</x:v>
      </x:c>
      <x:c r="I2048" s="14" t="n">
        <x:f>F2048/F2047-1</x:f>
        <x:v>0.011660829172350562</x:v>
      </x:c>
      <x:c r="J2048" s="12" t="n">
        <x:v>0</x:v>
      </x:c>
      <x:c r="K2048" s="12" t="n">
        <x:v>0</x:v>
      </x:c>
      <x:c r="L2048" s="12" t="n">
        <x:v>0</x:v>
      </x:c>
      <x:c r="M2048" s="2" t="str">
        <x:v>持有</x:v>
      </x:c>
    </x:row>
    <x:row r="2049" ht="23" customHeight="1">
      <x:c r="A2049" s="11" t="d">
        <x:v>2023-02-14T00:00:00.000Z</x:v>
      </x:c>
      <x:c r="B2049" s="12" t="n">
        <x:v>763.612833</x:v>
      </x:c>
      <x:c r="C2049" s="13" t="n">
        <x:v>279</x:v>
      </x:c>
      <x:c r="D2049" s="12" t="n">
        <x:v>115126.56</x:v>
      </x:c>
      <x:c r="E2049" s="12" t="n">
        <x:v>0</x:v>
      </x:c>
      <x:c r="F2049" s="12" t="n">
        <x:f>SUM(B2049,D2049:E2049)</x:f>
        <x:v>115890.172833</x:v>
      </x:c>
      <x:c r="G2049" s="12" t="n">
        <x:f>MAX(G2048,F2049)</x:f>
        <x:v>138687.599344</x:v>
      </x:c>
      <x:c r="H2049" s="14" t="n">
        <x:f>F2049/G2049-1</x:f>
        <x:v>-0.16437970387282697</x:v>
      </x:c>
      <x:c r="I2049" s="14" t="n">
        <x:f>F2049/F2048-1</x:f>
        <x:v>-0.0004572066999087854</x:v>
      </x:c>
      <x:c r="J2049" s="12" t="n">
        <x:v>0</x:v>
      </x:c>
      <x:c r="K2049" s="12" t="n">
        <x:v>0</x:v>
      </x:c>
      <x:c r="L2049" s="12" t="n">
        <x:v>0</x:v>
      </x:c>
      <x:c r="M2049" s="2" t="str">
        <x:v>持有</x:v>
      </x:c>
    </x:row>
    <x:row r="2050" ht="23" customHeight="1">
      <x:c r="A2050" s="11" t="d">
        <x:v>2023-02-15T00:00:00.000Z</x:v>
      </x:c>
      <x:c r="B2050" s="12" t="n">
        <x:v>763.612833</x:v>
      </x:c>
      <x:c r="C2050" s="13" t="n">
        <x:v>279</x:v>
      </x:c>
      <x:c r="D2050" s="12" t="n">
        <x:v>115500.42</x:v>
      </x:c>
      <x:c r="E2050" s="12" t="n">
        <x:v>0</x:v>
      </x:c>
      <x:c r="F2050" s="12" t="n">
        <x:f>SUM(B2050,D2050:E2050)</x:f>
        <x:v>116264.032833</x:v>
      </x:c>
      <x:c r="G2050" s="12" t="n">
        <x:f>MAX(G2049,F2050)</x:f>
        <x:v>138687.599344</x:v>
      </x:c>
      <x:c r="H2050" s="14" t="n">
        <x:f>F2050/G2050-1</x:f>
        <x:v>-0.16168400503768676</x:v>
      </x:c>
      <x:c r="I2050" s="14" t="n">
        <x:f>F2050/F2049-1</x:f>
        <x:v>0.003225985352000027</x:v>
      </x:c>
      <x:c r="J2050" s="12" t="n">
        <x:v>0</x:v>
      </x:c>
      <x:c r="K2050" s="12" t="n">
        <x:v>0</x:v>
      </x:c>
      <x:c r="L2050" s="12" t="n">
        <x:v>0</x:v>
      </x:c>
      <x:c r="M2050" s="2" t="str">
        <x:v>持有</x:v>
      </x:c>
    </x:row>
    <x:row r="2051" ht="23" customHeight="1">
      <x:c r="A2051" s="11" t="d">
        <x:v>2023-02-16T00:00:00.000Z</x:v>
      </x:c>
      <x:c r="B2051" s="12" t="n">
        <x:v>763.612833</x:v>
      </x:c>
      <x:c r="C2051" s="13" t="n">
        <x:v>279</x:v>
      </x:c>
      <x:c r="D2051" s="12" t="n">
        <x:v>113910.12</x:v>
      </x:c>
      <x:c r="E2051" s="12" t="n">
        <x:v>0</x:v>
      </x:c>
      <x:c r="F2051" s="12" t="n">
        <x:f>SUM(B2051,D2051:E2051)</x:f>
        <x:v>114673.732833</x:v>
      </x:c>
      <x:c r="G2051" s="12" t="n">
        <x:f>MAX(G2050,F2051)</x:f>
        <x:v>138687.599344</x:v>
      </x:c>
      <x:c r="H2051" s="14" t="n">
        <x:f>F2051/G2051-1</x:f>
        <x:v>-0.17315078366477543</x:v>
      </x:c>
      <x:c r="I2051" s="14" t="n">
        <x:f>F2051/F2050-1</x:f>
        <x:v>-0.013678348851740685</x:v>
      </x:c>
      <x:c r="J2051" s="12" t="n">
        <x:v>0</x:v>
      </x:c>
      <x:c r="K2051" s="12" t="n">
        <x:v>0</x:v>
      </x:c>
      <x:c r="L2051" s="12" t="n">
        <x:v>0</x:v>
      </x:c>
      <x:c r="M2051" s="2" t="str">
        <x:v>持有</x:v>
      </x:c>
    </x:row>
    <x:row r="2052" ht="23" customHeight="1">
      <x:c r="A2052" s="11" t="d">
        <x:v>2023-02-17T00:00:00.000Z</x:v>
      </x:c>
      <x:c r="B2052" s="12" t="n">
        <x:v>763.612833</x:v>
      </x:c>
      <x:c r="C2052" s="13" t="n">
        <x:v>279</x:v>
      </x:c>
      <x:c r="D2052" s="12" t="n">
        <x:v>113625.54</x:v>
      </x:c>
      <x:c r="E2052" s="12" t="n">
        <x:v>0</x:v>
      </x:c>
      <x:c r="F2052" s="12" t="n">
        <x:f>SUM(B2052,D2052:E2052)</x:f>
        <x:v>114389.152833</x:v>
      </x:c>
      <x:c r="G2052" s="12" t="n">
        <x:f>MAX(G2051,F2052)</x:f>
        <x:v>138687.599344</x:v>
      </x:c>
      <x:c r="H2052" s="14" t="n">
        <x:f>F2052/G2052-1</x:f>
        <x:v>-0.17520273352435967</x:v>
      </x:c>
      <x:c r="I2052" s="14" t="n">
        <x:f>F2052/F2051-1</x:f>
        <x:v>-0.0024816493975515774</x:v>
      </x:c>
      <x:c r="J2052" s="12" t="n">
        <x:v>0</x:v>
      </x:c>
      <x:c r="K2052" s="12" t="n">
        <x:v>0</x:v>
      </x:c>
      <x:c r="L2052" s="12" t="n">
        <x:v>0</x:v>
      </x:c>
      <x:c r="M2052" s="2" t="str">
        <x:v>持有</x:v>
      </x:c>
    </x:row>
    <x:row r="2053" ht="23" customHeight="1">
      <x:c r="A2053" s="11" t="d">
        <x:v>2023-02-21T00:00:00.000Z</x:v>
      </x:c>
      <x:c r="B2053" s="12" t="n">
        <x:v>763.612833</x:v>
      </x:c>
      <x:c r="C2053" s="13" t="n">
        <x:v>279</x:v>
      </x:c>
      <x:c r="D2053" s="12" t="n">
        <x:v>111346.10999999999</x:v>
      </x:c>
      <x:c r="E2053" s="12" t="n">
        <x:v>0</x:v>
      </x:c>
      <x:c r="F2053" s="12" t="n">
        <x:f>SUM(B2053,D2053:E2053)</x:f>
        <x:v>112109.72283299999</x:v>
      </x:c>
      <x:c r="G2053" s="12" t="n">
        <x:f>MAX(G2052,F2053)</x:f>
        <x:v>138687.599344</x:v>
      </x:c>
      <x:c r="H2053" s="14" t="n">
        <x:f>F2053/G2053-1</x:f>
        <x:v>-0.19163844955651999</x:v>
      </x:c>
      <x:c r="I2053" s="14" t="n">
        <x:f>F2053/F2052-1</x:f>
        <x:v>-0.01992697684655309</x:v>
      </x:c>
      <x:c r="J2053" s="12" t="n">
        <x:v>0</x:v>
      </x:c>
      <x:c r="K2053" s="12" t="n">
        <x:v>0</x:v>
      </x:c>
      <x:c r="L2053" s="12" t="n">
        <x:v>0</x:v>
      </x:c>
      <x:c r="M2053" s="2" t="str">
        <x:v>持有</x:v>
      </x:c>
    </x:row>
    <x:row r="2054" ht="23" customHeight="1">
      <x:c r="A2054" s="11" t="d">
        <x:v>2023-02-22T00:00:00.000Z</x:v>
      </x:c>
      <x:c r="B2054" s="12" t="n">
        <x:v>763.612833</x:v>
      </x:c>
      <x:c r="C2054" s="13" t="n">
        <x:v>279</x:v>
      </x:c>
      <x:c r="D2054" s="12" t="n">
        <x:v>111192.66</x:v>
      </x:c>
      <x:c r="E2054" s="12" t="n">
        <x:v>0</x:v>
      </x:c>
      <x:c r="F2054" s="12" t="n">
        <x:f>SUM(B2054,D2054:E2054)</x:f>
        <x:v>111956.27283300001</x:v>
      </x:c>
      <x:c r="G2054" s="12" t="n">
        <x:f>MAX(G2053,F2054)</x:f>
        <x:v>138687.599344</x:v>
      </x:c>
      <x:c r="H2054" s="14" t="n">
        <x:f>F2054/G2054-1</x:f>
        <x:v>-0.1927448931082565</x:v>
      </x:c>
      <x:c r="I2054" s="14" t="n">
        <x:f>F2054/F2053-1</x:f>
        <x:v>-0.001368748366531669</x:v>
      </x:c>
      <x:c r="J2054" s="12" t="n">
        <x:v>0</x:v>
      </x:c>
      <x:c r="K2054" s="12" t="n">
        <x:v>0</x:v>
      </x:c>
      <x:c r="L2054" s="12" t="n">
        <x:v>0</x:v>
      </x:c>
      <x:c r="M2054" s="2" t="str">
        <x:v>持有</x:v>
      </x:c>
    </x:row>
    <x:row r="2055" ht="23" customHeight="1">
      <x:c r="A2055" s="11" t="d">
        <x:v>2023-02-23T00:00:00.000Z</x:v>
      </x:c>
      <x:c r="B2055" s="12" t="n">
        <x:v>763.612833</x:v>
      </x:c>
      <x:c r="C2055" s="13" t="n">
        <x:v>279</x:v>
      </x:c>
      <x:c r="D2055" s="12" t="n">
        <x:v>111784.14000000001</x:v>
      </x:c>
      <x:c r="E2055" s="12" t="n">
        <x:v>0</x:v>
      </x:c>
      <x:c r="F2055" s="12" t="n">
        <x:f>SUM(B2055,D2055:E2055)</x:f>
        <x:v>112547.75283300002</x:v>
      </x:c>
      <x:c r="G2055" s="12" t="n">
        <x:f>MAX(G2054,F2055)</x:f>
        <x:v>138687.599344</x:v>
      </x:c>
      <x:c r="H2055" s="14" t="n">
        <x:f>F2055/G2055-1</x:f>
        <x:v>-0.18848005614519892</x:v>
      </x:c>
      <x:c r="I2055" s="14" t="n">
        <x:f>F2055/F2054-1</x:f>
        <x:v>0.00528313407576797</x:v>
      </x:c>
      <x:c r="J2055" s="12" t="n">
        <x:v>0</x:v>
      </x:c>
      <x:c r="K2055" s="12" t="n">
        <x:v>0</x:v>
      </x:c>
      <x:c r="L2055" s="12" t="n">
        <x:v>0</x:v>
      </x:c>
      <x:c r="M2055" s="2" t="str">
        <x:v>持有</x:v>
      </x:c>
    </x:row>
    <x:row r="2056" ht="23" customHeight="1">
      <x:c r="A2056" s="11" t="d">
        <x:v>2023-02-24T00:00:00.000Z</x:v>
      </x:c>
      <x:c r="B2056" s="12" t="n">
        <x:v>763.612833</x:v>
      </x:c>
      <x:c r="C2056" s="13" t="n">
        <x:v>279</x:v>
      </x:c>
      <x:c r="D2056" s="12" t="n">
        <x:v>110590.02</x:v>
      </x:c>
      <x:c r="E2056" s="12" t="n">
        <x:v>0</x:v>
      </x:c>
      <x:c r="F2056" s="12" t="n">
        <x:f>SUM(B2056,D2056:E2056)</x:f>
        <x:v>111353.63283300001</x:v>
      </x:c>
      <x:c r="G2056" s="12" t="n">
        <x:f>MAX(G2055,F2056)</x:f>
        <x:v>138687.599344</x:v>
      </x:c>
      <x:c r="H2056" s="14" t="n">
        <x:f>F2056/G2056-1</x:f>
        <x:v>-0.1970901986932584</x:v>
      </x:c>
      <x:c r="I2056" s="14" t="n">
        <x:f>F2056/F2055-1</x:f>
        <x:v>-0.010609896421227227</x:v>
      </x:c>
      <x:c r="J2056" s="12" t="n">
        <x:v>0</x:v>
      </x:c>
      <x:c r="K2056" s="12" t="n">
        <x:v>0</x:v>
      </x:c>
      <x:c r="L2056" s="12" t="n">
        <x:v>0</x:v>
      </x:c>
      <x:c r="M2056" s="2" t="str">
        <x:v>持有</x:v>
      </x:c>
    </x:row>
    <x:row r="2057" ht="23" customHeight="1">
      <x:c r="A2057" s="11" t="d">
        <x:v>2023-02-27T00:00:00.000Z</x:v>
      </x:c>
      <x:c r="B2057" s="12" t="n">
        <x:v>112215.779103</x:v>
      </x:c>
      <x:c r="C2057" s="13" t="n">
        <x:v>0</x:v>
      </x:c>
      <x:c r="D2057" s="12" t="n">
        <x:v>0</x:v>
      </x:c>
      <x:c r="E2057" s="12" t="n">
        <x:v>0</x:v>
      </x:c>
      <x:c r="F2057" s="12" t="n">
        <x:f>SUM(B2057,D2057:E2057)</x:f>
        <x:v>112215.779103</x:v>
      </x:c>
      <x:c r="G2057" s="12" t="n">
        <x:f>MAX(G2056,F2057)</x:f>
        <x:v>138687.599344</x:v>
      </x:c>
      <x:c r="H2057" s="14" t="n">
        <x:f>F2057/G2057-1</x:f>
        <x:v>-0.19087373612502612</x:v>
      </x:c>
      <x:c r="I2057" s="14" t="n">
        <x:f>F2057/F2056-1</x:f>
        <x:v>0.007742417091079146</x:v>
      </x:c>
      <x:c r="J2057" s="12" t="n">
        <x:v>0</x:v>
      </x:c>
      <x:c r="K2057" s="12" t="n">
        <x:v>0</x:v>
      </x:c>
      <x:c r="L2057" s="12" t="n">
        <x:v>-279</x:v>
      </x:c>
      <x:c r="M2057" s="2" t="str">
        <x:v>卖出</x:v>
      </x:c>
    </x:row>
    <x:row r="2058" ht="23" customHeight="1">
      <x:c r="A2058" s="11" t="d">
        <x:v>2023-02-28T00:00:00.000Z</x:v>
      </x:c>
      <x:c r="B2058" s="12" t="n">
        <x:v>84.900243</x:v>
      </x:c>
      <x:c r="C2058" s="13" t="n">
        <x:v>282</x:v>
      </x:c>
      <x:c r="D2058" s="12" t="n">
        <x:v>111745.31999999999</x:v>
      </x:c>
      <x:c r="E2058" s="12" t="n">
        <x:v>0</x:v>
      </x:c>
      <x:c r="F2058" s="12" t="n">
        <x:f>SUM(B2058,D2058:E2058)</x:f>
        <x:v>111830.22024299999</x:v>
      </x:c>
      <x:c r="G2058" s="12" t="n">
        <x:f>MAX(G2057,F2058)</x:f>
        <x:v>138687.599344</x:v>
      </x:c>
      <x:c r="H2058" s="14" t="n">
        <x:f>F2058/G2058-1</x:f>
        <x:v>-0.19365378900519503</x:v>
      </x:c>
      <x:c r="I2058" s="14" t="n">
        <x:f>F2058/F2057-1</x:f>
        <x:v>-0.0034358702767292026</x:v>
      </x:c>
      <x:c r="J2058" s="12" t="n">
        <x:v>0</x:v>
      </x:c>
      <x:c r="K2058" s="12" t="n">
        <x:v>0</x:v>
      </x:c>
      <x:c r="L2058" s="12" t="n">
        <x:v>282</x:v>
      </x:c>
      <x:c r="M2058" s="2" t="str">
        <x:v>买入</x:v>
      </x:c>
    </x:row>
    <x:row r="2059" ht="23" customHeight="1">
      <x:c r="A2059" s="11" t="d">
        <x:v>2023-03-01T00:00:00.000Z</x:v>
      </x:c>
      <x:c r="B2059" s="12" t="n">
        <x:v>111479.014623</x:v>
      </x:c>
      <x:c r="C2059" s="13" t="n">
        <x:v>0</x:v>
      </x:c>
      <x:c r="D2059" s="12" t="n">
        <x:v>0</x:v>
      </x:c>
      <x:c r="E2059" s="12" t="n">
        <x:v>0</x:v>
      </x:c>
      <x:c r="F2059" s="12" t="n">
        <x:f>SUM(B2059,D2059:E2059)</x:f>
        <x:v>111479.014623</x:v>
      </x:c>
      <x:c r="G2059" s="12" t="n">
        <x:f>MAX(G2058,F2059)</x:f>
        <x:v>138687.599344</x:v>
      </x:c>
      <x:c r="H2059" s="14" t="n">
        <x:f>F2059/G2059-1</x:f>
        <x:v>-0.1961861395661768</x:v>
      </x:c>
      <x:c r="I2059" s="14" t="n">
        <x:f>F2059/F2058-1</x:f>
        <x:v>-0.0031405251571251513</x:v>
      </x:c>
      <x:c r="J2059" s="12" t="n">
        <x:v>0</x:v>
      </x:c>
      <x:c r="K2059" s="12" t="n">
        <x:v>0</x:v>
      </x:c>
      <x:c r="L2059" s="12" t="n">
        <x:v>-282</x:v>
      </x:c>
      <x:c r="M2059" s="2" t="str">
        <x:v>卖出</x:v>
      </x:c>
    </x:row>
    <x:row r="2060" ht="23" customHeight="1">
      <x:c r="A2060" s="11" t="d">
        <x:v>2023-03-02T00:00:00.000Z</x:v>
      </x:c>
      <x:c r="B2060" s="12" t="n">
        <x:v>111479.014623</x:v>
      </x:c>
      <x:c r="C2060" s="13" t="n">
        <x:v>0</x:v>
      </x:c>
      <x:c r="D2060" s="12" t="n">
        <x:v>0</x:v>
      </x:c>
      <x:c r="E2060" s="12" t="n">
        <x:v>0</x:v>
      </x:c>
      <x:c r="F2060" s="12" t="n">
        <x:f>SUM(B2060,D2060:E2060)</x:f>
        <x:v>111479.014623</x:v>
      </x:c>
      <x:c r="G2060" s="12" t="n">
        <x:f>MAX(G2059,F2060)</x:f>
        <x:v>138687.599344</x:v>
      </x:c>
      <x:c r="H2060" s="14" t="n">
        <x:f>F2060/G2060-1</x:f>
        <x:v>-0.1961861395661768</x:v>
      </x:c>
      <x:c r="I2060" s="14" t="n">
        <x:f>F2060/F2059-1</x:f>
        <x:v>0</x:v>
      </x:c>
      <x:c r="J2060" s="12" t="n">
        <x:v>0</x:v>
      </x:c>
      <x:c r="K2060" s="12" t="n">
        <x:v>0</x:v>
      </x:c>
      <x:c r="L2060" s="12" t="n">
        <x:v>0</x:v>
      </x:c>
      <x:c r="M2060" s="2" t="str">
        <x:v>空仓</x:v>
      </x:c>
    </x:row>
    <x:row r="2061" ht="23" customHeight="1">
      <x:c r="A2061" s="11" t="d">
        <x:v>2023-03-03T00:00:00.000Z</x:v>
      </x:c>
      <x:c r="B2061" s="12" t="n">
        <x:v>248.515243</x:v>
      </x:c>
      <x:c r="C2061" s="13" t="n">
        <x:v>278</x:v>
      </x:c>
      <x:c r="D2061" s="12" t="n">
        <x:v>112364.81999999999</x:v>
      </x:c>
      <x:c r="E2061" s="12" t="n">
        <x:v>0</x:v>
      </x:c>
      <x:c r="F2061" s="12" t="n">
        <x:f>SUM(B2061,D2061:E2061)</x:f>
        <x:v>112613.335243</x:v>
      </x:c>
      <x:c r="G2061" s="12" t="n">
        <x:f>MAX(G2060,F2061)</x:f>
        <x:v>138687.599344</x:v>
      </x:c>
      <x:c r="H2061" s="14" t="n">
        <x:f>F2061/G2061-1</x:f>
        <x:v>-0.18800717745734086</x:v>
      </x:c>
      <x:c r="I2061" s="14" t="n">
        <x:f>F2061/F2060-1</x:f>
        <x:v>0.010175194172966417</x:v>
      </x:c>
      <x:c r="J2061" s="12" t="n">
        <x:v>0</x:v>
      </x:c>
      <x:c r="K2061" s="12" t="n">
        <x:v>0</x:v>
      </x:c>
      <x:c r="L2061" s="12" t="n">
        <x:v>278</x:v>
      </x:c>
      <x:c r="M2061" s="2" t="str">
        <x:v>买入</x:v>
      </x:c>
    </x:row>
    <x:row r="2062" ht="23" customHeight="1">
      <x:c r="A2062" s="11" t="d">
        <x:v>2023-03-06T00:00:00.000Z</x:v>
      </x:c>
      <x:c r="B2062" s="12" t="n">
        <x:v>248.515243</x:v>
      </x:c>
      <x:c r="C2062" s="13" t="n">
        <x:v>278</x:v>
      </x:c>
      <x:c r="D2062" s="12" t="n">
        <x:v>112442.66</x:v>
      </x:c>
      <x:c r="E2062" s="12" t="n">
        <x:v>0</x:v>
      </x:c>
      <x:c r="F2062" s="12" t="n">
        <x:f>SUM(B2062,D2062:E2062)</x:f>
        <x:v>112691.175243</x:v>
      </x:c>
      <x:c r="G2062" s="12" t="n">
        <x:f>MAX(G2061,F2062)</x:f>
        <x:v>138687.599344</x:v>
      </x:c>
      <x:c r="H2062" s="14" t="n">
        <x:f>F2062/G2062-1</x:f>
        <x:v>-0.18744591602972804</x:v>
      </x:c>
      <x:c r="I2062" s="14" t="n">
        <x:f>F2062/F2061-1</x:f>
        <x:v>0.0006912147645041777</x:v>
      </x:c>
      <x:c r="J2062" s="12" t="n">
        <x:v>0</x:v>
      </x:c>
      <x:c r="K2062" s="12" t="n">
        <x:v>0</x:v>
      </x:c>
      <x:c r="L2062" s="12" t="n">
        <x:v>0</x:v>
      </x:c>
      <x:c r="M2062" s="2" t="str">
        <x:v>持有</x:v>
      </x:c>
    </x:row>
    <x:row r="2063" ht="23" customHeight="1">
      <x:c r="A2063" s="11" t="d">
        <x:v>2023-03-07T00:00:00.000Z</x:v>
      </x:c>
      <x:c r="B2063" s="12" t="n">
        <x:v>248.515243</x:v>
      </x:c>
      <x:c r="C2063" s="13" t="n">
        <x:v>278</x:v>
      </x:c>
      <x:c r="D2063" s="12" t="n">
        <x:v>110719.06</x:v>
      </x:c>
      <x:c r="E2063" s="12" t="n">
        <x:v>0</x:v>
      </x:c>
      <x:c r="F2063" s="12" t="n">
        <x:f>SUM(B2063,D2063:E2063)</x:f>
        <x:v>110967.575243</x:v>
      </x:c>
      <x:c r="G2063" s="12" t="n">
        <x:f>MAX(G2062,F2063)</x:f>
        <x:v>138687.599344</x:v>
      </x:c>
      <x:c r="H2063" s="14" t="n">
        <x:f>F2063/G2063-1</x:f>
        <x:v>-0.19987384764115346</x:v>
      </x:c>
      <x:c r="I2063" s="14" t="n">
        <x:f>F2063/F2062-1</x:f>
        <x:v>-0.01529489772631576</x:v>
      </x:c>
      <x:c r="J2063" s="12" t="n">
        <x:v>0</x:v>
      </x:c>
      <x:c r="K2063" s="12" t="n">
        <x:v>0</x:v>
      </x:c>
      <x:c r="L2063" s="12" t="n">
        <x:v>0</x:v>
      </x:c>
      <x:c r="M2063" s="2" t="str">
        <x:v>持有</x:v>
      </x:c>
    </x:row>
    <x:row r="2064" ht="23" customHeight="1">
      <x:c r="A2064" s="11" t="d">
        <x:v>2023-03-08T00:00:00.000Z</x:v>
      </x:c>
      <x:c r="B2064" s="12" t="n">
        <x:v>110890.182823</x:v>
      </x:c>
      <x:c r="C2064" s="13" t="n">
        <x:v>0</x:v>
      </x:c>
      <x:c r="D2064" s="12" t="n">
        <x:v>0</x:v>
      </x:c>
      <x:c r="E2064" s="12" t="n">
        <x:v>0</x:v>
      </x:c>
      <x:c r="F2064" s="12" t="n">
        <x:f>SUM(B2064,D2064:E2064)</x:f>
        <x:v>110890.182823</x:v>
      </x:c>
      <x:c r="G2064" s="12" t="n">
        <x:f>MAX(G2063,F2064)</x:f>
        <x:v>138687.599344</x:v>
      </x:c>
      <x:c r="H2064" s="14" t="n">
        <x:f>F2064/G2064-1</x:f>
        <x:v>-0.2004318818155575</x:v>
      </x:c>
      <x:c r="I2064" s="14" t="n">
        <x:f>F2064/F2063-1</x:f>
        <x:v>-0.0006974327395234958</x:v>
      </x:c>
      <x:c r="J2064" s="12" t="n">
        <x:v>0</x:v>
      </x:c>
      <x:c r="K2064" s="12" t="n">
        <x:v>0</x:v>
      </x:c>
      <x:c r="L2064" s="12" t="n">
        <x:v>-278</x:v>
      </x:c>
      <x:c r="M2064" s="2" t="str">
        <x:v>卖出</x:v>
      </x:c>
    </x:row>
    <x:row r="2065" ht="23" customHeight="1">
      <x:c r="A2065" s="11" t="d">
        <x:v>2023-03-09T00:00:00.000Z</x:v>
      </x:c>
      <x:c r="B2065" s="12" t="n">
        <x:v>51.474843</x:v>
      </x:c>
      <x:c r="C2065" s="13" t="n">
        <x:v>277</x:v>
      </x:c>
      <x:c r="D2065" s="12" t="n">
        <x:v>108462.12</x:v>
      </x:c>
      <x:c r="E2065" s="12" t="n">
        <x:v>0</x:v>
      </x:c>
      <x:c r="F2065" s="12" t="n">
        <x:f>SUM(B2065,D2065:E2065)</x:f>
        <x:v>108513.594843</x:v>
      </x:c>
      <x:c r="G2065" s="12" t="n">
        <x:f>MAX(G2064,F2065)</x:f>
        <x:v>138687.599344</x:v>
      </x:c>
      <x:c r="H2065" s="14" t="n">
        <x:f>F2065/G2065-1</x:f>
        <x:v>-0.21756815060412538</x:v>
      </x:c>
      <x:c r="I2065" s="14" t="n">
        <x:f>F2065/F2064-1</x:f>
        <x:v>-0.02143190604882894</x:v>
      </x:c>
      <x:c r="J2065" s="12" t="n">
        <x:v>0</x:v>
      </x:c>
      <x:c r="K2065" s="12" t="n">
        <x:v>0</x:v>
      </x:c>
      <x:c r="L2065" s="12" t="n">
        <x:v>277</x:v>
      </x:c>
      <x:c r="M2065" s="2" t="str">
        <x:v>买入</x:v>
      </x:c>
    </x:row>
    <x:row r="2066" ht="23" customHeight="1">
      <x:c r="A2066" s="11" t="d">
        <x:v>2023-03-10T00:00:00.000Z</x:v>
      </x:c>
      <x:c r="B2066" s="12" t="n">
        <x:v>108247.400613</x:v>
      </x:c>
      <x:c r="C2066" s="13" t="n">
        <x:v>0</x:v>
      </x:c>
      <x:c r="D2066" s="12" t="n">
        <x:v>0</x:v>
      </x:c>
      <x:c r="E2066" s="12" t="n">
        <x:v>0</x:v>
      </x:c>
      <x:c r="F2066" s="12" t="n">
        <x:f>SUM(B2066,D2066:E2066)</x:f>
        <x:v>108247.400613</x:v>
      </x:c>
      <x:c r="G2066" s="12" t="n">
        <x:f>MAX(G2065,F2066)</x:f>
        <x:v>138687.599344</x:v>
      </x:c>
      <x:c r="H2066" s="14" t="n">
        <x:f>F2066/G2066-1</x:f>
        <x:v>-0.21948753078850458</x:v>
      </x:c>
      <x:c r="I2066" s="14" t="n">
        <x:f>F2066/F2065-1</x:f>
        <x:v>-0.002453095673266792</x:v>
      </x:c>
      <x:c r="J2066" s="12" t="n">
        <x:v>0</x:v>
      </x:c>
      <x:c r="K2066" s="12" t="n">
        <x:v>0</x:v>
      </x:c>
      <x:c r="L2066" s="12" t="n">
        <x:v>-277</x:v>
      </x:c>
      <x:c r="M2066" s="2" t="str">
        <x:v>卖出</x:v>
      </x:c>
    </x:row>
    <x:row r="2067" ht="23" customHeight="1">
      <x:c r="A2067" s="11" t="d">
        <x:v>2023-03-13T00:00:00.000Z</x:v>
      </x:c>
      <x:c r="B2067" s="12" t="n">
        <x:v>108247.400613</x:v>
      </x:c>
      <x:c r="C2067" s="13" t="n">
        <x:v>0</x:v>
      </x:c>
      <x:c r="D2067" s="12" t="n">
        <x:v>0</x:v>
      </x:c>
      <x:c r="E2067" s="12" t="n">
        <x:v>0</x:v>
      </x:c>
      <x:c r="F2067" s="12" t="n">
        <x:f>SUM(B2067,D2067:E2067)</x:f>
        <x:v>108247.400613</x:v>
      </x:c>
      <x:c r="G2067" s="12" t="n">
        <x:f>MAX(G2066,F2067)</x:f>
        <x:v>138687.599344</x:v>
      </x:c>
      <x:c r="H2067" s="14" t="n">
        <x:f>F2067/G2067-1</x:f>
        <x:v>-0.21948753078850458</x:v>
      </x:c>
      <x:c r="I2067" s="14" t="n">
        <x:f>F2067/F2066-1</x:f>
        <x:v>0</x:v>
      </x:c>
      <x:c r="J2067" s="12" t="n">
        <x:v>0</x:v>
      </x:c>
      <x:c r="K2067" s="12" t="n">
        <x:v>0</x:v>
      </x:c>
      <x:c r="L2067" s="12" t="n">
        <x:v>0</x:v>
      </x:c>
      <x:c r="M2067" s="2" t="str">
        <x:v>空仓</x:v>
      </x:c>
    </x:row>
    <x:row r="2068" ht="23" customHeight="1">
      <x:c r="A2068" s="11" t="d">
        <x:v>2023-03-14T00:00:00.000Z</x:v>
      </x:c>
      <x:c r="B2068" s="12" t="n">
        <x:v>108247.400613</x:v>
      </x:c>
      <x:c r="C2068" s="13" t="n">
        <x:v>0</x:v>
      </x:c>
      <x:c r="D2068" s="12" t="n">
        <x:v>0</x:v>
      </x:c>
      <x:c r="E2068" s="12" t="n">
        <x:v>0</x:v>
      </x:c>
      <x:c r="F2068" s="12" t="n">
        <x:f>SUM(B2068,D2068:E2068)</x:f>
        <x:v>108247.400613</x:v>
      </x:c>
      <x:c r="G2068" s="12" t="n">
        <x:f>MAX(G2067,F2068)</x:f>
        <x:v>138687.599344</x:v>
      </x:c>
      <x:c r="H2068" s="14" t="n">
        <x:f>F2068/G2068-1</x:f>
        <x:v>-0.21948753078850458</x:v>
      </x:c>
      <x:c r="I2068" s="14" t="n">
        <x:f>F2068/F2067-1</x:f>
        <x:v>0</x:v>
      </x:c>
      <x:c r="J2068" s="12" t="n">
        <x:v>0</x:v>
      </x:c>
      <x:c r="K2068" s="12" t="n">
        <x:v>0</x:v>
      </x:c>
      <x:c r="L2068" s="12" t="n">
        <x:v>0</x:v>
      </x:c>
      <x:c r="M2068" s="2" t="str">
        <x:v>空仓</x:v>
      </x:c>
    </x:row>
    <x:row r="2069" ht="23" customHeight="1">
      <x:c r="A2069" s="11" t="d">
        <x:v>2023-03-15T00:00:00.000Z</x:v>
      </x:c>
      <x:c r="B2069" s="12" t="n">
        <x:v>108247.400613</x:v>
      </x:c>
      <x:c r="C2069" s="13" t="n">
        <x:v>0</x:v>
      </x:c>
      <x:c r="D2069" s="12" t="n">
        <x:v>0</x:v>
      </x:c>
      <x:c r="E2069" s="12" t="n">
        <x:v>0</x:v>
      </x:c>
      <x:c r="F2069" s="12" t="n">
        <x:f>SUM(B2069,D2069:E2069)</x:f>
        <x:v>108247.400613</x:v>
      </x:c>
      <x:c r="G2069" s="12" t="n">
        <x:f>MAX(G2068,F2069)</x:f>
        <x:v>138687.599344</x:v>
      </x:c>
      <x:c r="H2069" s="14" t="n">
        <x:f>F2069/G2069-1</x:f>
        <x:v>-0.21948753078850458</x:v>
      </x:c>
      <x:c r="I2069" s="14" t="n">
        <x:f>F2069/F2068-1</x:f>
        <x:v>0</x:v>
      </x:c>
      <x:c r="J2069" s="12" t="n">
        <x:v>0</x:v>
      </x:c>
      <x:c r="K2069" s="12" t="n">
        <x:v>0</x:v>
      </x:c>
      <x:c r="L2069" s="12" t="n">
        <x:v>0</x:v>
      </x:c>
      <x:c r="M2069" s="2" t="str">
        <x:v>空仓</x:v>
      </x:c>
    </x:row>
    <x:row r="2070" ht="23" customHeight="1">
      <x:c r="A2070" s="11" t="d">
        <x:v>2023-03-16T00:00:00.000Z</x:v>
      </x:c>
      <x:c r="B2070" s="12" t="n">
        <x:v>108247.400613</x:v>
      </x:c>
      <x:c r="C2070" s="13" t="n">
        <x:v>0</x:v>
      </x:c>
      <x:c r="D2070" s="12" t="n">
        <x:v>0</x:v>
      </x:c>
      <x:c r="E2070" s="12" t="n">
        <x:v>0</x:v>
      </x:c>
      <x:c r="F2070" s="12" t="n">
        <x:f>SUM(B2070,D2070:E2070)</x:f>
        <x:v>108247.400613</x:v>
      </x:c>
      <x:c r="G2070" s="12" t="n">
        <x:f>MAX(G2069,F2070)</x:f>
        <x:v>138687.599344</x:v>
      </x:c>
      <x:c r="H2070" s="14" t="n">
        <x:f>F2070/G2070-1</x:f>
        <x:v>-0.21948753078850458</x:v>
      </x:c>
      <x:c r="I2070" s="14" t="n">
        <x:f>F2070/F2069-1</x:f>
        <x:v>0</x:v>
      </x:c>
      <x:c r="J2070" s="12" t="n">
        <x:v>0</x:v>
      </x:c>
      <x:c r="K2070" s="12" t="n">
        <x:v>0</x:v>
      </x:c>
      <x:c r="L2070" s="12" t="n">
        <x:v>0</x:v>
      </x:c>
      <x:c r="M2070" s="2" t="str">
        <x:v>空仓</x:v>
      </x:c>
    </x:row>
    <x:row r="2071" ht="23" customHeight="1">
      <x:c r="A2071" s="11" t="d">
        <x:v>2023-03-17T00:00:00.000Z</x:v>
      </x:c>
      <x:c r="B2071" s="12" t="n">
        <x:v>108247.400613</x:v>
      </x:c>
      <x:c r="C2071" s="13" t="n">
        <x:v>0</x:v>
      </x:c>
      <x:c r="D2071" s="12" t="n">
        <x:v>0</x:v>
      </x:c>
      <x:c r="E2071" s="12" t="n">
        <x:v>0</x:v>
      </x:c>
      <x:c r="F2071" s="12" t="n">
        <x:f>SUM(B2071,D2071:E2071)</x:f>
        <x:v>108247.400613</x:v>
      </x:c>
      <x:c r="G2071" s="12" t="n">
        <x:f>MAX(G2070,F2071)</x:f>
        <x:v>138687.599344</x:v>
      </x:c>
      <x:c r="H2071" s="14" t="n">
        <x:f>F2071/G2071-1</x:f>
        <x:v>-0.21948753078850458</x:v>
      </x:c>
      <x:c r="I2071" s="14" t="n">
        <x:f>F2071/F2070-1</x:f>
        <x:v>0</x:v>
      </x:c>
      <x:c r="J2071" s="12" t="n">
        <x:v>0</x:v>
      </x:c>
      <x:c r="K2071" s="12" t="n">
        <x:v>0</x:v>
      </x:c>
      <x:c r="L2071" s="12" t="n">
        <x:v>0</x:v>
      </x:c>
      <x:c r="M2071" s="2" t="str">
        <x:v>空仓</x:v>
      </x:c>
    </x:row>
    <x:row r="2072" ht="23" customHeight="1">
      <x:c r="A2072" s="11" t="d">
        <x:v>2023-03-20T00:00:00.000Z</x:v>
      </x:c>
      <x:c r="B2072" s="12" t="n">
        <x:v>108247.400613</x:v>
      </x:c>
      <x:c r="C2072" s="13" t="n">
        <x:v>0</x:v>
      </x:c>
      <x:c r="D2072" s="12" t="n">
        <x:v>0</x:v>
      </x:c>
      <x:c r="E2072" s="12" t="n">
        <x:v>0</x:v>
      </x:c>
      <x:c r="F2072" s="12" t="n">
        <x:f>SUM(B2072,D2072:E2072)</x:f>
        <x:v>108247.400613</x:v>
      </x:c>
      <x:c r="G2072" s="12" t="n">
        <x:f>MAX(G2071,F2072)</x:f>
        <x:v>138687.599344</x:v>
      </x:c>
      <x:c r="H2072" s="14" t="n">
        <x:f>F2072/G2072-1</x:f>
        <x:v>-0.21948753078850458</x:v>
      </x:c>
      <x:c r="I2072" s="14" t="n">
        <x:f>F2072/F2071-1</x:f>
        <x:v>0</x:v>
      </x:c>
      <x:c r="J2072" s="12" t="n">
        <x:v>0</x:v>
      </x:c>
      <x:c r="K2072" s="12" t="n">
        <x:v>0</x:v>
      </x:c>
      <x:c r="L2072" s="12" t="n">
        <x:v>0</x:v>
      </x:c>
      <x:c r="M2072" s="2" t="str">
        <x:v>空仓</x:v>
      </x:c>
    </x:row>
    <x:row r="2073" ht="23" customHeight="1">
      <x:c r="A2073" s="11" t="d">
        <x:v>2023-03-21T00:00:00.000Z</x:v>
      </x:c>
      <x:c r="B2073" s="12" t="n">
        <x:v>108247.400613</x:v>
      </x:c>
      <x:c r="C2073" s="13" t="n">
        <x:v>0</x:v>
      </x:c>
      <x:c r="D2073" s="12" t="n">
        <x:v>0</x:v>
      </x:c>
      <x:c r="E2073" s="12" t="n">
        <x:v>0</x:v>
      </x:c>
      <x:c r="F2073" s="12" t="n">
        <x:f>SUM(B2073,D2073:E2073)</x:f>
        <x:v>108247.400613</x:v>
      </x:c>
      <x:c r="G2073" s="12" t="n">
        <x:f>MAX(G2072,F2073)</x:f>
        <x:v>138687.599344</x:v>
      </x:c>
      <x:c r="H2073" s="14" t="n">
        <x:f>F2073/G2073-1</x:f>
        <x:v>-0.21948753078850458</x:v>
      </x:c>
      <x:c r="I2073" s="14" t="n">
        <x:f>F2073/F2072-1</x:f>
        <x:v>0</x:v>
      </x:c>
      <x:c r="J2073" s="12" t="n">
        <x:v>0</x:v>
      </x:c>
      <x:c r="K2073" s="12" t="n">
        <x:v>0</x:v>
      </x:c>
      <x:c r="L2073" s="12" t="n">
        <x:v>0</x:v>
      </x:c>
      <x:c r="M2073" s="2" t="str">
        <x:v>空仓</x:v>
      </x:c>
    </x:row>
    <x:row r="2074" ht="23" customHeight="1">
      <x:c r="A2074" s="11" t="d">
        <x:v>2023-03-22T00:00:00.000Z</x:v>
      </x:c>
      <x:c r="B2074" s="12" t="n">
        <x:v>108247.400613</x:v>
      </x:c>
      <x:c r="C2074" s="13" t="n">
        <x:v>0</x:v>
      </x:c>
      <x:c r="D2074" s="12" t="n">
        <x:v>0</x:v>
      </x:c>
      <x:c r="E2074" s="12" t="n">
        <x:v>0</x:v>
      </x:c>
      <x:c r="F2074" s="12" t="n">
        <x:f>SUM(B2074,D2074:E2074)</x:f>
        <x:v>108247.400613</x:v>
      </x:c>
      <x:c r="G2074" s="12" t="n">
        <x:f>MAX(G2073,F2074)</x:f>
        <x:v>138687.599344</x:v>
      </x:c>
      <x:c r="H2074" s="14" t="n">
        <x:f>F2074/G2074-1</x:f>
        <x:v>-0.21948753078850458</x:v>
      </x:c>
      <x:c r="I2074" s="14" t="n">
        <x:f>F2074/F2073-1</x:f>
        <x:v>0</x:v>
      </x:c>
      <x:c r="J2074" s="12" t="n">
        <x:v>0</x:v>
      </x:c>
      <x:c r="K2074" s="12" t="n">
        <x:v>0</x:v>
      </x:c>
      <x:c r="L2074" s="12" t="n">
        <x:v>0</x:v>
      </x:c>
      <x:c r="M2074" s="2" t="str">
        <x:v>空仓</x:v>
      </x:c>
    </x:row>
    <x:row r="2075" ht="23" customHeight="1">
      <x:c r="A2075" s="11" t="d">
        <x:v>2023-03-23T00:00:00.000Z</x:v>
      </x:c>
      <x:c r="B2075" s="12" t="n">
        <x:v>108247.400613</x:v>
      </x:c>
      <x:c r="C2075" s="13" t="n">
        <x:v>0</x:v>
      </x:c>
      <x:c r="D2075" s="12" t="n">
        <x:v>0</x:v>
      </x:c>
      <x:c r="E2075" s="12" t="n">
        <x:v>0</x:v>
      </x:c>
      <x:c r="F2075" s="12" t="n">
        <x:f>SUM(B2075,D2075:E2075)</x:f>
        <x:v>108247.400613</x:v>
      </x:c>
      <x:c r="G2075" s="12" t="n">
        <x:f>MAX(G2074,F2075)</x:f>
        <x:v>138687.599344</x:v>
      </x:c>
      <x:c r="H2075" s="14" t="n">
        <x:f>F2075/G2075-1</x:f>
        <x:v>-0.21948753078850458</x:v>
      </x:c>
      <x:c r="I2075" s="14" t="n">
        <x:f>F2075/F2074-1</x:f>
        <x:v>0</x:v>
      </x:c>
      <x:c r="J2075" s="12" t="n">
        <x:v>0</x:v>
      </x:c>
      <x:c r="K2075" s="12" t="n">
        <x:v>0</x:v>
      </x:c>
      <x:c r="L2075" s="12" t="n">
        <x:v>0</x:v>
      </x:c>
      <x:c r="M2075" s="2" t="str">
        <x:v>空仓</x:v>
      </x:c>
    </x:row>
    <x:row r="2076" ht="23" customHeight="1">
      <x:c r="A2076" s="11" t="d">
        <x:v>2023-03-24T00:00:00.000Z</x:v>
      </x:c>
      <x:c r="B2076" s="12" t="n">
        <x:v>108247.400613</x:v>
      </x:c>
      <x:c r="C2076" s="13" t="n">
        <x:v>0</x:v>
      </x:c>
      <x:c r="D2076" s="12" t="n">
        <x:v>0</x:v>
      </x:c>
      <x:c r="E2076" s="12" t="n">
        <x:v>0</x:v>
      </x:c>
      <x:c r="F2076" s="12" t="n">
        <x:f>SUM(B2076,D2076:E2076)</x:f>
        <x:v>108247.400613</x:v>
      </x:c>
      <x:c r="G2076" s="12" t="n">
        <x:f>MAX(G2075,F2076)</x:f>
        <x:v>138687.599344</x:v>
      </x:c>
      <x:c r="H2076" s="14" t="n">
        <x:f>F2076/G2076-1</x:f>
        <x:v>-0.21948753078850458</x:v>
      </x:c>
      <x:c r="I2076" s="14" t="n">
        <x:f>F2076/F2075-1</x:f>
        <x:v>0</x:v>
      </x:c>
      <x:c r="J2076" s="12" t="n">
        <x:v>0</x:v>
      </x:c>
      <x:c r="K2076" s="12" t="n">
        <x:v>0</x:v>
      </x:c>
      <x:c r="L2076" s="12" t="n">
        <x:v>0</x:v>
      </x:c>
      <x:c r="M2076" s="2" t="str">
        <x:v>空仓</x:v>
      </x:c>
    </x:row>
    <x:row r="2077" ht="23" customHeight="1">
      <x:c r="A2077" s="11" t="d">
        <x:v>2023-03-27T00:00:00.000Z</x:v>
      </x:c>
      <x:c r="B2077" s="12" t="n">
        <x:v>108247.400613</x:v>
      </x:c>
      <x:c r="C2077" s="13" t="n">
        <x:v>0</x:v>
      </x:c>
      <x:c r="D2077" s="12" t="n">
        <x:v>0</x:v>
      </x:c>
      <x:c r="E2077" s="12" t="n">
        <x:v>0</x:v>
      </x:c>
      <x:c r="F2077" s="12" t="n">
        <x:f>SUM(B2077,D2077:E2077)</x:f>
        <x:v>108247.400613</x:v>
      </x:c>
      <x:c r="G2077" s="12" t="n">
        <x:f>MAX(G2076,F2077)</x:f>
        <x:v>138687.599344</x:v>
      </x:c>
      <x:c r="H2077" s="14" t="n">
        <x:f>F2077/G2077-1</x:f>
        <x:v>-0.21948753078850458</x:v>
      </x:c>
      <x:c r="I2077" s="14" t="n">
        <x:f>F2077/F2076-1</x:f>
        <x:v>0</x:v>
      </x:c>
      <x:c r="J2077" s="12" t="n">
        <x:v>0</x:v>
      </x:c>
      <x:c r="K2077" s="12" t="n">
        <x:v>0</x:v>
      </x:c>
      <x:c r="L2077" s="12" t="n">
        <x:v>0</x:v>
      </x:c>
      <x:c r="M2077" s="2" t="str">
        <x:v>空仓</x:v>
      </x:c>
    </x:row>
    <x:row r="2078" ht="23" customHeight="1">
      <x:c r="A2078" s="11" t="d">
        <x:v>2023-03-28T00:00:00.000Z</x:v>
      </x:c>
      <x:c r="B2078" s="12" t="n">
        <x:v>108247.400613</x:v>
      </x:c>
      <x:c r="C2078" s="13" t="n">
        <x:v>0</x:v>
      </x:c>
      <x:c r="D2078" s="12" t="n">
        <x:v>0</x:v>
      </x:c>
      <x:c r="E2078" s="12" t="n">
        <x:v>0</x:v>
      </x:c>
      <x:c r="F2078" s="12" t="n">
        <x:f>SUM(B2078,D2078:E2078)</x:f>
        <x:v>108247.400613</x:v>
      </x:c>
      <x:c r="G2078" s="12" t="n">
        <x:f>MAX(G2077,F2078)</x:f>
        <x:v>138687.599344</x:v>
      </x:c>
      <x:c r="H2078" s="14" t="n">
        <x:f>F2078/G2078-1</x:f>
        <x:v>-0.21948753078850458</x:v>
      </x:c>
      <x:c r="I2078" s="14" t="n">
        <x:f>F2078/F2077-1</x:f>
        <x:v>0</x:v>
      </x:c>
      <x:c r="J2078" s="12" t="n">
        <x:v>0</x:v>
      </x:c>
      <x:c r="K2078" s="12" t="n">
        <x:v>0</x:v>
      </x:c>
      <x:c r="L2078" s="12" t="n">
        <x:v>0</x:v>
      </x:c>
      <x:c r="M2078" s="2" t="str">
        <x:v>空仓</x:v>
      </x:c>
    </x:row>
    <x:row r="2079" ht="23" customHeight="1">
      <x:c r="A2079" s="11" t="d">
        <x:v>2023-03-29T00:00:00.000Z</x:v>
      </x:c>
      <x:c r="B2079" s="12" t="n">
        <x:v>108247.400613</x:v>
      </x:c>
      <x:c r="C2079" s="13" t="n">
        <x:v>0</x:v>
      </x:c>
      <x:c r="D2079" s="12" t="n">
        <x:v>0</x:v>
      </x:c>
      <x:c r="E2079" s="12" t="n">
        <x:v>0</x:v>
      </x:c>
      <x:c r="F2079" s="12" t="n">
        <x:f>SUM(B2079,D2079:E2079)</x:f>
        <x:v>108247.400613</x:v>
      </x:c>
      <x:c r="G2079" s="12" t="n">
        <x:f>MAX(G2078,F2079)</x:f>
        <x:v>138687.599344</x:v>
      </x:c>
      <x:c r="H2079" s="14" t="n">
        <x:f>F2079/G2079-1</x:f>
        <x:v>-0.21948753078850458</x:v>
      </x:c>
      <x:c r="I2079" s="14" t="n">
        <x:f>F2079/F2078-1</x:f>
        <x:v>0</x:v>
      </x:c>
      <x:c r="J2079" s="12" t="n">
        <x:v>0</x:v>
      </x:c>
      <x:c r="K2079" s="12" t="n">
        <x:v>0</x:v>
      </x:c>
      <x:c r="L2079" s="12" t="n">
        <x:v>0</x:v>
      </x:c>
      <x:c r="M2079" s="2" t="str">
        <x:v>空仓</x:v>
      </x:c>
    </x:row>
    <x:row r="2080" ht="23" customHeight="1">
      <x:c r="A2080" s="11" t="d">
        <x:v>2023-03-30T00:00:00.000Z</x:v>
      </x:c>
      <x:c r="B2080" s="12" t="n">
        <x:v>247.478583</x:v>
      </x:c>
      <x:c r="C2080" s="13" t="n">
        <x:v>267</x:v>
      </x:c>
      <x:c r="D2080" s="12" t="n">
        <x:v>107787.9</x:v>
      </x:c>
      <x:c r="E2080" s="12" t="n">
        <x:v>0</x:v>
      </x:c>
      <x:c r="F2080" s="12" t="n">
        <x:f>SUM(B2080,D2080:E2080)</x:f>
        <x:v>108035.378583</x:v>
      </x:c>
      <x:c r="G2080" s="12" t="n">
        <x:f>MAX(G2079,F2080)</x:f>
        <x:v>138687.599344</x:v>
      </x:c>
      <x:c r="H2080" s="14" t="n">
        <x:f>F2080/G2080-1</x:f>
        <x:v>-0.22101630503366332</x:v>
      </x:c>
      <x:c r="I2080" s="14" t="n">
        <x:f>F2080/F2079-1</x:f>
        <x:v>-0.0019586801050125446</x:v>
      </x:c>
      <x:c r="J2080" s="12" t="n">
        <x:v>0</x:v>
      </x:c>
      <x:c r="K2080" s="12" t="n">
        <x:v>0</x:v>
      </x:c>
      <x:c r="L2080" s="12" t="n">
        <x:v>267</x:v>
      </x:c>
      <x:c r="M2080" s="2" t="str">
        <x:v>买入</x:v>
      </x:c>
    </x:row>
    <x:row r="2081" ht="23" customHeight="1">
      <x:c r="A2081" s="11" t="d">
        <x:v>2023-03-31T00:00:00.000Z</x:v>
      </x:c>
      <x:c r="B2081" s="12" t="n">
        <x:v>247.478583</x:v>
      </x:c>
      <x:c r="C2081" s="13" t="n">
        <x:v>267</x:v>
      </x:c>
      <x:c r="D2081" s="12" t="n">
        <x:v>109307.12999999999</x:v>
      </x:c>
      <x:c r="E2081" s="12" t="n">
        <x:v>0</x:v>
      </x:c>
      <x:c r="F2081" s="12" t="n">
        <x:f>SUM(B2081,D2081:E2081)</x:f>
        <x:v>109554.608583</x:v>
      </x:c>
      <x:c r="G2081" s="12" t="n">
        <x:f>MAX(G2080,F2081)</x:f>
        <x:v>138687.599344</x:v>
      </x:c>
      <x:c r="H2081" s="14" t="n">
        <x:f>F2081/G2081-1</x:f>
        <x:v>-0.21006197308772123</x:v>
      </x:c>
      <x:c r="I2081" s="14" t="n">
        <x:f>F2081/F2080-1</x:f>
        <x:v>0.014062337911213252</x:v>
      </x:c>
      <x:c r="J2081" s="12" t="n">
        <x:v>0</x:v>
      </x:c>
      <x:c r="K2081" s="12" t="n">
        <x:v>0</x:v>
      </x:c>
      <x:c r="L2081" s="12" t="n">
        <x:v>0</x:v>
      </x:c>
      <x:c r="M2081" s="2" t="str">
        <x:v>持有</x:v>
      </x:c>
    </x:row>
    <x:row r="2082" ht="23" customHeight="1">
      <x:c r="A2082" s="11" t="d">
        <x:v>2023-04-03T00:00:00.000Z</x:v>
      </x:c>
      <x:c r="B2082" s="12" t="n">
        <x:v>247.478583</x:v>
      </x:c>
      <x:c r="C2082" s="13" t="n">
        <x:v>267</x:v>
      </x:c>
      <x:c r="D2082" s="12" t="n">
        <x:v>109723.65</x:v>
      </x:c>
      <x:c r="E2082" s="12" t="n">
        <x:v>0</x:v>
      </x:c>
      <x:c r="F2082" s="12" t="n">
        <x:f>SUM(B2082,D2082:E2082)</x:f>
        <x:v>109971.128583</x:v>
      </x:c>
      <x:c r="G2082" s="12" t="n">
        <x:f>MAX(G2081,F2082)</x:f>
        <x:v>138687.599344</x:v>
      </x:c>
      <x:c r="H2082" s="14" t="n">
        <x:f>F2082/G2082-1</x:f>
        <x:v>-0.20705867645579334</x:v>
      </x:c>
      <x:c r="I2082" s="14" t="n">
        <x:f>F2082/F2081-1</x:f>
        <x:v>0.0038019395567867598</x:v>
      </x:c>
      <x:c r="J2082" s="12" t="n">
        <x:v>0</x:v>
      </x:c>
      <x:c r="K2082" s="12" t="n">
        <x:v>0</x:v>
      </x:c>
      <x:c r="L2082" s="12" t="n">
        <x:v>0</x:v>
      </x:c>
      <x:c r="M2082" s="2" t="str">
        <x:v>持有</x:v>
      </x:c>
    </x:row>
    <x:row r="2083" ht="23" customHeight="1">
      <x:c r="A2083" s="11" t="d">
        <x:v>2023-04-04T00:00:00.000Z</x:v>
      </x:c>
      <x:c r="B2083" s="12" t="n">
        <x:v>247.478583</x:v>
      </x:c>
      <x:c r="C2083" s="13" t="n">
        <x:v>267</x:v>
      </x:c>
      <x:c r="D2083" s="12" t="n">
        <x:v>109114.89</x:v>
      </x:c>
      <x:c r="E2083" s="12" t="n">
        <x:v>0</x:v>
      </x:c>
      <x:c r="F2083" s="12" t="n">
        <x:f>SUM(B2083,D2083:E2083)</x:f>
        <x:v>109362.368583</x:v>
      </x:c>
      <x:c r="G2083" s="12" t="n">
        <x:f>MAX(G2082,F2083)</x:f>
        <x:v>138687.599344</x:v>
      </x:c>
      <x:c r="H2083" s="14" t="n">
        <x:f>F2083/G2083-1</x:f>
        <x:v>-0.21144810999476482</x:v>
      </x:c>
      <x:c r="I2083" s="14" t="n">
        <x:f>F2083/F2082-1</x:f>
        <x:v>-0.005535634741990814</x:v>
      </x:c>
      <x:c r="J2083" s="12" t="n">
        <x:v>0</x:v>
      </x:c>
      <x:c r="K2083" s="12" t="n">
        <x:v>0</x:v>
      </x:c>
      <x:c r="L2083" s="12" t="n">
        <x:v>0</x:v>
      </x:c>
      <x:c r="M2083" s="2" t="str">
        <x:v>持有</x:v>
      </x:c>
    </x:row>
    <x:row r="2084" ht="23" customHeight="1">
      <x:c r="A2084" s="11" t="d">
        <x:v>2023-04-05T00:00:00.000Z</x:v>
      </x:c>
      <x:c r="B2084" s="12" t="n">
        <x:v>247.478583</x:v>
      </x:c>
      <x:c r="C2084" s="13" t="n">
        <x:v>267</x:v>
      </x:c>
      <x:c r="D2084" s="12" t="n">
        <x:v>108829.20000000001</x:v>
      </x:c>
      <x:c r="E2084" s="12" t="n">
        <x:v>0</x:v>
      </x:c>
      <x:c r="F2084" s="12" t="n">
        <x:f>SUM(B2084,D2084:E2084)</x:f>
        <x:v>109076.67858300002</x:v>
      </x:c>
      <x:c r="G2084" s="12" t="n">
        <x:f>MAX(G2083,F2084)</x:f>
        <x:v>138687.599344</x:v>
      </x:c>
      <x:c r="H2084" s="14" t="n">
        <x:f>F2084/G2084-1</x:f>
        <x:v>-0.21350806345384354</x:v>
      </x:c>
      <x:c r="I2084" s="14" t="n">
        <x:f>F2084/F2083-1</x:f>
        <x:v>-0.002612324547297651</x:v>
      </x:c>
      <x:c r="J2084" s="12" t="n">
        <x:v>0</x:v>
      </x:c>
      <x:c r="K2084" s="12" t="n">
        <x:v>0</x:v>
      </x:c>
      <x:c r="L2084" s="12" t="n">
        <x:v>0</x:v>
      </x:c>
      <x:c r="M2084" s="2" t="str">
        <x:v>持有</x:v>
      </x:c>
    </x:row>
    <x:row r="2085" ht="23" customHeight="1">
      <x:c r="A2085" s="11" t="d">
        <x:v>2023-04-06T00:00:00.000Z</x:v>
      </x:c>
      <x:c r="B2085" s="12" t="n">
        <x:v>247.478583</x:v>
      </x:c>
      <x:c r="C2085" s="13" t="n">
        <x:v>267</x:v>
      </x:c>
      <x:c r="D2085" s="12" t="n">
        <x:v>109253.73</x:v>
      </x:c>
      <x:c r="E2085" s="12" t="n">
        <x:v>0</x:v>
      </x:c>
      <x:c r="F2085" s="12" t="n">
        <x:f>SUM(B2085,D2085:E2085)</x:f>
        <x:v>109501.208583</x:v>
      </x:c>
      <x:c r="G2085" s="12" t="n">
        <x:f>MAX(G2084,F2085)</x:f>
        <x:v>138687.599344</x:v>
      </x:c>
      <x:c r="H2085" s="14" t="n">
        <x:f>F2085/G2085-1</x:f>
        <x:v>-0.21044701111745556</x:v>
      </x:c>
      <x:c r="I2085" s="14" t="n">
        <x:f>F2085/F2084-1</x:f>
        <x:v>0.0038920327013527434</x:v>
      </x:c>
      <x:c r="J2085" s="12" t="n">
        <x:v>0</x:v>
      </x:c>
      <x:c r="K2085" s="12" t="n">
        <x:v>0</x:v>
      </x:c>
      <x:c r="L2085" s="12" t="n">
        <x:v>0</x:v>
      </x:c>
      <x:c r="M2085" s="2" t="str">
        <x:v>持有</x:v>
      </x:c>
    </x:row>
    <x:row r="2086" ht="23" customHeight="1">
      <x:c r="A2086" s="11" t="d">
        <x:v>2023-04-10T00:00:00.000Z</x:v>
      </x:c>
      <x:c r="B2086" s="12" t="n">
        <x:v>247.478583</x:v>
      </x:c>
      <x:c r="C2086" s="13" t="n">
        <x:v>267</x:v>
      </x:c>
      <x:c r="D2086" s="12" t="n">
        <x:v>109365.87000000001</x:v>
      </x:c>
      <x:c r="E2086" s="12" t="n">
        <x:v>0</x:v>
      </x:c>
      <x:c r="F2086" s="12" t="n">
        <x:f>SUM(B2086,D2086:E2086)</x:f>
        <x:v>109613.34858300001</x:v>
      </x:c>
      <x:c r="G2086" s="12" t="n">
        <x:f>MAX(G2085,F2086)</x:f>
        <x:v>138687.599344</x:v>
      </x:c>
      <x:c r="H2086" s="14" t="n">
        <x:f>F2086/G2086-1</x:f>
        <x:v>-0.20963843125501336</x:v>
      </x:c>
      <x:c r="I2086" s="14" t="n">
        <x:f>F2086/F2085-1</x:f>
        <x:v>0.0010240982857738778</x:v>
      </x:c>
      <x:c r="J2086" s="12" t="n">
        <x:v>0</x:v>
      </x:c>
      <x:c r="K2086" s="12" t="n">
        <x:v>0</x:v>
      </x:c>
      <x:c r="L2086" s="12" t="n">
        <x:v>0</x:v>
      </x:c>
      <x:c r="M2086" s="2" t="str">
        <x:v>持有</x:v>
      </x:c>
    </x:row>
    <x:row r="2087" ht="23" customHeight="1">
      <x:c r="A2087" s="11" t="d">
        <x:v>2023-04-11T00:00:00.000Z</x:v>
      </x:c>
      <x:c r="B2087" s="12" t="n">
        <x:v>247.478583</x:v>
      </x:c>
      <x:c r="C2087" s="13" t="n">
        <x:v>267</x:v>
      </x:c>
      <x:c r="D2087" s="12" t="n">
        <x:v>109395.24</x:v>
      </x:c>
      <x:c r="E2087" s="12" t="n">
        <x:v>0</x:v>
      </x:c>
      <x:c r="F2087" s="12" t="n">
        <x:f>SUM(B2087,D2087:E2087)</x:f>
        <x:v>109642.71858300001</x:v>
      </x:c>
      <x:c r="G2087" s="12" t="n">
        <x:f>MAX(G2086,F2087)</x:f>
        <x:v>138687.599344</x:v>
      </x:c>
      <x:c r="H2087" s="14" t="n">
        <x:f>F2087/G2087-1</x:f>
        <x:v>-0.20942666033865953</x:v>
      </x:c>
      <x:c r="I2087" s="14" t="n">
        <x:f>F2087/F2086-1</x:f>
        <x:v>0.0002679418189450722</x:v>
      </x:c>
      <x:c r="J2087" s="12" t="n">
        <x:v>0</x:v>
      </x:c>
      <x:c r="K2087" s="12" t="n">
        <x:v>0</x:v>
      </x:c>
      <x:c r="L2087" s="12" t="n">
        <x:v>0</x:v>
      </x:c>
      <x:c r="M2087" s="2" t="str">
        <x:v>持有</x:v>
      </x:c>
    </x:row>
    <x:row r="2088" ht="23" customHeight="1">
      <x:c r="A2088" s="11" t="d">
        <x:v>2023-04-12T00:00:00.000Z</x:v>
      </x:c>
      <x:c r="B2088" s="12" t="n">
        <x:v>247.478583</x:v>
      </x:c>
      <x:c r="C2088" s="13" t="n">
        <x:v>267</x:v>
      </x:c>
      <x:c r="D2088" s="12" t="n">
        <x:v>108949.35</x:v>
      </x:c>
      <x:c r="E2088" s="12" t="n">
        <x:v>0</x:v>
      </x:c>
      <x:c r="F2088" s="12" t="n">
        <x:f>SUM(B2088,D2088:E2088)</x:f>
        <x:v>109196.82858300001</x:v>
      </x:c>
      <x:c r="G2088" s="12" t="n">
        <x:f>MAX(G2087,F2088)</x:f>
        <x:v>138687.599344</x:v>
      </x:c>
      <x:c r="H2088" s="14" t="n">
        <x:f>F2088/G2088-1</x:f>
        <x:v>-0.21264172788694125</x:v>
      </x:c>
      <x:c r="I2088" s="14" t="n">
        <x:f>F2088/F2087-1</x:f>
        <x:v>-0.00406675432498016</x:v>
      </x:c>
      <x:c r="J2088" s="12" t="n">
        <x:v>0</x:v>
      </x:c>
      <x:c r="K2088" s="12" t="n">
        <x:v>0</x:v>
      </x:c>
      <x:c r="L2088" s="12" t="n">
        <x:v>0</x:v>
      </x:c>
      <x:c r="M2088" s="2" t="str">
        <x:v>持有</x:v>
      </x:c>
    </x:row>
    <x:row r="2089" ht="23" customHeight="1">
      <x:c r="A2089" s="11" t="d">
        <x:v>2023-04-13T00:00:00.000Z</x:v>
      </x:c>
      <x:c r="B2089" s="12" t="n">
        <x:v>247.478583</x:v>
      </x:c>
      <x:c r="C2089" s="13" t="n">
        <x:v>267</x:v>
      </x:c>
      <x:c r="D2089" s="12" t="n">
        <x:v>110396.49</x:v>
      </x:c>
      <x:c r="E2089" s="12" t="n">
        <x:v>0</x:v>
      </x:c>
      <x:c r="F2089" s="12" t="n">
        <x:f>SUM(B2089,D2089:E2089)</x:f>
        <x:v>110643.96858300001</x:v>
      </x:c>
      <x:c r="G2089" s="12" t="n">
        <x:f>MAX(G2088,F2089)</x:f>
        <x:v>138687.599344</x:v>
      </x:c>
      <x:c r="H2089" s="14" t="n">
        <x:f>F2089/G2089-1</x:f>
        <x:v>-0.20220719728114056</x:v>
      </x:c>
      <x:c r="I2089" s="14" t="n">
        <x:f>F2089/F2088-1</x:f>
        <x:v>0.013252582687417913</x:v>
      </x:c>
      <x:c r="J2089" s="12" t="n">
        <x:v>0</x:v>
      </x:c>
      <x:c r="K2089" s="12" t="n">
        <x:v>0</x:v>
      </x:c>
      <x:c r="L2089" s="12" t="n">
        <x:v>0</x:v>
      </x:c>
      <x:c r="M2089" s="2" t="str">
        <x:v>持有</x:v>
      </x:c>
    </x:row>
    <x:row r="2090" ht="23" customHeight="1">
      <x:c r="A2090" s="11" t="d">
        <x:v>2023-04-14T00:00:00.000Z</x:v>
      </x:c>
      <x:c r="B2090" s="12" t="n">
        <x:v>247.478583</x:v>
      </x:c>
      <x:c r="C2090" s="13" t="n">
        <x:v>267</x:v>
      </x:c>
      <x:c r="D2090" s="12" t="n">
        <x:v>110126.81999999999</x:v>
      </x:c>
      <x:c r="E2090" s="12" t="n">
        <x:v>0</x:v>
      </x:c>
      <x:c r="F2090" s="12" t="n">
        <x:f>SUM(B2090,D2090:E2090)</x:f>
        <x:v>110374.298583</x:v>
      </x:c>
      <x:c r="G2090" s="12" t="n">
        <x:f>MAX(G2089,F2090)</x:f>
        <x:v>138687.599344</x:v>
      </x:c>
      <x:c r="H2090" s="14" t="n">
        <x:f>F2090/G2090-1</x:f>
        <x:v>-0.2041516393312991</x:v>
      </x:c>
      <x:c r="I2090" s="14" t="n">
        <x:f>F2090/F2089-1</x:f>
        <x:v>-0.002437277001662519</x:v>
      </x:c>
      <x:c r="J2090" s="12" t="n">
        <x:v>0</x:v>
      </x:c>
      <x:c r="K2090" s="12" t="n">
        <x:v>0</x:v>
      </x:c>
      <x:c r="L2090" s="12" t="n">
        <x:v>0</x:v>
      </x:c>
      <x:c r="M2090" s="2" t="str">
        <x:v>持有</x:v>
      </x:c>
    </x:row>
    <x:row r="2091" ht="23" customHeight="1">
      <x:c r="A2091" s="11" t="d">
        <x:v>2023-04-17T00:00:00.000Z</x:v>
      </x:c>
      <x:c r="B2091" s="12" t="n">
        <x:v>247.478583</x:v>
      </x:c>
      <x:c r="C2091" s="13" t="n">
        <x:v>267</x:v>
      </x:c>
      <x:c r="D2091" s="12" t="n">
        <x:v>110521.98</x:v>
      </x:c>
      <x:c r="E2091" s="12" t="n">
        <x:v>0</x:v>
      </x:c>
      <x:c r="F2091" s="12" t="n">
        <x:f>SUM(B2091,D2091:E2091)</x:f>
        <x:v>110769.458583</x:v>
      </x:c>
      <x:c r="G2091" s="12" t="n">
        <x:f>MAX(G2090,F2091)</x:f>
        <x:v>138687.599344</x:v>
      </x:c>
      <x:c r="H2091" s="14" t="n">
        <x:f>F2091/G2091-1</x:f>
        <x:v>-0.20130235791126483</x:v>
      </x:c>
      <x:c r="I2091" s="14" t="n">
        <x:f>F2091/F2090-1</x:f>
        <x:v>0.0035801813019256112</x:v>
      </x:c>
      <x:c r="J2091" s="12" t="n">
        <x:v>0</x:v>
      </x:c>
      <x:c r="K2091" s="12" t="n">
        <x:v>0</x:v>
      </x:c>
      <x:c r="L2091" s="12" t="n">
        <x:v>0</x:v>
      </x:c>
      <x:c r="M2091" s="2" t="str">
        <x:v>持有</x:v>
      </x:c>
    </x:row>
    <x:row r="2092" ht="23" customHeight="1">
      <x:c r="A2092" s="11" t="d">
        <x:v>2023-04-18T00:00:00.000Z</x:v>
      </x:c>
      <x:c r="B2092" s="12" t="n">
        <x:v>247.478583</x:v>
      </x:c>
      <x:c r="C2092" s="13" t="n">
        <x:v>267</x:v>
      </x:c>
      <x:c r="D2092" s="12" t="n">
        <x:v>110594.06999999999</x:v>
      </x:c>
      <x:c r="E2092" s="12" t="n">
        <x:v>0</x:v>
      </x:c>
      <x:c r="F2092" s="12" t="n">
        <x:f>SUM(B2092,D2092:E2092)</x:f>
        <x:v>110841.548583</x:v>
      </x:c>
      <x:c r="G2092" s="12" t="n">
        <x:f>MAX(G2091,F2092)</x:f>
        <x:v>138687.599344</x:v>
      </x:c>
      <x:c r="H2092" s="14" t="n">
        <x:f>F2092/G2092-1</x:f>
        <x:v>-0.20078255657112354</x:v>
      </x:c>
      <x:c r="I2092" s="14" t="n">
        <x:f>F2092/F2091-1</x:f>
        <x:v>0.0006508111615077805</x:v>
      </x:c>
      <x:c r="J2092" s="12" t="n">
        <x:v>0</x:v>
      </x:c>
      <x:c r="K2092" s="12" t="n">
        <x:v>0</x:v>
      </x:c>
      <x:c r="L2092" s="12" t="n">
        <x:v>0</x:v>
      </x:c>
      <x:c r="M2092" s="2" t="str">
        <x:v>持有</x:v>
      </x:c>
    </x:row>
    <x:row r="2093" ht="23" customHeight="1">
      <x:c r="A2093" s="11" t="d">
        <x:v>2023-04-19T00:00:00.000Z</x:v>
      </x:c>
      <x:c r="B2093" s="12" t="n">
        <x:v>247.478583</x:v>
      </x:c>
      <x:c r="C2093" s="13" t="n">
        <x:v>267</x:v>
      </x:c>
      <x:c r="D2093" s="12" t="n">
        <x:v>110575.37999999999</x:v>
      </x:c>
      <x:c r="E2093" s="12" t="n">
        <x:v>0</x:v>
      </x:c>
      <x:c r="F2093" s="12" t="n">
        <x:f>SUM(B2093,D2093:E2093)</x:f>
        <x:v>110822.858583</x:v>
      </x:c>
      <x:c r="G2093" s="12" t="n">
        <x:f>MAX(G2092,F2093)</x:f>
        <x:v>138687.599344</x:v>
      </x:c>
      <x:c r="H2093" s="14" t="n">
        <x:f>F2093/G2093-1</x:f>
        <x:v>-0.2009173198815306</x:v>
      </x:c>
      <x:c r="I2093" s="14" t="n">
        <x:f>F2093/F2092-1</x:f>
        <x:v>-0.00016861908047061114</x:v>
      </x:c>
      <x:c r="J2093" s="12" t="n">
        <x:v>0</x:v>
      </x:c>
      <x:c r="K2093" s="12" t="n">
        <x:v>0</x:v>
      </x:c>
      <x:c r="L2093" s="12" t="n">
        <x:v>0</x:v>
      </x:c>
      <x:c r="M2093" s="2" t="str">
        <x:v>持有</x:v>
      </x:c>
    </x:row>
    <x:row r="2094" ht="23" customHeight="1">
      <x:c r="A2094" s="11" t="d">
        <x:v>2023-04-20T00:00:00.000Z</x:v>
      </x:c>
      <x:c r="B2094" s="12" t="n">
        <x:v>247.478583</x:v>
      </x:c>
      <x:c r="C2094" s="13" t="n">
        <x:v>267</x:v>
      </x:c>
      <x:c r="D2094" s="12" t="n">
        <x:v>109971.95999999999</x:v>
      </x:c>
      <x:c r="E2094" s="12" t="n">
        <x:v>0</x:v>
      </x:c>
      <x:c r="F2094" s="12" t="n">
        <x:f>SUM(B2094,D2094:E2094)</x:f>
        <x:v>110219.438583</x:v>
      </x:c>
      <x:c r="G2094" s="12" t="n">
        <x:f>MAX(G2093,F2094)</x:f>
        <x:v>138687.599344</x:v>
      </x:c>
      <x:c r="H2094" s="14" t="n">
        <x:f>F2094/G2094-1</x:f>
        <x:v>-0.20526824961752865</x:v>
      </x:c>
      <x:c r="I2094" s="14" t="n">
        <x:f>F2094/F2093-1</x:f>
        <x:v>-0.005444905570163305</x:v>
      </x:c>
      <x:c r="J2094" s="12" t="n">
        <x:v>0</x:v>
      </x:c>
      <x:c r="K2094" s="12" t="n">
        <x:v>0</x:v>
      </x:c>
      <x:c r="L2094" s="12" t="n">
        <x:v>0</x:v>
      </x:c>
      <x:c r="M2094" s="2" t="str">
        <x:v>持有</x:v>
      </x:c>
    </x:row>
    <x:row r="2095" ht="23" customHeight="1">
      <x:c r="A2095" s="11" t="d">
        <x:v>2023-04-21T00:00:00.000Z</x:v>
      </x:c>
      <x:c r="B2095" s="12" t="n">
        <x:v>247.478583</x:v>
      </x:c>
      <x:c r="C2095" s="13" t="n">
        <x:v>267</x:v>
      </x:c>
      <x:c r="D2095" s="12" t="n">
        <x:v>110057.4</x:v>
      </x:c>
      <x:c r="E2095" s="12" t="n">
        <x:v>0</x:v>
      </x:c>
      <x:c r="F2095" s="12" t="n">
        <x:f>SUM(B2095,D2095:E2095)</x:f>
        <x:v>110304.878583</x:v>
      </x:c>
      <x:c r="G2095" s="12" t="n">
        <x:f>MAX(G2094,F2095)</x:f>
        <x:v>138687.599344</x:v>
      </x:c>
      <x:c r="H2095" s="14" t="n">
        <x:f>F2095/G2095-1</x:f>
        <x:v>-0.20465218876995372</x:v>
      </x:c>
      <x:c r="I2095" s="14" t="n">
        <x:f>F2095/F2094-1</x:f>
        <x:v>0.0007751808673537308</x:v>
      </x:c>
      <x:c r="J2095" s="12" t="n">
        <x:v>0</x:v>
      </x:c>
      <x:c r="K2095" s="12" t="n">
        <x:v>0</x:v>
      </x:c>
      <x:c r="L2095" s="12" t="n">
        <x:v>0</x:v>
      </x:c>
      <x:c r="M2095" s="2" t="str">
        <x:v>持有</x:v>
      </x:c>
    </x:row>
    <x:row r="2096" ht="23" customHeight="1">
      <x:c r="A2096" s="11" t="d">
        <x:v>2023-04-24T00:00:00.000Z</x:v>
      </x:c>
      <x:c r="B2096" s="12" t="n">
        <x:v>247.478583</x:v>
      </x:c>
      <x:c r="C2096" s="13" t="n">
        <x:v>267</x:v>
      </x:c>
      <x:c r="D2096" s="12" t="n">
        <x:v>110172.20999999999</x:v>
      </x:c>
      <x:c r="E2096" s="12" t="n">
        <x:v>0</x:v>
      </x:c>
      <x:c r="F2096" s="12" t="n">
        <x:f>SUM(B2096,D2096:E2096)</x:f>
        <x:v>110419.688583</x:v>
      </x:c>
      <x:c r="G2096" s="12" t="n">
        <x:f>MAX(G2095,F2096)</x:f>
        <x:v>138687.599344</x:v>
      </x:c>
      <x:c r="H2096" s="14" t="n">
        <x:f>F2096/G2096-1</x:f>
        <x:v>-0.20382435700602486</x:v>
      </x:c>
      <x:c r="I2096" s="14" t="n">
        <x:f>F2096/F2095-1</x:f>
        <x:v>0.0010408424493537627</x:v>
      </x:c>
      <x:c r="J2096" s="12" t="n">
        <x:v>0</x:v>
      </x:c>
      <x:c r="K2096" s="12" t="n">
        <x:v>0</x:v>
      </x:c>
      <x:c r="L2096" s="12" t="n">
        <x:v>0</x:v>
      </x:c>
      <x:c r="M2096" s="2" t="str">
        <x:v>持有</x:v>
      </x:c>
    </x:row>
    <x:row r="2097" ht="23" customHeight="1">
      <x:c r="A2097" s="11" t="d">
        <x:v>2023-04-25T00:00:00.000Z</x:v>
      </x:c>
      <x:c r="B2097" s="12" t="n">
        <x:v>247.478583</x:v>
      </x:c>
      <x:c r="C2097" s="13" t="n">
        <x:v>267</x:v>
      </x:c>
      <x:c r="D2097" s="12" t="n">
        <x:v>108423.36</x:v>
      </x:c>
      <x:c r="E2097" s="12" t="n">
        <x:v>0</x:v>
      </x:c>
      <x:c r="F2097" s="12" t="n">
        <x:f>SUM(B2097,D2097:E2097)</x:f>
        <x:v>108670.838583</x:v>
      </x:c>
      <x:c r="G2097" s="12" t="n">
        <x:f>MAX(G2096,F2097)</x:f>
        <x:v>138687.599344</x:v>
      </x:c>
      <x:c r="H2097" s="14" t="n">
        <x:f>F2097/G2097-1</x:f>
        <x:v>-0.21643435247982457</x:v>
      </x:c>
      <x:c r="I2097" s="14" t="n">
        <x:f>F2097/F2096-1</x:f>
        <x:v>-0.015838208044622548</x:v>
      </x:c>
      <x:c r="J2097" s="12" t="n">
        <x:v>0</x:v>
      </x:c>
      <x:c r="K2097" s="12" t="n">
        <x:v>0</x:v>
      </x:c>
      <x:c r="L2097" s="12" t="n">
        <x:v>0</x:v>
      </x:c>
      <x:c r="M2097" s="2" t="str">
        <x:v>持有</x:v>
      </x:c>
    </x:row>
    <x:row r="2098" ht="23" customHeight="1">
      <x:c r="A2098" s="11" t="d">
        <x:v>2023-04-26T00:00:00.000Z</x:v>
      </x:c>
      <x:c r="B2098" s="12" t="n">
        <x:v>247.478583</x:v>
      </x:c>
      <x:c r="C2098" s="13" t="n">
        <x:v>267</x:v>
      </x:c>
      <x:c r="D2098" s="12" t="n">
        <x:v>107964.12000000001</x:v>
      </x:c>
      <x:c r="E2098" s="12" t="n">
        <x:v>0</x:v>
      </x:c>
      <x:c r="F2098" s="12" t="n">
        <x:f>SUM(B2098,D2098:E2098)</x:f>
        <x:v>108211.59858300001</x:v>
      </x:c>
      <x:c r="G2098" s="12" t="n">
        <x:f>MAX(G2097,F2098)</x:f>
        <x:v>138687.599344</x:v>
      </x:c>
      <x:c r="H2098" s="14" t="n">
        <x:f>F2098/G2098-1</x:f>
        <x:v>-0.21974567953553992</x:v>
      </x:c>
      <x:c r="I2098" s="14" t="n">
        <x:f>F2098/F2097-1</x:f>
        <x:v>-0.0042259727263376234</x:v>
      </x:c>
      <x:c r="J2098" s="12" t="n">
        <x:v>0</x:v>
      </x:c>
      <x:c r="K2098" s="12" t="n">
        <x:v>0</x:v>
      </x:c>
      <x:c r="L2098" s="12" t="n">
        <x:v>0</x:v>
      </x:c>
      <x:c r="M2098" s="2" t="str">
        <x:v>持有</x:v>
      </x:c>
    </x:row>
    <x:row r="2099" ht="23" customHeight="1">
      <x:c r="A2099" s="11" t="d">
        <x:v>2023-04-27T00:00:00.000Z</x:v>
      </x:c>
      <x:c r="B2099" s="12" t="n">
        <x:v>247.478583</x:v>
      </x:c>
      <x:c r="C2099" s="13" t="n">
        <x:v>267</x:v>
      </x:c>
      <x:c r="D2099" s="12" t="n">
        <x:v>110113.47</x:v>
      </x:c>
      <x:c r="E2099" s="12" t="n">
        <x:v>0</x:v>
      </x:c>
      <x:c r="F2099" s="12" t="n">
        <x:f>SUM(B2099,D2099:E2099)</x:f>
        <x:v>110360.948583</x:v>
      </x:c>
      <x:c r="G2099" s="12" t="n">
        <x:f>MAX(G2098,F2099)</x:f>
        <x:v>138687.599344</x:v>
      </x:c>
      <x:c r="H2099" s="14" t="n">
        <x:f>F2099/G2099-1</x:f>
        <x:v>-0.20424789883873262</x:v>
      </x:c>
      <x:c r="I2099" s="14" t="n">
        <x:f>F2099/F2098-1</x:f>
        <x:v>0.019862473414542503</x:v>
      </x:c>
      <x:c r="J2099" s="12" t="n">
        <x:v>0</x:v>
      </x:c>
      <x:c r="K2099" s="12" t="n">
        <x:v>0</x:v>
      </x:c>
      <x:c r="L2099" s="12" t="n">
        <x:v>0</x:v>
      </x:c>
      <x:c r="M2099" s="2" t="str">
        <x:v>持有</x:v>
      </x:c>
    </x:row>
    <x:row r="2100" ht="23" customHeight="1">
      <x:c r="A2100" s="11" t="d">
        <x:v>2023-04-28T00:00:00.000Z</x:v>
      </x:c>
      <x:c r="B2100" s="12" t="n">
        <x:v>247.478583</x:v>
      </x:c>
      <x:c r="C2100" s="13" t="n">
        <x:v>267</x:v>
      </x:c>
      <x:c r="D2100" s="12" t="n">
        <x:v>111053.31</x:v>
      </x:c>
      <x:c r="E2100" s="12" t="n">
        <x:v>0</x:v>
      </x:c>
      <x:c r="F2100" s="12" t="n">
        <x:f>SUM(B2100,D2100:E2100)</x:f>
        <x:v>111300.788583</x:v>
      </x:c>
      <x:c r="G2100" s="12" t="n">
        <x:f>MAX(G2099,F2100)</x:f>
        <x:v>138687.599344</x:v>
      </x:c>
      <x:c r="H2100" s="14" t="n">
        <x:f>F2100/G2100-1</x:f>
        <x:v>-0.19747122951540808</x:v>
      </x:c>
      <x:c r="I2100" s="14" t="n">
        <x:f>F2100/F2099-1</x:f>
        <x:v>0.008516055833764025</x:v>
      </x:c>
      <x:c r="J2100" s="12" t="n">
        <x:v>0</x:v>
      </x:c>
      <x:c r="K2100" s="12" t="n">
        <x:v>0</x:v>
      </x:c>
      <x:c r="L2100" s="12" t="n">
        <x:v>0</x:v>
      </x:c>
      <x:c r="M2100" s="2" t="str">
        <x:v>持有</x:v>
      </x:c>
    </x:row>
    <x:row r="2101" ht="23" customHeight="1">
      <x:c r="A2101" s="11" t="d">
        <x:v>2023-05-01T00:00:00.000Z</x:v>
      </x:c>
      <x:c r="B2101" s="12" t="n">
        <x:v>247.478583</x:v>
      </x:c>
      <x:c r="C2101" s="13" t="n">
        <x:v>267</x:v>
      </x:c>
      <x:c r="D2101" s="12" t="n">
        <x:v>110941.17</x:v>
      </x:c>
      <x:c r="E2101" s="12" t="n">
        <x:v>0</x:v>
      </x:c>
      <x:c r="F2101" s="12" t="n">
        <x:f>SUM(B2101,D2101:E2101)</x:f>
        <x:v>111188.648583</x:v>
      </x:c>
      <x:c r="G2101" s="12" t="n">
        <x:f>MAX(G2100,F2101)</x:f>
        <x:v>138687.599344</x:v>
      </x:c>
      <x:c r="H2101" s="14" t="n">
        <x:f>F2101/G2101-1</x:f>
        <x:v>-0.19827980937785028</x:v>
      </x:c>
      <x:c r="I2101" s="14" t="n">
        <x:f>F2101/F2100-1</x:f>
        <x:v>-0.0010075400311865268</x:v>
      </x:c>
      <x:c r="J2101" s="12" t="n">
        <x:v>0</x:v>
      </x:c>
      <x:c r="K2101" s="12" t="n">
        <x:v>0</x:v>
      </x:c>
      <x:c r="L2101" s="12" t="n">
        <x:v>0</x:v>
      </x:c>
      <x:c r="M2101" s="2" t="str">
        <x:v>持有</x:v>
      </x:c>
    </x:row>
    <x:row r="2102" ht="23" customHeight="1">
      <x:c r="A2102" s="11" t="d">
        <x:v>2023-05-02T00:00:00.000Z</x:v>
      </x:c>
      <x:c r="B2102" s="12" t="n">
        <x:v>247.478583</x:v>
      </x:c>
      <x:c r="C2102" s="13" t="n">
        <x:v>267</x:v>
      </x:c>
      <x:c r="D2102" s="12" t="n">
        <x:v>109694.28</x:v>
      </x:c>
      <x:c r="E2102" s="12" t="n">
        <x:v>0</x:v>
      </x:c>
      <x:c r="F2102" s="12" t="n">
        <x:f>SUM(B2102,D2102:E2102)</x:f>
        <x:v>109941.758583</x:v>
      </x:c>
      <x:c r="G2102" s="12" t="n">
        <x:f>MAX(G2101,F2102)</x:f>
        <x:v>138687.599344</x:v>
      </x:c>
      <x:c r="H2102" s="14" t="n">
        <x:f>F2102/G2102-1</x:f>
        <x:v>-0.20727044737214717</x:v>
      </x:c>
      <x:c r="I2102" s="14" t="n">
        <x:f>F2102/F2101-1</x:f>
        <x:v>-0.011214184324483623</x:v>
      </x:c>
      <x:c r="J2102" s="12" t="n">
        <x:v>0</x:v>
      </x:c>
      <x:c r="K2102" s="12" t="n">
        <x:v>0</x:v>
      </x:c>
      <x:c r="L2102" s="12" t="n">
        <x:v>0</x:v>
      </x:c>
      <x:c r="M2102" s="2" t="str">
        <x:v>持有</x:v>
      </x:c>
    </x:row>
    <x:row r="2103" ht="23" customHeight="1">
      <x:c r="A2103" s="11" t="d">
        <x:v>2023-05-03T00:00:00.000Z</x:v>
      </x:c>
      <x:c r="B2103" s="12" t="n">
        <x:v>247.478583</x:v>
      </x:c>
      <x:c r="C2103" s="13" t="n">
        <x:v>267</x:v>
      </x:c>
      <x:c r="D2103" s="12" t="n">
        <x:v>108941.34</x:v>
      </x:c>
      <x:c r="E2103" s="12" t="n">
        <x:v>0</x:v>
      </x:c>
      <x:c r="F2103" s="12" t="n">
        <x:f>SUM(B2103,D2103:E2103)</x:f>
        <x:v>109188.818583</x:v>
      </x:c>
      <x:c r="G2103" s="12" t="n">
        <x:f>MAX(G2102,F2103)</x:f>
        <x:v>138687.599344</x:v>
      </x:c>
      <x:c r="H2103" s="14" t="n">
        <x:f>F2103/G2103-1</x:f>
        <x:v>-0.21269948359140145</x:v>
      </x:c>
      <x:c r="I2103" s="14" t="n">
        <x:f>F2103/F2102-1</x:f>
        <x:v>-0.006848535167204628</x:v>
      </x:c>
      <x:c r="J2103" s="12" t="n">
        <x:v>0</x:v>
      </x:c>
      <x:c r="K2103" s="12" t="n">
        <x:v>0</x:v>
      </x:c>
      <x:c r="L2103" s="12" t="n">
        <x:v>0</x:v>
      </x:c>
      <x:c r="M2103" s="2" t="str">
        <x:v>持有</x:v>
      </x:c>
    </x:row>
    <x:row r="2104" ht="23" customHeight="1">
      <x:c r="A2104" s="11" t="d">
        <x:v>2023-05-04T00:00:00.000Z</x:v>
      </x:c>
      <x:c r="B2104" s="12" t="n">
        <x:v>247.478583</x:v>
      </x:c>
      <x:c r="C2104" s="13" t="n">
        <x:v>267</x:v>
      </x:c>
      <x:c r="D2104" s="12" t="n">
        <x:v>108169.70999999999</x:v>
      </x:c>
      <x:c r="E2104" s="12" t="n">
        <x:v>0</x:v>
      </x:c>
      <x:c r="F2104" s="12" t="n">
        <x:f>SUM(B2104,D2104:E2104)</x:f>
        <x:v>108417.188583</x:v>
      </x:c>
      <x:c r="G2104" s="12" t="n">
        <x:f>MAX(G2103,F2104)</x:f>
        <x:v>138687.599344</x:v>
      </x:c>
      <x:c r="H2104" s="14" t="n">
        <x:f>F2104/G2104-1</x:f>
        <x:v>-0.2182632831210628</x:v>
      </x:c>
      <x:c r="I2104" s="14" t="n">
        <x:f>F2104/F2103-1</x:f>
        <x:v>-0.007066932402180481</x:v>
      </x:c>
      <x:c r="J2104" s="12" t="n">
        <x:v>0</x:v>
      </x:c>
      <x:c r="K2104" s="12" t="n">
        <x:v>0</x:v>
      </x:c>
      <x:c r="L2104" s="12" t="n">
        <x:v>0</x:v>
      </x:c>
      <x:c r="M2104" s="2" t="str">
        <x:v>持有</x:v>
      </x:c>
    </x:row>
    <x:row r="2105" ht="23" customHeight="1">
      <x:c r="A2105" s="11" t="d">
        <x:v>2023-05-05T00:00:00.000Z</x:v>
      </x:c>
      <x:c r="B2105" s="12" t="n">
        <x:v>247.478583</x:v>
      </x:c>
      <x:c r="C2105" s="13" t="n">
        <x:v>267</x:v>
      </x:c>
      <x:c r="D2105" s="12" t="n">
        <x:v>110172.20999999999</x:v>
      </x:c>
      <x:c r="E2105" s="12" t="n">
        <x:v>0</x:v>
      </x:c>
      <x:c r="F2105" s="12" t="n">
        <x:f>SUM(B2105,D2105:E2105)</x:f>
        <x:v>110419.688583</x:v>
      </x:c>
      <x:c r="G2105" s="12" t="n">
        <x:f>MAX(G2104,F2105)</x:f>
        <x:v>138687.599344</x:v>
      </x:c>
      <x:c r="H2105" s="14" t="n">
        <x:f>F2105/G2105-1</x:f>
        <x:v>-0.20382435700602486</x:v>
      </x:c>
      <x:c r="I2105" s="14" t="n">
        <x:f>F2105/F2104-1</x:f>
        <x:v>0.01847031846308167</x:v>
      </x:c>
      <x:c r="J2105" s="12" t="n">
        <x:v>0</x:v>
      </x:c>
      <x:c r="K2105" s="12" t="n">
        <x:v>0</x:v>
      </x:c>
      <x:c r="L2105" s="12" t="n">
        <x:v>0</x:v>
      </x:c>
      <x:c r="M2105" s="2" t="str">
        <x:v>持有</x:v>
      </x:c>
    </x:row>
    <x:row r="2106" ht="23" customHeight="1">
      <x:c r="A2106" s="11" t="d">
        <x:v>2023-05-08T00:00:00.000Z</x:v>
      </x:c>
      <x:c r="B2106" s="12" t="n">
        <x:v>247.478583</x:v>
      </x:c>
      <x:c r="C2106" s="13" t="n">
        <x:v>267</x:v>
      </x:c>
      <x:c r="D2106" s="12" t="n">
        <x:v>110201.58</x:v>
      </x:c>
      <x:c r="E2106" s="12" t="n">
        <x:v>0</x:v>
      </x:c>
      <x:c r="F2106" s="12" t="n">
        <x:f>SUM(B2106,D2106:E2106)</x:f>
        <x:v>110449.058583</x:v>
      </x:c>
      <x:c r="G2106" s="12" t="n">
        <x:f>MAX(G2105,F2106)</x:f>
        <x:v>138687.599344</x:v>
      </x:c>
      <x:c r="H2106" s="14" t="n">
        <x:f>F2106/G2106-1</x:f>
        <x:v>-0.20361258608967092</x:v>
      </x:c>
      <x:c r="I2106" s="14" t="n">
        <x:f>F2106/F2105-1</x:f>
        <x:v>0.00026598517326847926</x:v>
      </x:c>
      <x:c r="J2106" s="12" t="n">
        <x:v>0</x:v>
      </x:c>
      <x:c r="K2106" s="12" t="n">
        <x:v>0</x:v>
      </x:c>
      <x:c r="L2106" s="12" t="n">
        <x:v>0</x:v>
      </x:c>
      <x:c r="M2106" s="2" t="str">
        <x:v>持有</x:v>
      </x:c>
    </x:row>
    <x:row r="2107" ht="23" customHeight="1">
      <x:c r="A2107" s="11" t="d">
        <x:v>2023-05-09T00:00:00.000Z</x:v>
      </x:c>
      <x:c r="B2107" s="12" t="n">
        <x:v>247.478583</x:v>
      </x:c>
      <x:c r="C2107" s="13" t="n">
        <x:v>267</x:v>
      </x:c>
      <x:c r="D2107" s="12" t="n">
        <x:v>109718.31</x:v>
      </x:c>
      <x:c r="E2107" s="12" t="n">
        <x:v>0</x:v>
      </x:c>
      <x:c r="F2107" s="12" t="n">
        <x:f>SUM(B2107,D2107:E2107)</x:f>
        <x:v>109965.788583</x:v>
      </x:c>
      <x:c r="G2107" s="12" t="n">
        <x:f>MAX(G2106,F2107)</x:f>
        <x:v>138687.599344</x:v>
      </x:c>
      <x:c r="H2107" s="14" t="n">
        <x:f>F2107/G2107-1</x:f>
        <x:v>-0.20709718025876678</x:v>
      </x:c>
      <x:c r="I2107" s="14" t="n">
        <x:f>F2107/F2106-1</x:f>
        <x:v>-0.0043755013053083935</x:v>
      </x:c>
      <x:c r="J2107" s="12" t="n">
        <x:v>0</x:v>
      </x:c>
      <x:c r="K2107" s="12" t="n">
        <x:v>0</x:v>
      </x:c>
      <x:c r="L2107" s="12" t="n">
        <x:v>0</x:v>
      </x:c>
      <x:c r="M2107" s="2" t="str">
        <x:v>持有</x:v>
      </x:c>
    </x:row>
    <x:row r="2108" ht="23" customHeight="1">
      <x:c r="A2108" s="11" t="d">
        <x:v>2023-05-10T00:00:00.000Z</x:v>
      </x:c>
      <x:c r="B2108" s="12" t="n">
        <x:v>247.478583</x:v>
      </x:c>
      <x:c r="C2108" s="13" t="n">
        <x:v>267</x:v>
      </x:c>
      <x:c r="D2108" s="12" t="n">
        <x:v>110230.95000000001</x:v>
      </x:c>
      <x:c r="E2108" s="12" t="n">
        <x:v>0</x:v>
      </x:c>
      <x:c r="F2108" s="12" t="n">
        <x:f>SUM(B2108,D2108:E2108)</x:f>
        <x:v>110478.42858300002</x:v>
      </x:c>
      <x:c r="G2108" s="12" t="n">
        <x:f>MAX(G2107,F2108)</x:f>
        <x:v>138687.599344</x:v>
      </x:c>
      <x:c r="H2108" s="14" t="n">
        <x:f>F2108/G2108-1</x:f>
        <x:v>-0.20340081517331698</x:v>
      </x:c>
      <x:c r="I2108" s="14" t="n">
        <x:f>F2108/F2107-1</x:f>
        <x:v>0.004661813520421276</x:v>
      </x:c>
      <x:c r="J2108" s="12" t="n">
        <x:v>0</x:v>
      </x:c>
      <x:c r="K2108" s="12" t="n">
        <x:v>0</x:v>
      </x:c>
      <x:c r="L2108" s="12" t="n">
        <x:v>0</x:v>
      </x:c>
      <x:c r="M2108" s="2" t="str">
        <x:v>持有</x:v>
      </x:c>
    </x:row>
    <x:row r="2109" ht="23" customHeight="1">
      <x:c r="A2109" s="11" t="d">
        <x:v>2023-05-11T00:00:00.000Z</x:v>
      </x:c>
      <x:c r="B2109" s="12" t="n">
        <x:v>247.478583</x:v>
      </x:c>
      <x:c r="C2109" s="13" t="n">
        <x:v>267</x:v>
      </x:c>
      <x:c r="D2109" s="12" t="n">
        <x:v>110038.70999999999</x:v>
      </x:c>
      <x:c r="E2109" s="12" t="n">
        <x:v>0</x:v>
      </x:c>
      <x:c r="F2109" s="12" t="n">
        <x:f>SUM(B2109,D2109:E2109)</x:f>
        <x:v>110286.188583</x:v>
      </x:c>
      <x:c r="G2109" s="12" t="n">
        <x:f>MAX(G2108,F2109)</x:f>
        <x:v>138687.599344</x:v>
      </x:c>
      <x:c r="H2109" s="14" t="n">
        <x:f>F2109/G2109-1</x:f>
        <x:v>-0.20478695208036068</x:v>
      </x:c>
      <x:c r="I2109" s="14" t="n">
        <x:f>F2109/F2108-1</x:f>
        <x:v>-0.0017400681967122411</x:v>
      </x:c>
      <x:c r="J2109" s="12" t="n">
        <x:v>0</x:v>
      </x:c>
      <x:c r="K2109" s="12" t="n">
        <x:v>0</x:v>
      </x:c>
      <x:c r="L2109" s="12" t="n">
        <x:v>0</x:v>
      </x:c>
      <x:c r="M2109" s="2" t="str">
        <x:v>持有</x:v>
      </x:c>
    </x:row>
    <x:row r="2110" ht="23" customHeight="1">
      <x:c r="A2110" s="11" t="d">
        <x:v>2023-05-12T00:00:00.000Z</x:v>
      </x:c>
      <x:c r="B2110" s="12" t="n">
        <x:v>247.478583</x:v>
      </x:c>
      <x:c r="C2110" s="13" t="n">
        <x:v>267</x:v>
      </x:c>
      <x:c r="D2110" s="12" t="n">
        <x:v>109894.53</x:v>
      </x:c>
      <x:c r="E2110" s="12" t="n">
        <x:v>0</x:v>
      </x:c>
      <x:c r="F2110" s="12" t="n">
        <x:f>SUM(B2110,D2110:E2110)</x:f>
        <x:v>110142.008583</x:v>
      </x:c>
      <x:c r="G2110" s="12" t="n">
        <x:f>MAX(G2109,F2110)</x:f>
        <x:v>138687.599344</x:v>
      </x:c>
      <x:c r="H2110" s="14" t="n">
        <x:f>F2110/G2110-1</x:f>
        <x:v>-0.20582655476064338</x:v>
      </x:c>
      <x:c r="I2110" s="14" t="n">
        <x:f>F2110/F2109-1</x:f>
        <x:v>-0.001307325983901264</x:v>
      </x:c>
      <x:c r="J2110" s="12" t="n">
        <x:v>0</x:v>
      </x:c>
      <x:c r="K2110" s="12" t="n">
        <x:v>0</x:v>
      </x:c>
      <x:c r="L2110" s="12" t="n">
        <x:v>0</x:v>
      </x:c>
      <x:c r="M2110" s="2" t="str">
        <x:v>持有</x:v>
      </x:c>
    </x:row>
    <x:row r="2111" ht="23" customHeight="1">
      <x:c r="A2111" s="11" t="d">
        <x:v>2023-05-15T00:00:00.000Z</x:v>
      </x:c>
      <x:c r="B2111" s="12" t="n">
        <x:v>247.478583</x:v>
      </x:c>
      <x:c r="C2111" s="13" t="n">
        <x:v>267</x:v>
      </x:c>
      <x:c r="D2111" s="12" t="n">
        <x:v>110273.67</x:v>
      </x:c>
      <x:c r="E2111" s="12" t="n">
        <x:v>0</x:v>
      </x:c>
      <x:c r="F2111" s="12" t="n">
        <x:f>SUM(B2111,D2111:E2111)</x:f>
        <x:v>110521.148583</x:v>
      </x:c>
      <x:c r="G2111" s="12" t="n">
        <x:f>MAX(G2110,F2111)</x:f>
        <x:v>138687.599344</x:v>
      </x:c>
      <x:c r="H2111" s="14" t="n">
        <x:f>F2111/G2111-1</x:f>
        <x:v>-0.20309278474952952</x:v>
      </x:c>
      <x:c r="I2111" s="14" t="n">
        <x:f>F2111/F2110-1</x:f>
        <x:v>0.003442283329291973</x:v>
      </x:c>
      <x:c r="J2111" s="12" t="n">
        <x:v>0</x:v>
      </x:c>
      <x:c r="K2111" s="12" t="n">
        <x:v>0</x:v>
      </x:c>
      <x:c r="L2111" s="12" t="n">
        <x:v>0</x:v>
      </x:c>
      <x:c r="M2111" s="2" t="str">
        <x:v>持有</x:v>
      </x:c>
    </x:row>
    <x:row r="2112" ht="23" customHeight="1">
      <x:c r="A2112" s="11" t="d">
        <x:v>2023-05-16T00:00:00.000Z</x:v>
      </x:c>
      <x:c r="B2112" s="12" t="n">
        <x:v>247.478583</x:v>
      </x:c>
      <x:c r="C2112" s="13" t="n">
        <x:v>267</x:v>
      </x:c>
      <x:c r="D2112" s="12" t="n">
        <x:v>109536.75</x:v>
      </x:c>
      <x:c r="E2112" s="12" t="n">
        <x:v>0</x:v>
      </x:c>
      <x:c r="F2112" s="12" t="n">
        <x:f>SUM(B2112,D2112:E2112)</x:f>
        <x:v>109784.228583</x:v>
      </x:c>
      <x:c r="G2112" s="12" t="n">
        <x:f>MAX(G2111,F2112)</x:f>
        <x:v>138687.599344</x:v>
      </x:c>
      <x:c r="H2112" s="14" t="n">
        <x:f>F2112/G2112-1</x:f>
        <x:v>-0.2084063095598635</x:v>
      </x:c>
      <x:c r="I2112" s="14" t="n">
        <x:f>F2112/F2111-1</x:f>
        <x:v>-0.006667683148864345</x:v>
      </x:c>
      <x:c r="J2112" s="12" t="n">
        <x:v>0</x:v>
      </x:c>
      <x:c r="K2112" s="12" t="n">
        <x:v>0</x:v>
      </x:c>
      <x:c r="L2112" s="12" t="n">
        <x:v>0</x:v>
      </x:c>
      <x:c r="M2112" s="2" t="str">
        <x:v>持有</x:v>
      </x:c>
    </x:row>
    <x:row r="2113" ht="23" customHeight="1">
      <x:c r="A2113" s="11" t="d">
        <x:v>2023-05-17T00:00:00.000Z</x:v>
      </x:c>
      <x:c r="B2113" s="12" t="n">
        <x:v>247.478583</x:v>
      </x:c>
      <x:c r="C2113" s="13" t="n">
        <x:v>267</x:v>
      </x:c>
      <x:c r="D2113" s="12" t="n">
        <x:v>110866.41</x:v>
      </x:c>
      <x:c r="E2113" s="12" t="n">
        <x:v>0</x:v>
      </x:c>
      <x:c r="F2113" s="12" t="n">
        <x:f>SUM(B2113,D2113:E2113)</x:f>
        <x:v>111113.888583</x:v>
      </x:c>
      <x:c r="G2113" s="12" t="n">
        <x:f>MAX(G2112,F2113)</x:f>
        <x:v>138687.599344</x:v>
      </x:c>
      <x:c r="H2113" s="14" t="n">
        <x:f>F2113/G2113-1</x:f>
        <x:v>-0.19881886261947823</x:v>
      </x:c>
      <x:c r="I2113" s="14" t="n">
        <x:f>F2113/F2112-1</x:f>
        <x:v>0.012111575744185643</x:v>
      </x:c>
      <x:c r="J2113" s="12" t="n">
        <x:v>0</x:v>
      </x:c>
      <x:c r="K2113" s="12" t="n">
        <x:v>0</x:v>
      </x:c>
      <x:c r="L2113" s="12" t="n">
        <x:v>0</x:v>
      </x:c>
      <x:c r="M2113" s="2" t="str">
        <x:v>持有</x:v>
      </x:c>
    </x:row>
    <x:row r="2114" ht="23" customHeight="1">
      <x:c r="A2114" s="11" t="d">
        <x:v>2023-05-18T00:00:00.000Z</x:v>
      </x:c>
      <x:c r="B2114" s="12" t="n">
        <x:v>247.478583</x:v>
      </x:c>
      <x:c r="C2114" s="13" t="n">
        <x:v>267</x:v>
      </x:c>
      <x:c r="D2114" s="12" t="n">
        <x:v>111934.41</x:v>
      </x:c>
      <x:c r="E2114" s="12" t="n">
        <x:v>0</x:v>
      </x:c>
      <x:c r="F2114" s="12" t="n">
        <x:f>SUM(B2114,D2114:E2114)</x:f>
        <x:v>112181.888583</x:v>
      </x:c>
      <x:c r="G2114" s="12" t="n">
        <x:f>MAX(G2113,F2114)</x:f>
        <x:v>138687.599344</x:v>
      </x:c>
      <x:c r="H2114" s="14" t="n">
        <x:f>F2114/G2114-1</x:f>
        <x:v>-0.1911181020247914</x:v>
      </x:c>
      <x:c r="I2114" s="14" t="n">
        <x:f>F2114/F2113-1</x:f>
        <x:v>0.009611759732467862</x:v>
      </x:c>
      <x:c r="J2114" s="12" t="n">
        <x:v>0</x:v>
      </x:c>
      <x:c r="K2114" s="12" t="n">
        <x:v>0</x:v>
      </x:c>
      <x:c r="L2114" s="12" t="n">
        <x:v>0</x:v>
      </x:c>
      <x:c r="M2114" s="2" t="str">
        <x:v>持有</x:v>
      </x:c>
    </x:row>
    <x:row r="2115" ht="23" customHeight="1">
      <x:c r="A2115" s="11" t="d">
        <x:v>2023-05-19T00:00:00.000Z</x:v>
      </x:c>
      <x:c r="B2115" s="12" t="n">
        <x:v>247.478583</x:v>
      </x:c>
      <x:c r="C2115" s="13" t="n">
        <x:v>267</x:v>
      </x:c>
      <x:c r="D2115" s="12" t="n">
        <x:v>111771.54000000001</x:v>
      </x:c>
      <x:c r="E2115" s="12" t="n">
        <x:v>0</x:v>
      </x:c>
      <x:c r="F2115" s="12" t="n">
        <x:f>SUM(B2115,D2115:E2115)</x:f>
        <x:v>112019.01858300001</x:v>
      </x:c>
      <x:c r="G2115" s="12" t="n">
        <x:f>MAX(G2114,F2115)</x:f>
        <x:v>138687.599344</x:v>
      </x:c>
      <x:c r="H2115" s="14" t="n">
        <x:f>F2115/G2115-1</x:f>
        <x:v>-0.19229246801548106</x:v>
      </x:c>
      <x:c r="I2115" s="14" t="n">
        <x:f>F2115/F2114-1</x:f>
        <x:v>-0.0014518386350707013</x:v>
      </x:c>
      <x:c r="J2115" s="12" t="n">
        <x:v>0</x:v>
      </x:c>
      <x:c r="K2115" s="12" t="n">
        <x:v>0</x:v>
      </x:c>
      <x:c r="L2115" s="12" t="n">
        <x:v>0</x:v>
      </x:c>
      <x:c r="M2115" s="2" t="str">
        <x:v>持有</x:v>
      </x:c>
    </x:row>
    <x:row r="2116" ht="23" customHeight="1">
      <x:c r="A2116" s="11" t="d">
        <x:v>2023-05-22T00:00:00.000Z</x:v>
      </x:c>
      <x:c r="B2116" s="12" t="n">
        <x:v>247.478583</x:v>
      </x:c>
      <x:c r="C2116" s="13" t="n">
        <x:v>267</x:v>
      </x:c>
      <x:c r="D2116" s="12" t="n">
        <x:v>111816.93000000001</x:v>
      </x:c>
      <x:c r="E2116" s="12" t="n">
        <x:v>0</x:v>
      </x:c>
      <x:c r="F2116" s="12" t="n">
        <x:f>SUM(B2116,D2116:E2116)</x:f>
        <x:v>112064.40858300001</x:v>
      </x:c>
      <x:c r="G2116" s="12" t="n">
        <x:f>MAX(G2115,F2116)</x:f>
        <x:v>138687.599344</x:v>
      </x:c>
      <x:c r="H2116" s="14" t="n">
        <x:f>F2116/G2116-1</x:f>
        <x:v>-0.19196518569020693</x:v>
      </x:c>
      <x:c r="I2116" s="14" t="n">
        <x:f>F2116/F2115-1</x:f>
        <x:v>0.0004051990507876191</x:v>
      </x:c>
      <x:c r="J2116" s="12" t="n">
        <x:v>0</x:v>
      </x:c>
      <x:c r="K2116" s="12" t="n">
        <x:v>0</x:v>
      </x:c>
      <x:c r="L2116" s="12" t="n">
        <x:v>0</x:v>
      </x:c>
      <x:c r="M2116" s="2" t="str">
        <x:v>持有</x:v>
      </x:c>
    </x:row>
    <x:row r="2117" ht="23" customHeight="1">
      <x:c r="A2117" s="11" t="d">
        <x:v>2023-05-23T00:00:00.000Z</x:v>
      </x:c>
      <x:c r="B2117" s="12" t="n">
        <x:v>247.478583</x:v>
      </x:c>
      <x:c r="C2117" s="13" t="n">
        <x:v>267</x:v>
      </x:c>
      <x:c r="D2117" s="12" t="n">
        <x:v>110562.03</x:v>
      </x:c>
      <x:c r="E2117" s="12" t="n">
        <x:v>0</x:v>
      </x:c>
      <x:c r="F2117" s="12" t="n">
        <x:f>SUM(B2117,D2117:E2117)</x:f>
        <x:v>110809.508583</x:v>
      </x:c>
      <x:c r="G2117" s="12" t="n">
        <x:f>MAX(G2116,F2117)</x:f>
        <x:v>138687.599344</x:v>
      </x:c>
      <x:c r="H2117" s="14" t="n">
        <x:f>F2117/G2117-1</x:f>
        <x:v>-0.20101357938896414</x:v>
      </x:c>
      <x:c r="I2117" s="14" t="n">
        <x:f>F2117/F2116-1</x:f>
        <x:v>-0.011198024563441766</x:v>
      </x:c>
      <x:c r="J2117" s="12" t="n">
        <x:v>0</x:v>
      </x:c>
      <x:c r="K2117" s="12" t="n">
        <x:v>0</x:v>
      </x:c>
      <x:c r="L2117" s="12" t="n">
        <x:v>0</x:v>
      </x:c>
      <x:c r="M2117" s="2" t="str">
        <x:v>持有</x:v>
      </x:c>
    </x:row>
    <x:row r="2118" ht="23" customHeight="1">
      <x:c r="A2118" s="11" t="d">
        <x:v>2023-05-24T00:00:00.000Z</x:v>
      </x:c>
      <x:c r="B2118" s="12" t="n">
        <x:v>247.478583</x:v>
      </x:c>
      <x:c r="C2118" s="13" t="n">
        <x:v>267</x:v>
      </x:c>
      <x:c r="D2118" s="12" t="n">
        <x:v>109761.03</x:v>
      </x:c>
      <x:c r="E2118" s="12" t="n">
        <x:v>0</x:v>
      </x:c>
      <x:c r="F2118" s="12" t="n">
        <x:f>SUM(B2118,D2118:E2118)</x:f>
        <x:v>110008.508583</x:v>
      </x:c>
      <x:c r="G2118" s="12" t="n">
        <x:f>MAX(G2117,F2118)</x:f>
        <x:v>138687.599344</x:v>
      </x:c>
      <x:c r="H2118" s="14" t="n">
        <x:f>F2118/G2118-1</x:f>
        <x:v>-0.2067891498349793</x:v>
      </x:c>
      <x:c r="I2118" s="14" t="n">
        <x:f>F2118/F2117-1</x:f>
        <x:v>-0.007228621534766777</x:v>
      </x:c>
      <x:c r="J2118" s="12" t="n">
        <x:v>0</x:v>
      </x:c>
      <x:c r="K2118" s="12" t="n">
        <x:v>0</x:v>
      </x:c>
      <x:c r="L2118" s="12" t="n">
        <x:v>0</x:v>
      </x:c>
      <x:c r="M2118" s="2" t="str">
        <x:v>持有</x:v>
      </x:c>
    </x:row>
    <x:row r="2119" ht="23" customHeight="1">
      <x:c r="A2119" s="11" t="d">
        <x:v>2023-05-25T00:00:00.000Z</x:v>
      </x:c>
      <x:c r="B2119" s="12" t="n">
        <x:v>247.478583</x:v>
      </x:c>
      <x:c r="C2119" s="13" t="n">
        <x:v>267</x:v>
      </x:c>
      <x:c r="D2119" s="12" t="n">
        <x:v>110711.54999999999</x:v>
      </x:c>
      <x:c r="E2119" s="12" t="n">
        <x:v>0</x:v>
      </x:c>
      <x:c r="F2119" s="12" t="n">
        <x:f>SUM(B2119,D2119:E2119)</x:f>
        <x:v>110959.02858299999</x:v>
      </x:c>
      <x:c r="G2119" s="12" t="n">
        <x:f>MAX(G2118,F2119)</x:f>
        <x:v>138687.599344</x:v>
      </x:c>
      <x:c r="H2119" s="14" t="n">
        <x:f>F2119/G2119-1</x:f>
        <x:v>-0.199935472905708</x:v>
      </x:c>
      <x:c r="I2119" s="14" t="n">
        <x:f>F2119/F2118-1</x:f>
        <x:v>0.00864042256588582</x:v>
      </x:c>
      <x:c r="J2119" s="12" t="n">
        <x:v>0</x:v>
      </x:c>
      <x:c r="K2119" s="12" t="n">
        <x:v>0</x:v>
      </x:c>
      <x:c r="L2119" s="12" t="n">
        <x:v>0</x:v>
      </x:c>
      <x:c r="M2119" s="2" t="str">
        <x:v>持有</x:v>
      </x:c>
    </x:row>
    <x:row r="2120" ht="23" customHeight="1">
      <x:c r="A2120" s="11" t="d">
        <x:v>2023-05-26T00:00:00.000Z</x:v>
      </x:c>
      <x:c r="B2120" s="12" t="n">
        <x:v>247.478583</x:v>
      </x:c>
      <x:c r="C2120" s="13" t="n">
        <x:v>267</x:v>
      </x:c>
      <x:c r="D2120" s="12" t="n">
        <x:v>112145.34</x:v>
      </x:c>
      <x:c r="E2120" s="12" t="n">
        <x:v>0</x:v>
      </x:c>
      <x:c r="F2120" s="12" t="n">
        <x:f>SUM(B2120,D2120:E2120)</x:f>
        <x:v>112392.818583</x:v>
      </x:c>
      <x:c r="G2120" s="12" t="n">
        <x:f>MAX(G2119,F2120)</x:f>
        <x:v>138687.599344</x:v>
      </x:c>
      <x:c r="H2120" s="14" t="n">
        <x:f>F2120/G2120-1</x:f>
        <x:v>-0.18959720180734074</x:v>
      </x:c>
      <x:c r="I2120" s="14" t="n">
        <x:f>F2120/F2119-1</x:f>
        <x:v>0.012921796615473324</x:v>
      </x:c>
      <x:c r="J2120" s="12" t="n">
        <x:v>0</x:v>
      </x:c>
      <x:c r="K2120" s="12" t="n">
        <x:v>0</x:v>
      </x:c>
      <x:c r="L2120" s="12" t="n">
        <x:v>0</x:v>
      </x:c>
      <x:c r="M2120" s="2" t="str">
        <x:v>持有</x:v>
      </x:c>
    </x:row>
    <x:row r="2121" ht="23" customHeight="1">
      <x:c r="A2121" s="11" t="d">
        <x:v>2023-05-30T00:00:00.000Z</x:v>
      </x:c>
      <x:c r="B2121" s="12" t="n">
        <x:v>247.478583</x:v>
      </x:c>
      <x:c r="C2121" s="13" t="n">
        <x:v>267</x:v>
      </x:c>
      <x:c r="D2121" s="12" t="n">
        <x:v>112188.06</x:v>
      </x:c>
      <x:c r="E2121" s="12" t="n">
        <x:v>0</x:v>
      </x:c>
      <x:c r="F2121" s="12" t="n">
        <x:f>SUM(B2121,D2121:E2121)</x:f>
        <x:v>112435.538583</x:v>
      </x:c>
      <x:c r="G2121" s="12" t="n">
        <x:f>MAX(G2120,F2121)</x:f>
        <x:v>138687.599344</x:v>
      </x:c>
      <x:c r="H2121" s="14" t="n">
        <x:f>F2121/G2121-1</x:f>
        <x:v>-0.18928917138355328</x:v>
      </x:c>
      <x:c r="I2121" s="14" t="n">
        <x:f>F2121/F2120-1</x:f>
        <x:v>0.0003800954592882988</x:v>
      </x:c>
      <x:c r="J2121" s="12" t="n">
        <x:v>0</x:v>
      </x:c>
      <x:c r="K2121" s="12" t="n">
        <x:v>0</x:v>
      </x:c>
      <x:c r="L2121" s="12" t="n">
        <x:v>0</x:v>
      </x:c>
      <x:c r="M2121" s="2" t="str">
        <x:v>持有</x:v>
      </x:c>
    </x:row>
    <x:row r="2122" ht="23" customHeight="1">
      <x:c r="A2122" s="11" t="d">
        <x:v>2023-05-31T00:00:00.000Z</x:v>
      </x:c>
      <x:c r="B2122" s="12" t="n">
        <x:v>247.478583</x:v>
      </x:c>
      <x:c r="C2122" s="13" t="n">
        <x:v>267</x:v>
      </x:c>
      <x:c r="D2122" s="12" t="n">
        <x:v>111565.95000000001</x:v>
      </x:c>
      <x:c r="E2122" s="12" t="n">
        <x:v>0</x:v>
      </x:c>
      <x:c r="F2122" s="12" t="n">
        <x:f>SUM(B2122,D2122:E2122)</x:f>
        <x:v>111813.42858300002</x:v>
      </x:c>
      <x:c r="G2122" s="12" t="n">
        <x:f>MAX(G2121,F2122)</x:f>
        <x:v>138687.599344</x:v>
      </x:c>
      <x:c r="H2122" s="14" t="n">
        <x:f>F2122/G2122-1</x:f>
        <x:v>-0.19377486442995828</x:v>
      </x:c>
      <x:c r="I2122" s="14" t="n">
        <x:f>F2122/F2121-1</x:f>
        <x:v>-0.005533037043627842</x:v>
      </x:c>
      <x:c r="J2122" s="12" t="n">
        <x:v>0</x:v>
      </x:c>
      <x:c r="K2122" s="12" t="n">
        <x:v>0</x:v>
      </x:c>
      <x:c r="L2122" s="12" t="n">
        <x:v>0</x:v>
      </x:c>
      <x:c r="M2122" s="2" t="str">
        <x:v>持有</x:v>
      </x:c>
    </x:row>
    <x:row r="2123" ht="23" customHeight="1">
      <x:c r="A2123" s="11" t="d">
        <x:v>2023-06-01T00:00:00.000Z</x:v>
      </x:c>
      <x:c r="B2123" s="12" t="n">
        <x:v>247.478583</x:v>
      </x:c>
      <x:c r="C2123" s="13" t="n">
        <x:v>267</x:v>
      </x:c>
      <x:c r="D2123" s="12" t="n">
        <x:v>112625.94</x:v>
      </x:c>
      <x:c r="E2123" s="12" t="n">
        <x:v>0</x:v>
      </x:c>
      <x:c r="F2123" s="12" t="n">
        <x:f>SUM(B2123,D2123:E2123)</x:f>
        <x:v>112873.418583</x:v>
      </x:c>
      <x:c r="G2123" s="12" t="n">
        <x:f>MAX(G2122,F2123)</x:f>
        <x:v>138687.599344</x:v>
      </x:c>
      <x:c r="H2123" s="14" t="n">
        <x:f>F2123/G2123-1</x:f>
        <x:v>-0.18613185953973166</x:v>
      </x:c>
      <x:c r="I2123" s="14" t="n">
        <x:f>F2123/F2122-1</x:f>
        <x:v>0.009479988346955626</x:v>
      </x:c>
      <x:c r="J2123" s="12" t="n">
        <x:v>0</x:v>
      </x:c>
      <x:c r="K2123" s="12" t="n">
        <x:v>0</x:v>
      </x:c>
      <x:c r="L2123" s="12" t="n">
        <x:v>0</x:v>
      </x:c>
      <x:c r="M2123" s="2" t="str">
        <x:v>持有</x:v>
      </x:c>
    </x:row>
    <x:row r="2124" ht="23" customHeight="1">
      <x:c r="A2124" s="11" t="d">
        <x:v>2023-06-02T00:00:00.000Z</x:v>
      </x:c>
      <x:c r="B2124" s="12" t="n">
        <x:v>247.478583</x:v>
      </x:c>
      <x:c r="C2124" s="13" t="n">
        <x:v>267</x:v>
      </x:c>
      <x:c r="D2124" s="12" t="n">
        <x:v>114254.64</x:v>
      </x:c>
      <x:c r="E2124" s="12" t="n">
        <x:v>0</x:v>
      </x:c>
      <x:c r="F2124" s="12" t="n">
        <x:f>SUM(B2124,D2124:E2124)</x:f>
        <x:v>114502.118583</x:v>
      </x:c>
      <x:c r="G2124" s="12" t="n">
        <x:f>MAX(G2123,F2124)</x:f>
        <x:v>138687.599344</x:v>
      </x:c>
      <x:c r="H2124" s="14" t="n">
        <x:f>F2124/G2124-1</x:f>
        <x:v>-0.17438819963283414</x:v>
      </x:c>
      <x:c r="I2124" s="14" t="n">
        <x:f>F2124/F2123-1</x:f>
        <x:v>0.01442943804171537</x:v>
      </x:c>
      <x:c r="J2124" s="12" t="n">
        <x:v>0</x:v>
      </x:c>
      <x:c r="K2124" s="12" t="n">
        <x:v>0</x:v>
      </x:c>
      <x:c r="L2124" s="12" t="n">
        <x:v>0</x:v>
      </x:c>
      <x:c r="M2124" s="2" t="str">
        <x:v>持有</x:v>
      </x:c>
    </x:row>
    <x:row r="2125" ht="23" customHeight="1">
      <x:c r="A2125" s="11" t="d">
        <x:v>2023-06-05T00:00:00.000Z</x:v>
      </x:c>
      <x:c r="B2125" s="12" t="n">
        <x:v>247.478583</x:v>
      </x:c>
      <x:c r="C2125" s="13" t="n">
        <x:v>267</x:v>
      </x:c>
      <x:c r="D2125" s="12" t="n">
        <x:v>114035.70000000001</x:v>
      </x:c>
      <x:c r="E2125" s="12" t="n">
        <x:v>0</x:v>
      </x:c>
      <x:c r="F2125" s="12" t="n">
        <x:f>SUM(B2125,D2125:E2125)</x:f>
        <x:v>114283.17858300002</x:v>
      </x:c>
      <x:c r="G2125" s="12" t="n">
        <x:f>MAX(G2124,F2125)</x:f>
        <x:v>138687.599344</x:v>
      </x:c>
      <x:c r="H2125" s="14" t="n">
        <x:f>F2125/G2125-1</x:f>
        <x:v>-0.1759668555547449</x:v>
      </x:c>
      <x:c r="I2125" s="14" t="n">
        <x:f>F2125/F2124-1</x:f>
        <x:v>-0.0019121043584995334</x:v>
      </x:c>
      <x:c r="J2125" s="12" t="n">
        <x:v>0</x:v>
      </x:c>
      <x:c r="K2125" s="12" t="n">
        <x:v>0</x:v>
      </x:c>
      <x:c r="L2125" s="12" t="n">
        <x:v>0</x:v>
      </x:c>
      <x:c r="M2125" s="2" t="str">
        <x:v>持有</x:v>
      </x:c>
    </x:row>
    <x:row r="2126" ht="23" customHeight="1">
      <x:c r="A2126" s="11" t="d">
        <x:v>2023-06-06T00:00:00.000Z</x:v>
      </x:c>
      <x:c r="B2126" s="12" t="n">
        <x:v>247.478583</x:v>
      </x:c>
      <x:c r="C2126" s="13" t="n">
        <x:v>267</x:v>
      </x:c>
      <x:c r="D2126" s="12" t="n">
        <x:v>114284.01</x:v>
      </x:c>
      <x:c r="E2126" s="12" t="n">
        <x:v>0</x:v>
      </x:c>
      <x:c r="F2126" s="12" t="n">
        <x:f>SUM(B2126,D2126:E2126)</x:f>
        <x:v>114531.488583</x:v>
      </x:c>
      <x:c r="G2126" s="12" t="n">
        <x:f>MAX(G2125,F2126)</x:f>
        <x:v>138687.599344</x:v>
      </x:c>
      <x:c r="H2126" s="14" t="n">
        <x:f>F2126/G2126-1</x:f>
        <x:v>-0.1741764287164803</x:v>
      </x:c>
      <x:c r="I2126" s="14" t="n">
        <x:f>F2126/F2125-1</x:f>
        <x:v>0.0021727607079080613</x:v>
      </x:c>
      <x:c r="J2126" s="12" t="n">
        <x:v>0</x:v>
      </x:c>
      <x:c r="K2126" s="12" t="n">
        <x:v>0</x:v>
      </x:c>
      <x:c r="L2126" s="12" t="n">
        <x:v>0</x:v>
      </x:c>
      <x:c r="M2126" s="2" t="str">
        <x:v>持有</x:v>
      </x:c>
    </x:row>
    <x:row r="2127" ht="23" customHeight="1">
      <x:c r="A2127" s="11" t="d">
        <x:v>2023-06-07T00:00:00.000Z</x:v>
      </x:c>
      <x:c r="B2127" s="12" t="n">
        <x:v>247.478583</x:v>
      </x:c>
      <x:c r="C2127" s="13" t="n">
        <x:v>267</x:v>
      </x:c>
      <x:c r="D2127" s="12" t="n">
        <x:v>113888.85</x:v>
      </x:c>
      <x:c r="E2127" s="12" t="n">
        <x:v>0</x:v>
      </x:c>
      <x:c r="F2127" s="12" t="n">
        <x:f>SUM(B2127,D2127:E2127)</x:f>
        <x:v>114136.32858300001</x:v>
      </x:c>
      <x:c r="G2127" s="12" t="n">
        <x:f>MAX(G2126,F2127)</x:f>
        <x:v>138687.599344</x:v>
      </x:c>
      <x:c r="H2127" s="14" t="n">
        <x:f>F2127/G2127-1</x:f>
        <x:v>-0.17702571013651436</x:v>
      </x:c>
      <x:c r="I2127" s="14" t="n">
        <x:f>F2127/F2126-1</x:f>
        <x:v>-0.00345023019336399</x:v>
      </x:c>
      <x:c r="J2127" s="12" t="n">
        <x:v>0</x:v>
      </x:c>
      <x:c r="K2127" s="12" t="n">
        <x:v>0</x:v>
      </x:c>
      <x:c r="L2127" s="12" t="n">
        <x:v>0</x:v>
      </x:c>
      <x:c r="M2127" s="2" t="str">
        <x:v>持有</x:v>
      </x:c>
    </x:row>
    <x:row r="2128" ht="23" customHeight="1">
      <x:c r="A2128" s="11" t="d">
        <x:v>2023-06-08T00:00:00.000Z</x:v>
      </x:c>
      <x:c r="B2128" s="12" t="n">
        <x:v>247.478583</x:v>
      </x:c>
      <x:c r="C2128" s="13" t="n">
        <x:v>267</x:v>
      </x:c>
      <x:c r="D2128" s="12" t="n">
        <x:v>114577.70999999999</x:v>
      </x:c>
      <x:c r="E2128" s="12" t="n">
        <x:v>0</x:v>
      </x:c>
      <x:c r="F2128" s="12" t="n">
        <x:f>SUM(B2128,D2128:E2128)</x:f>
        <x:v>114825.188583</x:v>
      </x:c>
      <x:c r="G2128" s="12" t="n">
        <x:f>MAX(G2127,F2128)</x:f>
        <x:v>138687.599344</x:v>
      </x:c>
      <x:c r="H2128" s="14" t="n">
        <x:f>F2128/G2128-1</x:f>
        <x:v>-0.17205871955294139</x:v>
      </x:c>
      <x:c r="I2128" s="14" t="n">
        <x:f>F2128/F2127-1</x:f>
        <x:v>0.006035414039965881</x:v>
      </x:c>
      <x:c r="J2128" s="12" t="n">
        <x:v>0</x:v>
      </x:c>
      <x:c r="K2128" s="12" t="n">
        <x:v>0</x:v>
      </x:c>
      <x:c r="L2128" s="12" t="n">
        <x:v>0</x:v>
      </x:c>
      <x:c r="M2128" s="2" t="str">
        <x:v>持有</x:v>
      </x:c>
    </x:row>
    <x:row r="2129" ht="23" customHeight="1">
      <x:c r="A2129" s="11" t="d">
        <x:v>2023-06-09T00:00:00.000Z</x:v>
      </x:c>
      <x:c r="B2129" s="12" t="n">
        <x:v>247.478583</x:v>
      </x:c>
      <x:c r="C2129" s="13" t="n">
        <x:v>267</x:v>
      </x:c>
      <x:c r="D2129" s="12" t="n">
        <x:v>114783.29999999999</x:v>
      </x:c>
      <x:c r="E2129" s="12" t="n">
        <x:v>0</x:v>
      </x:c>
      <x:c r="F2129" s="12" t="n">
        <x:f>SUM(B2129,D2129:E2129)</x:f>
        <x:v>115030.77858299999</x:v>
      </x:c>
      <x:c r="G2129" s="12" t="n">
        <x:f>MAX(G2128,F2129)</x:f>
        <x:v>138687.599344</x:v>
      </x:c>
      <x:c r="H2129" s="14" t="n">
        <x:f>F2129/G2129-1</x:f>
        <x:v>-0.17057632313846416</x:v>
      </x:c>
      <x:c r="I2129" s="14" t="n">
        <x:f>F2129/F2128-1</x:f>
        <x:v>0.0017904608086176665</x:v>
      </x:c>
      <x:c r="J2129" s="12" t="n">
        <x:v>0</x:v>
      </x:c>
      <x:c r="K2129" s="12" t="n">
        <x:v>0</x:v>
      </x:c>
      <x:c r="L2129" s="12" t="n">
        <x:v>0</x:v>
      </x:c>
      <x:c r="M2129" s="2" t="str">
        <x:v>持有</x:v>
      </x:c>
    </x:row>
    <x:row r="2130" ht="23" customHeight="1">
      <x:c r="A2130" s="11" t="d">
        <x:v>2023-06-12T00:00:00.000Z</x:v>
      </x:c>
      <x:c r="B2130" s="12" t="n">
        <x:v>247.478583</x:v>
      </x:c>
      <x:c r="C2130" s="13" t="n">
        <x:v>267</x:v>
      </x:c>
      <x:c r="D2130" s="12" t="n">
        <x:v>115824.6</x:v>
      </x:c>
      <x:c r="E2130" s="12" t="n">
        <x:v>0</x:v>
      </x:c>
      <x:c r="F2130" s="12" t="n">
        <x:f>SUM(B2130,D2130:E2130)</x:f>
        <x:v>116072.07858300001</x:v>
      </x:c>
      <x:c r="G2130" s="12" t="n">
        <x:f>MAX(G2129,F2130)</x:f>
        <x:v>138687.599344</x:v>
      </x:c>
      <x:c r="H2130" s="14" t="n">
        <x:f>F2130/G2130-1</x:f>
        <x:v>-0.16306808155864438</x:v>
      </x:c>
      <x:c r="I2130" s="14" t="n">
        <x:f>F2130/F2129-1</x:f>
        <x:v>0.009052359836447366</x:v>
      </x:c>
      <x:c r="J2130" s="12" t="n">
        <x:v>0</x:v>
      </x:c>
      <x:c r="K2130" s="12" t="n">
        <x:v>0</x:v>
      </x:c>
      <x:c r="L2130" s="12" t="n">
        <x:v>0</x:v>
      </x:c>
      <x:c r="M2130" s="2" t="str">
        <x:v>持有</x:v>
      </x:c>
    </x:row>
    <x:row r="2131" ht="23" customHeight="1">
      <x:c r="A2131" s="11" t="d">
        <x:v>2023-06-13T00:00:00.000Z</x:v>
      </x:c>
      <x:c r="B2131" s="12" t="n">
        <x:v>247.478583</x:v>
      </x:c>
      <x:c r="C2131" s="13" t="n">
        <x:v>267</x:v>
      </x:c>
      <x:c r="D2131" s="12" t="n">
        <x:v>116588.22</x:v>
      </x:c>
      <x:c r="E2131" s="12" t="n">
        <x:v>0</x:v>
      </x:c>
      <x:c r="F2131" s="12" t="n">
        <x:f>SUM(B2131,D2131:E2131)</x:f>
        <x:v>116835.698583</x:v>
      </x:c>
      <x:c r="G2131" s="12" t="n">
        <x:f>MAX(G2130,F2131)</x:f>
        <x:v>138687.599344</x:v>
      </x:c>
      <x:c r="H2131" s="14" t="n">
        <x:f>F2131/G2131-1</x:f>
        <x:v>-0.15756203773344324</x:v>
      </x:c>
      <x:c r="I2131" s="14" t="n">
        <x:f>F2131/F2130-1</x:f>
        <x:v>0.006578843157822423</x:v>
      </x:c>
      <x:c r="J2131" s="12" t="n">
        <x:v>0</x:v>
      </x:c>
      <x:c r="K2131" s="12" t="n">
        <x:v>0</x:v>
      </x:c>
      <x:c r="L2131" s="12" t="n">
        <x:v>0</x:v>
      </x:c>
      <x:c r="M2131" s="2" t="str">
        <x:v>持有</x:v>
      </x:c>
    </x:row>
    <x:row r="2132" ht="23" customHeight="1">
      <x:c r="A2132" s="11" t="d">
        <x:v>2023-06-14T00:00:00.000Z</x:v>
      </x:c>
      <x:c r="B2132" s="12" t="n">
        <x:v>247.478583</x:v>
      </x:c>
      <x:c r="C2132" s="13" t="n">
        <x:v>267</x:v>
      </x:c>
      <x:c r="D2132" s="12" t="n">
        <x:v>116727.06</x:v>
      </x:c>
      <x:c r="E2132" s="12" t="n">
        <x:v>0</x:v>
      </x:c>
      <x:c r="F2132" s="12" t="n">
        <x:f>SUM(B2132,D2132:E2132)</x:f>
        <x:v>116974.538583</x:v>
      </x:c>
      <x:c r="G2132" s="12" t="n">
        <x:f>MAX(G2131,F2132)</x:f>
        <x:v>138687.599344</x:v>
      </x:c>
      <x:c r="H2132" s="14" t="n">
        <x:f>F2132/G2132-1</x:f>
        <x:v>-0.15656093885613398</x:v>
      </x:c>
      <x:c r="I2132" s="14" t="n">
        <x:f>F2132/F2131-1</x:f>
        <x:v>0.0011883354290158632</x:v>
      </x:c>
      <x:c r="J2132" s="12" t="n">
        <x:v>0</x:v>
      </x:c>
      <x:c r="K2132" s="12" t="n">
        <x:v>0</x:v>
      </x:c>
      <x:c r="L2132" s="12" t="n">
        <x:v>0</x:v>
      </x:c>
      <x:c r="M2132" s="2" t="str">
        <x:v>持有</x:v>
      </x:c>
    </x:row>
    <x:row r="2133" ht="23" customHeight="1">
      <x:c r="A2133" s="11" t="d">
        <x:v>2023-06-15T00:00:00.000Z</x:v>
      </x:c>
      <x:c r="B2133" s="12" t="n">
        <x:v>247.478583</x:v>
      </x:c>
      <x:c r="C2133" s="13" t="n">
        <x:v>267</x:v>
      </x:c>
      <x:c r="D2133" s="12" t="n">
        <x:v>118174.20000000001</x:v>
      </x:c>
      <x:c r="E2133" s="12" t="n">
        <x:v>0</x:v>
      </x:c>
      <x:c r="F2133" s="12" t="n">
        <x:f>SUM(B2133,D2133:E2133)</x:f>
        <x:v>118421.67858300002</x:v>
      </x:c>
      <x:c r="G2133" s="12" t="n">
        <x:f>MAX(G2132,F2133)</x:f>
        <x:v>138687.599344</x:v>
      </x:c>
      <x:c r="H2133" s="14" t="n">
        <x:f>F2133/G2133-1</x:f>
        <x:v>-0.14612640825033307</x:v>
      </x:c>
      <x:c r="I2133" s="14" t="n">
        <x:f>F2133/F2132-1</x:f>
        <x:v>0.012371410202000277</x:v>
      </x:c>
      <x:c r="J2133" s="12" t="n">
        <x:v>0</x:v>
      </x:c>
      <x:c r="K2133" s="12" t="n">
        <x:v>0</x:v>
      </x:c>
      <x:c r="L2133" s="12" t="n">
        <x:v>0</x:v>
      </x:c>
      <x:c r="M2133" s="2" t="str">
        <x:v>持有</x:v>
      </x:c>
    </x:row>
    <x:row r="2134" ht="23" customHeight="1">
      <x:c r="A2134" s="11" t="d">
        <x:v>2023-06-16T00:00:00.000Z</x:v>
      </x:c>
      <x:c r="B2134" s="12" t="n">
        <x:v>247.478583</x:v>
      </x:c>
      <x:c r="C2134" s="13" t="n">
        <x:v>267</x:v>
      </x:c>
      <x:c r="D2134" s="12" t="n">
        <x:v>117335.81999999999</x:v>
      </x:c>
      <x:c r="E2134" s="12" t="n">
        <x:v>437.443989</x:v>
      </x:c>
      <x:c r="F2134" s="12" t="n">
        <x:f>SUM(B2134,D2134:E2134)</x:f>
        <x:v>118020.742572</x:v>
      </x:c>
      <x:c r="G2134" s="12" t="n">
        <x:f>MAX(G2133,F2134)</x:f>
        <x:v>138687.599344</x:v>
      </x:c>
      <x:c r="H2134" s="14" t="n">
        <x:f>F2134/G2134-1</x:f>
        <x:v>-0.14901733730885358</x:v>
      </x:c>
      <x:c r="I2134" s="14" t="n">
        <x:f>F2134/F2133-1</x:f>
        <x:v>-0.0033856639746835393</x:v>
      </x:c>
      <x:c r="J2134" s="12" t="n">
        <x:v>437.443989</x:v>
      </x:c>
      <x:c r="K2134" s="12" t="n">
        <x:v>0</x:v>
      </x:c>
      <x:c r="L2134" s="12" t="n">
        <x:v>0</x:v>
      </x:c>
      <x:c r="M2134" s="2" t="str">
        <x:v>持有</x:v>
      </x:c>
    </x:row>
    <x:row r="2135" ht="23" customHeight="1">
      <x:c r="A2135" s="11" t="d">
        <x:v>2023-06-20T00:00:00.000Z</x:v>
      </x:c>
      <x:c r="B2135" s="12" t="n">
        <x:v>247.478583</x:v>
      </x:c>
      <x:c r="C2135" s="13" t="n">
        <x:v>267</x:v>
      </x:c>
      <x:c r="D2135" s="12" t="n">
        <x:v>116727.06</x:v>
      </x:c>
      <x:c r="E2135" s="12" t="n">
        <x:v>437.443989</x:v>
      </x:c>
      <x:c r="F2135" s="12" t="n">
        <x:f>SUM(B2135,D2135:E2135)</x:f>
        <x:v>117411.98257200001</x:v>
      </x:c>
      <x:c r="G2135" s="12" t="n">
        <x:f>MAX(G2134,F2135)</x:f>
        <x:v>138687.599344</x:v>
      </x:c>
      <x:c r="H2135" s="14" t="n">
        <x:f>F2135/G2135-1</x:f>
        <x:v>-0.15340677084782506</x:v>
      </x:c>
      <x:c r="I2135" s="14" t="n">
        <x:f>F2135/F2134-1</x:f>
        <x:v>-0.0051580763409331265</x:v>
      </x:c>
      <x:c r="J2135" s="12" t="n">
        <x:v>0</x:v>
      </x:c>
      <x:c r="K2135" s="12" t="n">
        <x:v>0</x:v>
      </x:c>
      <x:c r="L2135" s="12" t="n">
        <x:v>0</x:v>
      </x:c>
      <x:c r="M2135" s="2" t="str">
        <x:v>持有</x:v>
      </x:c>
    </x:row>
    <x:row r="2136" ht="23" customHeight="1">
      <x:c r="A2136" s="11" t="d">
        <x:v>2023-06-21T00:00:00.000Z</x:v>
      </x:c>
      <x:c r="B2136" s="12" t="n">
        <x:v>247.478583</x:v>
      </x:c>
      <x:c r="C2136" s="13" t="n">
        <x:v>267</x:v>
      </x:c>
      <x:c r="D2136" s="12" t="n">
        <x:v>116128.98</x:v>
      </x:c>
      <x:c r="E2136" s="12" t="n">
        <x:v>437.443989</x:v>
      </x:c>
      <x:c r="F2136" s="12" t="n">
        <x:f>SUM(B2136,D2136:E2136)</x:f>
        <x:v>116813.902572</x:v>
      </x:c>
      <x:c r="G2136" s="12" t="n">
        <x:f>MAX(G2135,F2136)</x:f>
        <x:v>138687.599344</x:v>
      </x:c>
      <x:c r="H2136" s="14" t="n">
        <x:f>F2136/G2136-1</x:f>
        <x:v>-0.15771919678084978</x:v>
      </x:c>
      <x:c r="I2136" s="14" t="n">
        <x:f>F2136/F2135-1</x:f>
        <x:v>-0.00509385828344433</x:v>
      </x:c>
      <x:c r="J2136" s="12" t="n">
        <x:v>0</x:v>
      </x:c>
      <x:c r="K2136" s="12" t="n">
        <x:v>0</x:v>
      </x:c>
      <x:c r="L2136" s="12" t="n">
        <x:v>0</x:v>
      </x:c>
      <x:c r="M2136" s="2" t="str">
        <x:v>持有</x:v>
      </x:c>
    </x:row>
    <x:row r="2137" ht="23" customHeight="1">
      <x:c r="A2137" s="11" t="d">
        <x:v>2023-06-22T00:00:00.000Z</x:v>
      </x:c>
      <x:c r="B2137" s="12" t="n">
        <x:v>247.478583</x:v>
      </x:c>
      <x:c r="C2137" s="13" t="n">
        <x:v>267</x:v>
      </x:c>
      <x:c r="D2137" s="12" t="n">
        <x:v>116548.17</x:v>
      </x:c>
      <x:c r="E2137" s="12" t="n">
        <x:v>437.443989</x:v>
      </x:c>
      <x:c r="F2137" s="12" t="n">
        <x:f>SUM(B2137,D2137:E2137)</x:f>
        <x:v>117233.09257200001</x:v>
      </x:c>
      <x:c r="G2137" s="12" t="n">
        <x:f>MAX(G2136,F2137)</x:f>
        <x:v>138687.599344</x:v>
      </x:c>
      <x:c r="H2137" s="14" t="n">
        <x:f>F2137/G2137-1</x:f>
        <x:v>-0.15469664824743512</x:v>
      </x:c>
      <x:c r="I2137" s="14" t="n">
        <x:f>F2137/F2136-1</x:f>
        <x:v>0.0035885283409791136</x:v>
      </x:c>
      <x:c r="J2137" s="12" t="n">
        <x:v>0</x:v>
      </x:c>
      <x:c r="K2137" s="12" t="n">
        <x:v>0</x:v>
      </x:c>
      <x:c r="L2137" s="12" t="n">
        <x:v>0</x:v>
      </x:c>
      <x:c r="M2137" s="2" t="str">
        <x:v>持有</x:v>
      </x:c>
    </x:row>
    <x:row r="2138" ht="23" customHeight="1">
      <x:c r="A2138" s="11" t="d">
        <x:v>2023-06-23T00:00:00.000Z</x:v>
      </x:c>
      <x:c r="B2138" s="12" t="n">
        <x:v>247.478583</x:v>
      </x:c>
      <x:c r="C2138" s="13" t="n">
        <x:v>267</x:v>
      </x:c>
      <x:c r="D2138" s="12" t="n">
        <x:v>115667.06999999999</x:v>
      </x:c>
      <x:c r="E2138" s="12" t="n">
        <x:v>437.443989</x:v>
      </x:c>
      <x:c r="F2138" s="12" t="n">
        <x:f>SUM(B2138,D2138:E2138)</x:f>
        <x:v>116351.992572</x:v>
      </x:c>
      <x:c r="G2138" s="12" t="n">
        <x:f>MAX(G2137,F2138)</x:f>
        <x:v>138687.599344</x:v>
      </x:c>
      <x:c r="H2138" s="14" t="n">
        <x:f>F2138/G2138-1</x:f>
        <x:v>-0.1610497757380519</x:v>
      </x:c>
      <x:c r="I2138" s="14" t="n">
        <x:f>F2138/F2137-1</x:f>
        <x:v>-0.007515795929881053</x:v>
      </x:c>
      <x:c r="J2138" s="12" t="n">
        <x:v>0</x:v>
      </x:c>
      <x:c r="K2138" s="12" t="n">
        <x:v>0</x:v>
      </x:c>
      <x:c r="L2138" s="12" t="n">
        <x:v>0</x:v>
      </x:c>
      <x:c r="M2138" s="2" t="str">
        <x:v>持有</x:v>
      </x:c>
    </x:row>
    <x:row r="2139" ht="23" customHeight="1">
      <x:c r="A2139" s="11" t="d">
        <x:v>2023-06-26T00:00:00.000Z</x:v>
      </x:c>
      <x:c r="B2139" s="12" t="n">
        <x:v>247.478583</x:v>
      </x:c>
      <x:c r="C2139" s="13" t="n">
        <x:v>267</x:v>
      </x:c>
      <x:c r="D2139" s="12" t="n">
        <x:v>115194.48</x:v>
      </x:c>
      <x:c r="E2139" s="12" t="n">
        <x:v>437.443989</x:v>
      </x:c>
      <x:c r="F2139" s="12" t="n">
        <x:f>SUM(B2139,D2139:E2139)</x:f>
        <x:v>115879.402572</x:v>
      </x:c>
      <x:c r="G2139" s="12" t="n">
        <x:f>MAX(G2138,F2139)</x:f>
        <x:v>138687.599344</x:v>
      </x:c>
      <x:c r="H2139" s="14" t="n">
        <x:f>F2139/G2139-1</x:f>
        <x:v>-0.16445736230120078</x:v>
      </x:c>
      <x:c r="I2139" s="14" t="n">
        <x:f>F2139/F2138-1</x:f>
        <x:v>-0.004061726744452154</x:v>
      </x:c>
      <x:c r="J2139" s="12" t="n">
        <x:v>0</x:v>
      </x:c>
      <x:c r="K2139" s="12" t="n">
        <x:v>0</x:v>
      </x:c>
      <x:c r="L2139" s="12" t="n">
        <x:v>0</x:v>
      </x:c>
      <x:c r="M2139" s="2" t="str">
        <x:v>持有</x:v>
      </x:c>
    </x:row>
    <x:row r="2140" ht="23" customHeight="1">
      <x:c r="A2140" s="11" t="d">
        <x:v>2023-06-27T00:00:00.000Z</x:v>
      </x:c>
      <x:c r="B2140" s="12" t="n">
        <x:v>247.478583</x:v>
      </x:c>
      <x:c r="C2140" s="13" t="n">
        <x:v>267</x:v>
      </x:c>
      <x:c r="D2140" s="12" t="n">
        <x:v>116457.39</x:v>
      </x:c>
      <x:c r="E2140" s="12" t="n">
        <x:v>437.443989</x:v>
      </x:c>
      <x:c r="F2140" s="12" t="n">
        <x:f>SUM(B2140,D2140:E2140)</x:f>
        <x:v>117142.31257200001</x:v>
      </x:c>
      <x:c r="G2140" s="12" t="n">
        <x:f>MAX(G2139,F2140)</x:f>
        <x:v>138687.599344</x:v>
      </x:c>
      <x:c r="H2140" s="14" t="n">
        <x:f>F2140/G2140-1</x:f>
        <x:v>-0.15535121289798348</x:v>
      </x:c>
      <x:c r="I2140" s="14" t="n">
        <x:f>F2140/F2139-1</x:f>
        <x:v>0.010898485597691243</x:v>
      </x:c>
      <x:c r="J2140" s="12" t="n">
        <x:v>0</x:v>
      </x:c>
      <x:c r="K2140" s="12" t="n">
        <x:v>0</x:v>
      </x:c>
      <x:c r="L2140" s="12" t="n">
        <x:v>0</x:v>
      </x:c>
      <x:c r="M2140" s="2" t="str">
        <x:v>持有</x:v>
      </x:c>
    </x:row>
    <x:row r="2141" ht="23" customHeight="1">
      <x:c r="A2141" s="11" t="d">
        <x:v>2023-06-28T00:00:00.000Z</x:v>
      </x:c>
      <x:c r="B2141" s="12" t="n">
        <x:v>247.478583</x:v>
      </x:c>
      <x:c r="C2141" s="13" t="n">
        <x:v>267</x:v>
      </x:c>
      <x:c r="D2141" s="12" t="n">
        <x:v>116516.12999999999</x:v>
      </x:c>
      <x:c r="E2141" s="12" t="n">
        <x:v>437.443989</x:v>
      </x:c>
      <x:c r="F2141" s="12" t="n">
        <x:f>SUM(B2141,D2141:E2141)</x:f>
        <x:v>117201.052572</x:v>
      </x:c>
      <x:c r="G2141" s="12" t="n">
        <x:f>MAX(G2140,F2141)</x:f>
        <x:v>138687.599344</x:v>
      </x:c>
      <x:c r="H2141" s="14" t="n">
        <x:f>F2141/G2141-1</x:f>
        <x:v>-0.15492767106527583</x:v>
      </x:c>
      <x:c r="I2141" s="14" t="n">
        <x:f>F2141/F2140-1</x:f>
        <x:v>0.0005014413554784714</x:v>
      </x:c>
      <x:c r="J2141" s="12" t="n">
        <x:v>0</x:v>
      </x:c>
      <x:c r="K2141" s="12" t="n">
        <x:v>0</x:v>
      </x:c>
      <x:c r="L2141" s="12" t="n">
        <x:v>0</x:v>
      </x:c>
      <x:c r="M2141" s="2" t="str">
        <x:v>持有</x:v>
      </x:c>
    </x:row>
    <x:row r="2142" ht="23" customHeight="1">
      <x:c r="A2142" s="11" t="d">
        <x:v>2023-06-29T00:00:00.000Z</x:v>
      </x:c>
      <x:c r="B2142" s="12" t="n">
        <x:v>247.478583</x:v>
      </x:c>
      <x:c r="C2142" s="13" t="n">
        <x:v>267</x:v>
      </x:c>
      <x:c r="D2142" s="12" t="n">
        <x:v>116975.37000000001</x:v>
      </x:c>
      <x:c r="E2142" s="12" t="n">
        <x:v>437.443989</x:v>
      </x:c>
      <x:c r="F2142" s="12" t="n">
        <x:f>SUM(B2142,D2142:E2142)</x:f>
        <x:v>117660.29257200002</x:v>
      </x:c>
      <x:c r="G2142" s="12" t="n">
        <x:f>MAX(G2141,F2142)</x:f>
        <x:v>138687.599344</x:v>
      </x:c>
      <x:c r="H2142" s="14" t="n">
        <x:f>F2142/G2142-1</x:f>
        <x:v>-0.15161634400956026</x:v>
      </x:c>
      <x:c r="I2142" s="14" t="n">
        <x:f>F2142/F2141-1</x:f>
        <x:v>0.003918394843065887</x:v>
      </x:c>
      <x:c r="J2142" s="12" t="n">
        <x:v>0</x:v>
      </x:c>
      <x:c r="K2142" s="12" t="n">
        <x:v>0</x:v>
      </x:c>
      <x:c r="L2142" s="12" t="n">
        <x:v>0</x:v>
      </x:c>
      <x:c r="M2142" s="2" t="str">
        <x:v>持有</x:v>
      </x:c>
    </x:row>
    <x:row r="2143" ht="23" customHeight="1">
      <x:c r="A2143" s="11" t="d">
        <x:v>2023-06-30T00:00:00.000Z</x:v>
      </x:c>
      <x:c r="B2143" s="12" t="n">
        <x:v>247.478583</x:v>
      </x:c>
      <x:c r="C2143" s="13" t="n">
        <x:v>267</x:v>
      </x:c>
      <x:c r="D2143" s="12" t="n">
        <x:v>118355.76</x:v>
      </x:c>
      <x:c r="E2143" s="12" t="n">
        <x:v>437.443989</x:v>
      </x:c>
      <x:c r="F2143" s="12" t="n">
        <x:f>SUM(B2143,D2143:E2143)</x:f>
        <x:v>119040.682572</x:v>
      </x:c>
      <x:c r="G2143" s="12" t="n">
        <x:f>MAX(G2142,F2143)</x:f>
        <x:v>138687.599344</x:v>
      </x:c>
      <x:c r="H2143" s="14" t="n">
        <x:f>F2143/G2143-1</x:f>
        <x:v>-0.14166311094092754</x:v>
      </x:c>
      <x:c r="I2143" s="14" t="n">
        <x:f>F2143/F2142-1</x:f>
        <x:v>0.011731995304663068</x:v>
      </x:c>
      <x:c r="J2143" s="12" t="n">
        <x:v>0</x:v>
      </x:c>
      <x:c r="K2143" s="12" t="n">
        <x:v>0</x:v>
      </x:c>
      <x:c r="L2143" s="12" t="n">
        <x:v>0</x:v>
      </x:c>
      <x:c r="M2143" s="2" t="str">
        <x:v>持有</x:v>
      </x:c>
    </x:row>
    <x:row r="2144" ht="23" customHeight="1">
      <x:c r="A2144" s="11" t="d">
        <x:v>2023-07-03T00:00:00.000Z</x:v>
      </x:c>
      <x:c r="B2144" s="12" t="n">
        <x:v>247.478583</x:v>
      </x:c>
      <x:c r="C2144" s="13" t="n">
        <x:v>267</x:v>
      </x:c>
      <x:c r="D2144" s="12" t="n">
        <x:v>118491.93000000001</x:v>
      </x:c>
      <x:c r="E2144" s="12" t="n">
        <x:v>437.443989</x:v>
      </x:c>
      <x:c r="F2144" s="12" t="n">
        <x:f>SUM(B2144,D2144:E2144)</x:f>
        <x:v>119176.85257200002</x:v>
      </x:c>
      <x:c r="G2144" s="12" t="n">
        <x:f>MAX(G2143,F2144)</x:f>
        <x:v>138687.599344</x:v>
      </x:c>
      <x:c r="H2144" s="14" t="n">
        <x:f>F2144/G2144-1</x:f>
        <x:v>-0.14068126396510494</x:v>
      </x:c>
      <x:c r="I2144" s="14" t="n">
        <x:f>F2144/F2143-1</x:f>
        <x:v>0.001143894650617927</x:v>
      </x:c>
      <x:c r="J2144" s="12" t="n">
        <x:v>0</x:v>
      </x:c>
      <x:c r="K2144" s="12" t="n">
        <x:v>0</x:v>
      </x:c>
      <x:c r="L2144" s="12" t="n">
        <x:v>0</x:v>
      </x:c>
      <x:c r="M2144" s="2" t="str">
        <x:v>持有</x:v>
      </x:c>
    </x:row>
    <x:row r="2145" ht="23" customHeight="1">
      <x:c r="A2145" s="11" t="d">
        <x:v>2023-07-05T00:00:00.000Z</x:v>
      </x:c>
      <x:c r="B2145" s="12" t="n">
        <x:v>247.478583</x:v>
      </x:c>
      <x:c r="C2145" s="13" t="n">
        <x:v>267</x:v>
      </x:c>
      <x:c r="D2145" s="12" t="n">
        <x:v>118315.70999999999</x:v>
      </x:c>
      <x:c r="E2145" s="12" t="n">
        <x:v>437.443989</x:v>
      </x:c>
      <x:c r="F2145" s="12" t="n">
        <x:f>SUM(B2145,D2145:E2145)</x:f>
        <x:v>119000.632572</x:v>
      </x:c>
      <x:c r="G2145" s="12" t="n">
        <x:f>MAX(G2144,F2145)</x:f>
        <x:v>138687.599344</x:v>
      </x:c>
      <x:c r="H2145" s="14" t="n">
        <x:f>F2145/G2145-1</x:f>
        <x:v>-0.14195188946322834</x:v>
      </x:c>
      <x:c r="I2145" s="14" t="n">
        <x:f>F2145/F2144-1</x:f>
        <x:v>-0.001478642842103528</x:v>
      </x:c>
      <x:c r="J2145" s="12" t="n">
        <x:v>0</x:v>
      </x:c>
      <x:c r="K2145" s="12" t="n">
        <x:v>0</x:v>
      </x:c>
      <x:c r="L2145" s="12" t="n">
        <x:v>0</x:v>
      </x:c>
      <x:c r="M2145" s="2" t="str">
        <x:v>持有</x:v>
      </x:c>
    </x:row>
    <x:row r="2146" ht="23" customHeight="1">
      <x:c r="A2146" s="11" t="d">
        <x:v>2023-07-06T00:00:00.000Z</x:v>
      </x:c>
      <x:c r="B2146" s="12" t="n">
        <x:v>247.478583</x:v>
      </x:c>
      <x:c r="C2146" s="13" t="n">
        <x:v>267</x:v>
      </x:c>
      <x:c r="D2146" s="12" t="n">
        <x:v>117389.22</x:v>
      </x:c>
      <x:c r="E2146" s="12" t="n">
        <x:v>437.443989</x:v>
      </x:c>
      <x:c r="F2146" s="12" t="n">
        <x:f>SUM(B2146,D2146:E2146)</x:f>
        <x:v>118074.14257200001</x:v>
      </x:c>
      <x:c r="G2146" s="12" t="n">
        <x:f>MAX(G2145,F2146)</x:f>
        <x:v>138687.599344</x:v>
      </x:c>
      <x:c r="H2146" s="14" t="n">
        <x:f>F2146/G2146-1</x:f>
        <x:v>-0.14863229927911914</x:v>
      </x:c>
      <x:c r="I2146" s="14" t="n">
        <x:f>F2146/F2145-1</x:f>
        <x:v>-0.007785588866004001</x:v>
      </x:c>
      <x:c r="J2146" s="12" t="n">
        <x:v>0</x:v>
      </x:c>
      <x:c r="K2146" s="12" t="n">
        <x:v>0</x:v>
      </x:c>
      <x:c r="L2146" s="12" t="n">
        <x:v>0</x:v>
      </x:c>
      <x:c r="M2146" s="2" t="str">
        <x:v>持有</x:v>
      </x:c>
    </x:row>
    <x:row r="2147" ht="23" customHeight="1">
      <x:c r="A2147" s="11" t="d">
        <x:v>2023-07-07T00:00:00.000Z</x:v>
      </x:c>
      <x:c r="B2147" s="12" t="n">
        <x:v>247.478583</x:v>
      </x:c>
      <x:c r="C2147" s="13" t="n">
        <x:v>267</x:v>
      </x:c>
      <x:c r="D2147" s="12" t="n">
        <x:v>117092.85</x:v>
      </x:c>
      <x:c r="E2147" s="12" t="n">
        <x:v>437.443989</x:v>
      </x:c>
      <x:c r="F2147" s="12" t="n">
        <x:f>SUM(B2147,D2147:E2147)</x:f>
        <x:v>117777.77257200002</x:v>
      </x:c>
      <x:c r="G2147" s="12" t="n">
        <x:f>MAX(G2146,F2147)</x:f>
        <x:v>138687.599344</x:v>
      </x:c>
      <x:c r="H2147" s="14" t="n">
        <x:f>F2147/G2147-1</x:f>
        <x:v>-0.15076926034414473</x:v>
      </x:c>
      <x:c r="I2147" s="14" t="n">
        <x:f>F2147/F2146-1</x:f>
        <x:v>-0.0025100330482541455</x:v>
      </x:c>
      <x:c r="J2147" s="12" t="n">
        <x:v>0</x:v>
      </x:c>
      <x:c r="K2147" s="12" t="n">
        <x:v>0</x:v>
      </x:c>
      <x:c r="L2147" s="12" t="n">
        <x:v>0</x:v>
      </x:c>
      <x:c r="M2147" s="2" t="str">
        <x:v>持有</x:v>
      </x:c>
    </x:row>
    <x:row r="2148" ht="23" customHeight="1">
      <x:c r="A2148" s="11" t="d">
        <x:v>2023-07-10T00:00:00.000Z</x:v>
      </x:c>
      <x:c r="B2148" s="12" t="n">
        <x:v>247.478583</x:v>
      </x:c>
      <x:c r="C2148" s="13" t="n">
        <x:v>267</x:v>
      </x:c>
      <x:c r="D2148" s="12" t="n">
        <x:v>117389.22</x:v>
      </x:c>
      <x:c r="E2148" s="12" t="n">
        <x:v>437.443989</x:v>
      </x:c>
      <x:c r="F2148" s="12" t="n">
        <x:f>SUM(B2148,D2148:E2148)</x:f>
        <x:v>118074.14257200001</x:v>
      </x:c>
      <x:c r="G2148" s="12" t="n">
        <x:f>MAX(G2147,F2148)</x:f>
        <x:v>138687.599344</x:v>
      </x:c>
      <x:c r="H2148" s="14" t="n">
        <x:f>F2148/G2148-1</x:f>
        <x:v>-0.14863229927911914</x:v>
      </x:c>
      <x:c r="I2148" s="14" t="n">
        <x:f>F2148/F2147-1</x:f>
        <x:v>0.0025163491678263927</x:v>
      </x:c>
      <x:c r="J2148" s="12" t="n">
        <x:v>0</x:v>
      </x:c>
      <x:c r="K2148" s="12" t="n">
        <x:v>0</x:v>
      </x:c>
      <x:c r="L2148" s="12" t="n">
        <x:v>0</x:v>
      </x:c>
      <x:c r="M2148" s="2" t="str">
        <x:v>持有</x:v>
      </x:c>
    </x:row>
    <x:row r="2149" ht="23" customHeight="1">
      <x:c r="A2149" s="11" t="d">
        <x:v>2023-07-11T00:00:00.000Z</x:v>
      </x:c>
      <x:c r="B2149" s="12" t="n">
        <x:v>247.478583</x:v>
      </x:c>
      <x:c r="C2149" s="13" t="n">
        <x:v>267</x:v>
      </x:c>
      <x:c r="D2149" s="12" t="n">
        <x:v>118136.81999999999</x:v>
      </x:c>
      <x:c r="E2149" s="12" t="n">
        <x:v>437.443989</x:v>
      </x:c>
      <x:c r="F2149" s="12" t="n">
        <x:f>SUM(B2149,D2149:E2149)</x:f>
        <x:v>118821.742572</x:v>
      </x:c>
      <x:c r="G2149" s="12" t="n">
        <x:f>MAX(G2148,F2149)</x:f>
        <x:v>138687.599344</x:v>
      </x:c>
      <x:c r="H2149" s="14" t="n">
        <x:f>F2149/G2149-1</x:f>
        <x:v>-0.1432417668628384</x:v>
      </x:c>
      <x:c r="I2149" s="14" t="n">
        <x:f>F2149/F2148-1</x:f>
        <x:v>0.00633161489649714</x:v>
      </x:c>
      <x:c r="J2149" s="12" t="n">
        <x:v>0</x:v>
      </x:c>
      <x:c r="K2149" s="12" t="n">
        <x:v>0</x:v>
      </x:c>
      <x:c r="L2149" s="12" t="n">
        <x:v>0</x:v>
      </x:c>
      <x:c r="M2149" s="2" t="str">
        <x:v>持有</x:v>
      </x:c>
    </x:row>
    <x:row r="2150" ht="23" customHeight="1">
      <x:c r="A2150" s="11" t="d">
        <x:v>2023-07-12T00:00:00.000Z</x:v>
      </x:c>
      <x:c r="B2150" s="12" t="n">
        <x:v>247.478583</x:v>
      </x:c>
      <x:c r="C2150" s="13" t="n">
        <x:v>267</x:v>
      </x:c>
      <x:c r="D2150" s="12" t="n">
        <x:v>119087.34</x:v>
      </x:c>
      <x:c r="E2150" s="12" t="n">
        <x:v>437.443989</x:v>
      </x:c>
      <x:c r="F2150" s="12" t="n">
        <x:f>SUM(B2150,D2150:E2150)</x:f>
        <x:v>119772.262572</x:v>
      </x:c>
      <x:c r="G2150" s="12" t="n">
        <x:f>MAX(G2149,F2150)</x:f>
        <x:v>138687.599344</x:v>
      </x:c>
      <x:c r="H2150" s="14" t="n">
        <x:f>F2150/G2150-1</x:f>
        <x:v>-0.136388089933567</x:v>
      </x:c>
      <x:c r="I2150" s="14" t="n">
        <x:f>F2150/F2149-1</x:f>
        <x:v>0.007999546037830818</x:v>
      </x:c>
      <x:c r="J2150" s="12" t="n">
        <x:v>0</x:v>
      </x:c>
      <x:c r="K2150" s="12" t="n">
        <x:v>0</x:v>
      </x:c>
      <x:c r="L2150" s="12" t="n">
        <x:v>0</x:v>
      </x:c>
      <x:c r="M2150" s="2" t="str">
        <x:v>持有</x:v>
      </x:c>
    </x:row>
    <x:row r="2151" ht="23" customHeight="1">
      <x:c r="A2151" s="11" t="d">
        <x:v>2023-07-13T00:00:00.000Z</x:v>
      </x:c>
      <x:c r="B2151" s="12" t="n">
        <x:v>247.478583</x:v>
      </x:c>
      <x:c r="C2151" s="13" t="n">
        <x:v>267</x:v>
      </x:c>
      <x:c r="D2151" s="12" t="n">
        <x:v>120032.52</x:v>
      </x:c>
      <x:c r="E2151" s="12" t="n">
        <x:v>437.443989</x:v>
      </x:c>
      <x:c r="F2151" s="12" t="n">
        <x:f>SUM(B2151,D2151:E2151)</x:f>
        <x:v>120717.44257200001</x:v>
      </x:c>
      <x:c r="G2151" s="12" t="n">
        <x:f>MAX(G2150,F2151)</x:f>
        <x:v>138687.599344</x:v>
      </x:c>
      <x:c r="H2151" s="14" t="n">
        <x:f>F2151/G2151-1</x:f>
        <x:v>-0.129572916807269</x:v>
      </x:c>
      <x:c r="I2151" s="14" t="n">
        <x:f>F2151/F2150-1</x:f>
        <x:v>0.007891476538082642</x:v>
      </x:c>
      <x:c r="J2151" s="12" t="n">
        <x:v>0</x:v>
      </x:c>
      <x:c r="K2151" s="12" t="n">
        <x:v>0</x:v>
      </x:c>
      <x:c r="L2151" s="12" t="n">
        <x:v>0</x:v>
      </x:c>
      <x:c r="M2151" s="2" t="str">
        <x:v>持有</x:v>
      </x:c>
    </x:row>
    <x:row r="2152" ht="23" customHeight="1">
      <x:c r="A2152" s="11" t="d">
        <x:v>2023-07-14T00:00:00.000Z</x:v>
      </x:c>
      <x:c r="B2152" s="12" t="n">
        <x:v>247.478583</x:v>
      </x:c>
      <x:c r="C2152" s="13" t="n">
        <x:v>267</x:v>
      </x:c>
      <x:c r="D2152" s="12" t="n">
        <x:v>119957.76</x:v>
      </x:c>
      <x:c r="E2152" s="12" t="n">
        <x:v>437.443989</x:v>
      </x:c>
      <x:c r="F2152" s="12" t="n">
        <x:f>SUM(B2152,D2152:E2152)</x:f>
        <x:v>120642.682572</x:v>
      </x:c>
      <x:c r="G2152" s="12" t="n">
        <x:f>MAX(G2151,F2152)</x:f>
        <x:v>138687.599344</x:v>
      </x:c>
      <x:c r="H2152" s="14" t="n">
        <x:f>F2152/G2152-1</x:f>
        <x:v>-0.13011197004889719</x:v>
      </x:c>
      <x:c r="I2152" s="14" t="n">
        <x:f>F2152/F2151-1</x:f>
        <x:v>-0.0006192974139210827</x:v>
      </x:c>
      <x:c r="J2152" s="12" t="n">
        <x:v>0</x:v>
      </x:c>
      <x:c r="K2152" s="12" t="n">
        <x:v>0</x:v>
      </x:c>
      <x:c r="L2152" s="12" t="n">
        <x:v>0</x:v>
      </x:c>
      <x:c r="M2152" s="2" t="str">
        <x:v>持有</x:v>
      </x:c>
    </x:row>
    <x:row r="2153" ht="23" customHeight="1">
      <x:c r="A2153" s="11" t="d">
        <x:v>2023-07-17T00:00:00.000Z</x:v>
      </x:c>
      <x:c r="B2153" s="12" t="n">
        <x:v>247.478583</x:v>
      </x:c>
      <x:c r="C2153" s="13" t="n">
        <x:v>267</x:v>
      </x:c>
      <x:c r="D2153" s="12" t="n">
        <x:v>120374.28</x:v>
      </x:c>
      <x:c r="E2153" s="12" t="n">
        <x:v>437.443989</x:v>
      </x:c>
      <x:c r="F2153" s="12" t="n">
        <x:f>SUM(B2153,D2153:E2153)</x:f>
        <x:v>121059.20257200001</x:v>
      </x:c>
      <x:c r="G2153" s="12" t="n">
        <x:f>MAX(G2152,F2153)</x:f>
        <x:v>138687.599344</x:v>
      </x:c>
      <x:c r="H2153" s="14" t="n">
        <x:f>F2153/G2153-1</x:f>
        <x:v>-0.1271086734169693</x:v>
      </x:c>
      <x:c r="I2153" s="14" t="n">
        <x:f>F2153/F2152-1</x:f>
        <x:v>0.0034525094362969355</x:v>
      </x:c>
      <x:c r="J2153" s="12" t="n">
        <x:v>0</x:v>
      </x:c>
      <x:c r="K2153" s="12" t="n">
        <x:v>0</x:v>
      </x:c>
      <x:c r="L2153" s="12" t="n">
        <x:v>0</x:v>
      </x:c>
      <x:c r="M2153" s="2" t="str">
        <x:v>持有</x:v>
      </x:c>
    </x:row>
    <x:row r="2154" ht="23" customHeight="1">
      <x:c r="A2154" s="11" t="d">
        <x:v>2023-07-18T00:00:00.000Z</x:v>
      </x:c>
      <x:c r="B2154" s="12" t="n">
        <x:v>247.478583</x:v>
      </x:c>
      <x:c r="C2154" s="13" t="n">
        <x:v>267</x:v>
      </x:c>
      <x:c r="D2154" s="12" t="n">
        <x:v>121268.73</x:v>
      </x:c>
      <x:c r="E2154" s="12" t="n">
        <x:v>437.443989</x:v>
      </x:c>
      <x:c r="F2154" s="12" t="n">
        <x:f>SUM(B2154,D2154:E2154)</x:f>
        <x:v>121953.652572</x:v>
      </x:c>
      <x:c r="G2154" s="12" t="n">
        <x:f>MAX(G2153,F2154)</x:f>
        <x:v>138687.599344</x:v>
      </x:c>
      <x:c r="H2154" s="14" t="n">
        <x:f>F2154/G2154-1</x:f>
        <x:v>-0.12065928641891899</x:v>
      </x:c>
      <x:c r="I2154" s="14" t="n">
        <x:f>F2154/F2153-1</x:f>
        <x:v>0.007388533717360479</x:v>
      </x:c>
      <x:c r="J2154" s="12" t="n">
        <x:v>0</x:v>
      </x:c>
      <x:c r="K2154" s="12" t="n">
        <x:v>0</x:v>
      </x:c>
      <x:c r="L2154" s="12" t="n">
        <x:v>0</x:v>
      </x:c>
      <x:c r="M2154" s="2" t="str">
        <x:v>持有</x:v>
      </x:c>
    </x:row>
    <x:row r="2155" ht="23" customHeight="1">
      <x:c r="A2155" s="11" t="d">
        <x:v>2023-07-19T00:00:00.000Z</x:v>
      </x:c>
      <x:c r="B2155" s="12" t="n">
        <x:v>247.478583</x:v>
      </x:c>
      <x:c r="C2155" s="13" t="n">
        <x:v>267</x:v>
      </x:c>
      <x:c r="D2155" s="12" t="n">
        <x:v>121538.4</x:v>
      </x:c>
      <x:c r="E2155" s="12" t="n">
        <x:v>437.443989</x:v>
      </x:c>
      <x:c r="F2155" s="12" t="n">
        <x:f>SUM(B2155,D2155:E2155)</x:f>
        <x:v>122223.322572</x:v>
      </x:c>
      <x:c r="G2155" s="12" t="n">
        <x:f>MAX(G2154,F2155)</x:f>
        <x:v>138687.599344</x:v>
      </x:c>
      <x:c r="H2155" s="14" t="n">
        <x:f>F2155/G2155-1</x:f>
        <x:v>-0.11871484436876056</x:v>
      </x:c>
      <x:c r="I2155" s="14" t="n">
        <x:f>F2155/F2154-1</x:f>
        <x:v>0.0022112498831536875</x:v>
      </x:c>
      <x:c r="J2155" s="12" t="n">
        <x:v>0</x:v>
      </x:c>
      <x:c r="K2155" s="12" t="n">
        <x:v>0</x:v>
      </x:c>
      <x:c r="L2155" s="12" t="n">
        <x:v>0</x:v>
      </x:c>
      <x:c r="M2155" s="2" t="str">
        <x:v>持有</x:v>
      </x:c>
    </x:row>
    <x:row r="2156" ht="23" customHeight="1">
      <x:c r="A2156" s="11" t="d">
        <x:v>2023-07-20T00:00:00.000Z</x:v>
      </x:c>
      <x:c r="B2156" s="12" t="n">
        <x:v>247.478583</x:v>
      </x:c>
      <x:c r="C2156" s="13" t="n">
        <x:v>267</x:v>
      </x:c>
      <x:c r="D2156" s="12" t="n">
        <x:v>120732.06</x:v>
      </x:c>
      <x:c r="E2156" s="12" t="n">
        <x:v>437.443989</x:v>
      </x:c>
      <x:c r="F2156" s="12" t="n">
        <x:f>SUM(B2156,D2156:E2156)</x:f>
        <x:v>121416.98257200001</x:v>
      </x:c>
      <x:c r="G2156" s="12" t="n">
        <x:f>MAX(G2155,F2156)</x:f>
        <x:v>138687.599344</x:v>
      </x:c>
      <x:c r="H2156" s="14" t="n">
        <x:f>F2156/G2156-1</x:f>
        <x:v>-0.12452891861774917</x:v>
      </x:c>
      <x:c r="I2156" s="14" t="n">
        <x:f>F2156/F2155-1</x:f>
        <x:v>-0.006597267878436175</x:v>
      </x:c>
      <x:c r="J2156" s="12" t="n">
        <x:v>0</x:v>
      </x:c>
      <x:c r="K2156" s="12" t="n">
        <x:v>0</x:v>
      </x:c>
      <x:c r="L2156" s="12" t="n">
        <x:v>0</x:v>
      </x:c>
      <x:c r="M2156" s="2" t="str">
        <x:v>持有</x:v>
      </x:c>
    </x:row>
    <x:row r="2157" ht="23" customHeight="1">
      <x:c r="A2157" s="11" t="d">
        <x:v>2023-07-21T00:00:00.000Z</x:v>
      </x:c>
      <x:c r="B2157" s="12" t="n">
        <x:v>247.478583</x:v>
      </x:c>
      <x:c r="C2157" s="13" t="n">
        <x:v>267</x:v>
      </x:c>
      <x:c r="D2157" s="12" t="n">
        <x:v>120732.06</x:v>
      </x:c>
      <x:c r="E2157" s="12" t="n">
        <x:v>437.443989</x:v>
      </x:c>
      <x:c r="F2157" s="12" t="n">
        <x:f>SUM(B2157,D2157:E2157)</x:f>
        <x:v>121416.98257200001</x:v>
      </x:c>
      <x:c r="G2157" s="12" t="n">
        <x:f>MAX(G2156,F2157)</x:f>
        <x:v>138687.599344</x:v>
      </x:c>
      <x:c r="H2157" s="14" t="n">
        <x:f>F2157/G2157-1</x:f>
        <x:v>-0.12452891861774917</x:v>
      </x:c>
      <x:c r="I2157" s="14" t="n">
        <x:f>F2157/F2156-1</x:f>
        <x:v>0</x:v>
      </x:c>
      <x:c r="J2157" s="12" t="n">
        <x:v>0</x:v>
      </x:c>
      <x:c r="K2157" s="12" t="n">
        <x:v>0</x:v>
      </x:c>
      <x:c r="L2157" s="12" t="n">
        <x:v>0</x:v>
      </x:c>
      <x:c r="M2157" s="2" t="str">
        <x:v>持有</x:v>
      </x:c>
    </x:row>
    <x:row r="2158" ht="23" customHeight="1">
      <x:c r="A2158" s="11" t="d">
        <x:v>2023-07-24T00:00:00.000Z</x:v>
      </x:c>
      <x:c r="B2158" s="12" t="n">
        <x:v>247.478583</x:v>
      </x:c>
      <x:c r="C2158" s="13" t="n">
        <x:v>267</x:v>
      </x:c>
      <x:c r="D2158" s="12" t="n">
        <x:v>121271.4</x:v>
      </x:c>
      <x:c r="E2158" s="12" t="n">
        <x:v>437.443989</x:v>
      </x:c>
      <x:c r="F2158" s="12" t="n">
        <x:f>SUM(B2158,D2158:E2158)</x:f>
        <x:v>121956.322572</x:v>
      </x:c>
      <x:c r="G2158" s="12" t="n">
        <x:f>MAX(G2157,F2158)</x:f>
        <x:v>138687.599344</x:v>
      </x:c>
      <x:c r="H2158" s="14" t="n">
        <x:f>F2158/G2158-1</x:f>
        <x:v>-0.12064003451743233</x:v>
      </x:c>
      <x:c r="I2158" s="14" t="n">
        <x:f>F2158/F2157-1</x:f>
        <x:v>0.004442047467949406</x:v>
      </x:c>
      <x:c r="J2158" s="12" t="n">
        <x:v>0</x:v>
      </x:c>
      <x:c r="K2158" s="12" t="n">
        <x:v>0</x:v>
      </x:c>
      <x:c r="L2158" s="12" t="n">
        <x:v>0</x:v>
      </x:c>
      <x:c r="M2158" s="2" t="str">
        <x:v>持有</x:v>
      </x:c>
    </x:row>
    <x:row r="2159" ht="23" customHeight="1">
      <x:c r="A2159" s="11" t="d">
        <x:v>2023-07-25T00:00:00.000Z</x:v>
      </x:c>
      <x:c r="B2159" s="12" t="n">
        <x:v>247.478583</x:v>
      </x:c>
      <x:c r="C2159" s="13" t="n">
        <x:v>267</x:v>
      </x:c>
      <x:c r="D2159" s="12" t="n">
        <x:v>121602.48</x:v>
      </x:c>
      <x:c r="E2159" s="12" t="n">
        <x:v>437.443989</x:v>
      </x:c>
      <x:c r="F2159" s="12" t="n">
        <x:f>SUM(B2159,D2159:E2159)</x:f>
        <x:v>122287.402572</x:v>
      </x:c>
      <x:c r="G2159" s="12" t="n">
        <x:f>MAX(G2158,F2159)</x:f>
        <x:v>138687.599344</x:v>
      </x:c>
      <x:c r="H2159" s="14" t="n">
        <x:f>F2159/G2159-1</x:f>
        <x:v>-0.11825279873307937</x:v>
      </x:c>
      <x:c r="I2159" s="14" t="n">
        <x:f>F2159/F2158-1</x:f>
        <x:v>0.0027147424013587163</x:v>
      </x:c>
      <x:c r="J2159" s="12" t="n">
        <x:v>0</x:v>
      </x:c>
      <x:c r="K2159" s="12" t="n">
        <x:v>0</x:v>
      </x:c>
      <x:c r="L2159" s="12" t="n">
        <x:v>0</x:v>
      </x:c>
      <x:c r="M2159" s="2" t="str">
        <x:v>持有</x:v>
      </x:c>
    </x:row>
    <x:row r="2160" ht="23" customHeight="1">
      <x:c r="A2160" s="11" t="d">
        <x:v>2023-07-26T00:00:00.000Z</x:v>
      </x:c>
      <x:c r="B2160" s="12" t="n">
        <x:v>247.478583</x:v>
      </x:c>
      <x:c r="C2160" s="13" t="n">
        <x:v>267</x:v>
      </x:c>
      <x:c r="D2160" s="12" t="n">
        <x:v>121621.17</x:v>
      </x:c>
      <x:c r="E2160" s="12" t="n">
        <x:v>437.443989</x:v>
      </x:c>
      <x:c r="F2160" s="12" t="n">
        <x:f>SUM(B2160,D2160:E2160)</x:f>
        <x:v>122306.09257200001</x:v>
      </x:c>
      <x:c r="G2160" s="12" t="n">
        <x:f>MAX(G2159,F2160)</x:f>
        <x:v>138687.599344</x:v>
      </x:c>
      <x:c r="H2160" s="14" t="n">
        <x:f>F2160/G2160-1</x:f>
        <x:v>-0.1181180354226723</x:v>
      </x:c>
      <x:c r="I2160" s="14" t="n">
        <x:f>F2160/F2159-1</x:f>
        <x:v>0.00015283667497145714</x:v>
      </x:c>
      <x:c r="J2160" s="12" t="n">
        <x:v>0</x:v>
      </x:c>
      <x:c r="K2160" s="12" t="n">
        <x:v>0</x:v>
      </x:c>
      <x:c r="L2160" s="12" t="n">
        <x:v>0</x:v>
      </x:c>
      <x:c r="M2160" s="2" t="str">
        <x:v>持有</x:v>
      </x:c>
    </x:row>
    <x:row r="2161" ht="23" customHeight="1">
      <x:c r="A2161" s="11" t="d">
        <x:v>2023-07-27T00:00:00.000Z</x:v>
      </x:c>
      <x:c r="B2161" s="12" t="n">
        <x:v>247.478583</x:v>
      </x:c>
      <x:c r="C2161" s="13" t="n">
        <x:v>267</x:v>
      </x:c>
      <x:c r="D2161" s="12" t="n">
        <x:v>120814.83</x:v>
      </x:c>
      <x:c r="E2161" s="12" t="n">
        <x:v>437.443989</x:v>
      </x:c>
      <x:c r="F2161" s="12" t="n">
        <x:f>SUM(B2161,D2161:E2161)</x:f>
        <x:v>121499.75257200001</x:v>
      </x:c>
      <x:c r="G2161" s="12" t="n">
        <x:f>MAX(G2160,F2161)</x:f>
        <x:v>138687.599344</x:v>
      </x:c>
      <x:c r="H2161" s="14" t="n">
        <x:f>F2161/G2161-1</x:f>
        <x:v>-0.1239321096716609</x:v>
      </x:c>
      <x:c r="I2161" s="14" t="n">
        <x:f>F2161/F2160-1</x:f>
        <x:v>-0.006592803212360998</x:v>
      </x:c>
      <x:c r="J2161" s="12" t="n">
        <x:v>0</x:v>
      </x:c>
      <x:c r="K2161" s="12" t="n">
        <x:v>0</x:v>
      </x:c>
      <x:c r="L2161" s="12" t="n">
        <x:v>0</x:v>
      </x:c>
      <x:c r="M2161" s="2" t="str">
        <x:v>持有</x:v>
      </x:c>
    </x:row>
    <x:row r="2162" ht="23" customHeight="1">
      <x:c r="A2162" s="11" t="d">
        <x:v>2023-07-28T00:00:00.000Z</x:v>
      </x:c>
      <x:c r="B2162" s="12" t="n">
        <x:v>247.478583</x:v>
      </x:c>
      <x:c r="C2162" s="13" t="n">
        <x:v>267</x:v>
      </x:c>
      <x:c r="D2162" s="12" t="n">
        <x:v>121997.64</x:v>
      </x:c>
      <x:c r="E2162" s="12" t="n">
        <x:v>437.443989</x:v>
      </x:c>
      <x:c r="F2162" s="12" t="n">
        <x:f>SUM(B2162,D2162:E2162)</x:f>
        <x:v>122682.56257200001</x:v>
      </x:c>
      <x:c r="G2162" s="12" t="n">
        <x:f>MAX(G2161,F2162)</x:f>
        <x:v>138687.599344</x:v>
      </x:c>
      <x:c r="H2162" s="14" t="n">
        <x:f>F2162/G2162-1</x:f>
        <x:v>-0.11540351731304521</x:v>
      </x:c>
      <x:c r="I2162" s="14" t="n">
        <x:f>F2162/F2161-1</x:f>
        <x:v>0.00973508155334768</x:v>
      </x:c>
      <x:c r="J2162" s="12" t="n">
        <x:v>0</x:v>
      </x:c>
      <x:c r="K2162" s="12" t="n">
        <x:v>0</x:v>
      </x:c>
      <x:c r="L2162" s="12" t="n">
        <x:v>0</x:v>
      </x:c>
      <x:c r="M2162" s="2" t="str">
        <x:v>持有</x:v>
      </x:c>
    </x:row>
    <x:row r="2163" ht="23" customHeight="1">
      <x:c r="A2163" s="11" t="d">
        <x:v>2023-07-31T00:00:00.000Z</x:v>
      </x:c>
      <x:c r="B2163" s="12" t="n">
        <x:v>684.922572</x:v>
      </x:c>
      <x:c r="C2163" s="13" t="n">
        <x:v>267</x:v>
      </x:c>
      <x:c r="D2163" s="12" t="n">
        <x:v>122229.93000000001</x:v>
      </x:c>
      <x:c r="E2163" s="12" t="n">
        <x:v>0</x:v>
      </x:c>
      <x:c r="F2163" s="12" t="n">
        <x:f>SUM(B2163,D2163:E2163)</x:f>
        <x:v>122914.852572</x:v>
      </x:c>
      <x:c r="G2163" s="12" t="n">
        <x:f>MAX(G2162,F2163)</x:f>
        <x:v>138687.599344</x:v>
      </x:c>
      <x:c r="H2163" s="14" t="n">
        <x:f>F2163/G2163-1</x:f>
        <x:v>-0.11372860188370082</x:v>
      </x:c>
      <x:c r="I2163" s="14" t="n">
        <x:f>F2163/F2162-1</x:f>
        <x:v>0.0018934231167828663</x:v>
      </x:c>
      <x:c r="J2163" s="12" t="n">
        <x:v>0</x:v>
      </x:c>
      <x:c r="K2163" s="12" t="n">
        <x:v>437.443989</x:v>
      </x:c>
      <x:c r="L2163" s="12" t="n">
        <x:v>0</x:v>
      </x:c>
      <x:c r="M2163" s="2" t="str">
        <x:v>持有</x:v>
      </x:c>
    </x:row>
    <x:row r="2164" ht="23" customHeight="1">
      <x:c r="A2164" s="11" t="d">
        <x:v>2023-08-01T00:00:00.000Z</x:v>
      </x:c>
      <x:c r="B2164" s="12" t="n">
        <x:v>684.922572</x:v>
      </x:c>
      <x:c r="C2164" s="13" t="n">
        <x:v>267</x:v>
      </x:c>
      <x:c r="D2164" s="12" t="n">
        <x:v>121880.16</x:v>
      </x:c>
      <x:c r="E2164" s="12" t="n">
        <x:v>0</x:v>
      </x:c>
      <x:c r="F2164" s="12" t="n">
        <x:f>SUM(B2164,D2164:E2164)</x:f>
        <x:v>122565.082572</x:v>
      </x:c>
      <x:c r="G2164" s="12" t="n">
        <x:f>MAX(G2163,F2164)</x:f>
        <x:v>138687.599344</x:v>
      </x:c>
      <x:c r="H2164" s="14" t="n">
        <x:f>F2164/G2164-1</x:f>
        <x:v>-0.11625060097846085</x:v>
      </x:c>
      <x:c r="I2164" s="14" t="n">
        <x:f>F2164/F2163-1</x:f>
        <x:v>-0.0028456284385576236</x:v>
      </x:c>
      <x:c r="J2164" s="12" t="n">
        <x:v>0</x:v>
      </x:c>
      <x:c r="K2164" s="12" t="n">
        <x:v>0</x:v>
      </x:c>
      <x:c r="L2164" s="12" t="n">
        <x:v>0</x:v>
      </x:c>
      <x:c r="M2164" s="2" t="str">
        <x:v>持有</x:v>
      </x:c>
    </x:row>
    <x:row r="2165" ht="23" customHeight="1">
      <x:c r="A2165" s="11" t="d">
        <x:v>2023-08-02T00:00:00.000Z</x:v>
      </x:c>
      <x:c r="B2165" s="12" t="n">
        <x:v>684.922572</x:v>
      </x:c>
      <x:c r="C2165" s="13" t="n">
        <x:v>267</x:v>
      </x:c>
      <x:c r="D2165" s="12" t="n">
        <x:v>120184.70999999999</x:v>
      </x:c>
      <x:c r="E2165" s="12" t="n">
        <x:v>0</x:v>
      </x:c>
      <x:c r="F2165" s="12" t="n">
        <x:f>SUM(B2165,D2165:E2165)</x:f>
        <x:v>120869.63257199999</x:v>
      </x:c>
      <x:c r="G2165" s="12" t="n">
        <x:f>MAX(G2164,F2165)</x:f>
        <x:v>138687.599344</x:v>
      </x:c>
      <x:c r="H2165" s="14" t="n">
        <x:f>F2165/G2165-1</x:f>
        <x:v>-0.12847555842252634</x:v>
      </x:c>
      <x:c r="I2165" s="14" t="n">
        <x:f>F2165/F2164-1</x:f>
        <x:v>-0.013833058848583879</x:v>
      </x:c>
      <x:c r="J2165" s="12" t="n">
        <x:v>0</x:v>
      </x:c>
      <x:c r="K2165" s="12" t="n">
        <x:v>0</x:v>
      </x:c>
      <x:c r="L2165" s="12" t="n">
        <x:v>0</x:v>
      </x:c>
      <x:c r="M2165" s="2" t="str">
        <x:v>持有</x:v>
      </x:c>
    </x:row>
    <x:row r="2166" ht="23" customHeight="1">
      <x:c r="A2166" s="11" t="d">
        <x:v>2023-08-03T00:00:00.000Z</x:v>
      </x:c>
      <x:c r="B2166" s="12" t="n">
        <x:v>684.922572</x:v>
      </x:c>
      <x:c r="C2166" s="13" t="n">
        <x:v>267</x:v>
      </x:c>
      <x:c r="D2166" s="12" t="n">
        <x:v>119840.28</x:v>
      </x:c>
      <x:c r="E2166" s="12" t="n">
        <x:v>0</x:v>
      </x:c>
      <x:c r="F2166" s="12" t="n">
        <x:f>SUM(B2166,D2166:E2166)</x:f>
        <x:v>120525.202572</x:v>
      </x:c>
      <x:c r="G2166" s="12" t="n">
        <x:f>MAX(G2165,F2166)</x:f>
        <x:v>138687.599344</x:v>
      </x:c>
      <x:c r="H2166" s="14" t="n">
        <x:f>F2166/G2166-1</x:f>
        <x:v>-0.13095905371431282</x:v>
      </x:c>
      <x:c r="I2166" s="14" t="n">
        <x:f>F2166/F2165-1</x:f>
        <x:v>-0.002849599131484304</x:v>
      </x:c>
      <x:c r="J2166" s="12" t="n">
        <x:v>0</x:v>
      </x:c>
      <x:c r="K2166" s="12" t="n">
        <x:v>0</x:v>
      </x:c>
      <x:c r="L2166" s="12" t="n">
        <x:v>0</x:v>
      </x:c>
      <x:c r="M2166" s="2" t="str">
        <x:v>持有</x:v>
      </x:c>
    </x:row>
    <x:row r="2167" ht="23" customHeight="1">
      <x:c r="A2167" s="11" t="d">
        <x:v>2023-08-04T00:00:00.000Z</x:v>
      </x:c>
      <x:c r="B2167" s="12" t="n">
        <x:v>684.922572</x:v>
      </x:c>
      <x:c r="C2167" s="13" t="n">
        <x:v>267</x:v>
      </x:c>
      <x:c r="D2167" s="12" t="n">
        <x:v>119298.27</x:v>
      </x:c>
      <x:c r="E2167" s="12" t="n">
        <x:v>0</x:v>
      </x:c>
      <x:c r="F2167" s="12" t="n">
        <x:f>SUM(B2167,D2167:E2167)</x:f>
        <x:v>119983.192572</x:v>
      </x:c>
      <x:c r="G2167" s="12" t="n">
        <x:f>MAX(G2166,F2167)</x:f>
        <x:v>138687.599344</x:v>
      </x:c>
      <x:c r="H2167" s="14" t="n">
        <x:f>F2167/G2167-1</x:f>
        <x:v>-0.13486718971611644</x:v>
      </x:c>
      <x:c r="I2167" s="14" t="n">
        <x:f>F2167/F2166-1</x:f>
        <x:v>-0.004497067737149862</x:v>
      </x:c>
      <x:c r="J2167" s="12" t="n">
        <x:v>0</x:v>
      </x:c>
      <x:c r="K2167" s="12" t="n">
        <x:v>0</x:v>
      </x:c>
      <x:c r="L2167" s="12" t="n">
        <x:v>0</x:v>
      </x:c>
      <x:c r="M2167" s="2" t="str">
        <x:v>持有</x:v>
      </x:c>
    </x:row>
    <x:row r="2168" ht="23" customHeight="1">
      <x:c r="A2168" s="11" t="d">
        <x:v>2023-08-07T00:00:00.000Z</x:v>
      </x:c>
      <x:c r="B2168" s="12" t="n">
        <x:v>684.922572</x:v>
      </x:c>
      <x:c r="C2168" s="13" t="n">
        <x:v>267</x:v>
      </x:c>
      <x:c r="D2168" s="12" t="n">
        <x:v>120339.56999999999</x:v>
      </x:c>
      <x:c r="E2168" s="12" t="n">
        <x:v>0</x:v>
      </x:c>
      <x:c r="F2168" s="12" t="n">
        <x:f>SUM(B2168,D2168:E2168)</x:f>
        <x:v>121024.49257199999</x:v>
      </x:c>
      <x:c r="G2168" s="12" t="n">
        <x:f>MAX(G2167,F2168)</x:f>
        <x:v>138687.599344</x:v>
      </x:c>
      <x:c r="H2168" s="14" t="n">
        <x:f>F2168/G2168-1</x:f>
        <x:v>-0.12735894813629678</x:v>
      </x:c>
      <x:c r="I2168" s="14" t="n">
        <x:f>F2168/F2167-1</x:f>
        <x:v>0.008678715557390415</x:v>
      </x:c>
      <x:c r="J2168" s="12" t="n">
        <x:v>0</x:v>
      </x:c>
      <x:c r="K2168" s="12" t="n">
        <x:v>0</x:v>
      </x:c>
      <x:c r="L2168" s="12" t="n">
        <x:v>0</x:v>
      </x:c>
      <x:c r="M2168" s="2" t="str">
        <x:v>持有</x:v>
      </x:c>
    </x:row>
    <x:row r="2169" ht="23" customHeight="1">
      <x:c r="A2169" s="11" t="d">
        <x:v>2023-08-08T00:00:00.000Z</x:v>
      </x:c>
      <x:c r="B2169" s="12" t="n">
        <x:v>684.922572</x:v>
      </x:c>
      <x:c r="C2169" s="13" t="n">
        <x:v>267</x:v>
      </x:c>
      <x:c r="D2169" s="12" t="n">
        <x:v>119816.25</x:v>
      </x:c>
      <x:c r="E2169" s="12" t="n">
        <x:v>0</x:v>
      </x:c>
      <x:c r="F2169" s="12" t="n">
        <x:f>SUM(B2169,D2169:E2169)</x:f>
        <x:v>120501.172572</x:v>
      </x:c>
      <x:c r="G2169" s="12" t="n">
        <x:f>MAX(G2168,F2169)</x:f>
        <x:v>138687.599344</x:v>
      </x:c>
      <x:c r="H2169" s="14" t="n">
        <x:f>F2169/G2169-1</x:f>
        <x:v>-0.13113232082769333</x:v>
      </x:c>
      <x:c r="I2169" s="14" t="n">
        <x:f>F2169/F2168-1</x:f>
        <x:v>-0.004324083405585544</x:v>
      </x:c>
      <x:c r="J2169" s="12" t="n">
        <x:v>0</x:v>
      </x:c>
      <x:c r="K2169" s="12" t="n">
        <x:v>0</x:v>
      </x:c>
      <x:c r="L2169" s="12" t="n">
        <x:v>0</x:v>
      </x:c>
      <x:c r="M2169" s="2" t="str">
        <x:v>持有</x:v>
      </x:c>
    </x:row>
    <x:row r="2170" ht="23" customHeight="1">
      <x:c r="A2170" s="11" t="d">
        <x:v>2023-08-09T00:00:00.000Z</x:v>
      </x:c>
      <x:c r="B2170" s="12" t="n">
        <x:v>684.922572</x:v>
      </x:c>
      <x:c r="C2170" s="13" t="n">
        <x:v>267</x:v>
      </x:c>
      <x:c r="D2170" s="12" t="n">
        <x:v>119015.25</x:v>
      </x:c>
      <x:c r="E2170" s="12" t="n">
        <x:v>0</x:v>
      </x:c>
      <x:c r="F2170" s="12" t="n">
        <x:f>SUM(B2170,D2170:E2170)</x:f>
        <x:v>119700.172572</x:v>
      </x:c>
      <x:c r="G2170" s="12" t="n">
        <x:f>MAX(G2169,F2170)</x:f>
        <x:v>138687.599344</x:v>
      </x:c>
      <x:c r="H2170" s="14" t="n">
        <x:f>F2170/G2170-1</x:f>
        <x:v>-0.1369078912737085</x:v>
      </x:c>
      <x:c r="I2170" s="14" t="n">
        <x:f>F2170/F2169-1</x:f>
        <x:v>-0.006647238221033858</x:v>
      </x:c>
      <x:c r="J2170" s="12" t="n">
        <x:v>0</x:v>
      </x:c>
      <x:c r="K2170" s="12" t="n">
        <x:v>0</x:v>
      </x:c>
      <x:c r="L2170" s="12" t="n">
        <x:v>0</x:v>
      </x:c>
      <x:c r="M2170" s="2" t="str">
        <x:v>持有</x:v>
      </x:c>
    </x:row>
    <x:row r="2171" ht="23" customHeight="1">
      <x:c r="A2171" s="11" t="d">
        <x:v>2023-08-10T00:00:00.000Z</x:v>
      </x:c>
      <x:c r="B2171" s="12" t="n">
        <x:v>684.922572</x:v>
      </x:c>
      <x:c r="C2171" s="13" t="n">
        <x:v>267</x:v>
      </x:c>
      <x:c r="D2171" s="12" t="n">
        <x:v>119057.97</x:v>
      </x:c>
      <x:c r="E2171" s="12" t="n">
        <x:v>0</x:v>
      </x:c>
      <x:c r="F2171" s="12" t="n">
        <x:f>SUM(B2171,D2171:E2171)</x:f>
        <x:v>119742.892572</x:v>
      </x:c>
      <x:c r="G2171" s="12" t="n">
        <x:f>MAX(G2170,F2171)</x:f>
        <x:v>138687.599344</x:v>
      </x:c>
      <x:c r="H2171" s="14" t="n">
        <x:f>F2171/G2171-1</x:f>
        <x:v>-0.13659986084992093</x:v>
      </x:c>
      <x:c r="I2171" s="14" t="n">
        <x:f>F2171/F2170-1</x:f>
        <x:v>0.0003568917160441387</x:v>
      </x:c>
      <x:c r="J2171" s="12" t="n">
        <x:v>0</x:v>
      </x:c>
      <x:c r="K2171" s="12" t="n">
        <x:v>0</x:v>
      </x:c>
      <x:c r="L2171" s="12" t="n">
        <x:v>0</x:v>
      </x:c>
      <x:c r="M2171" s="2" t="str">
        <x:v>持有</x:v>
      </x:c>
    </x:row>
    <x:row r="2172" ht="23" customHeight="1">
      <x:c r="A2172" s="11" t="d">
        <x:v>2023-08-11T00:00:00.000Z</x:v>
      </x:c>
      <x:c r="B2172" s="12" t="n">
        <x:v>684.922572</x:v>
      </x:c>
      <x:c r="C2172" s="13" t="n">
        <x:v>267</x:v>
      </x:c>
      <x:c r="D2172" s="12" t="n">
        <x:v>118988.54999999999</x:v>
      </x:c>
      <x:c r="E2172" s="12" t="n">
        <x:v>0</x:v>
      </x:c>
      <x:c r="F2172" s="12" t="n">
        <x:f>SUM(B2172,D2172:E2172)</x:f>
        <x:v>119673.47257199998</x:v>
      </x:c>
      <x:c r="G2172" s="12" t="n">
        <x:f>MAX(G2171,F2172)</x:f>
        <x:v>138687.599344</x:v>
      </x:c>
      <x:c r="H2172" s="14" t="n">
        <x:f>F2172/G2172-1</x:f>
        <x:v>-0.13710041028857567</x:v>
      </x:c>
      <x:c r="I2172" s="14" t="n">
        <x:f>F2172/F2171-1</x:f>
        <x:v>-0.0005797421334069464</x:v>
      </x:c>
      <x:c r="J2172" s="12" t="n">
        <x:v>0</x:v>
      </x:c>
      <x:c r="K2172" s="12" t="n">
        <x:v>0</x:v>
      </x:c>
      <x:c r="L2172" s="12" t="n">
        <x:v>0</x:v>
      </x:c>
      <x:c r="M2172" s="2" t="str">
        <x:v>持有</x:v>
      </x:c>
    </x:row>
    <x:row r="2173" ht="23" customHeight="1">
      <x:c r="A2173" s="11" t="d">
        <x:v>2023-08-14T00:00:00.000Z</x:v>
      </x:c>
      <x:c r="B2173" s="12" t="n">
        <x:v>684.922572</x:v>
      </x:c>
      <x:c r="C2173" s="13" t="n">
        <x:v>267</x:v>
      </x:c>
      <x:c r="D2173" s="12" t="n">
        <x:v>119645.37000000001</x:v>
      </x:c>
      <x:c r="E2173" s="12" t="n">
        <x:v>0</x:v>
      </x:c>
      <x:c r="F2173" s="12" t="n">
        <x:f>SUM(B2173,D2173:E2173)</x:f>
        <x:v>120330.292572</x:v>
      </x:c>
      <x:c r="G2173" s="12" t="n">
        <x:f>MAX(G2172,F2173)</x:f>
        <x:v>138687.599344</x:v>
      </x:c>
      <x:c r="H2173" s="14" t="n">
        <x:f>F2173/G2173-1</x:f>
        <x:v>-0.13236444252284307</x:v>
      </x:c>
      <x:c r="I2173" s="14" t="n">
        <x:f>F2173/F2172-1</x:f>
        <x:v>0.005488434369654183</x:v>
      </x:c>
      <x:c r="J2173" s="12" t="n">
        <x:v>0</x:v>
      </x:c>
      <x:c r="K2173" s="12" t="n">
        <x:v>0</x:v>
      </x:c>
      <x:c r="L2173" s="12" t="n">
        <x:v>0</x:v>
      </x:c>
      <x:c r="M2173" s="2" t="str">
        <x:v>持有</x:v>
      </x:c>
    </x:row>
    <x:row r="2174" ht="23" customHeight="1">
      <x:c r="A2174" s="11" t="d">
        <x:v>2023-08-15T00:00:00.000Z</x:v>
      </x:c>
      <x:c r="B2174" s="12" t="n">
        <x:v>684.922572</x:v>
      </x:c>
      <x:c r="C2174" s="13" t="n">
        <x:v>267</x:v>
      </x:c>
      <x:c r="D2174" s="12" t="n">
        <x:v>118251.62999999999</x:v>
      </x:c>
      <x:c r="E2174" s="12" t="n">
        <x:v>0</x:v>
      </x:c>
      <x:c r="F2174" s="12" t="n">
        <x:f>SUM(B2174,D2174:E2174)</x:f>
        <x:v>118936.55257199999</x:v>
      </x:c>
      <x:c r="G2174" s="12" t="n">
        <x:f>MAX(G2173,F2174)</x:f>
        <x:v>138687.599344</x:v>
      </x:c>
      <x:c r="H2174" s="14" t="n">
        <x:f>F2174/G2174-1</x:f>
        <x:v>-0.14241393509890965</x:v>
      </x:c>
      <x:c r="I2174" s="14" t="n">
        <x:f>F2174/F2173-1</x:f>
        <x:v>-0.011582619556634643</x:v>
      </x:c>
      <x:c r="J2174" s="12" t="n">
        <x:v>0</x:v>
      </x:c>
      <x:c r="K2174" s="12" t="n">
        <x:v>0</x:v>
      </x:c>
      <x:c r="L2174" s="12" t="n">
        <x:v>0</x:v>
      </x:c>
      <x:c r="M2174" s="2" t="str">
        <x:v>持有</x:v>
      </x:c>
    </x:row>
    <x:row r="2175" ht="23" customHeight="1">
      <x:c r="A2175" s="11" t="d">
        <x:v>2023-08-16T00:00:00.000Z</x:v>
      </x:c>
      <x:c r="B2175" s="12" t="n">
        <x:v>118703.605752</x:v>
      </x:c>
      <x:c r="C2175" s="13" t="n">
        <x:v>0</x:v>
      </x:c>
      <x:c r="D2175" s="12" t="n">
        <x:v>0</x:v>
      </x:c>
      <x:c r="E2175" s="12" t="n">
        <x:v>0</x:v>
      </x:c>
      <x:c r="F2175" s="12" t="n">
        <x:f>SUM(B2175,D2175:E2175)</x:f>
        <x:v>118703.605752</x:v>
      </x:c>
      <x:c r="G2175" s="12" t="n">
        <x:f>MAX(G2174,F2175)</x:f>
        <x:v>138687.599344</x:v>
      </x:c>
      <x:c r="H2175" s="14" t="n">
        <x:f>F2175/G2175-1</x:f>
        <x:v>-0.14409358649601967</x:v>
      </x:c>
      <x:c r="I2175" s="14" t="n">
        <x:f>F2175/F2174-1</x:f>
        <x:v>-0.001958580562178014</x:v>
      </x:c>
      <x:c r="J2175" s="12" t="n">
        <x:v>0</x:v>
      </x:c>
      <x:c r="K2175" s="12" t="n">
        <x:v>0</x:v>
      </x:c>
      <x:c r="L2175" s="12" t="n">
        <x:v>-267</x:v>
      </x:c>
      <x:c r="M2175" s="2" t="str">
        <x:v>卖出</x:v>
      </x:c>
    </x:row>
    <x:row r="2176" ht="23" customHeight="1">
      <x:c r="A2176" s="11" t="d">
        <x:v>2023-08-17T00:00:00.000Z</x:v>
      </x:c>
      <x:c r="B2176" s="12" t="n">
        <x:v>118703.605752</x:v>
      </x:c>
      <x:c r="C2176" s="13" t="n">
        <x:v>0</x:v>
      </x:c>
      <x:c r="D2176" s="12" t="n">
        <x:v>0</x:v>
      </x:c>
      <x:c r="E2176" s="12" t="n">
        <x:v>0</x:v>
      </x:c>
      <x:c r="F2176" s="12" t="n">
        <x:f>SUM(B2176,D2176:E2176)</x:f>
        <x:v>118703.605752</x:v>
      </x:c>
      <x:c r="G2176" s="12" t="n">
        <x:f>MAX(G2175,F2176)</x:f>
        <x:v>138687.599344</x:v>
      </x:c>
      <x:c r="H2176" s="14" t="n">
        <x:f>F2176/G2176-1</x:f>
        <x:v>-0.14409358649601967</x:v>
      </x:c>
      <x:c r="I2176" s="14" t="n">
        <x:f>F2176/F2175-1</x:f>
        <x:v>0</x:v>
      </x:c>
      <x:c r="J2176" s="12" t="n">
        <x:v>0</x:v>
      </x:c>
      <x:c r="K2176" s="12" t="n">
        <x:v>0</x:v>
      </x:c>
      <x:c r="L2176" s="12" t="n">
        <x:v>0</x:v>
      </x:c>
      <x:c r="M2176" s="2" t="str">
        <x:v>空仓</x:v>
      </x:c>
    </x:row>
    <x:row r="2177" ht="23" customHeight="1">
      <x:c r="A2177" s="11" t="d">
        <x:v>2023-08-18T00:00:00.000Z</x:v>
      </x:c>
      <x:c r="B2177" s="12" t="n">
        <x:v>118703.605752</x:v>
      </x:c>
      <x:c r="C2177" s="13" t="n">
        <x:v>0</x:v>
      </x:c>
      <x:c r="D2177" s="12" t="n">
        <x:v>0</x:v>
      </x:c>
      <x:c r="E2177" s="12" t="n">
        <x:v>0</x:v>
      </x:c>
      <x:c r="F2177" s="12" t="n">
        <x:f>SUM(B2177,D2177:E2177)</x:f>
        <x:v>118703.605752</x:v>
      </x:c>
      <x:c r="G2177" s="12" t="n">
        <x:f>MAX(G2176,F2177)</x:f>
        <x:v>138687.599344</x:v>
      </x:c>
      <x:c r="H2177" s="14" t="n">
        <x:f>F2177/G2177-1</x:f>
        <x:v>-0.14409358649601967</x:v>
      </x:c>
      <x:c r="I2177" s="14" t="n">
        <x:f>F2177/F2176-1</x:f>
        <x:v>0</x:v>
      </x:c>
      <x:c r="J2177" s="12" t="n">
        <x:v>0</x:v>
      </x:c>
      <x:c r="K2177" s="12" t="n">
        <x:v>0</x:v>
      </x:c>
      <x:c r="L2177" s="12" t="n">
        <x:v>0</x:v>
      </x:c>
      <x:c r="M2177" s="2" t="str">
        <x:v>空仓</x:v>
      </x:c>
    </x:row>
    <x:row r="2178" ht="23" customHeight="1">
      <x:c r="A2178" s="11" t="d">
        <x:v>2023-08-21T00:00:00.000Z</x:v>
      </x:c>
      <x:c r="B2178" s="12" t="n">
        <x:v>118703.605752</x:v>
      </x:c>
      <x:c r="C2178" s="13" t="n">
        <x:v>0</x:v>
      </x:c>
      <x:c r="D2178" s="12" t="n">
        <x:v>0</x:v>
      </x:c>
      <x:c r="E2178" s="12" t="n">
        <x:v>0</x:v>
      </x:c>
      <x:c r="F2178" s="12" t="n">
        <x:f>SUM(B2178,D2178:E2178)</x:f>
        <x:v>118703.605752</x:v>
      </x:c>
      <x:c r="G2178" s="12" t="n">
        <x:f>MAX(G2177,F2178)</x:f>
        <x:v>138687.599344</x:v>
      </x:c>
      <x:c r="H2178" s="14" t="n">
        <x:f>F2178/G2178-1</x:f>
        <x:v>-0.14409358649601967</x:v>
      </x:c>
      <x:c r="I2178" s="14" t="n">
        <x:f>F2178/F2177-1</x:f>
        <x:v>0</x:v>
      </x:c>
      <x:c r="J2178" s="12" t="n">
        <x:v>0</x:v>
      </x:c>
      <x:c r="K2178" s="12" t="n">
        <x:v>0</x:v>
      </x:c>
      <x:c r="L2178" s="12" t="n">
        <x:v>0</x:v>
      </x:c>
      <x:c r="M2178" s="2" t="str">
        <x:v>空仓</x:v>
      </x:c>
    </x:row>
    <x:row r="2179" ht="23" customHeight="1">
      <x:c r="A2179" s="11" t="d">
        <x:v>2023-08-22T00:00:00.000Z</x:v>
      </x:c>
      <x:c r="B2179" s="12" t="n">
        <x:v>118703.605752</x:v>
      </x:c>
      <x:c r="C2179" s="13" t="n">
        <x:v>0</x:v>
      </x:c>
      <x:c r="D2179" s="12" t="n">
        <x:v>0</x:v>
      </x:c>
      <x:c r="E2179" s="12" t="n">
        <x:v>0</x:v>
      </x:c>
      <x:c r="F2179" s="12" t="n">
        <x:f>SUM(B2179,D2179:E2179)</x:f>
        <x:v>118703.605752</x:v>
      </x:c>
      <x:c r="G2179" s="12" t="n">
        <x:f>MAX(G2178,F2179)</x:f>
        <x:v>138687.599344</x:v>
      </x:c>
      <x:c r="H2179" s="14" t="n">
        <x:f>F2179/G2179-1</x:f>
        <x:v>-0.14409358649601967</x:v>
      </x:c>
      <x:c r="I2179" s="14" t="n">
        <x:f>F2179/F2178-1</x:f>
        <x:v>0</x:v>
      </x:c>
      <x:c r="J2179" s="12" t="n">
        <x:v>0</x:v>
      </x:c>
      <x:c r="K2179" s="12" t="n">
        <x:v>0</x:v>
      </x:c>
      <x:c r="L2179" s="12" t="n">
        <x:v>0</x:v>
      </x:c>
      <x:c r="M2179" s="2" t="str">
        <x:v>空仓</x:v>
      </x:c>
    </x:row>
    <x:row r="2180" ht="23" customHeight="1">
      <x:c r="A2180" s="11" t="d">
        <x:v>2023-08-23T00:00:00.000Z</x:v>
      </x:c>
      <x:c r="B2180" s="12" t="n">
        <x:v>118703.605752</x:v>
      </x:c>
      <x:c r="C2180" s="13" t="n">
        <x:v>0</x:v>
      </x:c>
      <x:c r="D2180" s="12" t="n">
        <x:v>0</x:v>
      </x:c>
      <x:c r="E2180" s="12" t="n">
        <x:v>0</x:v>
      </x:c>
      <x:c r="F2180" s="12" t="n">
        <x:f>SUM(B2180,D2180:E2180)</x:f>
        <x:v>118703.605752</x:v>
      </x:c>
      <x:c r="G2180" s="12" t="n">
        <x:f>MAX(G2179,F2180)</x:f>
        <x:v>138687.599344</x:v>
      </x:c>
      <x:c r="H2180" s="14" t="n">
        <x:f>F2180/G2180-1</x:f>
        <x:v>-0.14409358649601967</x:v>
      </x:c>
      <x:c r="I2180" s="14" t="n">
        <x:f>F2180/F2179-1</x:f>
        <x:v>0</x:v>
      </x:c>
      <x:c r="J2180" s="12" t="n">
        <x:v>0</x:v>
      </x:c>
      <x:c r="K2180" s="12" t="n">
        <x:v>0</x:v>
      </x:c>
      <x:c r="L2180" s="12" t="n">
        <x:v>0</x:v>
      </x:c>
      <x:c r="M2180" s="2" t="str">
        <x:v>空仓</x:v>
      </x:c>
    </x:row>
    <x:row r="2181" ht="23" customHeight="1">
      <x:c r="A2181" s="11" t="d">
        <x:v>2023-08-24T00:00:00.000Z</x:v>
      </x:c>
      <x:c r="B2181" s="12" t="n">
        <x:v>118703.605752</x:v>
      </x:c>
      <x:c r="C2181" s="13" t="n">
        <x:v>0</x:v>
      </x:c>
      <x:c r="D2181" s="12" t="n">
        <x:v>0</x:v>
      </x:c>
      <x:c r="E2181" s="12" t="n">
        <x:v>0</x:v>
      </x:c>
      <x:c r="F2181" s="12" t="n">
        <x:f>SUM(B2181,D2181:E2181)</x:f>
        <x:v>118703.605752</x:v>
      </x:c>
      <x:c r="G2181" s="12" t="n">
        <x:f>MAX(G2180,F2181)</x:f>
        <x:v>138687.599344</x:v>
      </x:c>
      <x:c r="H2181" s="14" t="n">
        <x:f>F2181/G2181-1</x:f>
        <x:v>-0.14409358649601967</x:v>
      </x:c>
      <x:c r="I2181" s="14" t="n">
        <x:f>F2181/F2180-1</x:f>
        <x:v>0</x:v>
      </x:c>
      <x:c r="J2181" s="12" t="n">
        <x:v>0</x:v>
      </x:c>
      <x:c r="K2181" s="12" t="n">
        <x:v>0</x:v>
      </x:c>
      <x:c r="L2181" s="12" t="n">
        <x:v>0</x:v>
      </x:c>
      <x:c r="M2181" s="2" t="str">
        <x:v>空仓</x:v>
      </x:c>
    </x:row>
    <x:row r="2182" ht="23" customHeight="1">
      <x:c r="A2182" s="11" t="d">
        <x:v>2023-08-25T00:00:00.000Z</x:v>
      </x:c>
      <x:c r="B2182" s="12" t="n">
        <x:v>118703.605752</x:v>
      </x:c>
      <x:c r="C2182" s="13" t="n">
        <x:v>0</x:v>
      </x:c>
      <x:c r="D2182" s="12" t="n">
        <x:v>0</x:v>
      </x:c>
      <x:c r="E2182" s="12" t="n">
        <x:v>0</x:v>
      </x:c>
      <x:c r="F2182" s="12" t="n">
        <x:f>SUM(B2182,D2182:E2182)</x:f>
        <x:v>118703.605752</x:v>
      </x:c>
      <x:c r="G2182" s="12" t="n">
        <x:f>MAX(G2181,F2182)</x:f>
        <x:v>138687.599344</x:v>
      </x:c>
      <x:c r="H2182" s="14" t="n">
        <x:f>F2182/G2182-1</x:f>
        <x:v>-0.14409358649601967</x:v>
      </x:c>
      <x:c r="I2182" s="14" t="n">
        <x:f>F2182/F2181-1</x:f>
        <x:v>0</x:v>
      </x:c>
      <x:c r="J2182" s="12" t="n">
        <x:v>0</x:v>
      </x:c>
      <x:c r="K2182" s="12" t="n">
        <x:v>0</x:v>
      </x:c>
      <x:c r="L2182" s="12" t="n">
        <x:v>0</x:v>
      </x:c>
      <x:c r="M2182" s="2" t="str">
        <x:v>空仓</x:v>
      </x:c>
    </x:row>
    <x:row r="2183" ht="23" customHeight="1">
      <x:c r="A2183" s="11" t="d">
        <x:v>2023-08-28T00:00:00.000Z</x:v>
      </x:c>
      <x:c r="B2183" s="12" t="n">
        <x:v>118703.605752</x:v>
      </x:c>
      <x:c r="C2183" s="13" t="n">
        <x:v>0</x:v>
      </x:c>
      <x:c r="D2183" s="12" t="n">
        <x:v>0</x:v>
      </x:c>
      <x:c r="E2183" s="12" t="n">
        <x:v>0</x:v>
      </x:c>
      <x:c r="F2183" s="12" t="n">
        <x:f>SUM(B2183,D2183:E2183)</x:f>
        <x:v>118703.605752</x:v>
      </x:c>
      <x:c r="G2183" s="12" t="n">
        <x:f>MAX(G2182,F2183)</x:f>
        <x:v>138687.599344</x:v>
      </x:c>
      <x:c r="H2183" s="14" t="n">
        <x:f>F2183/G2183-1</x:f>
        <x:v>-0.14409358649601967</x:v>
      </x:c>
      <x:c r="I2183" s="14" t="n">
        <x:f>F2183/F2182-1</x:f>
        <x:v>0</x:v>
      </x:c>
      <x:c r="J2183" s="12" t="n">
        <x:v>0</x:v>
      </x:c>
      <x:c r="K2183" s="12" t="n">
        <x:v>0</x:v>
      </x:c>
      <x:c r="L2183" s="12" t="n">
        <x:v>0</x:v>
      </x:c>
      <x:c r="M2183" s="2" t="str">
        <x:v>空仓</x:v>
      </x:c>
    </x:row>
    <x:row r="2184" ht="23" customHeight="1">
      <x:c r="A2184" s="11" t="d">
        <x:v>2023-08-29T00:00:00.000Z</x:v>
      </x:c>
      <x:c r="B2184" s="12" t="n">
        <x:v>118703.605752</x:v>
      </x:c>
      <x:c r="C2184" s="13" t="n">
        <x:v>0</x:v>
      </x:c>
      <x:c r="D2184" s="12" t="n">
        <x:v>0</x:v>
      </x:c>
      <x:c r="E2184" s="12" t="n">
        <x:v>0</x:v>
      </x:c>
      <x:c r="F2184" s="12" t="n">
        <x:f>SUM(B2184,D2184:E2184)</x:f>
        <x:v>118703.605752</x:v>
      </x:c>
      <x:c r="G2184" s="12" t="n">
        <x:f>MAX(G2183,F2184)</x:f>
        <x:v>138687.599344</x:v>
      </x:c>
      <x:c r="H2184" s="14" t="n">
        <x:f>F2184/G2184-1</x:f>
        <x:v>-0.14409358649601967</x:v>
      </x:c>
      <x:c r="I2184" s="14" t="n">
        <x:f>F2184/F2183-1</x:f>
        <x:v>0</x:v>
      </x:c>
      <x:c r="J2184" s="12" t="n">
        <x:v>0</x:v>
      </x:c>
      <x:c r="K2184" s="12" t="n">
        <x:v>0</x:v>
      </x:c>
      <x:c r="L2184" s="12" t="n">
        <x:v>0</x:v>
      </x:c>
      <x:c r="M2184" s="2" t="str">
        <x:v>空仓</x:v>
      </x:c>
    </x:row>
    <x:row r="2185" ht="23" customHeight="1">
      <x:c r="A2185" s="11" t="d">
        <x:v>2023-08-30T00:00:00.000Z</x:v>
      </x:c>
      <x:c r="B2185" s="12" t="n">
        <x:v>364.254622</x:v>
      </x:c>
      <x:c r="C2185" s="13" t="n">
        <x:v>263</x:v>
      </x:c>
      <x:c r="D2185" s="12" t="n">
        <x:v>118615.63</x:v>
      </x:c>
      <x:c r="E2185" s="12" t="n">
        <x:v>0</x:v>
      </x:c>
      <x:c r="F2185" s="12" t="n">
        <x:f>SUM(B2185,D2185:E2185)</x:f>
        <x:v>118979.884622</x:v>
      </x:c>
      <x:c r="G2185" s="12" t="n">
        <x:f>MAX(G2184,F2185)</x:f>
        <x:v>138687.599344</x:v>
      </x:c>
      <x:c r="H2185" s="14" t="n">
        <x:f>F2185/G2185-1</x:f>
        <x:v>-0.1421014915192027</x:v>
      </x:c>
      <x:c r="I2185" s="14" t="n">
        <x:f>F2185/F2184-1</x:f>
        <x:v>0.0023274682201079866</x:v>
      </x:c>
      <x:c r="J2185" s="12" t="n">
        <x:v>0</x:v>
      </x:c>
      <x:c r="K2185" s="12" t="n">
        <x:v>0</x:v>
      </x:c>
      <x:c r="L2185" s="12" t="n">
        <x:v>263</x:v>
      </x:c>
      <x:c r="M2185" s="2" t="str">
        <x:v>买入</x:v>
      </x:c>
    </x:row>
    <x:row r="2186" ht="23" customHeight="1">
      <x:c r="A2186" s="11" t="d">
        <x:v>2023-08-31T00:00:00.000Z</x:v>
      </x:c>
      <x:c r="B2186" s="12" t="n">
        <x:v>364.254622</x:v>
      </x:c>
      <x:c r="C2186" s="13" t="n">
        <x:v>263</x:v>
      </x:c>
      <x:c r="D2186" s="12" t="n">
        <x:v>118442.05</x:v>
      </x:c>
      <x:c r="E2186" s="12" t="n">
        <x:v>0</x:v>
      </x:c>
      <x:c r="F2186" s="12" t="n">
        <x:f>SUM(B2186,D2186:E2186)</x:f>
        <x:v>118806.304622</x:v>
      </x:c>
      <x:c r="G2186" s="12" t="n">
        <x:f>MAX(G2185,F2186)</x:f>
        <x:v>138687.599344</x:v>
      </x:c>
      <x:c r="H2186" s="14" t="n">
        <x:f>F2186/G2186-1</x:f>
        <x:v>-0.1433530814293391</x:v>
      </x:c>
      <x:c r="I2186" s="14" t="n">
        <x:f>F2186/F2185-1</x:f>
        <x:v>-0.0014589020703076327</x:v>
      </x:c>
      <x:c r="J2186" s="12" t="n">
        <x:v>0</x:v>
      </x:c>
      <x:c r="K2186" s="12" t="n">
        <x:v>0</x:v>
      </x:c>
      <x:c r="L2186" s="12" t="n">
        <x:v>0</x:v>
      </x:c>
      <x:c r="M2186" s="2" t="str">
        <x:v>持有</x:v>
      </x:c>
    </x:row>
    <x:row r="2187" ht="23" customHeight="1">
      <x:c r="A2187" s="11" t="d">
        <x:v>2023-09-01T00:00:00.000Z</x:v>
      </x:c>
      <x:c r="B2187" s="12" t="n">
        <x:v>364.254622</x:v>
      </x:c>
      <x:c r="C2187" s="13" t="n">
        <x:v>263</x:v>
      </x:c>
      <x:c r="D2187" s="12" t="n">
        <x:v>118662.97</x:v>
      </x:c>
      <x:c r="E2187" s="12" t="n">
        <x:v>0</x:v>
      </x:c>
      <x:c r="F2187" s="12" t="n">
        <x:f>SUM(B2187,D2187:E2187)</x:f>
        <x:v>119027.224622</x:v>
      </x:c>
      <x:c r="G2187" s="12" t="n">
        <x:f>MAX(G2186,F2187)</x:f>
        <x:v>138687.599344</x:v>
      </x:c>
      <x:c r="H2187" s="14" t="n">
        <x:f>F2187/G2187-1</x:f>
        <x:v>-0.14176014881643817</x:v>
      </x:c>
      <x:c r="I2187" s="14" t="n">
        <x:f>F2187/F2186-1</x:f>
        <x:v>0.001859497277546751</x:v>
      </x:c>
      <x:c r="J2187" s="12" t="n">
        <x:v>0</x:v>
      </x:c>
      <x:c r="K2187" s="12" t="n">
        <x:v>0</x:v>
      </x:c>
      <x:c r="L2187" s="12" t="n">
        <x:v>0</x:v>
      </x:c>
      <x:c r="M2187" s="2" t="str">
        <x:v>持有</x:v>
      </x:c>
    </x:row>
    <x:row r="2188" ht="23" customHeight="1">
      <x:c r="A2188" s="11" t="d">
        <x:v>2023-09-05T00:00:00.000Z</x:v>
      </x:c>
      <x:c r="B2188" s="12" t="n">
        <x:v>364.254622</x:v>
      </x:c>
      <x:c r="C2188" s="13" t="n">
        <x:v>263</x:v>
      </x:c>
      <x:c r="D2188" s="12" t="n">
        <x:v>118150.12</x:v>
      </x:c>
      <x:c r="E2188" s="12" t="n">
        <x:v>0</x:v>
      </x:c>
      <x:c r="F2188" s="12" t="n">
        <x:f>SUM(B2188,D2188:E2188)</x:f>
        <x:v>118514.37462199999</x:v>
      </x:c>
      <x:c r="G2188" s="12" t="n">
        <x:f>MAX(G2187,F2188)</x:f>
        <x:v>138687.599344</x:v>
      </x:c>
      <x:c r="H2188" s="14" t="n">
        <x:f>F2188/G2188-1</x:f>
        <x:v>-0.14545802809638686</x:v>
      </x:c>
      <x:c r="I2188" s="14" t="n">
        <x:f>F2188/F2187-1</x:f>
        <x:v>-0.004308678133332022</x:v>
      </x:c>
      <x:c r="J2188" s="12" t="n">
        <x:v>0</x:v>
      </x:c>
      <x:c r="K2188" s="12" t="n">
        <x:v>0</x:v>
      </x:c>
      <x:c r="L2188" s="12" t="n">
        <x:v>0</x:v>
      </x:c>
      <x:c r="M2188" s="2" t="str">
        <x:v>持有</x:v>
      </x:c>
    </x:row>
    <x:row r="2189" ht="23" customHeight="1">
      <x:c r="A2189" s="11" t="d">
        <x:v>2023-09-06T00:00:00.000Z</x:v>
      </x:c>
      <x:c r="B2189" s="12" t="n">
        <x:v>364.254622</x:v>
      </x:c>
      <x:c r="C2189" s="13" t="n">
        <x:v>263</x:v>
      </x:c>
      <x:c r="D2189" s="12" t="n">
        <x:v>117355.86</x:v>
      </x:c>
      <x:c r="E2189" s="12" t="n">
        <x:v>0</x:v>
      </x:c>
      <x:c r="F2189" s="12" t="n">
        <x:f>SUM(B2189,D2189:E2189)</x:f>
        <x:v>117720.114622</x:v>
      </x:c>
      <x:c r="G2189" s="12" t="n">
        <x:f>MAX(G2188,F2189)</x:f>
        <x:v>138687.599344</x:v>
      </x:c>
      <x:c r="H2189" s="14" t="n">
        <x:f>F2189/G2189-1</x:f>
        <x:v>-0.15118500010943559</x:v>
      </x:c>
      <x:c r="I2189" s="14" t="n">
        <x:f>F2189/F2188-1</x:f>
        <x:v>-0.006701803072692858</x:v>
      </x:c>
      <x:c r="J2189" s="12" t="n">
        <x:v>0</x:v>
      </x:c>
      <x:c r="K2189" s="12" t="n">
        <x:v>0</x:v>
      </x:c>
      <x:c r="L2189" s="12" t="n">
        <x:v>0</x:v>
      </x:c>
      <x:c r="M2189" s="2" t="str">
        <x:v>持有</x:v>
      </x:c>
    </x:row>
    <x:row r="2190" ht="23" customHeight="1">
      <x:c r="A2190" s="11" t="d">
        <x:v>2023-09-07T00:00:00.000Z</x:v>
      </x:c>
      <x:c r="B2190" s="12" t="n">
        <x:v>116785.646692</x:v>
      </x:c>
      <x:c r="C2190" s="13" t="n">
        <x:v>0</x:v>
      </x:c>
      <x:c r="D2190" s="12" t="n">
        <x:v>0</x:v>
      </x:c>
      <x:c r="E2190" s="12" t="n">
        <x:v>0</x:v>
      </x:c>
      <x:c r="F2190" s="12" t="n">
        <x:f>SUM(B2190,D2190:E2190)</x:f>
        <x:v>116785.646692</x:v>
      </x:c>
      <x:c r="G2190" s="12" t="n">
        <x:f>MAX(G2189,F2190)</x:f>
        <x:v>138687.599344</x:v>
      </x:c>
      <x:c r="H2190" s="14" t="n">
        <x:f>F2190/G2190-1</x:f>
        <x:v>-0.1579229343906553</x:v>
      </x:c>
      <x:c r="I2190" s="14" t="n">
        <x:f>F2190/F2189-1</x:f>
        <x:v>-0.007938048081252536</x:v>
      </x:c>
      <x:c r="J2190" s="12" t="n">
        <x:v>0</x:v>
      </x:c>
      <x:c r="K2190" s="12" t="n">
        <x:v>0</x:v>
      </x:c>
      <x:c r="L2190" s="12" t="n">
        <x:v>-263</x:v>
      </x:c>
      <x:c r="M2190" s="2" t="str">
        <x:v>卖出</x:v>
      </x:c>
    </x:row>
    <x:row r="2191" ht="23" customHeight="1">
      <x:c r="A2191" s="11" t="d">
        <x:v>2023-09-08T00:00:00.000Z</x:v>
      </x:c>
      <x:c r="B2191" s="12" t="n">
        <x:v>116785.646692</x:v>
      </x:c>
      <x:c r="C2191" s="13" t="n">
        <x:v>0</x:v>
      </x:c>
      <x:c r="D2191" s="12" t="n">
        <x:v>0</x:v>
      </x:c>
      <x:c r="E2191" s="12" t="n">
        <x:v>0</x:v>
      </x:c>
      <x:c r="F2191" s="12" t="n">
        <x:f>SUM(B2191,D2191:E2191)</x:f>
        <x:v>116785.646692</x:v>
      </x:c>
      <x:c r="G2191" s="12" t="n">
        <x:f>MAX(G2190,F2191)</x:f>
        <x:v>138687.599344</x:v>
      </x:c>
      <x:c r="H2191" s="14" t="n">
        <x:f>F2191/G2191-1</x:f>
        <x:v>-0.1579229343906553</x:v>
      </x:c>
      <x:c r="I2191" s="14" t="n">
        <x:f>F2191/F2190-1</x:f>
        <x:v>0</x:v>
      </x:c>
      <x:c r="J2191" s="12" t="n">
        <x:v>0</x:v>
      </x:c>
      <x:c r="K2191" s="12" t="n">
        <x:v>0</x:v>
      </x:c>
      <x:c r="L2191" s="12" t="n">
        <x:v>0</x:v>
      </x:c>
      <x:c r="M2191" s="2" t="str">
        <x:v>空仓</x:v>
      </x:c>
    </x:row>
    <x:row r="2192" ht="23" customHeight="1">
      <x:c r="A2192" s="11" t="d">
        <x:v>2023-09-11T00:00:00.000Z</x:v>
      </x:c>
      <x:c r="B2192" s="12" t="n">
        <x:v>116785.646692</x:v>
      </x:c>
      <x:c r="C2192" s="13" t="n">
        <x:v>0</x:v>
      </x:c>
      <x:c r="D2192" s="12" t="n">
        <x:v>0</x:v>
      </x:c>
      <x:c r="E2192" s="12" t="n">
        <x:v>0</x:v>
      </x:c>
      <x:c r="F2192" s="12" t="n">
        <x:f>SUM(B2192,D2192:E2192)</x:f>
        <x:v>116785.646692</x:v>
      </x:c>
      <x:c r="G2192" s="12" t="n">
        <x:f>MAX(G2191,F2192)</x:f>
        <x:v>138687.599344</x:v>
      </x:c>
      <x:c r="H2192" s="14" t="n">
        <x:f>F2192/G2192-1</x:f>
        <x:v>-0.1579229343906553</x:v>
      </x:c>
      <x:c r="I2192" s="14" t="n">
        <x:f>F2192/F2191-1</x:f>
        <x:v>0</x:v>
      </x:c>
      <x:c r="J2192" s="12" t="n">
        <x:v>0</x:v>
      </x:c>
      <x:c r="K2192" s="12" t="n">
        <x:v>0</x:v>
      </x:c>
      <x:c r="L2192" s="12" t="n">
        <x:v>0</x:v>
      </x:c>
      <x:c r="M2192" s="2" t="str">
        <x:v>空仓</x:v>
      </x:c>
    </x:row>
    <x:row r="2193" ht="23" customHeight="1">
      <x:c r="A2193" s="11" t="d">
        <x:v>2023-09-12T00:00:00.000Z</x:v>
      </x:c>
      <x:c r="B2193" s="12" t="n">
        <x:v>15.042742</x:v>
      </x:c>
      <x:c r="C2193" s="13" t="n">
        <x:v>261</x:v>
      </x:c>
      <x:c r="D2193" s="12" t="n">
        <x:v>116403.39</x:v>
      </x:c>
      <x:c r="E2193" s="12" t="n">
        <x:v>0</x:v>
      </x:c>
      <x:c r="F2193" s="12" t="n">
        <x:f>SUM(B2193,D2193:E2193)</x:f>
        <x:v>116418.432742</x:v>
      </x:c>
      <x:c r="G2193" s="12" t="n">
        <x:f>MAX(G2192,F2193)</x:f>
        <x:v>138687.599344</x:v>
      </x:c>
      <x:c r="H2193" s="14" t="n">
        <x:f>F2193/G2193-1</x:f>
        <x:v>-0.16057071221460584</x:v>
      </x:c>
      <x:c r="I2193" s="14" t="n">
        <x:f>F2193/F2192-1</x:f>
        <x:v>-0.0031443414529223057</x:v>
      </x:c>
      <x:c r="J2193" s="12" t="n">
        <x:v>0</x:v>
      </x:c>
      <x:c r="K2193" s="12" t="n">
        <x:v>0</x:v>
      </x:c>
      <x:c r="L2193" s="12" t="n">
        <x:v>261</x:v>
      </x:c>
      <x:c r="M2193" s="2" t="str">
        <x:v>买入</x:v>
      </x:c>
    </x:row>
    <x:row r="2194" ht="23" customHeight="1">
      <x:c r="A2194" s="11" t="d">
        <x:v>2023-09-13T00:00:00.000Z</x:v>
      </x:c>
      <x:c r="B2194" s="12" t="n">
        <x:v>116361.999322</x:v>
      </x:c>
      <x:c r="C2194" s="13" t="n">
        <x:v>0</x:v>
      </x:c>
      <x:c r="D2194" s="12" t="n">
        <x:v>0</x:v>
      </x:c>
      <x:c r="E2194" s="12" t="n">
        <x:v>0</x:v>
      </x:c>
      <x:c r="F2194" s="12" t="n">
        <x:f>SUM(B2194,D2194:E2194)</x:f>
        <x:v>116361.999322</x:v>
      </x:c>
      <x:c r="G2194" s="12" t="n">
        <x:f>MAX(G2193,F2194)</x:f>
        <x:v>138687.599344</x:v>
      </x:c>
      <x:c r="H2194" s="14" t="n">
        <x:f>F2194/G2194-1</x:f>
        <x:v>-0.1609776225675641</x:v>
      </x:c>
      <x:c r="I2194" s="14" t="n">
        <x:f>F2194/F2193-1</x:f>
        <x:v>-0.00048474643293872077</x:v>
      </x:c>
      <x:c r="J2194" s="12" t="n">
        <x:v>0</x:v>
      </x:c>
      <x:c r="K2194" s="12" t="n">
        <x:v>0</x:v>
      </x:c>
      <x:c r="L2194" s="12" t="n">
        <x:v>-261</x:v>
      </x:c>
      <x:c r="M2194" s="2" t="str">
        <x:v>卖出</x:v>
      </x:c>
    </x:row>
    <x:row r="2195" ht="23" customHeight="1">
      <x:c r="A2195" s="11" t="d">
        <x:v>2023-09-14T00:00:00.000Z</x:v>
      </x:c>
      <x:c r="B2195" s="12" t="n">
        <x:v>116361.999322</x:v>
      </x:c>
      <x:c r="C2195" s="13" t="n">
        <x:v>0</x:v>
      </x:c>
      <x:c r="D2195" s="12" t="n">
        <x:v>0</x:v>
      </x:c>
      <x:c r="E2195" s="12" t="n">
        <x:v>0</x:v>
      </x:c>
      <x:c r="F2195" s="12" t="n">
        <x:f>SUM(B2195,D2195:E2195)</x:f>
        <x:v>116361.999322</x:v>
      </x:c>
      <x:c r="G2195" s="12" t="n">
        <x:f>MAX(G2194,F2195)</x:f>
        <x:v>138687.599344</x:v>
      </x:c>
      <x:c r="H2195" s="14" t="n">
        <x:f>F2195/G2195-1</x:f>
        <x:v>-0.1609776225675641</x:v>
      </x:c>
      <x:c r="I2195" s="14" t="n">
        <x:f>F2195/F2194-1</x:f>
        <x:v>0</x:v>
      </x:c>
      <x:c r="J2195" s="12" t="n">
        <x:v>0</x:v>
      </x:c>
      <x:c r="K2195" s="12" t="n">
        <x:v>0</x:v>
      </x:c>
      <x:c r="L2195" s="12" t="n">
        <x:v>0</x:v>
      </x:c>
      <x:c r="M2195" s="2" t="str">
        <x:v>空仓</x:v>
      </x:c>
    </x:row>
    <x:row r="2196" ht="23" customHeight="1">
      <x:c r="A2196" s="11" t="d">
        <x:v>2023-09-15T00:00:00.000Z</x:v>
      </x:c>
      <x:c r="B2196" s="12" t="n">
        <x:v>436.930062</x:v>
      </x:c>
      <x:c r="C2196" s="13" t="n">
        <x:v>259</x:v>
      </x:c>
      <x:c r="D2196" s="12" t="n">
        <x:v>114832.83</x:v>
      </x:c>
      <x:c r="E2196" s="12" t="n">
        <x:v>0</x:v>
      </x:c>
      <x:c r="F2196" s="12" t="n">
        <x:f>SUM(B2196,D2196:E2196)</x:f>
        <x:v>115269.760062</x:v>
      </x:c>
      <x:c r="G2196" s="12" t="n">
        <x:f>MAX(G2195,F2196)</x:f>
        <x:v>138687.599344</x:v>
      </x:c>
      <x:c r="H2196" s="14" t="n">
        <x:f>F2196/G2196-1</x:f>
        <x:v>-0.16885315913439747</x:v>
      </x:c>
      <x:c r="I2196" s="14" t="n">
        <x:f>F2196/F2195-1</x:f>
        <x:v>-0.00938656319386133</x:v>
      </x:c>
      <x:c r="J2196" s="12" t="n">
        <x:v>0</x:v>
      </x:c>
      <x:c r="K2196" s="12" t="n">
        <x:v>0</x:v>
      </x:c>
      <x:c r="L2196" s="12" t="n">
        <x:v>259</x:v>
      </x:c>
      <x:c r="M2196" s="2" t="str">
        <x:v>买入</x:v>
      </x:c>
    </x:row>
    <x:row r="2197" ht="23" customHeight="1">
      <x:c r="A2197" s="11" t="d">
        <x:v>2023-09-18T00:00:00.000Z</x:v>
      </x:c>
      <x:c r="B2197" s="12" t="n">
        <x:v>115072.130112</x:v>
      </x:c>
      <x:c r="C2197" s="13" t="n">
        <x:v>0</x:v>
      </x:c>
      <x:c r="D2197" s="12" t="n">
        <x:v>0</x:v>
      </x:c>
      <x:c r="E2197" s="12" t="n">
        <x:v>0</x:v>
      </x:c>
      <x:c r="F2197" s="12" t="n">
        <x:f>SUM(B2197,D2197:E2197)</x:f>
        <x:v>115072.130112</x:v>
      </x:c>
      <x:c r="G2197" s="12" t="n">
        <x:f>MAX(G2196,F2197)</x:f>
        <x:v>138687.599344</x:v>
      </x:c>
      <x:c r="H2197" s="14" t="n">
        <x:f>F2197/G2197-1</x:f>
        <x:v>-0.17027816000639184</x:v>
      </x:c>
      <x:c r="I2197" s="14" t="n">
        <x:f>F2197/F2196-1</x:f>
        <x:v>-0.0017144995347756486</x:v>
      </x:c>
      <x:c r="J2197" s="12" t="n">
        <x:v>0</x:v>
      </x:c>
      <x:c r="K2197" s="12" t="n">
        <x:v>0</x:v>
      </x:c>
      <x:c r="L2197" s="12" t="n">
        <x:v>-259</x:v>
      </x:c>
      <x:c r="M2197" s="2" t="str">
        <x:v>卖出</x:v>
      </x:c>
    </x:row>
    <x:row r="2198" ht="23" customHeight="1">
      <x:c r="A2198" s="11" t="d">
        <x:v>2023-09-19T00:00:00.000Z</x:v>
      </x:c>
      <x:c r="B2198" s="12" t="n">
        <x:v>115072.130112</x:v>
      </x:c>
      <x:c r="C2198" s="13" t="n">
        <x:v>0</x:v>
      </x:c>
      <x:c r="D2198" s="12" t="n">
        <x:v>0</x:v>
      </x:c>
      <x:c r="E2198" s="12" t="n">
        <x:v>0</x:v>
      </x:c>
      <x:c r="F2198" s="12" t="n">
        <x:f>SUM(B2198,D2198:E2198)</x:f>
        <x:v>115072.130112</x:v>
      </x:c>
      <x:c r="G2198" s="12" t="n">
        <x:f>MAX(G2197,F2198)</x:f>
        <x:v>138687.599344</x:v>
      </x:c>
      <x:c r="H2198" s="14" t="n">
        <x:f>F2198/G2198-1</x:f>
        <x:v>-0.17027816000639184</x:v>
      </x:c>
      <x:c r="I2198" s="14" t="n">
        <x:f>F2198/F2197-1</x:f>
        <x:v>0</x:v>
      </x:c>
      <x:c r="J2198" s="12" t="n">
        <x:v>0</x:v>
      </x:c>
      <x:c r="K2198" s="12" t="n">
        <x:v>0</x:v>
      </x:c>
      <x:c r="L2198" s="12" t="n">
        <x:v>0</x:v>
      </x:c>
      <x:c r="M2198" s="2" t="str">
        <x:v>空仓</x:v>
      </x:c>
    </x:row>
    <x:row r="2199" ht="23" customHeight="1">
      <x:c r="A2199" s="11" t="d">
        <x:v>2023-09-20T00:00:00.000Z</x:v>
      </x:c>
      <x:c r="B2199" s="12" t="n">
        <x:v>115072.130112</x:v>
      </x:c>
      <x:c r="C2199" s="13" t="n">
        <x:v>0</x:v>
      </x:c>
      <x:c r="D2199" s="12" t="n">
        <x:v>0</x:v>
      </x:c>
      <x:c r="E2199" s="12" t="n">
        <x:v>0</x:v>
      </x:c>
      <x:c r="F2199" s="12" t="n">
        <x:f>SUM(B2199,D2199:E2199)</x:f>
        <x:v>115072.130112</x:v>
      </x:c>
      <x:c r="G2199" s="12" t="n">
        <x:f>MAX(G2198,F2199)</x:f>
        <x:v>138687.599344</x:v>
      </x:c>
      <x:c r="H2199" s="14" t="n">
        <x:f>F2199/G2199-1</x:f>
        <x:v>-0.17027816000639184</x:v>
      </x:c>
      <x:c r="I2199" s="14" t="n">
        <x:f>F2199/F2198-1</x:f>
        <x:v>0</x:v>
      </x:c>
      <x:c r="J2199" s="12" t="n">
        <x:v>0</x:v>
      </x:c>
      <x:c r="K2199" s="12" t="n">
        <x:v>0</x:v>
      </x:c>
      <x:c r="L2199" s="12" t="n">
        <x:v>0</x:v>
      </x:c>
      <x:c r="M2199" s="2" t="str">
        <x:v>空仓</x:v>
      </x:c>
    </x:row>
    <x:row r="2200" ht="23" customHeight="1">
      <x:c r="A2200" s="11" t="d">
        <x:v>2023-09-21T00:00:00.000Z</x:v>
      </x:c>
      <x:c r="B2200" s="12" t="n">
        <x:v>115072.130112</x:v>
      </x:c>
      <x:c r="C2200" s="13" t="n">
        <x:v>0</x:v>
      </x:c>
      <x:c r="D2200" s="12" t="n">
        <x:v>0</x:v>
      </x:c>
      <x:c r="E2200" s="12" t="n">
        <x:v>0</x:v>
      </x:c>
      <x:c r="F2200" s="12" t="n">
        <x:f>SUM(B2200,D2200:E2200)</x:f>
        <x:v>115072.130112</x:v>
      </x:c>
      <x:c r="G2200" s="12" t="n">
        <x:f>MAX(G2199,F2200)</x:f>
        <x:v>138687.599344</x:v>
      </x:c>
      <x:c r="H2200" s="14" t="n">
        <x:f>F2200/G2200-1</x:f>
        <x:v>-0.17027816000639184</x:v>
      </x:c>
      <x:c r="I2200" s="14" t="n">
        <x:f>F2200/F2199-1</x:f>
        <x:v>0</x:v>
      </x:c>
      <x:c r="J2200" s="12" t="n">
        <x:v>0</x:v>
      </x:c>
      <x:c r="K2200" s="12" t="n">
        <x:v>0</x:v>
      </x:c>
      <x:c r="L2200" s="12" t="n">
        <x:v>0</x:v>
      </x:c>
      <x:c r="M2200" s="2" t="str">
        <x:v>空仓</x:v>
      </x:c>
    </x:row>
    <x:row r="2201" ht="23" customHeight="1">
      <x:c r="A2201" s="11" t="d">
        <x:v>2023-09-22T00:00:00.000Z</x:v>
      </x:c>
      <x:c r="B2201" s="12" t="n">
        <x:v>115072.130112</x:v>
      </x:c>
      <x:c r="C2201" s="13" t="n">
        <x:v>0</x:v>
      </x:c>
      <x:c r="D2201" s="12" t="n">
        <x:v>0</x:v>
      </x:c>
      <x:c r="E2201" s="12" t="n">
        <x:v>0</x:v>
      </x:c>
      <x:c r="F2201" s="12" t="n">
        <x:f>SUM(B2201,D2201:E2201)</x:f>
        <x:v>115072.130112</x:v>
      </x:c>
      <x:c r="G2201" s="12" t="n">
        <x:f>MAX(G2200,F2201)</x:f>
        <x:v>138687.599344</x:v>
      </x:c>
      <x:c r="H2201" s="14" t="n">
        <x:f>F2201/G2201-1</x:f>
        <x:v>-0.17027816000639184</x:v>
      </x:c>
      <x:c r="I2201" s="14" t="n">
        <x:f>F2201/F2200-1</x:f>
        <x:v>0</x:v>
      </x:c>
      <x:c r="J2201" s="12" t="n">
        <x:v>0</x:v>
      </x:c>
      <x:c r="K2201" s="12" t="n">
        <x:v>0</x:v>
      </x:c>
      <x:c r="L2201" s="12" t="n">
        <x:v>0</x:v>
      </x:c>
      <x:c r="M2201" s="2" t="str">
        <x:v>空仓</x:v>
      </x:c>
    </x:row>
    <x:row r="2202" ht="23" customHeight="1">
      <x:c r="A2202" s="11" t="d">
        <x:v>2023-09-25T00:00:00.000Z</x:v>
      </x:c>
      <x:c r="B2202" s="12" t="n">
        <x:v>115072.130112</x:v>
      </x:c>
      <x:c r="C2202" s="13" t="n">
        <x:v>0</x:v>
      </x:c>
      <x:c r="D2202" s="12" t="n">
        <x:v>0</x:v>
      </x:c>
      <x:c r="E2202" s="12" t="n">
        <x:v>0</x:v>
      </x:c>
      <x:c r="F2202" s="12" t="n">
        <x:f>SUM(B2202,D2202:E2202)</x:f>
        <x:v>115072.130112</x:v>
      </x:c>
      <x:c r="G2202" s="12" t="n">
        <x:f>MAX(G2201,F2202)</x:f>
        <x:v>138687.599344</x:v>
      </x:c>
      <x:c r="H2202" s="14" t="n">
        <x:f>F2202/G2202-1</x:f>
        <x:v>-0.17027816000639184</x:v>
      </x:c>
      <x:c r="I2202" s="14" t="n">
        <x:f>F2202/F2201-1</x:f>
        <x:v>0</x:v>
      </x:c>
      <x:c r="J2202" s="12" t="n">
        <x:v>0</x:v>
      </x:c>
      <x:c r="K2202" s="12" t="n">
        <x:v>0</x:v>
      </x:c>
      <x:c r="L2202" s="12" t="n">
        <x:v>0</x:v>
      </x:c>
      <x:c r="M2202" s="2" t="str">
        <x:v>空仓</x:v>
      </x:c>
    </x:row>
    <x:row r="2203" ht="23" customHeight="1">
      <x:c r="A2203" s="11" t="d">
        <x:v>2023-09-26T00:00:00.000Z</x:v>
      </x:c>
      <x:c r="B2203" s="12" t="n">
        <x:v>115072.130112</x:v>
      </x:c>
      <x:c r="C2203" s="13" t="n">
        <x:v>0</x:v>
      </x:c>
      <x:c r="D2203" s="12" t="n">
        <x:v>0</x:v>
      </x:c>
      <x:c r="E2203" s="12" t="n">
        <x:v>0</x:v>
      </x:c>
      <x:c r="F2203" s="12" t="n">
        <x:f>SUM(B2203,D2203:E2203)</x:f>
        <x:v>115072.130112</x:v>
      </x:c>
      <x:c r="G2203" s="12" t="n">
        <x:f>MAX(G2202,F2203)</x:f>
        <x:v>138687.599344</x:v>
      </x:c>
      <x:c r="H2203" s="14" t="n">
        <x:f>F2203/G2203-1</x:f>
        <x:v>-0.17027816000639184</x:v>
      </x:c>
      <x:c r="I2203" s="14" t="n">
        <x:f>F2203/F2202-1</x:f>
        <x:v>0</x:v>
      </x:c>
      <x:c r="J2203" s="12" t="n">
        <x:v>0</x:v>
      </x:c>
      <x:c r="K2203" s="12" t="n">
        <x:v>0</x:v>
      </x:c>
      <x:c r="L2203" s="12" t="n">
        <x:v>0</x:v>
      </x:c>
      <x:c r="M2203" s="2" t="str">
        <x:v>空仓</x:v>
      </x:c>
    </x:row>
    <x:row r="2204" ht="23" customHeight="1">
      <x:c r="A2204" s="11" t="d">
        <x:v>2023-09-27T00:00:00.000Z</x:v>
      </x:c>
      <x:c r="B2204" s="12" t="n">
        <x:v>115072.130112</x:v>
      </x:c>
      <x:c r="C2204" s="13" t="n">
        <x:v>0</x:v>
      </x:c>
      <x:c r="D2204" s="12" t="n">
        <x:v>0</x:v>
      </x:c>
      <x:c r="E2204" s="12" t="n">
        <x:v>0</x:v>
      </x:c>
      <x:c r="F2204" s="12" t="n">
        <x:f>SUM(B2204,D2204:E2204)</x:f>
        <x:v>115072.130112</x:v>
      </x:c>
      <x:c r="G2204" s="12" t="n">
        <x:f>MAX(G2203,F2204)</x:f>
        <x:v>138687.599344</x:v>
      </x:c>
      <x:c r="H2204" s="14" t="n">
        <x:f>F2204/G2204-1</x:f>
        <x:v>-0.17027816000639184</x:v>
      </x:c>
      <x:c r="I2204" s="14" t="n">
        <x:f>F2204/F2203-1</x:f>
        <x:v>0</x:v>
      </x:c>
      <x:c r="J2204" s="12" t="n">
        <x:v>0</x:v>
      </x:c>
      <x:c r="K2204" s="12" t="n">
        <x:v>0</x:v>
      </x:c>
      <x:c r="L2204" s="12" t="n">
        <x:v>0</x:v>
      </x:c>
      <x:c r="M2204" s="2" t="str">
        <x:v>空仓</x:v>
      </x:c>
    </x:row>
    <x:row r="2205" ht="23" customHeight="1">
      <x:c r="A2205" s="11" t="d">
        <x:v>2023-09-28T00:00:00.000Z</x:v>
      </x:c>
      <x:c r="B2205" s="12" t="n">
        <x:v>115072.130112</x:v>
      </x:c>
      <x:c r="C2205" s="13" t="n">
        <x:v>0</x:v>
      </x:c>
      <x:c r="D2205" s="12" t="n">
        <x:v>0</x:v>
      </x:c>
      <x:c r="E2205" s="12" t="n">
        <x:v>0</x:v>
      </x:c>
      <x:c r="F2205" s="12" t="n">
        <x:f>SUM(B2205,D2205:E2205)</x:f>
        <x:v>115072.130112</x:v>
      </x:c>
      <x:c r="G2205" s="12" t="n">
        <x:f>MAX(G2204,F2205)</x:f>
        <x:v>138687.599344</x:v>
      </x:c>
      <x:c r="H2205" s="14" t="n">
        <x:f>F2205/G2205-1</x:f>
        <x:v>-0.17027816000639184</x:v>
      </x:c>
      <x:c r="I2205" s="14" t="n">
        <x:f>F2205/F2204-1</x:f>
        <x:v>0</x:v>
      </x:c>
      <x:c r="J2205" s="12" t="n">
        <x:v>0</x:v>
      </x:c>
      <x:c r="K2205" s="12" t="n">
        <x:v>0</x:v>
      </x:c>
      <x:c r="L2205" s="12" t="n">
        <x:v>0</x:v>
      </x:c>
      <x:c r="M2205" s="2" t="str">
        <x:v>空仓</x:v>
      </x:c>
    </x:row>
    <x:row r="2206" ht="23" customHeight="1">
      <x:c r="A2206" s="11" t="d">
        <x:v>2023-09-29T00:00:00.000Z</x:v>
      </x:c>
      <x:c r="B2206" s="12" t="n">
        <x:v>115072.130112</x:v>
      </x:c>
      <x:c r="C2206" s="13" t="n">
        <x:v>0</x:v>
      </x:c>
      <x:c r="D2206" s="12" t="n">
        <x:v>0</x:v>
      </x:c>
      <x:c r="E2206" s="12" t="n">
        <x:v>0</x:v>
      </x:c>
      <x:c r="F2206" s="12" t="n">
        <x:f>SUM(B2206,D2206:E2206)</x:f>
        <x:v>115072.130112</x:v>
      </x:c>
      <x:c r="G2206" s="12" t="n">
        <x:f>MAX(G2205,F2206)</x:f>
        <x:v>138687.599344</x:v>
      </x:c>
      <x:c r="H2206" s="14" t="n">
        <x:f>F2206/G2206-1</x:f>
        <x:v>-0.17027816000639184</x:v>
      </x:c>
      <x:c r="I2206" s="14" t="n">
        <x:f>F2206/F2205-1</x:f>
        <x:v>0</x:v>
      </x:c>
      <x:c r="J2206" s="12" t="n">
        <x:v>0</x:v>
      </x:c>
      <x:c r="K2206" s="12" t="n">
        <x:v>0</x:v>
      </x:c>
      <x:c r="L2206" s="12" t="n">
        <x:v>0</x:v>
      </x:c>
      <x:c r="M2206" s="2" t="str">
        <x:v>空仓</x:v>
      </x:c>
    </x:row>
    <x:row r="2207" ht="23" customHeight="1">
      <x:c r="A2207" s="11" t="d">
        <x:v>2023-10-02T00:00:00.000Z</x:v>
      </x:c>
      <x:c r="B2207" s="12" t="n">
        <x:v>115072.130112</x:v>
      </x:c>
      <x:c r="C2207" s="13" t="n">
        <x:v>0</x:v>
      </x:c>
      <x:c r="D2207" s="12" t="n">
        <x:v>0</x:v>
      </x:c>
      <x:c r="E2207" s="12" t="n">
        <x:v>0</x:v>
      </x:c>
      <x:c r="F2207" s="12" t="n">
        <x:f>SUM(B2207,D2207:E2207)</x:f>
        <x:v>115072.130112</x:v>
      </x:c>
      <x:c r="G2207" s="12" t="n">
        <x:f>MAX(G2206,F2207)</x:f>
        <x:v>138687.599344</x:v>
      </x:c>
      <x:c r="H2207" s="14" t="n">
        <x:f>F2207/G2207-1</x:f>
        <x:v>-0.17027816000639184</x:v>
      </x:c>
      <x:c r="I2207" s="14" t="n">
        <x:f>F2207/F2206-1</x:f>
        <x:v>0</x:v>
      </x:c>
      <x:c r="J2207" s="12" t="n">
        <x:v>0</x:v>
      </x:c>
      <x:c r="K2207" s="12" t="n">
        <x:v>0</x:v>
      </x:c>
      <x:c r="L2207" s="12" t="n">
        <x:v>0</x:v>
      </x:c>
      <x:c r="M2207" s="2" t="str">
        <x:v>空仓</x:v>
      </x:c>
    </x:row>
    <x:row r="2208" ht="23" customHeight="1">
      <x:c r="A2208" s="11" t="d">
        <x:v>2023-10-03T00:00:00.000Z</x:v>
      </x:c>
      <x:c r="B2208" s="12" t="n">
        <x:v>115072.130112</x:v>
      </x:c>
      <x:c r="C2208" s="13" t="n">
        <x:v>0</x:v>
      </x:c>
      <x:c r="D2208" s="12" t="n">
        <x:v>0</x:v>
      </x:c>
      <x:c r="E2208" s="12" t="n">
        <x:v>0</x:v>
      </x:c>
      <x:c r="F2208" s="12" t="n">
        <x:f>SUM(B2208,D2208:E2208)</x:f>
        <x:v>115072.130112</x:v>
      </x:c>
      <x:c r="G2208" s="12" t="n">
        <x:f>MAX(G2207,F2208)</x:f>
        <x:v>138687.599344</x:v>
      </x:c>
      <x:c r="H2208" s="14" t="n">
        <x:f>F2208/G2208-1</x:f>
        <x:v>-0.17027816000639184</x:v>
      </x:c>
      <x:c r="I2208" s="14" t="n">
        <x:f>F2208/F2207-1</x:f>
        <x:v>0</x:v>
      </x:c>
      <x:c r="J2208" s="12" t="n">
        <x:v>0</x:v>
      </x:c>
      <x:c r="K2208" s="12" t="n">
        <x:v>0</x:v>
      </x:c>
      <x:c r="L2208" s="12" t="n">
        <x:v>0</x:v>
      </x:c>
      <x:c r="M2208" s="2" t="str">
        <x:v>空仓</x:v>
      </x:c>
    </x:row>
    <x:row r="2209" ht="23" customHeight="1">
      <x:c r="A2209" s="11" t="d">
        <x:v>2023-10-04T00:00:00.000Z</x:v>
      </x:c>
      <x:c r="B2209" s="12" t="n">
        <x:v>115072.130112</x:v>
      </x:c>
      <x:c r="C2209" s="13" t="n">
        <x:v>0</x:v>
      </x:c>
      <x:c r="D2209" s="12" t="n">
        <x:v>0</x:v>
      </x:c>
      <x:c r="E2209" s="12" t="n">
        <x:v>0</x:v>
      </x:c>
      <x:c r="F2209" s="12" t="n">
        <x:f>SUM(B2209,D2209:E2209)</x:f>
        <x:v>115072.130112</x:v>
      </x:c>
      <x:c r="G2209" s="12" t="n">
        <x:f>MAX(G2208,F2209)</x:f>
        <x:v>138687.599344</x:v>
      </x:c>
      <x:c r="H2209" s="14" t="n">
        <x:f>F2209/G2209-1</x:f>
        <x:v>-0.17027816000639184</x:v>
      </x:c>
      <x:c r="I2209" s="14" t="n">
        <x:f>F2209/F2208-1</x:f>
        <x:v>0</x:v>
      </x:c>
      <x:c r="J2209" s="12" t="n">
        <x:v>0</x:v>
      </x:c>
      <x:c r="K2209" s="12" t="n">
        <x:v>0</x:v>
      </x:c>
      <x:c r="L2209" s="12" t="n">
        <x:v>0</x:v>
      </x:c>
      <x:c r="M2209" s="2" t="str">
        <x:v>空仓</x:v>
      </x:c>
    </x:row>
    <x:row r="2210" ht="23" customHeight="1">
      <x:c r="A2210" s="11" t="d">
        <x:v>2023-10-05T00:00:00.000Z</x:v>
      </x:c>
      <x:c r="B2210" s="12" t="n">
        <x:v>115072.130112</x:v>
      </x:c>
      <x:c r="C2210" s="13" t="n">
        <x:v>0</x:v>
      </x:c>
      <x:c r="D2210" s="12" t="n">
        <x:v>0</x:v>
      </x:c>
      <x:c r="E2210" s="12" t="n">
        <x:v>0</x:v>
      </x:c>
      <x:c r="F2210" s="12" t="n">
        <x:f>SUM(B2210,D2210:E2210)</x:f>
        <x:v>115072.130112</x:v>
      </x:c>
      <x:c r="G2210" s="12" t="n">
        <x:f>MAX(G2209,F2210)</x:f>
        <x:v>138687.599344</x:v>
      </x:c>
      <x:c r="H2210" s="14" t="n">
        <x:f>F2210/G2210-1</x:f>
        <x:v>-0.17027816000639184</x:v>
      </x:c>
      <x:c r="I2210" s="14" t="n">
        <x:f>F2210/F2209-1</x:f>
        <x:v>0</x:v>
      </x:c>
      <x:c r="J2210" s="12" t="n">
        <x:v>0</x:v>
      </x:c>
      <x:c r="K2210" s="12" t="n">
        <x:v>0</x:v>
      </x:c>
      <x:c r="L2210" s="12" t="n">
        <x:v>0</x:v>
      </x:c>
      <x:c r="M2210" s="2" t="str">
        <x:v>空仓</x:v>
      </x:c>
    </x:row>
    <x:row r="2211" ht="23" customHeight="1">
      <x:c r="A2211" s="11" t="d">
        <x:v>2023-10-06T00:00:00.000Z</x:v>
      </x:c>
      <x:c r="B2211" s="12" t="n">
        <x:v>115072.130112</x:v>
      </x:c>
      <x:c r="C2211" s="13" t="n">
        <x:v>0</x:v>
      </x:c>
      <x:c r="D2211" s="12" t="n">
        <x:v>0</x:v>
      </x:c>
      <x:c r="E2211" s="12" t="n">
        <x:v>0</x:v>
      </x:c>
      <x:c r="F2211" s="12" t="n">
        <x:f>SUM(B2211,D2211:E2211)</x:f>
        <x:v>115072.130112</x:v>
      </x:c>
      <x:c r="G2211" s="12" t="n">
        <x:f>MAX(G2210,F2211)</x:f>
        <x:v>138687.599344</x:v>
      </x:c>
      <x:c r="H2211" s="14" t="n">
        <x:f>F2211/G2211-1</x:f>
        <x:v>-0.17027816000639184</x:v>
      </x:c>
      <x:c r="I2211" s="14" t="n">
        <x:f>F2211/F2210-1</x:f>
        <x:v>0</x:v>
      </x:c>
      <x:c r="J2211" s="12" t="n">
        <x:v>0</x:v>
      </x:c>
      <x:c r="K2211" s="12" t="n">
        <x:v>0</x:v>
      </x:c>
      <x:c r="L2211" s="12" t="n">
        <x:v>0</x:v>
      </x:c>
      <x:c r="M2211" s="2" t="str">
        <x:v>空仓</x:v>
      </x:c>
    </x:row>
    <x:row r="2212" ht="23" customHeight="1">
      <x:c r="A2212" s="11" t="d">
        <x:v>2023-10-09T00:00:00.000Z</x:v>
      </x:c>
      <x:c r="B2212" s="12" t="n">
        <x:v>115072.130112</x:v>
      </x:c>
      <x:c r="C2212" s="13" t="n">
        <x:v>0</x:v>
      </x:c>
      <x:c r="D2212" s="12" t="n">
        <x:v>0</x:v>
      </x:c>
      <x:c r="E2212" s="12" t="n">
        <x:v>0</x:v>
      </x:c>
      <x:c r="F2212" s="12" t="n">
        <x:f>SUM(B2212,D2212:E2212)</x:f>
        <x:v>115072.130112</x:v>
      </x:c>
      <x:c r="G2212" s="12" t="n">
        <x:f>MAX(G2211,F2212)</x:f>
        <x:v>138687.599344</x:v>
      </x:c>
      <x:c r="H2212" s="14" t="n">
        <x:f>F2212/G2212-1</x:f>
        <x:v>-0.17027816000639184</x:v>
      </x:c>
      <x:c r="I2212" s="14" t="n">
        <x:f>F2212/F2211-1</x:f>
        <x:v>0</x:v>
      </x:c>
      <x:c r="J2212" s="12" t="n">
        <x:v>0</x:v>
      </x:c>
      <x:c r="K2212" s="12" t="n">
        <x:v>0</x:v>
      </x:c>
      <x:c r="L2212" s="12" t="n">
        <x:v>0</x:v>
      </x:c>
      <x:c r="M2212" s="2" t="str">
        <x:v>空仓</x:v>
      </x:c>
    </x:row>
    <x:row r="2213" ht="23" customHeight="1">
      <x:c r="A2213" s="11" t="d">
        <x:v>2023-10-10T00:00:00.000Z</x:v>
      </x:c>
      <x:c r="B2213" s="12" t="n">
        <x:v>115072.130112</x:v>
      </x:c>
      <x:c r="C2213" s="13" t="n">
        <x:v>0</x:v>
      </x:c>
      <x:c r="D2213" s="12" t="n">
        <x:v>0</x:v>
      </x:c>
      <x:c r="E2213" s="12" t="n">
        <x:v>0</x:v>
      </x:c>
      <x:c r="F2213" s="12" t="n">
        <x:f>SUM(B2213,D2213:E2213)</x:f>
        <x:v>115072.130112</x:v>
      </x:c>
      <x:c r="G2213" s="12" t="n">
        <x:f>MAX(G2212,F2213)</x:f>
        <x:v>138687.599344</x:v>
      </x:c>
      <x:c r="H2213" s="14" t="n">
        <x:f>F2213/G2213-1</x:f>
        <x:v>-0.17027816000639184</x:v>
      </x:c>
      <x:c r="I2213" s="14" t="n">
        <x:f>F2213/F2212-1</x:f>
        <x:v>0</x:v>
      </x:c>
      <x:c r="J2213" s="12" t="n">
        <x:v>0</x:v>
      </x:c>
      <x:c r="K2213" s="12" t="n">
        <x:v>0</x:v>
      </x:c>
      <x:c r="L2213" s="12" t="n">
        <x:v>0</x:v>
      </x:c>
      <x:c r="M2213" s="2" t="str">
        <x:v>空仓</x:v>
      </x:c>
    </x:row>
    <x:row r="2214" ht="23" customHeight="1">
      <x:c r="A2214" s="11" t="d">
        <x:v>2023-10-11T00:00:00.000Z</x:v>
      </x:c>
      <x:c r="B2214" s="12" t="n">
        <x:v>115072.130112</x:v>
      </x:c>
      <x:c r="C2214" s="13" t="n">
        <x:v>0</x:v>
      </x:c>
      <x:c r="D2214" s="12" t="n">
        <x:v>0</x:v>
      </x:c>
      <x:c r="E2214" s="12" t="n">
        <x:v>0</x:v>
      </x:c>
      <x:c r="F2214" s="12" t="n">
        <x:f>SUM(B2214,D2214:E2214)</x:f>
        <x:v>115072.130112</x:v>
      </x:c>
      <x:c r="G2214" s="12" t="n">
        <x:f>MAX(G2213,F2214)</x:f>
        <x:v>138687.599344</x:v>
      </x:c>
      <x:c r="H2214" s="14" t="n">
        <x:f>F2214/G2214-1</x:f>
        <x:v>-0.17027816000639184</x:v>
      </x:c>
      <x:c r="I2214" s="14" t="n">
        <x:f>F2214/F2213-1</x:f>
        <x:v>0</x:v>
      </x:c>
      <x:c r="J2214" s="12" t="n">
        <x:v>0</x:v>
      </x:c>
      <x:c r="K2214" s="12" t="n">
        <x:v>0</x:v>
      </x:c>
      <x:c r="L2214" s="12" t="n">
        <x:v>0</x:v>
      </x:c>
      <x:c r="M2214" s="2" t="str">
        <x:v>空仓</x:v>
      </x:c>
    </x:row>
    <x:row r="2215" ht="23" customHeight="1">
      <x:c r="A2215" s="11" t="d">
        <x:v>2023-10-12T00:00:00.000Z</x:v>
      </x:c>
      <x:c r="B2215" s="12" t="n">
        <x:v>115072.130112</x:v>
      </x:c>
      <x:c r="C2215" s="13" t="n">
        <x:v>0</x:v>
      </x:c>
      <x:c r="D2215" s="12" t="n">
        <x:v>0</x:v>
      </x:c>
      <x:c r="E2215" s="12" t="n">
        <x:v>0</x:v>
      </x:c>
      <x:c r="F2215" s="12" t="n">
        <x:f>SUM(B2215,D2215:E2215)</x:f>
        <x:v>115072.130112</x:v>
      </x:c>
      <x:c r="G2215" s="12" t="n">
        <x:f>MAX(G2214,F2215)</x:f>
        <x:v>138687.599344</x:v>
      </x:c>
      <x:c r="H2215" s="14" t="n">
        <x:f>F2215/G2215-1</x:f>
        <x:v>-0.17027816000639184</x:v>
      </x:c>
      <x:c r="I2215" s="14" t="n">
        <x:f>F2215/F2214-1</x:f>
        <x:v>0</x:v>
      </x:c>
      <x:c r="J2215" s="12" t="n">
        <x:v>0</x:v>
      </x:c>
      <x:c r="K2215" s="12" t="n">
        <x:v>0</x:v>
      </x:c>
      <x:c r="L2215" s="12" t="n">
        <x:v>0</x:v>
      </x:c>
      <x:c r="M2215" s="2" t="str">
        <x:v>空仓</x:v>
      </x:c>
    </x:row>
    <x:row r="2216" ht="23" customHeight="1">
      <x:c r="A2216" s="11" t="d">
        <x:v>2023-10-13T00:00:00.000Z</x:v>
      </x:c>
      <x:c r="B2216" s="12" t="n">
        <x:v>115072.130112</x:v>
      </x:c>
      <x:c r="C2216" s="13" t="n">
        <x:v>0</x:v>
      </x:c>
      <x:c r="D2216" s="12" t="n">
        <x:v>0</x:v>
      </x:c>
      <x:c r="E2216" s="12" t="n">
        <x:v>0</x:v>
      </x:c>
      <x:c r="F2216" s="12" t="n">
        <x:f>SUM(B2216,D2216:E2216)</x:f>
        <x:v>115072.130112</x:v>
      </x:c>
      <x:c r="G2216" s="12" t="n">
        <x:f>MAX(G2215,F2216)</x:f>
        <x:v>138687.599344</x:v>
      </x:c>
      <x:c r="H2216" s="14" t="n">
        <x:f>F2216/G2216-1</x:f>
        <x:v>-0.17027816000639184</x:v>
      </x:c>
      <x:c r="I2216" s="14" t="n">
        <x:f>F2216/F2215-1</x:f>
        <x:v>0</x:v>
      </x:c>
      <x:c r="J2216" s="12" t="n">
        <x:v>0</x:v>
      </x:c>
      <x:c r="K2216" s="12" t="n">
        <x:v>0</x:v>
      </x:c>
      <x:c r="L2216" s="12" t="n">
        <x:v>0</x:v>
      </x:c>
      <x:c r="M2216" s="2" t="str">
        <x:v>空仓</x:v>
      </x:c>
    </x:row>
    <x:row r="2217" ht="23" customHeight="1">
      <x:c r="A2217" s="11" t="d">
        <x:v>2023-10-16T00:00:00.000Z</x:v>
      </x:c>
      <x:c r="B2217" s="12" t="n">
        <x:v>115072.130112</x:v>
      </x:c>
      <x:c r="C2217" s="13" t="n">
        <x:v>0</x:v>
      </x:c>
      <x:c r="D2217" s="12" t="n">
        <x:v>0</x:v>
      </x:c>
      <x:c r="E2217" s="12" t="n">
        <x:v>0</x:v>
      </x:c>
      <x:c r="F2217" s="12" t="n">
        <x:f>SUM(B2217,D2217:E2217)</x:f>
        <x:v>115072.130112</x:v>
      </x:c>
      <x:c r="G2217" s="12" t="n">
        <x:f>MAX(G2216,F2217)</x:f>
        <x:v>138687.599344</x:v>
      </x:c>
      <x:c r="H2217" s="14" t="n">
        <x:f>F2217/G2217-1</x:f>
        <x:v>-0.17027816000639184</x:v>
      </x:c>
      <x:c r="I2217" s="14" t="n">
        <x:f>F2217/F2216-1</x:f>
        <x:v>0</x:v>
      </x:c>
      <x:c r="J2217" s="12" t="n">
        <x:v>0</x:v>
      </x:c>
      <x:c r="K2217" s="12" t="n">
        <x:v>0</x:v>
      </x:c>
      <x:c r="L2217" s="12" t="n">
        <x:v>0</x:v>
      </x:c>
      <x:c r="M2217" s="2" t="str">
        <x:v>空仓</x:v>
      </x:c>
    </x:row>
    <x:row r="2218" ht="23" customHeight="1">
      <x:c r="A2218" s="11" t="d">
        <x:v>2023-10-17T00:00:00.000Z</x:v>
      </x:c>
      <x:c r="B2218" s="12" t="n">
        <x:v>115072.130112</x:v>
      </x:c>
      <x:c r="C2218" s="13" t="n">
        <x:v>0</x:v>
      </x:c>
      <x:c r="D2218" s="12" t="n">
        <x:v>0</x:v>
      </x:c>
      <x:c r="E2218" s="12" t="n">
        <x:v>0</x:v>
      </x:c>
      <x:c r="F2218" s="12" t="n">
        <x:f>SUM(B2218,D2218:E2218)</x:f>
        <x:v>115072.130112</x:v>
      </x:c>
      <x:c r="G2218" s="12" t="n">
        <x:f>MAX(G2217,F2218)</x:f>
        <x:v>138687.599344</x:v>
      </x:c>
      <x:c r="H2218" s="14" t="n">
        <x:f>F2218/G2218-1</x:f>
        <x:v>-0.17027816000639184</x:v>
      </x:c>
      <x:c r="I2218" s="14" t="n">
        <x:f>F2218/F2217-1</x:f>
        <x:v>0</x:v>
      </x:c>
      <x:c r="J2218" s="12" t="n">
        <x:v>0</x:v>
      </x:c>
      <x:c r="K2218" s="12" t="n">
        <x:v>0</x:v>
      </x:c>
      <x:c r="L2218" s="12" t="n">
        <x:v>0</x:v>
      </x:c>
      <x:c r="M2218" s="2" t="str">
        <x:v>空仓</x:v>
      </x:c>
    </x:row>
    <x:row r="2219" ht="23" customHeight="1">
      <x:c r="A2219" s="11" t="d">
        <x:v>2023-10-18T00:00:00.000Z</x:v>
      </x:c>
      <x:c r="B2219" s="12" t="n">
        <x:v>115072.130112</x:v>
      </x:c>
      <x:c r="C2219" s="13" t="n">
        <x:v>0</x:v>
      </x:c>
      <x:c r="D2219" s="12" t="n">
        <x:v>0</x:v>
      </x:c>
      <x:c r="E2219" s="12" t="n">
        <x:v>0</x:v>
      </x:c>
      <x:c r="F2219" s="12" t="n">
        <x:f>SUM(B2219,D2219:E2219)</x:f>
        <x:v>115072.130112</x:v>
      </x:c>
      <x:c r="G2219" s="12" t="n">
        <x:f>MAX(G2218,F2219)</x:f>
        <x:v>138687.599344</x:v>
      </x:c>
      <x:c r="H2219" s="14" t="n">
        <x:f>F2219/G2219-1</x:f>
        <x:v>-0.17027816000639184</x:v>
      </x:c>
      <x:c r="I2219" s="14" t="n">
        <x:f>F2219/F2218-1</x:f>
        <x:v>0</x:v>
      </x:c>
      <x:c r="J2219" s="12" t="n">
        <x:v>0</x:v>
      </x:c>
      <x:c r="K2219" s="12" t="n">
        <x:v>0</x:v>
      </x:c>
      <x:c r="L2219" s="12" t="n">
        <x:v>0</x:v>
      </x:c>
      <x:c r="M2219" s="2" t="str">
        <x:v>空仓</x:v>
      </x:c>
    </x:row>
    <x:row r="2220" ht="23" customHeight="1">
      <x:c r="A2220" s="11" t="d">
        <x:v>2023-10-19T00:00:00.000Z</x:v>
      </x:c>
      <x:c r="B2220" s="12" t="n">
        <x:v>115072.130112</x:v>
      </x:c>
      <x:c r="C2220" s="13" t="n">
        <x:v>0</x:v>
      </x:c>
      <x:c r="D2220" s="12" t="n">
        <x:v>0</x:v>
      </x:c>
      <x:c r="E2220" s="12" t="n">
        <x:v>0</x:v>
      </x:c>
      <x:c r="F2220" s="12" t="n">
        <x:f>SUM(B2220,D2220:E2220)</x:f>
        <x:v>115072.130112</x:v>
      </x:c>
      <x:c r="G2220" s="12" t="n">
        <x:f>MAX(G2219,F2220)</x:f>
        <x:v>138687.599344</x:v>
      </x:c>
      <x:c r="H2220" s="14" t="n">
        <x:f>F2220/G2220-1</x:f>
        <x:v>-0.17027816000639184</x:v>
      </x:c>
      <x:c r="I2220" s="14" t="n">
        <x:f>F2220/F2219-1</x:f>
        <x:v>0</x:v>
      </x:c>
      <x:c r="J2220" s="12" t="n">
        <x:v>0</x:v>
      </x:c>
      <x:c r="K2220" s="12" t="n">
        <x:v>0</x:v>
      </x:c>
      <x:c r="L2220" s="12" t="n">
        <x:v>0</x:v>
      </x:c>
      <x:c r="M2220" s="2" t="str">
        <x:v>空仓</x:v>
      </x:c>
    </x:row>
    <x:row r="2221" ht="23" customHeight="1">
      <x:c r="A2221" s="11" t="d">
        <x:v>2023-10-20T00:00:00.000Z</x:v>
      </x:c>
      <x:c r="B2221" s="12" t="n">
        <x:v>115072.130112</x:v>
      </x:c>
      <x:c r="C2221" s="13" t="n">
        <x:v>0</x:v>
      </x:c>
      <x:c r="D2221" s="12" t="n">
        <x:v>0</x:v>
      </x:c>
      <x:c r="E2221" s="12" t="n">
        <x:v>0</x:v>
      </x:c>
      <x:c r="F2221" s="12" t="n">
        <x:f>SUM(B2221,D2221:E2221)</x:f>
        <x:v>115072.130112</x:v>
      </x:c>
      <x:c r="G2221" s="12" t="n">
        <x:f>MAX(G2220,F2221)</x:f>
        <x:v>138687.599344</x:v>
      </x:c>
      <x:c r="H2221" s="14" t="n">
        <x:f>F2221/G2221-1</x:f>
        <x:v>-0.17027816000639184</x:v>
      </x:c>
      <x:c r="I2221" s="14" t="n">
        <x:f>F2221/F2220-1</x:f>
        <x:v>0</x:v>
      </x:c>
      <x:c r="J2221" s="12" t="n">
        <x:v>0</x:v>
      </x:c>
      <x:c r="K2221" s="12" t="n">
        <x:v>0</x:v>
      </x:c>
      <x:c r="L2221" s="12" t="n">
        <x:v>0</x:v>
      </x:c>
      <x:c r="M2221" s="2" t="str">
        <x:v>空仓</x:v>
      </x:c>
    </x:row>
    <x:row r="2222" ht="23" customHeight="1">
      <x:c r="A2222" s="11" t="d">
        <x:v>2023-10-23T00:00:00.000Z</x:v>
      </x:c>
      <x:c r="B2222" s="12" t="n">
        <x:v>115072.130112</x:v>
      </x:c>
      <x:c r="C2222" s="13" t="n">
        <x:v>0</x:v>
      </x:c>
      <x:c r="D2222" s="12" t="n">
        <x:v>0</x:v>
      </x:c>
      <x:c r="E2222" s="12" t="n">
        <x:v>0</x:v>
      </x:c>
      <x:c r="F2222" s="12" t="n">
        <x:f>SUM(B2222,D2222:E2222)</x:f>
        <x:v>115072.130112</x:v>
      </x:c>
      <x:c r="G2222" s="12" t="n">
        <x:f>MAX(G2221,F2222)</x:f>
        <x:v>138687.599344</x:v>
      </x:c>
      <x:c r="H2222" s="14" t="n">
        <x:f>F2222/G2222-1</x:f>
        <x:v>-0.17027816000639184</x:v>
      </x:c>
      <x:c r="I2222" s="14" t="n">
        <x:f>F2222/F2221-1</x:f>
        <x:v>0</x:v>
      </x:c>
      <x:c r="J2222" s="12" t="n">
        <x:v>0</x:v>
      </x:c>
      <x:c r="K2222" s="12" t="n">
        <x:v>0</x:v>
      </x:c>
      <x:c r="L2222" s="12" t="n">
        <x:v>0</x:v>
      </x:c>
      <x:c r="M2222" s="2" t="str">
        <x:v>空仓</x:v>
      </x:c>
    </x:row>
    <x:row r="2223" ht="23" customHeight="1">
      <x:c r="A2223" s="11" t="d">
        <x:v>2023-10-24T00:00:00.000Z</x:v>
      </x:c>
      <x:c r="B2223" s="12" t="n">
        <x:v>115072.130112</x:v>
      </x:c>
      <x:c r="C2223" s="13" t="n">
        <x:v>0</x:v>
      </x:c>
      <x:c r="D2223" s="12" t="n">
        <x:v>0</x:v>
      </x:c>
      <x:c r="E2223" s="12" t="n">
        <x:v>0</x:v>
      </x:c>
      <x:c r="F2223" s="12" t="n">
        <x:f>SUM(B2223,D2223:E2223)</x:f>
        <x:v>115072.130112</x:v>
      </x:c>
      <x:c r="G2223" s="12" t="n">
        <x:f>MAX(G2222,F2223)</x:f>
        <x:v>138687.599344</x:v>
      </x:c>
      <x:c r="H2223" s="14" t="n">
        <x:f>F2223/G2223-1</x:f>
        <x:v>-0.17027816000639184</x:v>
      </x:c>
      <x:c r="I2223" s="14" t="n">
        <x:f>F2223/F2222-1</x:f>
        <x:v>0</x:v>
      </x:c>
      <x:c r="J2223" s="12" t="n">
        <x:v>0</x:v>
      </x:c>
      <x:c r="K2223" s="12" t="n">
        <x:v>0</x:v>
      </x:c>
      <x:c r="L2223" s="12" t="n">
        <x:v>0</x:v>
      </x:c>
      <x:c r="M2223" s="2" t="str">
        <x:v>空仓</x:v>
      </x:c>
    </x:row>
    <x:row r="2224" ht="23" customHeight="1">
      <x:c r="A2224" s="11" t="d">
        <x:v>2023-10-25T00:00:00.000Z</x:v>
      </x:c>
      <x:c r="B2224" s="12" t="n">
        <x:v>115072.130112</x:v>
      </x:c>
      <x:c r="C2224" s="13" t="n">
        <x:v>0</x:v>
      </x:c>
      <x:c r="D2224" s="12" t="n">
        <x:v>0</x:v>
      </x:c>
      <x:c r="E2224" s="12" t="n">
        <x:v>0</x:v>
      </x:c>
      <x:c r="F2224" s="12" t="n">
        <x:f>SUM(B2224,D2224:E2224)</x:f>
        <x:v>115072.130112</x:v>
      </x:c>
      <x:c r="G2224" s="12" t="n">
        <x:f>MAX(G2223,F2224)</x:f>
        <x:v>138687.599344</x:v>
      </x:c>
      <x:c r="H2224" s="14" t="n">
        <x:f>F2224/G2224-1</x:f>
        <x:v>-0.17027816000639184</x:v>
      </x:c>
      <x:c r="I2224" s="14" t="n">
        <x:f>F2224/F2223-1</x:f>
        <x:v>0</x:v>
      </x:c>
      <x:c r="J2224" s="12" t="n">
        <x:v>0</x:v>
      </x:c>
      <x:c r="K2224" s="12" t="n">
        <x:v>0</x:v>
      </x:c>
      <x:c r="L2224" s="12" t="n">
        <x:v>0</x:v>
      </x:c>
      <x:c r="M2224" s="2" t="str">
        <x:v>空仓</x:v>
      </x:c>
    </x:row>
    <x:row r="2225" ht="23" customHeight="1">
      <x:c r="A2225" s="11" t="d">
        <x:v>2023-10-26T00:00:00.000Z</x:v>
      </x:c>
      <x:c r="B2225" s="12" t="n">
        <x:v>115072.130112</x:v>
      </x:c>
      <x:c r="C2225" s="13" t="n">
        <x:v>0</x:v>
      </x:c>
      <x:c r="D2225" s="12" t="n">
        <x:v>0</x:v>
      </x:c>
      <x:c r="E2225" s="12" t="n">
        <x:v>0</x:v>
      </x:c>
      <x:c r="F2225" s="12" t="n">
        <x:f>SUM(B2225,D2225:E2225)</x:f>
        <x:v>115072.130112</x:v>
      </x:c>
      <x:c r="G2225" s="12" t="n">
        <x:f>MAX(G2224,F2225)</x:f>
        <x:v>138687.599344</x:v>
      </x:c>
      <x:c r="H2225" s="14" t="n">
        <x:f>F2225/G2225-1</x:f>
        <x:v>-0.17027816000639184</x:v>
      </x:c>
      <x:c r="I2225" s="14" t="n">
        <x:f>F2225/F2224-1</x:f>
        <x:v>0</x:v>
      </x:c>
      <x:c r="J2225" s="12" t="n">
        <x:v>0</x:v>
      </x:c>
      <x:c r="K2225" s="12" t="n">
        <x:v>0</x:v>
      </x:c>
      <x:c r="L2225" s="12" t="n">
        <x:v>0</x:v>
      </x:c>
      <x:c r="M2225" s="2" t="str">
        <x:v>空仓</x:v>
      </x:c>
    </x:row>
    <x:row r="2226" ht="23" customHeight="1">
      <x:c r="A2226" s="11" t="d">
        <x:v>2023-10-27T00:00:00.000Z</x:v>
      </x:c>
      <x:c r="B2226" s="12" t="n">
        <x:v>115072.130112</x:v>
      </x:c>
      <x:c r="C2226" s="13" t="n">
        <x:v>0</x:v>
      </x:c>
      <x:c r="D2226" s="12" t="n">
        <x:v>0</x:v>
      </x:c>
      <x:c r="E2226" s="12" t="n">
        <x:v>0</x:v>
      </x:c>
      <x:c r="F2226" s="12" t="n">
        <x:f>SUM(B2226,D2226:E2226)</x:f>
        <x:v>115072.130112</x:v>
      </x:c>
      <x:c r="G2226" s="12" t="n">
        <x:f>MAX(G2225,F2226)</x:f>
        <x:v>138687.599344</x:v>
      </x:c>
      <x:c r="H2226" s="14" t="n">
        <x:f>F2226/G2226-1</x:f>
        <x:v>-0.17027816000639184</x:v>
      </x:c>
      <x:c r="I2226" s="14" t="n">
        <x:f>F2226/F2225-1</x:f>
        <x:v>0</x:v>
      </x:c>
      <x:c r="J2226" s="12" t="n">
        <x:v>0</x:v>
      </x:c>
      <x:c r="K2226" s="12" t="n">
        <x:v>0</x:v>
      </x:c>
      <x:c r="L2226" s="12" t="n">
        <x:v>0</x:v>
      </x:c>
      <x:c r="M2226" s="2" t="str">
        <x:v>空仓</x:v>
      </x:c>
    </x:row>
    <x:row r="2227" ht="23" customHeight="1">
      <x:c r="A2227" s="11" t="d">
        <x:v>2023-10-30T00:00:00.000Z</x:v>
      </x:c>
      <x:c r="B2227" s="12" t="n">
        <x:v>115072.130112</x:v>
      </x:c>
      <x:c r="C2227" s="13" t="n">
        <x:v>0</x:v>
      </x:c>
      <x:c r="D2227" s="12" t="n">
        <x:v>0</x:v>
      </x:c>
      <x:c r="E2227" s="12" t="n">
        <x:v>0</x:v>
      </x:c>
      <x:c r="F2227" s="12" t="n">
        <x:f>SUM(B2227,D2227:E2227)</x:f>
        <x:v>115072.130112</x:v>
      </x:c>
      <x:c r="G2227" s="12" t="n">
        <x:f>MAX(G2226,F2227)</x:f>
        <x:v>138687.599344</x:v>
      </x:c>
      <x:c r="H2227" s="14" t="n">
        <x:f>F2227/G2227-1</x:f>
        <x:v>-0.17027816000639184</x:v>
      </x:c>
      <x:c r="I2227" s="14" t="n">
        <x:f>F2227/F2226-1</x:f>
        <x:v>0</x:v>
      </x:c>
      <x:c r="J2227" s="12" t="n">
        <x:v>0</x:v>
      </x:c>
      <x:c r="K2227" s="12" t="n">
        <x:v>0</x:v>
      </x:c>
      <x:c r="L2227" s="12" t="n">
        <x:v>0</x:v>
      </x:c>
      <x:c r="M2227" s="2" t="str">
        <x:v>空仓</x:v>
      </x:c>
    </x:row>
    <x:row r="2228" ht="23" customHeight="1">
      <x:c r="A2228" s="11" t="d">
        <x:v>2023-10-31T00:00:00.000Z</x:v>
      </x:c>
      <x:c r="B2228" s="12" t="n">
        <x:v>115072.130112</x:v>
      </x:c>
      <x:c r="C2228" s="13" t="n">
        <x:v>0</x:v>
      </x:c>
      <x:c r="D2228" s="12" t="n">
        <x:v>0</x:v>
      </x:c>
      <x:c r="E2228" s="12" t="n">
        <x:v>0</x:v>
      </x:c>
      <x:c r="F2228" s="12" t="n">
        <x:f>SUM(B2228,D2228:E2228)</x:f>
        <x:v>115072.130112</x:v>
      </x:c>
      <x:c r="G2228" s="12" t="n">
        <x:f>MAX(G2227,F2228)</x:f>
        <x:v>138687.599344</x:v>
      </x:c>
      <x:c r="H2228" s="14" t="n">
        <x:f>F2228/G2228-1</x:f>
        <x:v>-0.17027816000639184</x:v>
      </x:c>
      <x:c r="I2228" s="14" t="n">
        <x:f>F2228/F2227-1</x:f>
        <x:v>0</x:v>
      </x:c>
      <x:c r="J2228" s="12" t="n">
        <x:v>0</x:v>
      </x:c>
      <x:c r="K2228" s="12" t="n">
        <x:v>0</x:v>
      </x:c>
      <x:c r="L2228" s="12" t="n">
        <x:v>0</x:v>
      </x:c>
      <x:c r="M2228" s="2" t="str">
        <x:v>空仓</x:v>
      </x:c>
    </x:row>
    <x:row r="2229" ht="23" customHeight="1">
      <x:c r="A2229" s="11" t="d">
        <x:v>2023-11-01T00:00:00.000Z</x:v>
      </x:c>
      <x:c r="B2229" s="12" t="n">
        <x:v>115072.130112</x:v>
      </x:c>
      <x:c r="C2229" s="13" t="n">
        <x:v>0</x:v>
      </x:c>
      <x:c r="D2229" s="12" t="n">
        <x:v>0</x:v>
      </x:c>
      <x:c r="E2229" s="12" t="n">
        <x:v>0</x:v>
      </x:c>
      <x:c r="F2229" s="12" t="n">
        <x:f>SUM(B2229,D2229:E2229)</x:f>
        <x:v>115072.130112</x:v>
      </x:c>
      <x:c r="G2229" s="12" t="n">
        <x:f>MAX(G2228,F2229)</x:f>
        <x:v>138687.599344</x:v>
      </x:c>
      <x:c r="H2229" s="14" t="n">
        <x:f>F2229/G2229-1</x:f>
        <x:v>-0.17027816000639184</x:v>
      </x:c>
      <x:c r="I2229" s="14" t="n">
        <x:f>F2229/F2228-1</x:f>
        <x:v>0</x:v>
      </x:c>
      <x:c r="J2229" s="12" t="n">
        <x:v>0</x:v>
      </x:c>
      <x:c r="K2229" s="12" t="n">
        <x:v>0</x:v>
      </x:c>
      <x:c r="L2229" s="12" t="n">
        <x:v>0</x:v>
      </x:c>
      <x:c r="M2229" s="2" t="str">
        <x:v>空仓</x:v>
      </x:c>
    </x:row>
    <x:row r="2230" ht="23" customHeight="1">
      <x:c r="A2230" s="11" t="d">
        <x:v>2023-11-02T00:00:00.000Z</x:v>
      </x:c>
      <x:c r="B2230" s="12" t="n">
        <x:v>115072.130112</x:v>
      </x:c>
      <x:c r="C2230" s="13" t="n">
        <x:v>0</x:v>
      </x:c>
      <x:c r="D2230" s="12" t="n">
        <x:v>0</x:v>
      </x:c>
      <x:c r="E2230" s="12" t="n">
        <x:v>0</x:v>
      </x:c>
      <x:c r="F2230" s="12" t="n">
        <x:f>SUM(B2230,D2230:E2230)</x:f>
        <x:v>115072.130112</x:v>
      </x:c>
      <x:c r="G2230" s="12" t="n">
        <x:f>MAX(G2229,F2230)</x:f>
        <x:v>138687.599344</x:v>
      </x:c>
      <x:c r="H2230" s="14" t="n">
        <x:f>F2230/G2230-1</x:f>
        <x:v>-0.17027816000639184</x:v>
      </x:c>
      <x:c r="I2230" s="14" t="n">
        <x:f>F2230/F2229-1</x:f>
        <x:v>0</x:v>
      </x:c>
      <x:c r="J2230" s="12" t="n">
        <x:v>0</x:v>
      </x:c>
      <x:c r="K2230" s="12" t="n">
        <x:v>0</x:v>
      </x:c>
      <x:c r="L2230" s="12" t="n">
        <x:v>0</x:v>
      </x:c>
      <x:c r="M2230" s="2" t="str">
        <x:v>空仓</x:v>
      </x:c>
    </x:row>
    <x:row r="2231" ht="23" customHeight="1">
      <x:c r="A2231" s="11" t="d">
        <x:v>2023-11-03T00:00:00.000Z</x:v>
      </x:c>
      <x:c r="B2231" s="12" t="n">
        <x:v>115072.130112</x:v>
      </x:c>
      <x:c r="C2231" s="13" t="n">
        <x:v>0</x:v>
      </x:c>
      <x:c r="D2231" s="12" t="n">
        <x:v>0</x:v>
      </x:c>
      <x:c r="E2231" s="12" t="n">
        <x:v>0</x:v>
      </x:c>
      <x:c r="F2231" s="12" t="n">
        <x:f>SUM(B2231,D2231:E2231)</x:f>
        <x:v>115072.130112</x:v>
      </x:c>
      <x:c r="G2231" s="12" t="n">
        <x:f>MAX(G2230,F2231)</x:f>
        <x:v>138687.599344</x:v>
      </x:c>
      <x:c r="H2231" s="14" t="n">
        <x:f>F2231/G2231-1</x:f>
        <x:v>-0.17027816000639184</x:v>
      </x:c>
      <x:c r="I2231" s="14" t="n">
        <x:f>F2231/F2230-1</x:f>
        <x:v>0</x:v>
      </x:c>
      <x:c r="J2231" s="12" t="n">
        <x:v>0</x:v>
      </x:c>
      <x:c r="K2231" s="12" t="n">
        <x:v>0</x:v>
      </x:c>
      <x:c r="L2231" s="12" t="n">
        <x:v>0</x:v>
      </x:c>
      <x:c r="M2231" s="2" t="str">
        <x:v>空仓</x:v>
      </x:c>
    </x:row>
    <x:row r="2232" ht="23" customHeight="1">
      <x:c r="A2232" s="11" t="d">
        <x:v>2023-11-06T00:00:00.000Z</x:v>
      </x:c>
      <x:c r="B2232" s="12" t="n">
        <x:v>428.991502</x:v>
      </x:c>
      <x:c r="C2232" s="13" t="n">
        <x:v>263</x:v>
      </x:c>
      <x:c r="D2232" s="12" t="n">
        <x:v>114586.47</x:v>
      </x:c>
      <x:c r="E2232" s="12" t="n">
        <x:v>0</x:v>
      </x:c>
      <x:c r="F2232" s="12" t="n">
        <x:f>SUM(B2232,D2232:E2232)</x:f>
        <x:v>115015.461502</x:v>
      </x:c>
      <x:c r="G2232" s="12" t="n">
        <x:f>MAX(G2231,F2232)</x:f>
        <x:v>138687.599344</x:v>
      </x:c>
      <x:c r="H2232" s="14" t="n">
        <x:f>F2232/G2232-1</x:f>
        <x:v>-0.17068676618508438</x:v>
      </x:c>
      <x:c r="I2232" s="14" t="n">
        <x:f>F2232/F2231-1</x:f>
        <x:v>-0.000492461640753783</x:v>
      </x:c>
      <x:c r="J2232" s="12" t="n">
        <x:v>0</x:v>
      </x:c>
      <x:c r="K2232" s="12" t="n">
        <x:v>0</x:v>
      </x:c>
      <x:c r="L2232" s="12" t="n">
        <x:v>263</x:v>
      </x:c>
      <x:c r="M2232" s="2" t="str">
        <x:v>买入</x:v>
      </x:c>
    </x:row>
    <x:row r="2233" ht="23" customHeight="1">
      <x:c r="A2233" s="11" t="d">
        <x:v>2023-11-07T00:00:00.000Z</x:v>
      </x:c>
      <x:c r="B2233" s="12" t="n">
        <x:v>428.991502</x:v>
      </x:c>
      <x:c r="C2233" s="13" t="n">
        <x:v>263</x:v>
      </x:c>
      <x:c r="D2233" s="12" t="n">
        <x:v>114912.59</x:v>
      </x:c>
      <x:c r="E2233" s="12" t="n">
        <x:v>0</x:v>
      </x:c>
      <x:c r="F2233" s="12" t="n">
        <x:f>SUM(B2233,D2233:E2233)</x:f>
        <x:v>115341.581502</x:v>
      </x:c>
      <x:c r="G2233" s="12" t="n">
        <x:f>MAX(G2232,F2233)</x:f>
        <x:v>138687.599344</x:v>
      </x:c>
      <x:c r="H2233" s="14" t="n">
        <x:f>F2233/G2233-1</x:f>
        <x:v>-0.16833529423270677</x:v>
      </x:c>
      <x:c r="I2233" s="14" t="n">
        <x:f>F2233/F2232-1</x:f>
        <x:v>0.002835444867508752</x:v>
      </x:c>
      <x:c r="J2233" s="12" t="n">
        <x:v>0</x:v>
      </x:c>
      <x:c r="K2233" s="12" t="n">
        <x:v>0</x:v>
      </x:c>
      <x:c r="L2233" s="12" t="n">
        <x:v>0</x:v>
      </x:c>
      <x:c r="M2233" s="2" t="str">
        <x:v>持有</x:v>
      </x:c>
    </x:row>
    <x:row r="2234" ht="23" customHeight="1">
      <x:c r="A2234" s="11" t="d">
        <x:v>2023-11-08T00:00:00.000Z</x:v>
      </x:c>
      <x:c r="B2234" s="12" t="n">
        <x:v>428.991502</x:v>
      </x:c>
      <x:c r="C2234" s="13" t="n">
        <x:v>263</x:v>
      </x:c>
      <x:c r="D2234" s="12" t="n">
        <x:v>114996.75</x:v>
      </x:c>
      <x:c r="E2234" s="12" t="n">
        <x:v>0</x:v>
      </x:c>
      <x:c r="F2234" s="12" t="n">
        <x:f>SUM(B2234,D2234:E2234)</x:f>
        <x:v>115425.741502</x:v>
      </x:c>
      <x:c r="G2234" s="12" t="n">
        <x:f>MAX(G2233,F2234)</x:f>
        <x:v>138687.599344</x:v>
      </x:c>
      <x:c r="H2234" s="14" t="n">
        <x:f>F2234/G2234-1</x:f>
        <x:v>-0.1677284627611254</x:v>
      </x:c>
      <x:c r="I2234" s="14" t="n">
        <x:f>F2234/F2233-1</x:f>
        <x:v>0.0007296588004435112</x:v>
      </x:c>
      <x:c r="J2234" s="12" t="n">
        <x:v>0</x:v>
      </x:c>
      <x:c r="K2234" s="12" t="n">
        <x:v>0</x:v>
      </x:c>
      <x:c r="L2234" s="12" t="n">
        <x:v>0</x:v>
      </x:c>
      <x:c r="M2234" s="2" t="str">
        <x:v>持有</x:v>
      </x:c>
    </x:row>
    <x:row r="2235" ht="23" customHeight="1">
      <x:c r="A2235" s="11" t="d">
        <x:v>2023-11-09T00:00:00.000Z</x:v>
      </x:c>
      <x:c r="B2235" s="12" t="n">
        <x:v>428.991502</x:v>
      </x:c>
      <x:c r="C2235" s="13" t="n">
        <x:v>263</x:v>
      </x:c>
      <x:c r="D2235" s="12" t="n">
        <x:v>114099.92</x:v>
      </x:c>
      <x:c r="E2235" s="12" t="n">
        <x:v>0</x:v>
      </x:c>
      <x:c r="F2235" s="12" t="n">
        <x:f>SUM(B2235,D2235:E2235)</x:f>
        <x:v>114528.911502</x:v>
      </x:c>
      <x:c r="G2235" s="12" t="n">
        <x:f>MAX(G2234,F2235)</x:f>
        <x:v>138687.599344</x:v>
      </x:c>
      <x:c r="H2235" s="14" t="n">
        <x:f>F2235/G2235-1</x:f>
        <x:v>-0.17419501063016385</x:v>
      </x:c>
      <x:c r="I2235" s="14" t="n">
        <x:f>F2235/F2234-1</x:f>
        <x:v>-0.0077697573204194015</x:v>
      </x:c>
      <x:c r="J2235" s="12" t="n">
        <x:v>0</x:v>
      </x:c>
      <x:c r="K2235" s="12" t="n">
        <x:v>0</x:v>
      </x:c>
      <x:c r="L2235" s="12" t="n">
        <x:v>0</x:v>
      </x:c>
      <x:c r="M2235" s="2" t="str">
        <x:v>持有</x:v>
      </x:c>
    </x:row>
    <x:row r="2236" ht="23" customHeight="1">
      <x:c r="A2236" s="11" t="d">
        <x:v>2023-11-10T00:00:00.000Z</x:v>
      </x:c>
      <x:c r="B2236" s="12" t="n">
        <x:v>428.991502</x:v>
      </x:c>
      <x:c r="C2236" s="13" t="n">
        <x:v>263</x:v>
      </x:c>
      <x:c r="D2236" s="12" t="n">
        <x:v>115880.43000000001</x:v>
      </x:c>
      <x:c r="E2236" s="12" t="n">
        <x:v>0</x:v>
      </x:c>
      <x:c r="F2236" s="12" t="n">
        <x:f>SUM(B2236,D2236:E2236)</x:f>
        <x:v>116309.42150200001</x:v>
      </x:c>
      <x:c r="G2236" s="12" t="n">
        <x:f>MAX(G2235,F2236)</x:f>
        <x:v>138687.599344</x:v>
      </x:c>
      <x:c r="H2236" s="14" t="n">
        <x:f>F2236/G2236-1</x:f>
        <x:v>-0.16135673230952152</x:v>
      </x:c>
      <x:c r="I2236" s="14" t="n">
        <x:f>F2236/F2235-1</x:f>
        <x:v>0.015546380181644448</x:v>
      </x:c>
      <x:c r="J2236" s="12" t="n">
        <x:v>0</x:v>
      </x:c>
      <x:c r="K2236" s="12" t="n">
        <x:v>0</x:v>
      </x:c>
      <x:c r="L2236" s="12" t="n">
        <x:v>0</x:v>
      </x:c>
      <x:c r="M2236" s="2" t="str">
        <x:v>持有</x:v>
      </x:c>
    </x:row>
    <x:row r="2237" ht="23" customHeight="1">
      <x:c r="A2237" s="11" t="d">
        <x:v>2023-11-13T00:00:00.000Z</x:v>
      </x:c>
      <x:c r="B2237" s="12" t="n">
        <x:v>428.991502</x:v>
      </x:c>
      <x:c r="C2237" s="13" t="n">
        <x:v>263</x:v>
      </x:c>
      <x:c r="D2237" s="12" t="n">
        <x:v>115769.97</x:v>
      </x:c>
      <x:c r="E2237" s="12" t="n">
        <x:v>0</x:v>
      </x:c>
      <x:c r="F2237" s="12" t="n">
        <x:f>SUM(B2237,D2237:E2237)</x:f>
        <x:v>116198.961502</x:v>
      </x:c>
      <x:c r="G2237" s="12" t="n">
        <x:f>MAX(G2236,F2237)</x:f>
        <x:v>138687.599344</x:v>
      </x:c>
      <x:c r="H2237" s="14" t="n">
        <x:f>F2237/G2237-1</x:f>
        <x:v>-0.162153198615972</x:v>
      </x:c>
      <x:c r="I2237" s="14" t="n">
        <x:f>F2237/F2236-1</x:f>
        <x:v>-0.0009497081025212628</x:v>
      </x:c>
      <x:c r="J2237" s="12" t="n">
        <x:v>0</x:v>
      </x:c>
      <x:c r="K2237" s="12" t="n">
        <x:v>0</x:v>
      </x:c>
      <x:c r="L2237" s="12" t="n">
        <x:v>0</x:v>
      </x:c>
      <x:c r="M2237" s="2" t="str">
        <x:v>持有</x:v>
      </x:c>
    </x:row>
    <x:row r="2238" ht="23" customHeight="1">
      <x:c r="A2238" s="11" t="d">
        <x:v>2023-11-14T00:00:00.000Z</x:v>
      </x:c>
      <x:c r="B2238" s="12" t="n">
        <x:v>428.991502</x:v>
      </x:c>
      <x:c r="C2238" s="13" t="n">
        <x:v>263</x:v>
      </x:c>
      <x:c r="D2238" s="12" t="n">
        <x:v>118015.99</x:v>
      </x:c>
      <x:c r="E2238" s="12" t="n">
        <x:v>0</x:v>
      </x:c>
      <x:c r="F2238" s="12" t="n">
        <x:f>SUM(B2238,D2238:E2238)</x:f>
        <x:v>118444.98150200001</x:v>
      </x:c>
      <x:c r="G2238" s="12" t="n">
        <x:f>MAX(G2237,F2238)</x:f>
        <x:v>138687.599344</x:v>
      </x:c>
      <x:c r="H2238" s="14" t="n">
        <x:f>F2238/G2238-1</x:f>
        <x:v>-0.1459583837181455</x:v>
      </x:c>
      <x:c r="I2238" s="14" t="n">
        <x:f>F2238/F2237-1</x:f>
        <x:v>0.01932908840980785</x:v>
      </x:c>
      <x:c r="J2238" s="12" t="n">
        <x:v>0</x:v>
      </x:c>
      <x:c r="K2238" s="12" t="n">
        <x:v>0</x:v>
      </x:c>
      <x:c r="L2238" s="12" t="n">
        <x:v>0</x:v>
      </x:c>
      <x:c r="M2238" s="2" t="str">
        <x:v>持有</x:v>
      </x:c>
    </x:row>
    <x:row r="2239" ht="23" customHeight="1">
      <x:c r="A2239" s="11" t="d">
        <x:v>2023-11-15T00:00:00.000Z</x:v>
      </x:c>
      <x:c r="B2239" s="12" t="n">
        <x:v>428.991502</x:v>
      </x:c>
      <x:c r="C2239" s="13" t="n">
        <x:v>263</x:v>
      </x:c>
      <x:c r="D2239" s="12" t="n">
        <x:v>118265.84</x:v>
      </x:c>
      <x:c r="E2239" s="12" t="n">
        <x:v>0</x:v>
      </x:c>
      <x:c r="F2239" s="12" t="n">
        <x:f>SUM(B2239,D2239:E2239)</x:f>
        <x:v>118694.831502</x:v>
      </x:c>
      <x:c r="G2239" s="12" t="n">
        <x:f>MAX(G2238,F2239)</x:f>
        <x:v>138687.599344</x:v>
      </x:c>
      <x:c r="H2239" s="14" t="n">
        <x:f>F2239/G2239-1</x:f>
        <x:v>-0.1441568527868885</x:v>
      </x:c>
      <x:c r="I2239" s="14" t="n">
        <x:f>F2239/F2238-1</x:f>
        <x:v>0.002109418202710156</x:v>
      </x:c>
      <x:c r="J2239" s="12" t="n">
        <x:v>0</x:v>
      </x:c>
      <x:c r="K2239" s="12" t="n">
        <x:v>0</x:v>
      </x:c>
      <x:c r="L2239" s="12" t="n">
        <x:v>0</x:v>
      </x:c>
      <x:c r="M2239" s="2" t="str">
        <x:v>持有</x:v>
      </x:c>
    </x:row>
    <x:row r="2240" ht="23" customHeight="1">
      <x:c r="A2240" s="11" t="d">
        <x:v>2023-11-16T00:00:00.000Z</x:v>
      </x:c>
      <x:c r="B2240" s="12" t="n">
        <x:v>428.991502</x:v>
      </x:c>
      <x:c r="C2240" s="13" t="n">
        <x:v>263</x:v>
      </x:c>
      <x:c r="D2240" s="12" t="n">
        <x:v>118410.49</x:v>
      </x:c>
      <x:c r="E2240" s="12" t="n">
        <x:v>0</x:v>
      </x:c>
      <x:c r="F2240" s="12" t="n">
        <x:f>SUM(B2240,D2240:E2240)</x:f>
        <x:v>118839.48150200001</x:v>
      </x:c>
      <x:c r="G2240" s="12" t="n">
        <x:f>MAX(G2239,F2240)</x:f>
        <x:v>138687.599344</x:v>
      </x:c>
      <x:c r="H2240" s="14" t="n">
        <x:f>F2240/G2240-1</x:f>
        <x:v>-0.14311386119510805</x:v>
      </x:c>
      <x:c r="I2240" s="14" t="n">
        <x:f>F2240/F2239-1</x:f>
        <x:v>0.0012186714296618106</x:v>
      </x:c>
      <x:c r="J2240" s="12" t="n">
        <x:v>0</x:v>
      </x:c>
      <x:c r="K2240" s="12" t="n">
        <x:v>0</x:v>
      </x:c>
      <x:c r="L2240" s="12" t="n">
        <x:v>0</x:v>
      </x:c>
      <x:c r="M2240" s="2" t="str">
        <x:v>持有</x:v>
      </x:c>
    </x:row>
    <x:row r="2241" ht="23" customHeight="1">
      <x:c r="A2241" s="11" t="d">
        <x:v>2023-11-17T00:00:00.000Z</x:v>
      </x:c>
      <x:c r="B2241" s="12" t="n">
        <x:v>428.991502</x:v>
      </x:c>
      <x:c r="C2241" s="13" t="n">
        <x:v>263</x:v>
      </x:c>
      <x:c r="D2241" s="12" t="n">
        <x:v>118557.77</x:v>
      </x:c>
      <x:c r="E2241" s="12" t="n">
        <x:v>0</x:v>
      </x:c>
      <x:c r="F2241" s="12" t="n">
        <x:f>SUM(B2241,D2241:E2241)</x:f>
        <x:v>118986.76150200001</x:v>
      </x:c>
      <x:c r="G2241" s="12" t="n">
        <x:f>MAX(G2240,F2241)</x:f>
        <x:v>138687.599344</x:v>
      </x:c>
      <x:c r="H2241" s="14" t="n">
        <x:f>F2241/G2241-1</x:f>
        <x:v>-0.14205190611984075</x:v>
      </x:c>
      <x:c r="I2241" s="14" t="n">
        <x:f>F2241/F2240-1</x:f>
        <x:v>0.0012393187696424501</x:v>
      </x:c>
      <x:c r="J2241" s="12" t="n">
        <x:v>0</x:v>
      </x:c>
      <x:c r="K2241" s="12" t="n">
        <x:v>0</x:v>
      </x:c>
      <x:c r="L2241" s="12" t="n">
        <x:v>0</x:v>
      </x:c>
      <x:c r="M2241" s="2" t="str">
        <x:v>持有</x:v>
      </x:c>
    </x:row>
    <x:row r="2242" ht="23" customHeight="1">
      <x:c r="A2242" s="11" t="d">
        <x:v>2023-11-20T00:00:00.000Z</x:v>
      </x:c>
      <x:c r="B2242" s="12" t="n">
        <x:v>428.991502</x:v>
      </x:c>
      <x:c r="C2242" s="13" t="n">
        <x:v>263</x:v>
      </x:c>
      <x:c r="D2242" s="12" t="n">
        <x:v>119470.38</x:v>
      </x:c>
      <x:c r="E2242" s="12" t="n">
        <x:v>0</x:v>
      </x:c>
      <x:c r="F2242" s="12" t="n">
        <x:f>SUM(B2242,D2242:E2242)</x:f>
        <x:v>119899.37150200001</x:v>
      </x:c>
      <x:c r="G2242" s="12" t="n">
        <x:f>MAX(G2241,F2242)</x:f>
        <x:v>138687.599344</x:v>
      </x:c>
      <x:c r="H2242" s="14" t="n">
        <x:f>F2242/G2242-1</x:f>
        <x:v>-0.1354715773498808</x:v>
      </x:c>
      <x:c r="I2242" s="14" t="n">
        <x:f>F2242/F2241-1</x:f>
        <x:v>0.007669844850636265</x:v>
      </x:c>
      <x:c r="J2242" s="12" t="n">
        <x:v>0</x:v>
      </x:c>
      <x:c r="K2242" s="12" t="n">
        <x:v>0</x:v>
      </x:c>
      <x:c r="L2242" s="12" t="n">
        <x:v>0</x:v>
      </x:c>
      <x:c r="M2242" s="2" t="str">
        <x:v>持有</x:v>
      </x:c>
    </x:row>
    <x:row r="2243" ht="23" customHeight="1">
      <x:c r="A2243" s="11" t="d">
        <x:v>2023-11-21T00:00:00.000Z</x:v>
      </x:c>
      <x:c r="B2243" s="12" t="n">
        <x:v>428.991502</x:v>
      </x:c>
      <x:c r="C2243" s="13" t="n">
        <x:v>263</x:v>
      </x:c>
      <x:c r="D2243" s="12" t="n">
        <x:v>119210.01</x:v>
      </x:c>
      <x:c r="E2243" s="12" t="n">
        <x:v>0</x:v>
      </x:c>
      <x:c r="F2243" s="12" t="n">
        <x:f>SUM(B2243,D2243:E2243)</x:f>
        <x:v>119639.001502</x:v>
      </x:c>
      <x:c r="G2243" s="12" t="n">
        <x:f>MAX(G2242,F2243)</x:f>
        <x:v>138687.599344</x:v>
      </x:c>
      <x:c r="H2243" s="14" t="n">
        <x:f>F2243/G2243-1</x:f>
        <x:v>-0.13734896221508563</x:v>
      </x:c>
      <x:c r="I2243" s="14" t="n">
        <x:f>F2243/F2242-1</x:f>
        <x:v>-0.0021715710160804536</x:v>
      </x:c>
      <x:c r="J2243" s="12" t="n">
        <x:v>0</x:v>
      </x:c>
      <x:c r="K2243" s="12" t="n">
        <x:v>0</x:v>
      </x:c>
      <x:c r="L2243" s="12" t="n">
        <x:v>0</x:v>
      </x:c>
      <x:c r="M2243" s="2" t="str">
        <x:v>持有</x:v>
      </x:c>
    </x:row>
    <x:row r="2244" ht="23" customHeight="1">
      <x:c r="A2244" s="11" t="d">
        <x:v>2023-11-22T00:00:00.000Z</x:v>
      </x:c>
      <x:c r="B2244" s="12" t="n">
        <x:v>428.991502</x:v>
      </x:c>
      <x:c r="C2244" s="13" t="n">
        <x:v>263</x:v>
      </x:c>
      <x:c r="D2244" s="12" t="n">
        <x:v>119670.26</x:v>
      </x:c>
      <x:c r="E2244" s="12" t="n">
        <x:v>0</x:v>
      </x:c>
      <x:c r="F2244" s="12" t="n">
        <x:f>SUM(B2244,D2244:E2244)</x:f>
        <x:v>120099.251502</x:v>
      </x:c>
      <x:c r="G2244" s="12" t="n">
        <x:f>MAX(G2243,F2244)</x:f>
        <x:v>138687.599344</x:v>
      </x:c>
      <x:c r="H2244" s="14" t="n">
        <x:f>F2244/G2244-1</x:f>
        <x:v>-0.13403035260487528</x:v>
      </x:c>
      <x:c r="I2244" s="14" t="n">
        <x:f>F2244/F2243-1</x:f>
        <x:v>0.0038469896456994057</x:v>
      </x:c>
      <x:c r="J2244" s="12" t="n">
        <x:v>0</x:v>
      </x:c>
      <x:c r="K2244" s="12" t="n">
        <x:v>0</x:v>
      </x:c>
      <x:c r="L2244" s="12" t="n">
        <x:v>0</x:v>
      </x:c>
      <x:c r="M2244" s="2" t="str">
        <x:v>持有</x:v>
      </x:c>
    </x:row>
    <x:row r="2245" ht="23" customHeight="1">
      <x:c r="A2245" s="11" t="d">
        <x:v>2023-11-24T00:00:00.000Z</x:v>
      </x:c>
      <x:c r="B2245" s="12" t="n">
        <x:v>428.991502</x:v>
      </x:c>
      <x:c r="C2245" s="13" t="n">
        <x:v>263</x:v>
      </x:c>
      <x:c r="D2245" s="12" t="n">
        <x:v>119743.90000000001</x:v>
      </x:c>
      <x:c r="E2245" s="12" t="n">
        <x:v>0</x:v>
      </x:c>
      <x:c r="F2245" s="12" t="n">
        <x:f>SUM(B2245,D2245:E2245)</x:f>
        <x:v>120172.89150200001</x:v>
      </x:c>
      <x:c r="G2245" s="12" t="n">
        <x:f>MAX(G2244,F2245)</x:f>
        <x:v>138687.599344</x:v>
      </x:c>
      <x:c r="H2245" s="14" t="n">
        <x:f>F2245/G2245-1</x:f>
        <x:v>-0.13349937506724152</x:v>
      </x:c>
      <x:c r="I2245" s="14" t="n">
        <x:f>F2245/F2244-1</x:f>
        <x:v>0.0006131595249683208</x:v>
      </x:c>
      <x:c r="J2245" s="12" t="n">
        <x:v>0</x:v>
      </x:c>
      <x:c r="K2245" s="12" t="n">
        <x:v>0</x:v>
      </x:c>
      <x:c r="L2245" s="12" t="n">
        <x:v>0</x:v>
      </x:c>
      <x:c r="M2245" s="2" t="str">
        <x:v>持有</x:v>
      </x:c>
    </x:row>
    <x:row r="2246" ht="23" customHeight="1">
      <x:c r="A2246" s="11" t="d">
        <x:v>2023-11-27T00:00:00.000Z</x:v>
      </x:c>
      <x:c r="B2246" s="12" t="n">
        <x:v>428.991502</x:v>
      </x:c>
      <x:c r="C2246" s="13" t="n">
        <x:v>263</x:v>
      </x:c>
      <x:c r="D2246" s="12" t="n">
        <x:v>119528.24</x:v>
      </x:c>
      <x:c r="E2246" s="12" t="n">
        <x:v>0</x:v>
      </x:c>
      <x:c r="F2246" s="12" t="n">
        <x:f>SUM(B2246,D2246:E2246)</x:f>
        <x:v>119957.23150200001</x:v>
      </x:c>
      <x:c r="G2246" s="12" t="n">
        <x:f>MAX(G2245,F2246)</x:f>
        <x:v>138687.599344</x:v>
      </x:c>
      <x:c r="H2246" s="14" t="n">
        <x:f>F2246/G2246-1</x:f>
        <x:v>-0.13505438071316866</x:v>
      </x:c>
      <x:c r="I2246" s="14" t="n">
        <x:f>F2246/F2245-1</x:f>
        <x:v>-0.0017945811014825619</x:v>
      </x:c>
      <x:c r="J2246" s="12" t="n">
        <x:v>0</x:v>
      </x:c>
      <x:c r="K2246" s="12" t="n">
        <x:v>0</x:v>
      </x:c>
      <x:c r="L2246" s="12" t="n">
        <x:v>0</x:v>
      </x:c>
      <x:c r="M2246" s="2" t="str">
        <x:v>持有</x:v>
      </x:c>
    </x:row>
    <x:row r="2247" ht="23" customHeight="1">
      <x:c r="A2247" s="11" t="d">
        <x:v>2023-11-28T00:00:00.000Z</x:v>
      </x:c>
      <x:c r="B2247" s="12" t="n">
        <x:v>428.991502</x:v>
      </x:c>
      <x:c r="C2247" s="13" t="n">
        <x:v>263</x:v>
      </x:c>
      <x:c r="D2247" s="12" t="n">
        <x:v>119646.59</x:v>
      </x:c>
      <x:c r="E2247" s="12" t="n">
        <x:v>0</x:v>
      </x:c>
      <x:c r="F2247" s="12" t="n">
        <x:f>SUM(B2247,D2247:E2247)</x:f>
        <x:v>120075.581502</x:v>
      </x:c>
      <x:c r="G2247" s="12" t="n">
        <x:f>MAX(G2246,F2247)</x:f>
        <x:v>138687.599344</x:v>
      </x:c>
      <x:c r="H2247" s="14" t="n">
        <x:f>F2247/G2247-1</x:f>
        <x:v>-0.13420102395625755</x:v>
      </x:c>
      <x:c r="I2247" s="14" t="n">
        <x:f>F2247/F2246-1</x:f>
        <x:v>0.0009866016289148405</x:v>
      </x:c>
      <x:c r="J2247" s="12" t="n">
        <x:v>0</x:v>
      </x:c>
      <x:c r="K2247" s="12" t="n">
        <x:v>0</x:v>
      </x:c>
      <x:c r="L2247" s="12" t="n">
        <x:v>0</x:v>
      </x:c>
      <x:c r="M2247" s="2" t="str">
        <x:v>持有</x:v>
      </x:c>
    </x:row>
    <x:row r="2248" ht="23" customHeight="1">
      <x:c r="A2248" s="11" t="d">
        <x:v>2023-11-29T00:00:00.000Z</x:v>
      </x:c>
      <x:c r="B2248" s="12" t="n">
        <x:v>428.991502</x:v>
      </x:c>
      <x:c r="C2248" s="13" t="n">
        <x:v>263</x:v>
      </x:c>
      <x:c r="D2248" s="12" t="n">
        <x:v>119562.43000000001</x:v>
      </x:c>
      <x:c r="E2248" s="12" t="n">
        <x:v>0</x:v>
      </x:c>
      <x:c r="F2248" s="12" t="n">
        <x:f>SUM(B2248,D2248:E2248)</x:f>
        <x:v>119991.42150200001</x:v>
      </x:c>
      <x:c r="G2248" s="12" t="n">
        <x:f>MAX(G2247,F2248)</x:f>
        <x:v>138687.599344</x:v>
      </x:c>
      <x:c r="H2248" s="14" t="n">
        <x:f>F2248/G2248-1</x:f>
        <x:v>-0.1348078554278388</x:v>
      </x:c>
      <x:c r="I2248" s="14" t="n">
        <x:f>F2248/F2247-1</x:f>
        <x:v>-0.0007008918794916275</x:v>
      </x:c>
      <x:c r="J2248" s="12" t="n">
        <x:v>0</x:v>
      </x:c>
      <x:c r="K2248" s="12" t="n">
        <x:v>0</x:v>
      </x:c>
      <x:c r="L2248" s="12" t="n">
        <x:v>0</x:v>
      </x:c>
      <x:c r="M2248" s="2" t="str">
        <x:v>持有</x:v>
      </x:c>
    </x:row>
    <x:row r="2249" ht="23" customHeight="1">
      <x:c r="A2249" s="11" t="d">
        <x:v>2023-11-30T00:00:00.000Z</x:v>
      </x:c>
      <x:c r="B2249" s="12" t="n">
        <x:v>428.991502</x:v>
      </x:c>
      <x:c r="C2249" s="13" t="n">
        <x:v>263</x:v>
      </x:c>
      <x:c r="D2249" s="12" t="n">
        <x:v>120033.2</x:v>
      </x:c>
      <x:c r="E2249" s="12" t="n">
        <x:v>0</x:v>
      </x:c>
      <x:c r="F2249" s="12" t="n">
        <x:f>SUM(B2249,D2249:E2249)</x:f>
        <x:v>120462.191502</x:v>
      </x:c>
      <x:c r="G2249" s="12" t="n">
        <x:f>MAX(G2248,F2249)</x:f>
        <x:v>138687.599344</x:v>
      </x:c>
      <x:c r="H2249" s="14" t="n">
        <x:f>F2249/G2249-1</x:f>
        <x:v>-0.13141339188368084</x:v>
      </x:c>
      <x:c r="I2249" s="14" t="n">
        <x:f>F2249/F2248-1</x:f>
        <x:v>0.0039233638047377895</x:v>
      </x:c>
      <x:c r="J2249" s="12" t="n">
        <x:v>0</x:v>
      </x:c>
      <x:c r="K2249" s="12" t="n">
        <x:v>0</x:v>
      </x:c>
      <x:c r="L2249" s="12" t="n">
        <x:v>0</x:v>
      </x:c>
      <x:c r="M2249" s="2" t="str">
        <x:v>持有</x:v>
      </x:c>
    </x:row>
    <x:row r="2250" ht="23" customHeight="1">
      <x:c r="A2250" s="11" t="d">
        <x:v>2023-12-01T00:00:00.000Z</x:v>
      </x:c>
      <x:c r="B2250" s="12" t="n">
        <x:v>428.991502</x:v>
      </x:c>
      <x:c r="C2250" s="13" t="n">
        <x:v>263</x:v>
      </x:c>
      <x:c r="D2250" s="12" t="n">
        <x:v>120743.3</x:v>
      </x:c>
      <x:c r="E2250" s="12" t="n">
        <x:v>0</x:v>
      </x:c>
      <x:c r="F2250" s="12" t="n">
        <x:f>SUM(B2250,D2250:E2250)</x:f>
        <x:v>121172.29150200001</x:v>
      </x:c>
      <x:c r="G2250" s="12" t="n">
        <x:f>MAX(G2249,F2250)</x:f>
        <x:v>138687.599344</x:v>
      </x:c>
      <x:c r="H2250" s="14" t="n">
        <x:f>F2250/G2250-1</x:f>
        <x:v>-0.12629325134221336</x:v>
      </x:c>
      <x:c r="I2250" s="14" t="n">
        <x:f>F2250/F2249-1</x:f>
        <x:v>0.005894795629616478</x:v>
      </x:c>
      <x:c r="J2250" s="12" t="n">
        <x:v>0</x:v>
      </x:c>
      <x:c r="K2250" s="12" t="n">
        <x:v>0</x:v>
      </x:c>
      <x:c r="L2250" s="12" t="n">
        <x:v>0</x:v>
      </x:c>
      <x:c r="M2250" s="2" t="str">
        <x:v>持有</x:v>
      </x:c>
    </x:row>
    <x:row r="2251" ht="23" customHeight="1">
      <x:c r="A2251" s="11" t="d">
        <x:v>2023-12-04T00:00:00.000Z</x:v>
      </x:c>
      <x:c r="B2251" s="12" t="n">
        <x:v>428.991502</x:v>
      </x:c>
      <x:c r="C2251" s="13" t="n">
        <x:v>263</x:v>
      </x:c>
      <x:c r="D2251" s="12" t="n">
        <x:v>120109.47</x:v>
      </x:c>
      <x:c r="E2251" s="12" t="n">
        <x:v>0</x:v>
      </x:c>
      <x:c r="F2251" s="12" t="n">
        <x:f>SUM(B2251,D2251:E2251)</x:f>
        <x:v>120538.461502</x:v>
      </x:c>
      <x:c r="G2251" s="12" t="n">
        <x:f>MAX(G2250,F2251)</x:f>
        <x:v>138687.599344</x:v>
      </x:c>
      <x:c r="H2251" s="14" t="n">
        <x:f>F2251/G2251-1</x:f>
        <x:v>-0.13086345086256024</x:v>
      </x:c>
      <x:c r="I2251" s="14" t="n">
        <x:f>F2251/F2250-1</x:f>
        <x:v>-0.005230816320656473</x:v>
      </x:c>
      <x:c r="J2251" s="12" t="n">
        <x:v>0</x:v>
      </x:c>
      <x:c r="K2251" s="12" t="n">
        <x:v>0</x:v>
      </x:c>
      <x:c r="L2251" s="12" t="n">
        <x:v>0</x:v>
      </x:c>
      <x:c r="M2251" s="2" t="str">
        <x:v>持有</x:v>
      </x:c>
    </x:row>
    <x:row r="2252" ht="23" customHeight="1">
      <x:c r="A2252" s="11" t="d">
        <x:v>2023-12-05T00:00:00.000Z</x:v>
      </x:c>
      <x:c r="B2252" s="12" t="n">
        <x:v>428.991502</x:v>
      </x:c>
      <x:c r="C2252" s="13" t="n">
        <x:v>263</x:v>
      </x:c>
      <x:c r="D2252" s="12" t="n">
        <x:v>120085.8</x:v>
      </x:c>
      <x:c r="E2252" s="12" t="n">
        <x:v>0</x:v>
      </x:c>
      <x:c r="F2252" s="12" t="n">
        <x:f>SUM(B2252,D2252:E2252)</x:f>
        <x:v>120514.79150200001</x:v>
      </x:c>
      <x:c r="G2252" s="12" t="n">
        <x:f>MAX(G2251,F2252)</x:f>
        <x:v>138687.599344</x:v>
      </x:c>
      <x:c r="H2252" s="14" t="n">
        <x:f>F2252/G2252-1</x:f>
        <x:v>-0.1310341222139425</x:v>
      </x:c>
      <x:c r="I2252" s="14" t="n">
        <x:f>F2252/F2251-1</x:f>
        <x:v>-0.00019636885774920732</x:v>
      </x:c>
      <x:c r="J2252" s="12" t="n">
        <x:v>0</x:v>
      </x:c>
      <x:c r="K2252" s="12" t="n">
        <x:v>0</x:v>
      </x:c>
      <x:c r="L2252" s="12" t="n">
        <x:v>0</x:v>
      </x:c>
      <x:c r="M2252" s="2" t="str">
        <x:v>持有</x:v>
      </x:c>
    </x:row>
    <x:row r="2253" ht="23" customHeight="1">
      <x:c r="A2253" s="11" t="d">
        <x:v>2023-12-06T00:00:00.000Z</x:v>
      </x:c>
      <x:c r="B2253" s="12" t="n">
        <x:v>428.991502</x:v>
      </x:c>
      <x:c r="C2253" s="13" t="n">
        <x:v>263</x:v>
      </x:c>
      <x:c r="D2253" s="12" t="n">
        <x:v>119601.88</x:v>
      </x:c>
      <x:c r="E2253" s="12" t="n">
        <x:v>0</x:v>
      </x:c>
      <x:c r="F2253" s="12" t="n">
        <x:f>SUM(B2253,D2253:E2253)</x:f>
        <x:v>120030.87150200001</x:v>
      </x:c>
      <x:c r="G2253" s="12" t="n">
        <x:f>MAX(G2252,F2253)</x:f>
        <x:v>138687.599344</x:v>
      </x:c>
      <x:c r="H2253" s="14" t="n">
        <x:f>F2253/G2253-1</x:f>
        <x:v>-0.13452340317553502</x:v>
      </x:c>
      <x:c r="I2253" s="14" t="n">
        <x:f>F2253/F2252-1</x:f>
        <x:v>-0.004015440710379292</x:v>
      </x:c>
      <x:c r="J2253" s="12" t="n">
        <x:v>0</x:v>
      </x:c>
      <x:c r="K2253" s="12" t="n">
        <x:v>0</x:v>
      </x:c>
      <x:c r="L2253" s="12" t="n">
        <x:v>0</x:v>
      </x:c>
      <x:c r="M2253" s="2" t="str">
        <x:v>持有</x:v>
      </x:c>
    </x:row>
    <x:row r="2254" ht="23" customHeight="1">
      <x:c r="A2254" s="11" t="d">
        <x:v>2023-12-07T00:00:00.000Z</x:v>
      </x:c>
      <x:c r="B2254" s="12" t="n">
        <x:v>428.991502</x:v>
      </x:c>
      <x:c r="C2254" s="13" t="n">
        <x:v>263</x:v>
      </x:c>
      <x:c r="D2254" s="12" t="n">
        <x:v>120514.49</x:v>
      </x:c>
      <x:c r="E2254" s="12" t="n">
        <x:v>0</x:v>
      </x:c>
      <x:c r="F2254" s="12" t="n">
        <x:f>SUM(B2254,D2254:E2254)</x:f>
        <x:v>120943.48150200001</x:v>
      </x:c>
      <x:c r="G2254" s="12" t="n">
        <x:f>MAX(G2253,F2254)</x:f>
        <x:v>138687.599344</x:v>
      </x:c>
      <x:c r="H2254" s="14" t="n">
        <x:f>F2254/G2254-1</x:f>
        <x:v>-0.12794307440557506</x:v>
      </x:c>
      <x:c r="I2254" s="14" t="n">
        <x:f>F2254/F2253-1</x:f>
        <x:v>0.007603127333660975</x:v>
      </x:c>
      <x:c r="J2254" s="12" t="n">
        <x:v>0</x:v>
      </x:c>
      <x:c r="K2254" s="12" t="n">
        <x:v>0</x:v>
      </x:c>
      <x:c r="L2254" s="12" t="n">
        <x:v>0</x:v>
      </x:c>
      <x:c r="M2254" s="2" t="str">
        <x:v>持有</x:v>
      </x:c>
    </x:row>
    <x:row r="2255" ht="23" customHeight="1">
      <x:c r="A2255" s="11" t="d">
        <x:v>2023-12-08T00:00:00.000Z</x:v>
      </x:c>
      <x:c r="B2255" s="12" t="n">
        <x:v>428.991502</x:v>
      </x:c>
      <x:c r="C2255" s="13" t="n">
        <x:v>263</x:v>
      </x:c>
      <x:c r="D2255" s="12" t="n">
        <x:v>121032.59999999999</x:v>
      </x:c>
      <x:c r="E2255" s="12" t="n">
        <x:v>0</x:v>
      </x:c>
      <x:c r="F2255" s="12" t="n">
        <x:f>SUM(B2255,D2255:E2255)</x:f>
        <x:v>121461.591502</x:v>
      </x:c>
      <x:c r="G2255" s="12" t="n">
        <x:f>MAX(G2254,F2255)</x:f>
        <x:v>138687.599344</x:v>
      </x:c>
      <x:c r="H2255" s="14" t="n">
        <x:f>F2255/G2255-1</x:f>
        <x:v>-0.12420726815865268</x:v>
      </x:c>
      <x:c r="I2255" s="14" t="n">
        <x:f>F2255/F2254-1</x:f>
        <x:v>0.004283901815671065</x:v>
      </x:c>
      <x:c r="J2255" s="12" t="n">
        <x:v>0</x:v>
      </x:c>
      <x:c r="K2255" s="12" t="n">
        <x:v>0</x:v>
      </x:c>
      <x:c r="L2255" s="12" t="n">
        <x:v>0</x:v>
      </x:c>
      <x:c r="M2255" s="2" t="str">
        <x:v>持有</x:v>
      </x:c>
    </x:row>
    <x:row r="2256" ht="23" customHeight="1">
      <x:c r="A2256" s="11" t="d">
        <x:v>2023-12-11T00:00:00.000Z</x:v>
      </x:c>
      <x:c r="B2256" s="12" t="n">
        <x:v>428.991502</x:v>
      </x:c>
      <x:c r="C2256" s="13" t="n">
        <x:v>263</x:v>
      </x:c>
      <x:c r="D2256" s="12" t="n">
        <x:v>121503.37</x:v>
      </x:c>
      <x:c r="E2256" s="12" t="n">
        <x:v>0</x:v>
      </x:c>
      <x:c r="F2256" s="12" t="n">
        <x:f>SUM(B2256,D2256:E2256)</x:f>
        <x:v>121932.361502</x:v>
      </x:c>
      <x:c r="G2256" s="12" t="n">
        <x:f>MAX(G2255,F2256)</x:f>
        <x:v>138687.599344</x:v>
      </x:c>
      <x:c r="H2256" s="14" t="n">
        <x:f>F2256/G2256-1</x:f>
        <x:v>-0.12081280461449462</x:v>
      </x:c>
      <x:c r="I2256" s="14" t="n">
        <x:f>F2256/F2255-1</x:f>
        <x:v>0.003875875444891097</x:v>
      </x:c>
      <x:c r="J2256" s="12" t="n">
        <x:v>0</x:v>
      </x:c>
      <x:c r="K2256" s="12" t="n">
        <x:v>0</x:v>
      </x:c>
      <x:c r="L2256" s="12" t="n">
        <x:v>0</x:v>
      </x:c>
      <x:c r="M2256" s="2" t="str">
        <x:v>持有</x:v>
      </x:c>
    </x:row>
    <x:row r="2257" ht="23" customHeight="1">
      <x:c r="A2257" s="11" t="d">
        <x:v>2023-12-12T00:00:00.000Z</x:v>
      </x:c>
      <x:c r="B2257" s="12" t="n">
        <x:v>428.991502</x:v>
      </x:c>
      <x:c r="C2257" s="13" t="n">
        <x:v>263</x:v>
      </x:c>
      <x:c r="D2257" s="12" t="n">
        <x:v>122058.3</x:v>
      </x:c>
      <x:c r="E2257" s="12" t="n">
        <x:v>0</x:v>
      </x:c>
      <x:c r="F2257" s="12" t="n">
        <x:f>SUM(B2257,D2257:E2257)</x:f>
        <x:v>122487.29150200001</x:v>
      </x:c>
      <x:c r="G2257" s="12" t="n">
        <x:f>MAX(G2256,F2257)</x:f>
        <x:v>138687.599344</x:v>
      </x:c>
      <x:c r="H2257" s="14" t="n">
        <x:f>F2257/G2257-1</x:f>
        <x:v>-0.1168115095987553</x:v>
      </x:c>
      <x:c r="I2257" s="14" t="n">
        <x:f>F2257/F2256-1</x:f>
        <x:v>0.004551129767062845</x:v>
      </x:c>
      <x:c r="J2257" s="12" t="n">
        <x:v>0</x:v>
      </x:c>
      <x:c r="K2257" s="12" t="n">
        <x:v>0</x:v>
      </x:c>
      <x:c r="L2257" s="12" t="n">
        <x:v>0</x:v>
      </x:c>
      <x:c r="M2257" s="2" t="str">
        <x:v>持有</x:v>
      </x:c>
    </x:row>
    <x:row r="2258" ht="23" customHeight="1">
      <x:c r="A2258" s="11" t="d">
        <x:v>2023-12-13T00:00:00.000Z</x:v>
      </x:c>
      <x:c r="B2258" s="12" t="n">
        <x:v>428.991502</x:v>
      </x:c>
      <x:c r="C2258" s="13" t="n">
        <x:v>263</x:v>
      </x:c>
      <x:c r="D2258" s="12" t="n">
        <x:v>123741.5</x:v>
      </x:c>
      <x:c r="E2258" s="12" t="n">
        <x:v>0</x:v>
      </x:c>
      <x:c r="F2258" s="12" t="n">
        <x:f>SUM(B2258,D2258:E2258)</x:f>
        <x:v>124170.491502</x:v>
      </x:c>
      <x:c r="G2258" s="12" t="n">
        <x:f>MAX(G2257,F2258)</x:f>
        <x:v>138687.599344</x:v>
      </x:c>
      <x:c r="H2258" s="14" t="n">
        <x:f>F2258/G2258-1</x:f>
        <x:v>-0.10467488016712889</x:v>
      </x:c>
      <x:c r="I2258" s="14" t="n">
        <x:f>F2258/F2257-1</x:f>
        <x:v>0.0137418337801396</x:v>
      </x:c>
      <x:c r="J2258" s="12" t="n">
        <x:v>0</x:v>
      </x:c>
      <x:c r="K2258" s="12" t="n">
        <x:v>0</x:v>
      </x:c>
      <x:c r="L2258" s="12" t="n">
        <x:v>0</x:v>
      </x:c>
      <x:c r="M2258" s="2" t="str">
        <x:v>持有</x:v>
      </x:c>
    </x:row>
    <x:row r="2259" ht="23" customHeight="1">
      <x:c r="A2259" s="11" t="d">
        <x:v>2023-12-14T00:00:00.000Z</x:v>
      </x:c>
      <x:c r="B2259" s="12" t="n">
        <x:v>428.991502</x:v>
      </x:c>
      <x:c r="C2259" s="13" t="n">
        <x:v>263</x:v>
      </x:c>
      <x:c r="D2259" s="12" t="n">
        <x:v>124138.63</x:v>
      </x:c>
      <x:c r="E2259" s="12" t="n">
        <x:v>0</x:v>
      </x:c>
      <x:c r="F2259" s="12" t="n">
        <x:f>SUM(B2259,D2259:E2259)</x:f>
        <x:v>124567.62150200001</x:v>
      </x:c>
      <x:c r="G2259" s="12" t="n">
        <x:f>MAX(G2258,F2259)</x:f>
        <x:v>138687.599344</x:v>
      </x:c>
      <x:c r="H2259" s="14" t="n">
        <x:f>F2259/G2259-1</x:f>
        <x:v>-0.10181139416060447</x:v>
      </x:c>
      <x:c r="I2259" s="14" t="n">
        <x:f>F2259/F2258-1</x:f>
        <x:v>0.003198263896649012</x:v>
      </x:c>
      <x:c r="J2259" s="12" t="n">
        <x:v>0</x:v>
      </x:c>
      <x:c r="K2259" s="12" t="n">
        <x:v>0</x:v>
      </x:c>
      <x:c r="L2259" s="12" t="n">
        <x:v>0</x:v>
      </x:c>
      <x:c r="M2259" s="2" t="str">
        <x:v>持有</x:v>
      </x:c>
    </x:row>
    <x:row r="2260" ht="23" customHeight="1">
      <x:c r="A2260" s="11" t="d">
        <x:v>2023-12-15T00:00:00.000Z</x:v>
      </x:c>
      <x:c r="B2260" s="12" t="n">
        <x:v>428.991502</x:v>
      </x:c>
      <x:c r="C2260" s="13" t="n">
        <x:v>263</x:v>
      </x:c>
      <x:c r="D2260" s="12" t="n">
        <x:v>123433.79</x:v>
      </x:c>
      <x:c r="E2260" s="12" t="n">
        <x:v>501.297199</x:v>
      </x:c>
      <x:c r="F2260" s="12" t="n">
        <x:f>SUM(B2260,D2260:E2260)</x:f>
        <x:v>124364.07870099999</x:v>
      </x:c>
      <x:c r="G2260" s="12" t="n">
        <x:f>MAX(G2259,F2260)</x:f>
        <x:v>138687.599344</x:v>
      </x:c>
      <x:c r="H2260" s="14" t="n">
        <x:f>F2260/G2260-1</x:f>
        <x:v>-0.10327902934906252</x:v>
      </x:c>
      <x:c r="I2260" s="14" t="n">
        <x:f>F2260/F2259-1</x:f>
        <x:v>-0.001633994440495501</x:v>
      </x:c>
      <x:c r="J2260" s="12" t="n">
        <x:v>501.297199</x:v>
      </x:c>
      <x:c r="K2260" s="12" t="n">
        <x:v>0</x:v>
      </x:c>
      <x:c r="L2260" s="12" t="n">
        <x:v>0</x:v>
      </x:c>
      <x:c r="M2260" s="2" t="str">
        <x:v>持有</x:v>
      </x:c>
    </x:row>
    <x:row r="2261" ht="23" customHeight="1">
      <x:c r="A2261" s="11" t="d">
        <x:v>2023-12-18T00:00:00.000Z</x:v>
      </x:c>
      <x:c r="B2261" s="12" t="n">
        <x:v>428.991502</x:v>
      </x:c>
      <x:c r="C2261" s="13" t="n">
        <x:v>263</x:v>
      </x:c>
      <x:c r="D2261" s="12" t="n">
        <x:v>124128.11</x:v>
      </x:c>
      <x:c r="E2261" s="12" t="n">
        <x:v>501.297199</x:v>
      </x:c>
      <x:c r="F2261" s="12" t="n">
        <x:f>SUM(B2261,D2261:E2261)</x:f>
        <x:v>125058.398701</x:v>
      </x:c>
      <x:c r="G2261" s="12" t="n">
        <x:f>MAX(G2260,F2261)</x:f>
        <x:v>138687.599344</x:v>
      </x:c>
      <x:c r="H2261" s="14" t="n">
        <x:f>F2261/G2261-1</x:f>
        <x:v>-0.09827266970851656</x:v>
      </x:c>
      <x:c r="I2261" s="14" t="n">
        <x:f>F2261/F2260-1</x:f>
        <x:v>0.005582962598623897</x:v>
      </x:c>
      <x:c r="J2261" s="12" t="n">
        <x:v>0</x:v>
      </x:c>
      <x:c r="K2261" s="12" t="n">
        <x:v>0</x:v>
      </x:c>
      <x:c r="L2261" s="12" t="n">
        <x:v>0</x:v>
      </x:c>
      <x:c r="M2261" s="2" t="str">
        <x:v>持有</x:v>
      </x:c>
    </x:row>
    <x:row r="2262" ht="23" customHeight="1">
      <x:c r="A2262" s="11" t="d">
        <x:v>2023-12-19T00:00:00.000Z</x:v>
      </x:c>
      <x:c r="B2262" s="12" t="n">
        <x:v>428.991502</x:v>
      </x:c>
      <x:c r="C2262" s="13" t="n">
        <x:v>263</x:v>
      </x:c>
      <x:c r="D2262" s="12" t="n">
        <x:v>124882.92</x:v>
      </x:c>
      <x:c r="E2262" s="12" t="n">
        <x:v>501.297199</x:v>
      </x:c>
      <x:c r="F2262" s="12" t="n">
        <x:f>SUM(B2262,D2262:E2262)</x:f>
        <x:v>125813.208701</x:v>
      </x:c>
      <x:c r="G2262" s="12" t="n">
        <x:f>MAX(G2261,F2262)</x:f>
        <x:v>138687.599344</x:v>
      </x:c>
      <x:c r="H2262" s="14" t="n">
        <x:f>F2262/G2262-1</x:f>
        <x:v>-0.09283014994777161</x:v>
      </x:c>
      <x:c r="I2262" s="14" t="n">
        <x:f>F2262/F2261-1</x:f>
        <x:v>0.006035660202275972</x:v>
      </x:c>
      <x:c r="J2262" s="12" t="n">
        <x:v>0</x:v>
      </x:c>
      <x:c r="K2262" s="12" t="n">
        <x:v>0</x:v>
      </x:c>
      <x:c r="L2262" s="12" t="n">
        <x:v>0</x:v>
      </x:c>
      <x:c r="M2262" s="2" t="str">
        <x:v>持有</x:v>
      </x:c>
    </x:row>
    <x:row r="2263" ht="23" customHeight="1">
      <x:c r="A2263" s="11" t="d">
        <x:v>2023-12-20T00:00:00.000Z</x:v>
      </x:c>
      <x:c r="B2263" s="12" t="n">
        <x:v>428.991502</x:v>
      </x:c>
      <x:c r="C2263" s="13" t="n">
        <x:v>263</x:v>
      </x:c>
      <x:c r="D2263" s="12" t="n">
        <x:v>123152.38</x:v>
      </x:c>
      <x:c r="E2263" s="12" t="n">
        <x:v>501.297199</x:v>
      </x:c>
      <x:c r="F2263" s="12" t="n">
        <x:f>SUM(B2263,D2263:E2263)</x:f>
        <x:v>124082.668701</x:v>
      </x:c>
      <x:c r="G2263" s="12" t="n">
        <x:f>MAX(G2262,F2263)</x:f>
        <x:v>138687.599344</x:v>
      </x:c>
      <x:c r="H2263" s="14" t="n">
        <x:f>F2263/G2263-1</x:f>
        <x:v>-0.10530812208216245</x:v>
      </x:c>
      <x:c r="I2263" s="14" t="n">
        <x:f>F2263/F2262-1</x:f>
        <x:v>-0.013754835584176894</x:v>
      </x:c>
      <x:c r="J2263" s="12" t="n">
        <x:v>0</x:v>
      </x:c>
      <x:c r="K2263" s="12" t="n">
        <x:v>0</x:v>
      </x:c>
      <x:c r="L2263" s="12" t="n">
        <x:v>0</x:v>
      </x:c>
      <x:c r="M2263" s="2" t="str">
        <x:v>持有</x:v>
      </x:c>
    </x:row>
    <x:row r="2264" ht="23" customHeight="1">
      <x:c r="A2264" s="11" t="d">
        <x:v>2023-12-21T00:00:00.000Z</x:v>
      </x:c>
      <x:c r="B2264" s="12" t="n">
        <x:v>428.991502</x:v>
      </x:c>
      <x:c r="C2264" s="13" t="n">
        <x:v>263</x:v>
      </x:c>
      <x:c r="D2264" s="12" t="n">
        <x:v>124320.09999999999</x:v>
      </x:c>
      <x:c r="E2264" s="12" t="n">
        <x:v>501.297199</x:v>
      </x:c>
      <x:c r="F2264" s="12" t="n">
        <x:f>SUM(B2264,D2264:E2264)</x:f>
        <x:v>125250.38870099999</x:v>
      </x:c>
      <x:c r="G2264" s="12" t="n">
        <x:f>MAX(G2263,F2264)</x:f>
        <x:v>138687.599344</x:v>
      </x:c>
      <x:c r="H2264" s="14" t="n">
        <x:f>F2264/G2264-1</x:f>
        <x:v>-0.0968883354139718</x:v>
      </x:c>
      <x:c r="I2264" s="14" t="n">
        <x:f>F2264/F2263-1</x:f>
        <x:v>0.009410822737975</x:v>
      </x:c>
      <x:c r="J2264" s="12" t="n">
        <x:v>0</x:v>
      </x:c>
      <x:c r="K2264" s="12" t="n">
        <x:v>0</x:v>
      </x:c>
      <x:c r="L2264" s="12" t="n">
        <x:v>0</x:v>
      </x:c>
      <x:c r="M2264" s="2" t="str">
        <x:v>持有</x:v>
      </x:c>
    </x:row>
    <x:row r="2265" ht="23" customHeight="1">
      <x:c r="A2265" s="11" t="d">
        <x:v>2023-12-22T00:00:00.000Z</x:v>
      </x:c>
      <x:c r="B2265" s="12" t="n">
        <x:v>428.991502</x:v>
      </x:c>
      <x:c r="C2265" s="13" t="n">
        <x:v>263</x:v>
      </x:c>
      <x:c r="D2265" s="12" t="n">
        <x:v>124569.95</x:v>
      </x:c>
      <x:c r="E2265" s="12" t="n">
        <x:v>501.297199</x:v>
      </x:c>
      <x:c r="F2265" s="12" t="n">
        <x:f>SUM(B2265,D2265:E2265)</x:f>
        <x:v>125500.238701</x:v>
      </x:c>
      <x:c r="G2265" s="12" t="n">
        <x:f>MAX(G2264,F2265)</x:f>
        <x:v>138687.599344</x:v>
      </x:c>
      <x:c r="H2265" s="14" t="n">
        <x:f>F2265/G2265-1</x:f>
        <x:v>-0.09508680448271467</x:v>
      </x:c>
      <x:c r="I2265" s="14" t="n">
        <x:f>F2265/F2264-1</x:f>
        <x:v>0.0019948041885637924</x:v>
      </x:c>
      <x:c r="J2265" s="12" t="n">
        <x:v>0</x:v>
      </x:c>
      <x:c r="K2265" s="12" t="n">
        <x:v>0</x:v>
      </x:c>
      <x:c r="L2265" s="12" t="n">
        <x:v>0</x:v>
      </x:c>
      <x:c r="M2265" s="2" t="str">
        <x:v>持有</x:v>
      </x:c>
    </x:row>
    <x:row r="2266" ht="23" customHeight="1">
      <x:c r="A2266" s="11" t="d">
        <x:v>2023-12-26T00:00:00.000Z</x:v>
      </x:c>
      <x:c r="B2266" s="12" t="n">
        <x:v>428.991502</x:v>
      </x:c>
      <x:c r="C2266" s="13" t="n">
        <x:v>263</x:v>
      </x:c>
      <x:c r="D2266" s="12" t="n">
        <x:v>125095.95</x:v>
      </x:c>
      <x:c r="E2266" s="12" t="n">
        <x:v>501.297199</x:v>
      </x:c>
      <x:c r="F2266" s="12" t="n">
        <x:f>SUM(B2266,D2266:E2266)</x:f>
        <x:v>126026.238701</x:v>
      </x:c>
      <x:c r="G2266" s="12" t="n">
        <x:f>MAX(G2265,F2266)</x:f>
        <x:v>138687.599344</x:v>
      </x:c>
      <x:c r="H2266" s="14" t="n">
        <x:f>F2266/G2266-1</x:f>
        <x:v>-0.09129410778533142</x:v>
      </x:c>
      <x:c r="I2266" s="14" t="n">
        <x:f>F2266/F2265-1</x:f>
        <x:v>0.004191227088047089</x:v>
      </x:c>
      <x:c r="J2266" s="12" t="n">
        <x:v>0</x:v>
      </x:c>
      <x:c r="K2266" s="12" t="n">
        <x:v>0</x:v>
      </x:c>
      <x:c r="L2266" s="12" t="n">
        <x:v>0</x:v>
      </x:c>
      <x:c r="M2266" s="2" t="str">
        <x:v>持有</x:v>
      </x:c>
    </x:row>
    <x:row r="2267" ht="23" customHeight="1">
      <x:c r="A2267" s="11" t="d">
        <x:v>2023-12-27T00:00:00.000Z</x:v>
      </x:c>
      <x:c r="B2267" s="12" t="n">
        <x:v>428.991502</x:v>
      </x:c>
      <x:c r="C2267" s="13" t="n">
        <x:v>263</x:v>
      </x:c>
      <x:c r="D2267" s="12" t="n">
        <x:v>125322.13</x:v>
      </x:c>
      <x:c r="E2267" s="12" t="n">
        <x:v>501.297199</x:v>
      </x:c>
      <x:c r="F2267" s="12" t="n">
        <x:f>SUM(B2267,D2267:E2267)</x:f>
        <x:v>126252.418701</x:v>
      </x:c>
      <x:c r="G2267" s="12" t="n">
        <x:f>MAX(G2266,F2267)</x:f>
        <x:v>138687.599344</x:v>
      </x:c>
      <x:c r="H2267" s="14" t="n">
        <x:f>F2267/G2267-1</x:f>
        <x:v>-0.08966324820545657</x:v>
      </x:c>
      <x:c r="I2267" s="14" t="n">
        <x:f>F2267/F2266-1</x:f>
        <x:v>0.0017947056290128494</x:v>
      </x:c>
      <x:c r="J2267" s="12" t="n">
        <x:v>0</x:v>
      </x:c>
      <x:c r="K2267" s="12" t="n">
        <x:v>0</x:v>
      </x:c>
      <x:c r="L2267" s="12" t="n">
        <x:v>0</x:v>
      </x:c>
      <x:c r="M2267" s="2" t="str">
        <x:v>持有</x:v>
      </x:c>
    </x:row>
    <x:row r="2268" ht="23" customHeight="1">
      <x:c r="A2268" s="11" t="d">
        <x:v>2023-12-28T00:00:00.000Z</x:v>
      </x:c>
      <x:c r="B2268" s="12" t="n">
        <x:v>428.991502</x:v>
      </x:c>
      <x:c r="C2268" s="13" t="n">
        <x:v>263</x:v>
      </x:c>
      <x:c r="D2268" s="12" t="n">
        <x:v>125369.47</x:v>
      </x:c>
      <x:c r="E2268" s="12" t="n">
        <x:v>501.297199</x:v>
      </x:c>
      <x:c r="F2268" s="12" t="n">
        <x:f>SUM(B2268,D2268:E2268)</x:f>
        <x:v>126299.758701</x:v>
      </x:c>
      <x:c r="G2268" s="12" t="n">
        <x:f>MAX(G2267,F2268)</x:f>
        <x:v>138687.599344</x:v>
      </x:c>
      <x:c r="H2268" s="14" t="n">
        <x:f>F2268/G2268-1</x:f>
        <x:v>-0.08932190550269214</x:v>
      </x:c>
      <x:c r="I2268" s="14" t="n">
        <x:f>F2268/F2267-1</x:f>
        <x:v>0.0003749631134759568</x:v>
      </x:c>
      <x:c r="J2268" s="12" t="n">
        <x:v>0</x:v>
      </x:c>
      <x:c r="K2268" s="12" t="n">
        <x:v>0</x:v>
      </x:c>
      <x:c r="L2268" s="12" t="n">
        <x:v>0</x:v>
      </x:c>
      <x:c r="M2268" s="2" t="str">
        <x:v>持有</x:v>
      </x:c>
    </x:row>
    <x:row r="2269" ht="23" customHeight="1">
      <x:c r="A2269" s="11" t="d">
        <x:v>2023-12-29T00:00:00.000Z</x:v>
      </x:c>
      <x:c r="B2269" s="12" t="n">
        <x:v>428.991502</x:v>
      </x:c>
      <x:c r="C2269" s="13" t="n">
        <x:v>263</x:v>
      </x:c>
      <x:c r="D2269" s="12" t="n">
        <x:v>125006.53</x:v>
      </x:c>
      <x:c r="E2269" s="12" t="n">
        <x:v>501.297199</x:v>
      </x:c>
      <x:c r="F2269" s="12" t="n">
        <x:f>SUM(B2269,D2269:E2269)</x:f>
        <x:v>125936.818701</x:v>
      </x:c>
      <x:c r="G2269" s="12" t="n">
        <x:f>MAX(G2268,F2269)</x:f>
        <x:v>138687.599344</x:v>
      </x:c>
      <x:c r="H2269" s="14" t="n">
        <x:f>F2269/G2269-1</x:f>
        <x:v>-0.09193886622388658</x:v>
      </x:c>
      <x:c r="I2269" s="14" t="n">
        <x:f>F2269/F2268-1</x:f>
        <x:v>-0.0028736396944289977</x:v>
      </x:c>
      <x:c r="J2269" s="12" t="n">
        <x:v>0</x:v>
      </x:c>
      <x:c r="K2269" s="12" t="n">
        <x:v>0</x:v>
      </x:c>
      <x:c r="L2269" s="12" t="n">
        <x:v>0</x:v>
      </x:c>
      <x:c r="M2269" s="2" t="str">
        <x:v>持有</x:v>
      </x:c>
    </x:row>
    <x:row r="2270" ht="23" customHeight="1">
      <x:c r="A2270" s="11" t="d">
        <x:v>2024-01-02T00:00:00.000Z</x:v>
      </x:c>
      <x:c r="B2270" s="12" t="n">
        <x:v>428.991502</x:v>
      </x:c>
      <x:c r="C2270" s="13" t="n">
        <x:v>263</x:v>
      </x:c>
      <x:c r="D2270" s="12" t="n">
        <x:v>124306.95</x:v>
      </x:c>
      <x:c r="E2270" s="12" t="n">
        <x:v>501.297199</x:v>
      </x:c>
      <x:c r="F2270" s="12" t="n">
        <x:f>SUM(B2270,D2270:E2270)</x:f>
        <x:v>125237.238701</x:v>
      </x:c>
      <x:c r="G2270" s="12" t="n">
        <x:f>MAX(G2269,F2270)</x:f>
        <x:v>138687.599344</x:v>
      </x:c>
      <x:c r="H2270" s="14" t="n">
        <x:f>F2270/G2270-1</x:f>
        <x:v>-0.09698315283140624</x:v>
      </x:c>
      <x:c r="I2270" s="14" t="n">
        <x:f>F2270/F2269-1</x:f>
        <x:v>-0.005555007719076577</x:v>
      </x:c>
      <x:c r="J2270" s="12" t="n">
        <x:v>0</x:v>
      </x:c>
      <x:c r="K2270" s="12" t="n">
        <x:v>0</x:v>
      </x:c>
      <x:c r="L2270" s="12" t="n">
        <x:v>0</x:v>
      </x:c>
      <x:c r="M2270" s="2" t="str">
        <x:v>持有</x:v>
      </x:c>
    </x:row>
    <x:row r="2271" ht="23" customHeight="1">
      <x:c r="A2271" s="11" t="d">
        <x:v>2024-01-03T00:00:00.000Z</x:v>
      </x:c>
      <x:c r="B2271" s="12" t="n">
        <x:v>428.991502</x:v>
      </x:c>
      <x:c r="C2271" s="13" t="n">
        <x:v>263</x:v>
      </x:c>
      <x:c r="D2271" s="12" t="n">
        <x:v>123291.77</x:v>
      </x:c>
      <x:c r="E2271" s="12" t="n">
        <x:v>501.297199</x:v>
      </x:c>
      <x:c r="F2271" s="12" t="n">
        <x:f>SUM(B2271,D2271:E2271)</x:f>
        <x:v>124222.058701</x:v>
      </x:c>
      <x:c r="G2271" s="12" t="n">
        <x:f>MAX(G2270,F2271)</x:f>
        <x:v>138687.599344</x:v>
      </x:c>
      <x:c r="H2271" s="14" t="n">
        <x:f>F2271/G2271-1</x:f>
        <x:v>-0.10430305745735591</x:v>
      </x:c>
      <x:c r="I2271" s="14" t="n">
        <x:f>F2271/F2270-1</x:f>
        <x:v>-0.008106055439498383</x:v>
      </x:c>
      <x:c r="J2271" s="12" t="n">
        <x:v>0</x:v>
      </x:c>
      <x:c r="K2271" s="12" t="n">
        <x:v>0</x:v>
      </x:c>
      <x:c r="L2271" s="12" t="n">
        <x:v>0</x:v>
      </x:c>
      <x:c r="M2271" s="2" t="str">
        <x:v>持有</x:v>
      </x:c>
    </x:row>
    <x:row r="2272" ht="23" customHeight="1">
      <x:c r="A2272" s="11" t="d">
        <x:v>2024-01-04T00:00:00.000Z</x:v>
      </x:c>
      <x:c r="B2272" s="12" t="n">
        <x:v>428.991502</x:v>
      </x:c>
      <x:c r="C2272" s="13" t="n">
        <x:v>263</x:v>
      </x:c>
      <x:c r="D2272" s="12" t="n">
        <x:v>122894.64</x:v>
      </x:c>
      <x:c r="E2272" s="12" t="n">
        <x:v>501.297199</x:v>
      </x:c>
      <x:c r="F2272" s="12" t="n">
        <x:f>SUM(B2272,D2272:E2272)</x:f>
        <x:v>123824.928701</x:v>
      </x:c>
      <x:c r="G2272" s="12" t="n">
        <x:f>MAX(G2271,F2272)</x:f>
        <x:v>138687.599344</x:v>
      </x:c>
      <x:c r="H2272" s="14" t="n">
        <x:f>F2272/G2272-1</x:f>
        <x:v>-0.10716654346388033</x:v>
      </x:c>
      <x:c r="I2272" s="14" t="n">
        <x:f>F2272/F2271-1</x:f>
        <x:v>-0.0031969362297874504</x:v>
      </x:c>
      <x:c r="J2272" s="12" t="n">
        <x:v>0</x:v>
      </x:c>
      <x:c r="K2272" s="12" t="n">
        <x:v>0</x:v>
      </x:c>
      <x:c r="L2272" s="12" t="n">
        <x:v>0</x:v>
      </x:c>
      <x:c r="M2272" s="2" t="str">
        <x:v>持有</x:v>
      </x:c>
    </x:row>
    <x:row r="2273" ht="23" customHeight="1">
      <x:c r="A2273" s="11" t="d">
        <x:v>2024-01-05T00:00:00.000Z</x:v>
      </x:c>
      <x:c r="B2273" s="12" t="n">
        <x:v>428.991502</x:v>
      </x:c>
      <x:c r="C2273" s="13" t="n">
        <x:v>263</x:v>
      </x:c>
      <x:c r="D2273" s="12" t="n">
        <x:v>123062.96</x:v>
      </x:c>
      <x:c r="E2273" s="12" t="n">
        <x:v>501.297199</x:v>
      </x:c>
      <x:c r="F2273" s="12" t="n">
        <x:f>SUM(B2273,D2273:E2273)</x:f>
        <x:v>123993.248701</x:v>
      </x:c>
      <x:c r="G2273" s="12" t="n">
        <x:f>MAX(G2272,F2273)</x:f>
        <x:v>138687.599344</x:v>
      </x:c>
      <x:c r="H2273" s="14" t="n">
        <x:f>F2273/G2273-1</x:f>
        <x:v>-0.10595288052071761</x:v>
      </x:c>
      <x:c r="I2273" s="14" t="n">
        <x:f>F2273/F2272-1</x:f>
        <x:v>0.001359338557799239</x:v>
      </x:c>
      <x:c r="J2273" s="12" t="n">
        <x:v>0</x:v>
      </x:c>
      <x:c r="K2273" s="12" t="n">
        <x:v>0</x:v>
      </x:c>
      <x:c r="L2273" s="12" t="n">
        <x:v>0</x:v>
      </x:c>
      <x:c r="M2273" s="2" t="str">
        <x:v>持有</x:v>
      </x:c>
    </x:row>
    <x:row r="2274" ht="23" customHeight="1">
      <x:c r="A2274" s="11" t="d">
        <x:v>2024-01-08T00:00:00.000Z</x:v>
      </x:c>
      <x:c r="B2274" s="12" t="n">
        <x:v>428.991502</x:v>
      </x:c>
      <x:c r="C2274" s="13" t="n">
        <x:v>263</x:v>
      </x:c>
      <x:c r="D2274" s="12" t="n">
        <x:v>124819.8</x:v>
      </x:c>
      <x:c r="E2274" s="12" t="n">
        <x:v>501.297199</x:v>
      </x:c>
      <x:c r="F2274" s="12" t="n">
        <x:f>SUM(B2274,D2274:E2274)</x:f>
        <x:v>125750.088701</x:v>
      </x:c>
      <x:c r="G2274" s="12" t="n">
        <x:f>MAX(G2273,F2274)</x:f>
        <x:v>138687.599344</x:v>
      </x:c>
      <x:c r="H2274" s="14" t="n">
        <x:f>F2274/G2274-1</x:f>
        <x:v>-0.09328527355145755</x:v>
      </x:c>
      <x:c r="I2274" s="14" t="n">
        <x:f>F2274/F2273-1</x:f>
        <x:v>0.014168835952000025</x:v>
      </x:c>
      <x:c r="J2274" s="12" t="n">
        <x:v>0</x:v>
      </x:c>
      <x:c r="K2274" s="12" t="n">
        <x:v>0</x:v>
      </x:c>
      <x:c r="L2274" s="12" t="n">
        <x:v>0</x:v>
      </x:c>
      <x:c r="M2274" s="2" t="str">
        <x:v>持有</x:v>
      </x:c>
    </x:row>
    <x:row r="2275" ht="23" customHeight="1">
      <x:c r="A2275" s="11" t="d">
        <x:v>2024-01-09T00:00:00.000Z</x:v>
      </x:c>
      <x:c r="B2275" s="12" t="n">
        <x:v>428.991502</x:v>
      </x:c>
      <x:c r="C2275" s="13" t="n">
        <x:v>263</x:v>
      </x:c>
      <x:c r="D2275" s="12" t="n">
        <x:v>124630.44</x:v>
      </x:c>
      <x:c r="E2275" s="12" t="n">
        <x:v>501.297199</x:v>
      </x:c>
      <x:c r="F2275" s="12" t="n">
        <x:f>SUM(B2275,D2275:E2275)</x:f>
        <x:v>125560.728701</x:v>
      </x:c>
      <x:c r="G2275" s="12" t="n">
        <x:f>MAX(G2274,F2275)</x:f>
        <x:v>138687.599344</x:v>
      </x:c>
      <x:c r="H2275" s="14" t="n">
        <x:f>F2275/G2275-1</x:f>
        <x:v>-0.09465064436251558</x:v>
      </x:c>
      <x:c r="I2275" s="14" t="n">
        <x:f>F2275/F2274-1</x:f>
        <x:v>-0.0015058438682317155</x:v>
      </x:c>
      <x:c r="J2275" s="12" t="n">
        <x:v>0</x:v>
      </x:c>
      <x:c r="K2275" s="12" t="n">
        <x:v>0</x:v>
      </x:c>
      <x:c r="L2275" s="12" t="n">
        <x:v>0</x:v>
      </x:c>
      <x:c r="M2275" s="2" t="str">
        <x:v>持有</x:v>
      </x:c>
    </x:row>
    <x:row r="2276" ht="23" customHeight="1">
      <x:c r="A2276" s="11" t="d">
        <x:v>2024-01-10T00:00:00.000Z</x:v>
      </x:c>
      <x:c r="B2276" s="12" t="n">
        <x:v>428.991502</x:v>
      </x:c>
      <x:c r="C2276" s="13" t="n">
        <x:v>263</x:v>
      </x:c>
      <x:c r="D2276" s="12" t="n">
        <x:v>125335.28</x:v>
      </x:c>
      <x:c r="E2276" s="12" t="n">
        <x:v>501.297199</x:v>
      </x:c>
      <x:c r="F2276" s="12" t="n">
        <x:f>SUM(B2276,D2276:E2276)</x:f>
        <x:v>126265.568701</x:v>
      </x:c>
      <x:c r="G2276" s="12" t="n">
        <x:f>MAX(G2275,F2276)</x:f>
        <x:v>138687.599344</x:v>
      </x:c>
      <x:c r="H2276" s="14" t="n">
        <x:f>F2276/G2276-1</x:f>
        <x:v>-0.08956843078802201</x:v>
      </x:c>
      <x:c r="I2276" s="14" t="n">
        <x:f>F2276/F2275-1</x:f>
        <x:v>0.005613538622242675</x:v>
      </x:c>
      <x:c r="J2276" s="12" t="n">
        <x:v>0</x:v>
      </x:c>
      <x:c r="K2276" s="12" t="n">
        <x:v>0</x:v>
      </x:c>
      <x:c r="L2276" s="12" t="n">
        <x:v>0</x:v>
      </x:c>
      <x:c r="M2276" s="2" t="str">
        <x:v>持有</x:v>
      </x:c>
    </x:row>
    <x:row r="2277" ht="23" customHeight="1">
      <x:c r="A2277" s="11" t="d">
        <x:v>2024-01-11T00:00:00.000Z</x:v>
      </x:c>
      <x:c r="B2277" s="12" t="n">
        <x:v>428.991502</x:v>
      </x:c>
      <x:c r="C2277" s="13" t="n">
        <x:v>263</x:v>
      </x:c>
      <x:c r="D2277" s="12" t="n">
        <x:v>125280.05</x:v>
      </x:c>
      <x:c r="E2277" s="12" t="n">
        <x:v>501.297199</x:v>
      </x:c>
      <x:c r="F2277" s="12" t="n">
        <x:f>SUM(B2277,D2277:E2277)</x:f>
        <x:v>126210.338701</x:v>
      </x:c>
      <x:c r="G2277" s="12" t="n">
        <x:f>MAX(G2276,F2277)</x:f>
        <x:v>138687.599344</x:v>
      </x:c>
      <x:c r="H2277" s="14" t="n">
        <x:f>F2277/G2277-1</x:f>
        <x:v>-0.0899666639412472</x:v>
      </x:c>
      <x:c r="I2277" s="14" t="n">
        <x:f>F2277/F2276-1</x:f>
        <x:v>-0.0004374114065155421</x:v>
      </x:c>
      <x:c r="J2277" s="12" t="n">
        <x:v>0</x:v>
      </x:c>
      <x:c r="K2277" s="12" t="n">
        <x:v>0</x:v>
      </x:c>
      <x:c r="L2277" s="12" t="n">
        <x:v>0</x:v>
      </x:c>
      <x:c r="M2277" s="2" t="str">
        <x:v>持有</x:v>
      </x:c>
    </x:row>
    <x:row r="2278" ht="23" customHeight="1">
      <x:c r="A2278" s="11" t="d">
        <x:v>2024-01-12T00:00:00.000Z</x:v>
      </x:c>
      <x:c r="B2278" s="12" t="n">
        <x:v>428.991502</x:v>
      </x:c>
      <x:c r="C2278" s="13" t="n">
        <x:v>263</x:v>
      </x:c>
      <x:c r="D2278" s="12" t="n">
        <x:v>125366.84</x:v>
      </x:c>
      <x:c r="E2278" s="12" t="n">
        <x:v>501.297199</x:v>
      </x:c>
      <x:c r="F2278" s="12" t="n">
        <x:f>SUM(B2278,D2278:E2278)</x:f>
        <x:v>126297.128701</x:v>
      </x:c>
      <x:c r="G2278" s="12" t="n">
        <x:f>MAX(G2277,F2278)</x:f>
        <x:v>138687.599344</x:v>
      </x:c>
      <x:c r="H2278" s="14" t="n">
        <x:f>F2278/G2278-1</x:f>
        <x:v>-0.08934086898617899</x:v>
      </x:c>
      <x:c r="I2278" s="14" t="n">
        <x:f>F2278/F2277-1</x:f>
        <x:v>0.0006876615726831847</x:v>
      </x:c>
      <x:c r="J2278" s="12" t="n">
        <x:v>0</x:v>
      </x:c>
      <x:c r="K2278" s="12" t="n">
        <x:v>0</x:v>
      </x:c>
      <x:c r="L2278" s="12" t="n">
        <x:v>0</x:v>
      </x:c>
      <x:c r="M2278" s="2" t="str">
        <x:v>持有</x:v>
      </x:c>
    </x:row>
    <x:row r="2279" ht="23" customHeight="1">
      <x:c r="A2279" s="11" t="d">
        <x:v>2024-01-16T00:00:00.000Z</x:v>
      </x:c>
      <x:c r="B2279" s="12" t="n">
        <x:v>428.991502</x:v>
      </x:c>
      <x:c r="C2279" s="13" t="n">
        <x:v>263</x:v>
      </x:c>
      <x:c r="D2279" s="12" t="n">
        <x:v>124906.59</x:v>
      </x:c>
      <x:c r="E2279" s="12" t="n">
        <x:v>501.297199</x:v>
      </x:c>
      <x:c r="F2279" s="12" t="n">
        <x:f>SUM(B2279,D2279:E2279)</x:f>
        <x:v>125836.878701</x:v>
      </x:c>
      <x:c r="G2279" s="12" t="n">
        <x:f>MAX(G2278,F2279)</x:f>
        <x:v>138687.599344</x:v>
      </x:c>
      <x:c r="H2279" s="14" t="n">
        <x:f>F2279/G2279-1</x:f>
        <x:v>-0.09265947859638934</x:v>
      </x:c>
      <x:c r="I2279" s="14" t="n">
        <x:f>F2279/F2278-1</x:f>
        <x:v>-0.003644184192734934</x:v>
      </x:c>
      <x:c r="J2279" s="12" t="n">
        <x:v>0</x:v>
      </x:c>
      <x:c r="K2279" s="12" t="n">
        <x:v>0</x:v>
      </x:c>
      <x:c r="L2279" s="12" t="n">
        <x:v>0</x:v>
      </x:c>
      <x:c r="M2279" s="2" t="str">
        <x:v>持有</x:v>
      </x:c>
    </x:row>
    <x:row r="2280" ht="23" customHeight="1">
      <x:c r="A2280" s="11" t="d">
        <x:v>2024-01-17T00:00:00.000Z</x:v>
      </x:c>
      <x:c r="B2280" s="12" t="n">
        <x:v>428.991502</x:v>
      </x:c>
      <x:c r="C2280" s="13" t="n">
        <x:v>263</x:v>
      </x:c>
      <x:c r="D2280" s="12" t="n">
        <x:v>124212.27</x:v>
      </x:c>
      <x:c r="E2280" s="12" t="n">
        <x:v>501.297199</x:v>
      </x:c>
      <x:c r="F2280" s="12" t="n">
        <x:f>SUM(B2280,D2280:E2280)</x:f>
        <x:v>125142.558701</x:v>
      </x:c>
      <x:c r="G2280" s="12" t="n">
        <x:f>MAX(G2279,F2280)</x:f>
        <x:v>138687.599344</x:v>
      </x:c>
      <x:c r="H2280" s="14" t="n">
        <x:f>F2280/G2280-1</x:f>
        <x:v>-0.0976658382369352</x:v>
      </x:c>
      <x:c r="I2280" s="14" t="n">
        <x:f>F2280/F2279-1</x:f>
        <x:v>-0.005517619374919236</x:v>
      </x:c>
      <x:c r="J2280" s="12" t="n">
        <x:v>0</x:v>
      </x:c>
      <x:c r="K2280" s="12" t="n">
        <x:v>0</x:v>
      </x:c>
      <x:c r="L2280" s="12" t="n">
        <x:v>0</x:v>
      </x:c>
      <x:c r="M2280" s="2" t="str">
        <x:v>持有</x:v>
      </x:c>
    </x:row>
    <x:row r="2281" ht="23" customHeight="1">
      <x:c r="A2281" s="11" t="d">
        <x:v>2024-01-18T00:00:00.000Z</x:v>
      </x:c>
      <x:c r="B2281" s="12" t="n">
        <x:v>428.991502</x:v>
      </x:c>
      <x:c r="C2281" s="13" t="n">
        <x:v>263</x:v>
      </x:c>
      <x:c r="D2281" s="12" t="n">
        <x:v>125316.87</x:v>
      </x:c>
      <x:c r="E2281" s="12" t="n">
        <x:v>501.297199</x:v>
      </x:c>
      <x:c r="F2281" s="12" t="n">
        <x:f>SUM(B2281,D2281:E2281)</x:f>
        <x:v>126247.158701</x:v>
      </x:c>
      <x:c r="G2281" s="12" t="n">
        <x:f>MAX(G2280,F2281)</x:f>
        <x:v>138687.599344</x:v>
      </x:c>
      <x:c r="H2281" s="14" t="n">
        <x:f>F2281/G2281-1</x:f>
        <x:v>-0.08970117517243048</x:v>
      </x:c>
      <x:c r="I2281" s="14" t="n">
        <x:f>F2281/F2280-1</x:f>
        <x:v>0.008826733378843432</x:v>
      </x:c>
      <x:c r="J2281" s="12" t="n">
        <x:v>0</x:v>
      </x:c>
      <x:c r="K2281" s="12" t="n">
        <x:v>0</x:v>
      </x:c>
      <x:c r="L2281" s="12" t="n">
        <x:v>0</x:v>
      </x:c>
      <x:c r="M2281" s="2" t="str">
        <x:v>持有</x:v>
      </x:c>
    </x:row>
    <x:row r="2282" ht="23" customHeight="1">
      <x:c r="A2282" s="11" t="d">
        <x:v>2024-01-19T00:00:00.000Z</x:v>
      </x:c>
      <x:c r="B2282" s="12" t="n">
        <x:v>428.991502</x:v>
      </x:c>
      <x:c r="C2282" s="13" t="n">
        <x:v>263</x:v>
      </x:c>
      <x:c r="D2282" s="12" t="n">
        <x:v>126879.09</x:v>
      </x:c>
      <x:c r="E2282" s="12" t="n">
        <x:v>501.297199</x:v>
      </x:c>
      <x:c r="F2282" s="12" t="n">
        <x:f>SUM(B2282,D2282:E2282)</x:f>
        <x:v>127809.378701</x:v>
      </x:c>
      <x:c r="G2282" s="12" t="n">
        <x:f>MAX(G2281,F2282)</x:f>
        <x:v>138687.599344</x:v>
      </x:c>
      <x:c r="H2282" s="14" t="n">
        <x:f>F2282/G2282-1</x:f>
        <x:v>-0.07843686598120225</x:v>
      </x:c>
      <x:c r="I2282" s="14" t="n">
        <x:f>F2282/F2281-1</x:f>
        <x:v>0.012374298289753227</x:v>
      </x:c>
      <x:c r="J2282" s="12" t="n">
        <x:v>0</x:v>
      </x:c>
      <x:c r="K2282" s="12" t="n">
        <x:v>0</x:v>
      </x:c>
      <x:c r="L2282" s="12" t="n">
        <x:v>0</x:v>
      </x:c>
      <x:c r="M2282" s="2" t="str">
        <x:v>持有</x:v>
      </x:c>
    </x:row>
    <x:row r="2283" ht="23" customHeight="1">
      <x:c r="A2283" s="11" t="d">
        <x:v>2024-01-22T00:00:00.000Z</x:v>
      </x:c>
      <x:c r="B2283" s="12" t="n">
        <x:v>428.991502</x:v>
      </x:c>
      <x:c r="C2283" s="13" t="n">
        <x:v>263</x:v>
      </x:c>
      <x:c r="D2283" s="12" t="n">
        <x:v>127147.34999999999</x:v>
      </x:c>
      <x:c r="E2283" s="12" t="n">
        <x:v>501.297199</x:v>
      </x:c>
      <x:c r="F2283" s="12" t="n">
        <x:f>SUM(B2283,D2283:E2283)</x:f>
        <x:v>128077.63870099999</x:v>
      </x:c>
      <x:c r="G2283" s="12" t="n">
        <x:f>MAX(G2282,F2283)</x:f>
        <x:v>138687.599344</x:v>
      </x:c>
      <x:c r="H2283" s="14" t="n">
        <x:f>F2283/G2283-1</x:f>
        <x:v>-0.07650259066553677</x:v>
      </x:c>
      <x:c r="I2283" s="14" t="n">
        <x:f>F2283/F2282-1</x:f>
        <x:v>0.002098907002964001</x:v>
      </x:c>
      <x:c r="J2283" s="12" t="n">
        <x:v>0</x:v>
      </x:c>
      <x:c r="K2283" s="12" t="n">
        <x:v>0</x:v>
      </x:c>
      <x:c r="L2283" s="12" t="n">
        <x:v>0</x:v>
      </x:c>
      <x:c r="M2283" s="2" t="str">
        <x:v>持有</x:v>
      </x:c>
    </x:row>
    <x:row r="2284" ht="23" customHeight="1">
      <x:c r="A2284" s="11" t="d">
        <x:v>2024-01-23T00:00:00.000Z</x:v>
      </x:c>
      <x:c r="B2284" s="12" t="n">
        <x:v>428.991502</x:v>
      </x:c>
      <x:c r="C2284" s="13" t="n">
        <x:v>263</x:v>
      </x:c>
      <x:c r="D2284" s="12" t="n">
        <x:v>127518.18000000001</x:v>
      </x:c>
      <x:c r="E2284" s="12" t="n">
        <x:v>501.297199</x:v>
      </x:c>
      <x:c r="F2284" s="12" t="n">
        <x:f>SUM(B2284,D2284:E2284)</x:f>
        <x:v>128448.468701</x:v>
      </x:c>
      <x:c r="G2284" s="12" t="n">
        <x:f>MAX(G2283,F2284)</x:f>
        <x:v>138687.599344</x:v>
      </x:c>
      <x:c r="H2284" s="14" t="n">
        <x:f>F2284/G2284-1</x:f>
        <x:v>-0.07382873949388147</x:v>
      </x:c>
      <x:c r="I2284" s="14" t="n">
        <x:f>F2284/F2283-1</x:f>
        <x:v>0.0028953531917130793</x:v>
      </x:c>
      <x:c r="J2284" s="12" t="n">
        <x:v>0</x:v>
      </x:c>
      <x:c r="K2284" s="12" t="n">
        <x:v>0</x:v>
      </x:c>
      <x:c r="L2284" s="12" t="n">
        <x:v>0</x:v>
      </x:c>
      <x:c r="M2284" s="2" t="str">
        <x:v>持有</x:v>
      </x:c>
    </x:row>
    <x:row r="2285" ht="23" customHeight="1">
      <x:c r="A2285" s="11" t="d">
        <x:v>2024-01-24T00:00:00.000Z</x:v>
      </x:c>
      <x:c r="B2285" s="12" t="n">
        <x:v>428.991502</x:v>
      </x:c>
      <x:c r="C2285" s="13" t="n">
        <x:v>263</x:v>
      </x:c>
      <x:c r="D2285" s="12" t="n">
        <x:v>127657.56999999999</x:v>
      </x:c>
      <x:c r="E2285" s="12" t="n">
        <x:v>501.297199</x:v>
      </x:c>
      <x:c r="F2285" s="12" t="n">
        <x:f>SUM(B2285,D2285:E2285)</x:f>
        <x:v>128587.85870099999</x:v>
      </x:c>
      <x:c r="G2285" s="12" t="n">
        <x:f>MAX(G2284,F2285)</x:f>
        <x:v>138687.599344</x:v>
      </x:c>
      <x:c r="H2285" s="14" t="n">
        <x:f>F2285/G2285-1</x:f>
        <x:v>-0.07282367486907504</x:v>
      </x:c>
      <x:c r="I2285" s="14" t="n">
        <x:f>F2285/F2284-1</x:f>
        <x:v>0.0010851822634372343</x:v>
      </x:c>
      <x:c r="J2285" s="12" t="n">
        <x:v>0</x:v>
      </x:c>
      <x:c r="K2285" s="12" t="n">
        <x:v>0</x:v>
      </x:c>
      <x:c r="L2285" s="12" t="n">
        <x:v>0</x:v>
      </x:c>
      <x:c r="M2285" s="2" t="str">
        <x:v>持有</x:v>
      </x:c>
    </x:row>
    <x:row r="2286" ht="23" customHeight="1">
      <x:c r="A2286" s="11" t="d">
        <x:v>2024-01-25T00:00:00.000Z</x:v>
      </x:c>
      <x:c r="B2286" s="12" t="n">
        <x:v>428.991502</x:v>
      </x:c>
      <x:c r="C2286" s="13" t="n">
        <x:v>263</x:v>
      </x:c>
      <x:c r="D2286" s="12" t="n">
        <x:v>128351.89</x:v>
      </x:c>
      <x:c r="E2286" s="12" t="n">
        <x:v>501.297199</x:v>
      </x:c>
      <x:c r="F2286" s="12" t="n">
        <x:f>SUM(B2286,D2286:E2286)</x:f>
        <x:v>129282.178701</x:v>
      </x:c>
      <x:c r="G2286" s="12" t="n">
        <x:f>MAX(G2285,F2286)</x:f>
        <x:v>138687.599344</x:v>
      </x:c>
      <x:c r="H2286" s="14" t="n">
        <x:f>F2286/G2286-1</x:f>
        <x:v>-0.06781731522852907</x:v>
      </x:c>
      <x:c r="I2286" s="14" t="n">
        <x:f>F2286/F2285-1</x:f>
        <x:v>0.005399576655323868</x:v>
      </x:c>
      <x:c r="J2286" s="12" t="n">
        <x:v>0</x:v>
      </x:c>
      <x:c r="K2286" s="12" t="n">
        <x:v>0</x:v>
      </x:c>
      <x:c r="L2286" s="12" t="n">
        <x:v>0</x:v>
      </x:c>
      <x:c r="M2286" s="2" t="str">
        <x:v>持有</x:v>
      </x:c>
    </x:row>
    <x:row r="2287" ht="23" customHeight="1">
      <x:c r="A2287" s="11" t="d">
        <x:v>2024-01-26T00:00:00.000Z</x:v>
      </x:c>
      <x:c r="B2287" s="12" t="n">
        <x:v>428.991502</x:v>
      </x:c>
      <x:c r="C2287" s="13" t="n">
        <x:v>263</x:v>
      </x:c>
      <x:c r="D2287" s="12" t="n">
        <x:v>128188.83</x:v>
      </x:c>
      <x:c r="E2287" s="12" t="n">
        <x:v>501.297199</x:v>
      </x:c>
      <x:c r="F2287" s="12" t="n">
        <x:f>SUM(B2287,D2287:E2287)</x:f>
        <x:v>129119.118701</x:v>
      </x:c>
      <x:c r="G2287" s="12" t="n">
        <x:f>MAX(G2286,F2287)</x:f>
        <x:v>138687.599344</x:v>
      </x:c>
      <x:c r="H2287" s="14" t="n">
        <x:f>F2287/G2287-1</x:f>
        <x:v>-0.06899305120471788</x:v>
      </x:c>
      <x:c r="I2287" s="14" t="n">
        <x:f>F2287/F2286-1</x:f>
        <x:v>-0.0012612720611486772</x:v>
      </x:c>
      <x:c r="J2287" s="12" t="n">
        <x:v>0</x:v>
      </x:c>
      <x:c r="K2287" s="12" t="n">
        <x:v>0</x:v>
      </x:c>
      <x:c r="L2287" s="12" t="n">
        <x:v>0</x:v>
      </x:c>
      <x:c r="M2287" s="2" t="str">
        <x:v>持有</x:v>
      </x:c>
    </x:row>
    <x:row r="2288" ht="23" customHeight="1">
      <x:c r="A2288" s="11" t="d">
        <x:v>2024-01-29T00:00:00.000Z</x:v>
      </x:c>
      <x:c r="B2288" s="12" t="n">
        <x:v>428.991502</x:v>
      </x:c>
      <x:c r="C2288" s="13" t="n">
        <x:v>263</x:v>
      </x:c>
      <x:c r="D2288" s="12" t="n">
        <x:v>129204.01</x:v>
      </x:c>
      <x:c r="E2288" s="12" t="n">
        <x:v>501.297199</x:v>
      </x:c>
      <x:c r="F2288" s="12" t="n">
        <x:f>SUM(B2288,D2288:E2288)</x:f>
        <x:v>130134.29870099999</x:v>
      </x:c>
      <x:c r="G2288" s="12" t="n">
        <x:f>MAX(G2287,F2288)</x:f>
        <x:v>138687.599344</x:v>
      </x:c>
      <x:c r="H2288" s="14" t="n">
        <x:f>F2288/G2288-1</x:f>
        <x:v>-0.06167314657876821</x:v>
      </x:c>
      <x:c r="I2288" s="14" t="n">
        <x:f>F2288/F2287-1</x:f>
        <x:v>0.007862352300830322</x:v>
      </x:c>
      <x:c r="J2288" s="12" t="n">
        <x:v>0</x:v>
      </x:c>
      <x:c r="K2288" s="12" t="n">
        <x:v>0</x:v>
      </x:c>
      <x:c r="L2288" s="12" t="n">
        <x:v>0</x:v>
      </x:c>
      <x:c r="M2288" s="2" t="str">
        <x:v>持有</x:v>
      </x:c>
    </x:row>
    <x:row r="2289" ht="23" customHeight="1">
      <x:c r="A2289" s="11" t="d">
        <x:v>2024-01-30T00:00:00.000Z</x:v>
      </x:c>
      <x:c r="B2289" s="12" t="n">
        <x:v>428.991502</x:v>
      </x:c>
      <x:c r="C2289" s="13" t="n">
        <x:v>263</x:v>
      </x:c>
      <x:c r="D2289" s="12" t="n">
        <x:v>129104.06999999999</x:v>
      </x:c>
      <x:c r="E2289" s="12" t="n">
        <x:v>501.297199</x:v>
      </x:c>
      <x:c r="F2289" s="12" t="n">
        <x:f>SUM(B2289,D2289:E2289)</x:f>
        <x:v>130034.35870099999</x:v>
      </x:c>
      <x:c r="G2289" s="12" t="n">
        <x:f>MAX(G2288,F2289)</x:f>
        <x:v>138687.599344</x:v>
      </x:c>
      <x:c r="H2289" s="14" t="n">
        <x:f>F2289/G2289-1</x:f>
        <x:v>-0.06239375895127108</x:v>
      </x:c>
      <x:c r="I2289" s="14" t="n">
        <x:f>F2289/F2288-1</x:f>
        <x:v>-0.0007679758603043041</x:v>
      </x:c>
      <x:c r="J2289" s="12" t="n">
        <x:v>0</x:v>
      </x:c>
      <x:c r="K2289" s="12" t="n">
        <x:v>0</x:v>
      </x:c>
      <x:c r="L2289" s="12" t="n">
        <x:v>0</x:v>
      </x:c>
      <x:c r="M2289" s="2" t="str">
        <x:v>持有</x:v>
      </x:c>
    </x:row>
    <x:row r="2290" ht="23" customHeight="1">
      <x:c r="A2290" s="11" t="d">
        <x:v>2024-01-31T00:00:00.000Z</x:v>
      </x:c>
      <x:c r="B2290" s="12" t="n">
        <x:v>930.288701</x:v>
      </x:c>
      <x:c r="C2290" s="13" t="n">
        <x:v>263</x:v>
      </x:c>
      <x:c r="D2290" s="12" t="n">
        <x:v>126997.44</x:v>
      </x:c>
      <x:c r="E2290" s="12" t="n">
        <x:v>0</x:v>
      </x:c>
      <x:c r="F2290" s="12" t="n">
        <x:f>SUM(B2290,D2290:E2290)</x:f>
        <x:v>127927.728701</x:v>
      </x:c>
      <x:c r="G2290" s="12" t="n">
        <x:f>MAX(G2289,F2290)</x:f>
        <x:v>138687.599344</x:v>
      </x:c>
      <x:c r="H2290" s="14" t="n">
        <x:f>F2290/G2290-1</x:f>
        <x:v>-0.07758350922429091</x:v>
      </x:c>
      <x:c r="I2290" s="14" t="n">
        <x:f>F2290/F2289-1</x:f>
        <x:v>-0.016200564381941285</x:v>
      </x:c>
      <x:c r="J2290" s="12" t="n">
        <x:v>0</x:v>
      </x:c>
      <x:c r="K2290" s="12" t="n">
        <x:v>501.297199</x:v>
      </x:c>
      <x:c r="L2290" s="12" t="n">
        <x:v>0</x:v>
      </x:c>
      <x:c r="M2290" s="2" t="str">
        <x:v>持有</x:v>
      </x:c>
    </x:row>
    <x:row r="2291" ht="23" customHeight="1">
      <x:c r="A2291" s="11" t="d">
        <x:v>2024-02-01T00:00:00.000Z</x:v>
      </x:c>
      <x:c r="B2291" s="12" t="n">
        <x:v>930.288701</x:v>
      </x:c>
      <x:c r="C2291" s="13" t="n">
        <x:v>263</x:v>
      </x:c>
      <x:c r="D2291" s="12" t="n">
        <x:v>128659.59999999999</x:v>
      </x:c>
      <x:c r="E2291" s="12" t="n">
        <x:v>0</x:v>
      </x:c>
      <x:c r="F2291" s="12" t="n">
        <x:f>SUM(B2291,D2291:E2291)</x:f>
        <x:v>129589.88870099999</x:v>
      </x:c>
      <x:c r="G2291" s="12" t="n">
        <x:f>MAX(G2290,F2291)</x:f>
        <x:v>138687.599344</x:v>
      </x:c>
      <x:c r="H2291" s="14" t="n">
        <x:f>F2291/G2291-1</x:f>
        <x:v>-0.06559858766055993</x:v>
      </x:c>
      <x:c r="I2291" s="14" t="n">
        <x:f>F2291/F2290-1</x:f>
        <x:v>0.012992961079492549</x:v>
      </x:c>
      <x:c r="J2291" s="12" t="n">
        <x:v>0</x:v>
      </x:c>
      <x:c r="K2291" s="12" t="n">
        <x:v>0</x:v>
      </x:c>
      <x:c r="L2291" s="12" t="n">
        <x:v>0</x:v>
      </x:c>
      <x:c r="M2291" s="2" t="str">
        <x:v>持有</x:v>
      </x:c>
    </x:row>
    <x:row r="2292" ht="23" customHeight="1">
      <x:c r="A2292" s="11" t="d">
        <x:v>2024-02-02T00:00:00.000Z</x:v>
      </x:c>
      <x:c r="B2292" s="12" t="n">
        <x:v>930.288701</x:v>
      </x:c>
      <x:c r="C2292" s="13" t="n">
        <x:v>263</x:v>
      </x:c>
      <x:c r="D2292" s="12" t="n">
        <x:v>130014.05</x:v>
      </x:c>
      <x:c r="E2292" s="12" t="n">
        <x:v>0</x:v>
      </x:c>
      <x:c r="F2292" s="12" t="n">
        <x:f>SUM(B2292,D2292:E2292)</x:f>
        <x:v>130944.338701</x:v>
      </x:c>
      <x:c r="G2292" s="12" t="n">
        <x:f>MAX(G2291,F2292)</x:f>
        <x:v>138687.599344</x:v>
      </x:c>
      <x:c r="H2292" s="14" t="n">
        <x:f>F2292/G2292-1</x:f>
        <x:v>-0.055832393664797975</x:v>
      </x:c>
      <x:c r="I2292" s="14" t="n">
        <x:f>F2292/F2291-1</x:f>
        <x:v>0.010451818529801482</x:v>
      </x:c>
      <x:c r="J2292" s="12" t="n">
        <x:v>0</x:v>
      </x:c>
      <x:c r="K2292" s="12" t="n">
        <x:v>0</x:v>
      </x:c>
      <x:c r="L2292" s="12" t="n">
        <x:v>0</x:v>
      </x:c>
      <x:c r="M2292" s="2" t="str">
        <x:v>持有</x:v>
      </x:c>
    </x:row>
    <x:row r="2293" ht="23" customHeight="1">
      <x:c r="A2293" s="11" t="d">
        <x:v>2024-02-05T00:00:00.000Z</x:v>
      </x:c>
      <x:c r="B2293" s="12" t="n">
        <x:v>930.288701</x:v>
      </x:c>
      <x:c r="C2293" s="13" t="n">
        <x:v>263</x:v>
      </x:c>
      <x:c r="D2293" s="12" t="n">
        <x:v>129540.65000000001</x:v>
      </x:c>
      <x:c r="E2293" s="12" t="n">
        <x:v>0</x:v>
      </x:c>
      <x:c r="F2293" s="12" t="n">
        <x:f>SUM(B2293,D2293:E2293)</x:f>
        <x:v>130470.938701</x:v>
      </x:c>
      <x:c r="G2293" s="12" t="n">
        <x:f>MAX(G2292,F2293)</x:f>
        <x:v>138687.599344</x:v>
      </x:c>
      <x:c r="H2293" s="14" t="n">
        <x:f>F2293/G2293-1</x:f>
        <x:v>-0.059245820692442885</x:v>
      </x:c>
      <x:c r="I2293" s="14" t="n">
        <x:f>F2293/F2292-1</x:f>
        <x:v>-0.003615276572444759</x:v>
      </x:c>
      <x:c r="J2293" s="12" t="n">
        <x:v>0</x:v>
      </x:c>
      <x:c r="K2293" s="12" t="n">
        <x:v>0</x:v>
      </x:c>
      <x:c r="L2293" s="12" t="n">
        <x:v>0</x:v>
      </x:c>
      <x:c r="M2293" s="2" t="str">
        <x:v>持有</x:v>
      </x:c>
    </x:row>
    <x:row r="2294" ht="23" customHeight="1">
      <x:c r="A2294" s="11" t="d">
        <x:v>2024-02-06T00:00:00.000Z</x:v>
      </x:c>
      <x:c r="B2294" s="12" t="n">
        <x:v>930.288701</x:v>
      </x:c>
      <x:c r="C2294" s="13" t="n">
        <x:v>263</x:v>
      </x:c>
      <x:c r="D2294" s="12" t="n">
        <x:v>129916.74</x:v>
      </x:c>
      <x:c r="E2294" s="12" t="n">
        <x:v>0</x:v>
      </x:c>
      <x:c r="F2294" s="12" t="n">
        <x:f>SUM(B2294,D2294:E2294)</x:f>
        <x:v>130847.028701</x:v>
      </x:c>
      <x:c r="G2294" s="12" t="n">
        <x:f>MAX(G2293,F2294)</x:f>
        <x:v>138687.599344</x:v>
      </x:c>
      <x:c r="H2294" s="14" t="n">
        <x:f>F2294/G2294-1</x:f>
        <x:v>-0.05653404255381389</x:v>
      </x:c>
      <x:c r="I2294" s="14" t="n">
        <x:f>F2294/F2293-1</x:f>
        <x:v>0.002882557631181726</x:v>
      </x:c>
      <x:c r="J2294" s="12" t="n">
        <x:v>0</x:v>
      </x:c>
      <x:c r="K2294" s="12" t="n">
        <x:v>0</x:v>
      </x:c>
      <x:c r="L2294" s="12" t="n">
        <x:v>0</x:v>
      </x:c>
      <x:c r="M2294" s="2" t="str">
        <x:v>持有</x:v>
      </x:c>
    </x:row>
    <x:row r="2295" ht="23" customHeight="1">
      <x:c r="A2295" s="11" t="d">
        <x:v>2024-02-07T00:00:00.000Z</x:v>
      </x:c>
      <x:c r="B2295" s="12" t="n">
        <x:v>930.288701</x:v>
      </x:c>
      <x:c r="C2295" s="13" t="n">
        <x:v>263</x:v>
      </x:c>
      <x:c r="D2295" s="12" t="n">
        <x:v>131000.3</x:v>
      </x:c>
      <x:c r="E2295" s="12" t="n">
        <x:v>0</x:v>
      </x:c>
      <x:c r="F2295" s="12" t="n">
        <x:f>SUM(B2295,D2295:E2295)</x:f>
        <x:v>131930.588701</x:v>
      </x:c>
      <x:c r="G2295" s="12" t="n">
        <x:f>MAX(G2294,F2295)</x:f>
        <x:v>138687.599344</x:v>
      </x:c>
      <x:c r="H2295" s="14" t="n">
        <x:f>F2295/G2295-1</x:f>
        <x:v>-0.04872108735720437</x:v>
      </x:c>
      <x:c r="I2295" s="14" t="n">
        <x:f>F2295/F2294-1</x:f>
        <x:v>0.008281120410277287</x:v>
      </x:c>
      <x:c r="J2295" s="12" t="n">
        <x:v>0</x:v>
      </x:c>
      <x:c r="K2295" s="12" t="n">
        <x:v>0</x:v>
      </x:c>
      <x:c r="L2295" s="12" t="n">
        <x:v>0</x:v>
      </x:c>
      <x:c r="M2295" s="2" t="str">
        <x:v>持有</x:v>
      </x:c>
    </x:row>
    <x:row r="2296" ht="23" customHeight="1">
      <x:c r="A2296" s="11" t="d">
        <x:v>2024-02-08T00:00:00.000Z</x:v>
      </x:c>
      <x:c r="B2296" s="12" t="n">
        <x:v>930.288701</x:v>
      </x:c>
      <x:c r="C2296" s="13" t="n">
        <x:v>263</x:v>
      </x:c>
      <x:c r="D2296" s="12" t="n">
        <x:v>131058.16</x:v>
      </x:c>
      <x:c r="E2296" s="12" t="n">
        <x:v>0</x:v>
      </x:c>
      <x:c r="F2296" s="12" t="n">
        <x:f>SUM(B2296,D2296:E2296)</x:f>
        <x:v>131988.44870100002</x:v>
      </x:c>
      <x:c r="G2296" s="12" t="n">
        <x:f>MAX(G2295,F2296)</x:f>
        <x:v>138687.599344</x:v>
      </x:c>
      <x:c r="H2296" s="14" t="n">
        <x:f>F2296/G2296-1</x:f>
        <x:v>-0.048303890720492126</x:v>
      </x:c>
      <x:c r="I2296" s="14" t="n">
        <x:f>F2296/F2295-1</x:f>
        <x:v>0.0004385639491926163</x:v>
      </x:c>
      <x:c r="J2296" s="12" t="n">
        <x:v>0</x:v>
      </x:c>
      <x:c r="K2296" s="12" t="n">
        <x:v>0</x:v>
      </x:c>
      <x:c r="L2296" s="12" t="n">
        <x:v>0</x:v>
      </x:c>
      <x:c r="M2296" s="2" t="str">
        <x:v>持有</x:v>
      </x:c>
    </x:row>
    <x:row r="2297" ht="23" customHeight="1">
      <x:c r="A2297" s="11" t="d">
        <x:v>2024-02-09T00:00:00.000Z</x:v>
      </x:c>
      <x:c r="B2297" s="12" t="n">
        <x:v>930.288701</x:v>
      </x:c>
      <x:c r="C2297" s="13" t="n">
        <x:v>263</x:v>
      </x:c>
      <x:c r="D2297" s="12" t="n">
        <x:v>131815.6</x:v>
      </x:c>
      <x:c r="E2297" s="12" t="n">
        <x:v>0</x:v>
      </x:c>
      <x:c r="F2297" s="12" t="n">
        <x:f>SUM(B2297,D2297:E2297)</x:f>
        <x:v>132745.88870100002</x:v>
      </x:c>
      <x:c r="G2297" s="12" t="n">
        <x:f>MAX(G2296,F2297)</x:f>
        <x:v>138687.599344</x:v>
      </x:c>
      <x:c r="H2297" s="14" t="n">
        <x:f>F2297/G2297-1</x:f>
        <x:v>-0.042842407476260225</x:v>
      </x:c>
      <x:c r="I2297" s="14" t="n">
        <x:f>F2297/F2296-1</x:f>
        <x:v>0.005738684009506612</x:v>
      </x:c>
      <x:c r="J2297" s="12" t="n">
        <x:v>0</x:v>
      </x:c>
      <x:c r="K2297" s="12" t="n">
        <x:v>0</x:v>
      </x:c>
      <x:c r="L2297" s="12" t="n">
        <x:v>0</x:v>
      </x:c>
      <x:c r="M2297" s="2" t="str">
        <x:v>持有</x:v>
      </x:c>
    </x:row>
    <x:row r="2298" ht="23" customHeight="1">
      <x:c r="A2298" s="11" t="d">
        <x:v>2024-02-12T00:00:00.000Z</x:v>
      </x:c>
      <x:c r="B2298" s="12" t="n">
        <x:v>930.288701</x:v>
      </x:c>
      <x:c r="C2298" s="13" t="n">
        <x:v>263</x:v>
      </x:c>
      <x:c r="D2298" s="12" t="n">
        <x:v>131757.74</x:v>
      </x:c>
      <x:c r="E2298" s="12" t="n">
        <x:v>0</x:v>
      </x:c>
      <x:c r="F2298" s="12" t="n">
        <x:f>SUM(B2298,D2298:E2298)</x:f>
        <x:v>132688.028701</x:v>
      </x:c>
      <x:c r="G2298" s="12" t="n">
        <x:f>MAX(G2297,F2298)</x:f>
        <x:v>138687.599344</x:v>
      </x:c>
      <x:c r="H2298" s="14" t="n">
        <x:f>F2298/G2298-1</x:f>
        <x:v>-0.04325960411297247</x:v>
      </x:c>
      <x:c r="I2298" s="14" t="n">
        <x:f>F2298/F2297-1</x:f>
        <x:v>-0.00043587037283199237</x:v>
      </x:c>
      <x:c r="J2298" s="12" t="n">
        <x:v>0</x:v>
      </x:c>
      <x:c r="K2298" s="12" t="n">
        <x:v>0</x:v>
      </x:c>
      <x:c r="L2298" s="12" t="n">
        <x:v>0</x:v>
      </x:c>
      <x:c r="M2298" s="2" t="str">
        <x:v>持有</x:v>
      </x:c>
    </x:row>
    <x:row r="2299" ht="23" customHeight="1">
      <x:c r="A2299" s="11" t="d">
        <x:v>2024-02-13T00:00:00.000Z</x:v>
      </x:c>
      <x:c r="B2299" s="12" t="n">
        <x:v>930.288701</x:v>
      </x:c>
      <x:c r="C2299" s="13" t="n">
        <x:v>263</x:v>
      </x:c>
      <x:c r="D2299" s="12" t="n">
        <x:v>129943.04</x:v>
      </x:c>
      <x:c r="E2299" s="12" t="n">
        <x:v>0</x:v>
      </x:c>
      <x:c r="F2299" s="12" t="n">
        <x:f>SUM(B2299,D2299:E2299)</x:f>
        <x:v>130873.32870099999</x:v>
      </x:c>
      <x:c r="G2299" s="12" t="n">
        <x:f>MAX(G2298,F2299)</x:f>
        <x:v>138687.599344</x:v>
      </x:c>
      <x:c r="H2299" s="14" t="n">
        <x:f>F2299/G2299-1</x:f>
        <x:v>-0.05634440771894478</x:v>
      </x:c>
      <x:c r="I2299" s="14" t="n">
        <x:f>F2299/F2298-1</x:f>
        <x:v>-0.013676441030631814</x:v>
      </x:c>
      <x:c r="J2299" s="12" t="n">
        <x:v>0</x:v>
      </x:c>
      <x:c r="K2299" s="12" t="n">
        <x:v>0</x:v>
      </x:c>
      <x:c r="L2299" s="12" t="n">
        <x:v>0</x:v>
      </x:c>
      <x:c r="M2299" s="2" t="str">
        <x:v>持有</x:v>
      </x:c>
    </x:row>
    <x:row r="2300" ht="23" customHeight="1">
      <x:c r="A2300" s="11" t="d">
        <x:v>2024-02-14T00:00:00.000Z</x:v>
      </x:c>
      <x:c r="B2300" s="12" t="n">
        <x:v>930.288701</x:v>
      </x:c>
      <x:c r="C2300" s="13" t="n">
        <x:v>263</x:v>
      </x:c>
      <x:c r="D2300" s="12" t="n">
        <x:v>131123.91</x:v>
      </x:c>
      <x:c r="E2300" s="12" t="n">
        <x:v>0</x:v>
      </x:c>
      <x:c r="F2300" s="12" t="n">
        <x:f>SUM(B2300,D2300:E2300)</x:f>
        <x:v>132054.19870100002</x:v>
      </x:c>
      <x:c r="G2300" s="12" t="n">
        <x:f>MAX(G2299,F2300)</x:f>
        <x:v>138687.599344</x:v>
      </x:c>
      <x:c r="H2300" s="14" t="n">
        <x:f>F2300/G2300-1</x:f>
        <x:v>-0.047829803633319234</x:v>
      </x:c>
      <x:c r="I2300" s="14" t="n">
        <x:f>F2300/F2299-1</x:f>
        <x:v>0.00902299965715625</x:v>
      </x:c>
      <x:c r="J2300" s="12" t="n">
        <x:v>0</x:v>
      </x:c>
      <x:c r="K2300" s="12" t="n">
        <x:v>0</x:v>
      </x:c>
      <x:c r="L2300" s="12" t="n">
        <x:v>0</x:v>
      </x:c>
      <x:c r="M2300" s="2" t="str">
        <x:v>持有</x:v>
      </x:c>
    </x:row>
    <x:row r="2301" ht="23" customHeight="1">
      <x:c r="A2301" s="11" t="d">
        <x:v>2024-02-15T00:00:00.000Z</x:v>
      </x:c>
      <x:c r="B2301" s="12" t="n">
        <x:v>930.288701</x:v>
      </x:c>
      <x:c r="C2301" s="13" t="n">
        <x:v>263</x:v>
      </x:c>
      <x:c r="D2301" s="12" t="n">
        <x:v>132028.63</x:v>
      </x:c>
      <x:c r="E2301" s="12" t="n">
        <x:v>0</x:v>
      </x:c>
      <x:c r="F2301" s="12" t="n">
        <x:f>SUM(B2301,D2301:E2301)</x:f>
        <x:v>132958.91870100002</x:v>
      </x:c>
      <x:c r="G2301" s="12" t="n">
        <x:f>MAX(G2300,F2301)</x:f>
        <x:v>138687.599344</x:v>
      </x:c>
      <x:c r="H2301" s="14" t="n">
        <x:f>F2301/G2301-1</x:f>
        <x:v>-0.04130636531382004</x:v>
      </x:c>
      <x:c r="I2301" s="14" t="n">
        <x:f>F2301/F2300-1</x:f>
        <x:v>0.006851126347360514</x:v>
      </x:c>
      <x:c r="J2301" s="12" t="n">
        <x:v>0</x:v>
      </x:c>
      <x:c r="K2301" s="12" t="n">
        <x:v>0</x:v>
      </x:c>
      <x:c r="L2301" s="12" t="n">
        <x:v>0</x:v>
      </x:c>
      <x:c r="M2301" s="2" t="str">
        <x:v>持有</x:v>
      </x:c>
    </x:row>
    <x:row r="2302" ht="23" customHeight="1">
      <x:c r="A2302" s="11" t="d">
        <x:v>2024-02-16T00:00:00.000Z</x:v>
      </x:c>
      <x:c r="B2302" s="12" t="n">
        <x:v>930.288701</x:v>
      </x:c>
      <x:c r="C2302" s="13" t="n">
        <x:v>263</x:v>
      </x:c>
      <x:c r="D2302" s="12" t="n">
        <x:v>131371.13</x:v>
      </x:c>
      <x:c r="E2302" s="12" t="n">
        <x:v>0</x:v>
      </x:c>
      <x:c r="F2302" s="12" t="n">
        <x:f>SUM(B2302,D2302:E2302)</x:f>
        <x:v>132301.41870100002</x:v>
      </x:c>
      <x:c r="G2302" s="12" t="n">
        <x:f>MAX(G2301,F2302)</x:f>
        <x:v>138687.599344</x:v>
      </x:c>
      <x:c r="H2302" s="14" t="n">
        <x:f>F2302/G2302-1</x:f>
        <x:v>-0.04604723618554907</x:v>
      </x:c>
      <x:c r="I2302" s="14" t="n">
        <x:f>F2302/F2301-1</x:f>
        <x:v>-0.00494513648594419</x:v>
      </x:c>
      <x:c r="J2302" s="12" t="n">
        <x:v>0</x:v>
      </x:c>
      <x:c r="K2302" s="12" t="n">
        <x:v>0</x:v>
      </x:c>
      <x:c r="L2302" s="12" t="n">
        <x:v>0</x:v>
      </x:c>
      <x:c r="M2302" s="2" t="str">
        <x:v>持有</x:v>
      </x:c>
    </x:row>
    <x:row r="2303" ht="23" customHeight="1">
      <x:c r="A2303" s="11" t="d">
        <x:v>2024-02-20T00:00:00.000Z</x:v>
      </x:c>
      <x:c r="B2303" s="12" t="n">
        <x:v>930.288701</x:v>
      </x:c>
      <x:c r="C2303" s="13" t="n">
        <x:v>263</x:v>
      </x:c>
      <x:c r="D2303" s="12" t="n">
        <x:v>130647.88</x:v>
      </x:c>
      <x:c r="E2303" s="12" t="n">
        <x:v>0</x:v>
      </x:c>
      <x:c r="F2303" s="12" t="n">
        <x:f>SUM(B2303,D2303:E2303)</x:f>
        <x:v>131578.16870100002</x:v>
      </x:c>
      <x:c r="G2303" s="12" t="n">
        <x:f>MAX(G2302,F2303)</x:f>
        <x:v>138687.599344</x:v>
      </x:c>
      <x:c r="H2303" s="14" t="n">
        <x:f>F2303/G2303-1</x:f>
        <x:v>-0.0512621941444511</x:v>
      </x:c>
      <x:c r="I2303" s="14" t="n">
        <x:f>F2303/F2302-1</x:f>
        <x:v>-0.0054666836312204925</x:v>
      </x:c>
      <x:c r="J2303" s="12" t="n">
        <x:v>0</x:v>
      </x:c>
      <x:c r="K2303" s="12" t="n">
        <x:v>0</x:v>
      </x:c>
      <x:c r="L2303" s="12" t="n">
        <x:v>0</x:v>
      </x:c>
      <x:c r="M2303" s="2" t="str">
        <x:v>持有</x:v>
      </x:c>
    </x:row>
    <x:row r="2304" ht="23" customHeight="1">
      <x:c r="A2304" s="11" t="d">
        <x:v>2024-02-21T00:00:00.000Z</x:v>
      </x:c>
      <x:c r="B2304" s="12" t="n">
        <x:v>930.288701</x:v>
      </x:c>
      <x:c r="C2304" s="13" t="n">
        <x:v>263</x:v>
      </x:c>
      <x:c r="D2304" s="12" t="n">
        <x:v>130766.23</x:v>
      </x:c>
      <x:c r="E2304" s="12" t="n">
        <x:v>0</x:v>
      </x:c>
      <x:c r="F2304" s="12" t="n">
        <x:f>SUM(B2304,D2304:E2304)</x:f>
        <x:v>131696.518701</x:v>
      </x:c>
      <x:c r="G2304" s="12" t="n">
        <x:f>MAX(G2303,F2304)</x:f>
        <x:v>138687.599344</x:v>
      </x:c>
      <x:c r="H2304" s="14" t="n">
        <x:f>F2304/G2304-1</x:f>
        <x:v>-0.050408837387539984</x:v>
      </x:c>
      <x:c r="I2304" s="14" t="n">
        <x:f>F2304/F2303-1</x:f>
        <x:v>0.0008994653229208449</x:v>
      </x:c>
      <x:c r="J2304" s="12" t="n">
        <x:v>0</x:v>
      </x:c>
      <x:c r="K2304" s="12" t="n">
        <x:v>0</x:v>
      </x:c>
      <x:c r="L2304" s="12" t="n">
        <x:v>0</x:v>
      </x:c>
      <x:c r="M2304" s="2" t="str">
        <x:v>持有</x:v>
      </x:c>
    </x:row>
    <x:row r="2305" ht="23" customHeight="1">
      <x:c r="A2305" s="11" t="d">
        <x:v>2024-02-22T00:00:00.000Z</x:v>
      </x:c>
      <x:c r="B2305" s="12" t="n">
        <x:v>930.288701</x:v>
      </x:c>
      <x:c r="C2305" s="13" t="n">
        <x:v>263</x:v>
      </x:c>
      <x:c r="D2305" s="12" t="n">
        <x:v>133472.5</x:v>
      </x:c>
      <x:c r="E2305" s="12" t="n">
        <x:v>0</x:v>
      </x:c>
      <x:c r="F2305" s="12" t="n">
        <x:f>SUM(B2305,D2305:E2305)</x:f>
        <x:v>134402.788701</x:v>
      </x:c>
      <x:c r="G2305" s="12" t="n">
        <x:f>MAX(G2304,F2305)</x:f>
        <x:v>138687.599344</x:v>
      </x:c>
      <x:c r="H2305" s="14" t="n">
        <x:f>F2305/G2305-1</x:f>
        <x:v>-0.030895412879503037</x:v>
      </x:c>
      <x:c r="I2305" s="14" t="n">
        <x:f>F2305/F2304-1</x:f>
        <x:v>0.02054929034338615</x:v>
      </x:c>
      <x:c r="J2305" s="12" t="n">
        <x:v>0</x:v>
      </x:c>
      <x:c r="K2305" s="12" t="n">
        <x:v>0</x:v>
      </x:c>
      <x:c r="L2305" s="12" t="n">
        <x:v>0</x:v>
      </x:c>
      <x:c r="M2305" s="2" t="str">
        <x:v>持有</x:v>
      </x:c>
    </x:row>
    <x:row r="2306" ht="23" customHeight="1">
      <x:c r="A2306" s="11" t="d">
        <x:v>2024-02-23T00:00:00.000Z</x:v>
      </x:c>
      <x:c r="B2306" s="12" t="n">
        <x:v>930.288701</x:v>
      </x:c>
      <x:c r="C2306" s="13" t="n">
        <x:v>263</x:v>
      </x:c>
      <x:c r="D2306" s="12" t="n">
        <x:v>133564.55000000002</x:v>
      </x:c>
      <x:c r="E2306" s="12" t="n">
        <x:v>0</x:v>
      </x:c>
      <x:c r="F2306" s="12" t="n">
        <x:f>SUM(B2306,D2306:E2306)</x:f>
        <x:v>134494.83870100003</x:v>
      </x:c>
      <x:c r="G2306" s="12" t="n">
        <x:f>MAX(G2305,F2306)</x:f>
        <x:v>138687.599344</x:v>
      </x:c>
      <x:c r="H2306" s="14" t="n">
        <x:f>F2306/G2306-1</x:f>
        <x:v>-0.03023169095746081</x:v>
      </x:c>
      <x:c r="I2306" s="14" t="n">
        <x:f>F2306/F2305-1</x:f>
        <x:v>0.0006848816225442089</x:v>
      </x:c>
      <x:c r="J2306" s="12" t="n">
        <x:v>0</x:v>
      </x:c>
      <x:c r="K2306" s="12" t="n">
        <x:v>0</x:v>
      </x:c>
      <x:c r="L2306" s="12" t="n">
        <x:v>0</x:v>
      </x:c>
      <x:c r="M2306" s="2" t="str">
        <x:v>持有</x:v>
      </x:c>
    </x:row>
    <x:row r="2307" ht="23" customHeight="1">
      <x:c r="A2307" s="11" t="d">
        <x:v>2024-02-26T00:00:00.000Z</x:v>
      </x:c>
      <x:c r="B2307" s="12" t="n">
        <x:v>930.288701</x:v>
      </x:c>
      <x:c r="C2307" s="13" t="n">
        <x:v>263</x:v>
      </x:c>
      <x:c r="D2307" s="12" t="n">
        <x:v>133075.37</x:v>
      </x:c>
      <x:c r="E2307" s="12" t="n">
        <x:v>0</x:v>
      </x:c>
      <x:c r="F2307" s="12" t="n">
        <x:f>SUM(B2307,D2307:E2307)</x:f>
        <x:v>134005.658701</x:v>
      </x:c>
      <x:c r="G2307" s="12" t="n">
        <x:f>MAX(G2306,F2307)</x:f>
        <x:v>138687.599344</x:v>
      </x:c>
      <x:c r="H2307" s="14" t="n">
        <x:f>F2307/G2307-1</x:f>
        <x:v>-0.033758898886027455</x:v>
      </x:c>
      <x:c r="I2307" s="14" t="n">
        <x:f>F2307/F2306-1</x:f>
        <x:v>-0.0036371655947893267</x:v>
      </x:c>
      <x:c r="J2307" s="12" t="n">
        <x:v>0</x:v>
      </x:c>
      <x:c r="K2307" s="12" t="n">
        <x:v>0</x:v>
      </x:c>
      <x:c r="L2307" s="12" t="n">
        <x:v>0</x:v>
      </x:c>
      <x:c r="M2307" s="2" t="str">
        <x:v>持有</x:v>
      </x:c>
    </x:row>
    <x:row r="2308" ht="23" customHeight="1">
      <x:c r="A2308" s="11" t="d">
        <x:v>2024-02-27T00:00:00.000Z</x:v>
      </x:c>
      <x:c r="B2308" s="12" t="n">
        <x:v>930.288701</x:v>
      </x:c>
      <x:c r="C2308" s="13" t="n">
        <x:v>263</x:v>
      </x:c>
      <x:c r="D2308" s="12" t="n">
        <x:v>133322.59</x:v>
      </x:c>
      <x:c r="E2308" s="12" t="n">
        <x:v>0</x:v>
      </x:c>
      <x:c r="F2308" s="12" t="n">
        <x:f>SUM(B2308,D2308:E2308)</x:f>
        <x:v>134252.878701</x:v>
      </x:c>
      <x:c r="G2308" s="12" t="n">
        <x:f>MAX(G2307,F2308)</x:f>
        <x:v>138687.599344</x:v>
      </x:c>
      <x:c r="H2308" s="14" t="n">
        <x:f>F2308/G2308-1</x:f>
        <x:v>-0.03197633143825729</x:v>
      </x:c>
      <x:c r="I2308" s="14" t="n">
        <x:f>F2308/F2307-1</x:f>
        <x:v>0.0018448474668641968</x:v>
      </x:c>
      <x:c r="J2308" s="12" t="n">
        <x:v>0</x:v>
      </x:c>
      <x:c r="K2308" s="12" t="n">
        <x:v>0</x:v>
      </x:c>
      <x:c r="L2308" s="12" t="n">
        <x:v>0</x:v>
      </x:c>
      <x:c r="M2308" s="2" t="str">
        <x:v>持有</x:v>
      </x:c>
    </x:row>
    <x:row r="2309" ht="23" customHeight="1">
      <x:c r="A2309" s="11" t="d">
        <x:v>2024-02-28T00:00:00.000Z</x:v>
      </x:c>
      <x:c r="B2309" s="12" t="n">
        <x:v>930.288701</x:v>
      </x:c>
      <x:c r="C2309" s="13" t="n">
        <x:v>263</x:v>
      </x:c>
      <x:c r="D2309" s="12" t="n">
        <x:v>133146.38</x:v>
      </x:c>
      <x:c r="E2309" s="12" t="n">
        <x:v>0</x:v>
      </x:c>
      <x:c r="F2309" s="12" t="n">
        <x:f>SUM(B2309,D2309:E2309)</x:f>
        <x:v>134076.66870100002</x:v>
      </x:c>
      <x:c r="G2309" s="12" t="n">
        <x:f>MAX(G2308,F2309)</x:f>
        <x:v>138687.599344</x:v>
      </x:c>
      <x:c r="H2309" s="14" t="n">
        <x:f>F2309/G2309-1</x:f>
        <x:v>-0.03324688483188065</x:v>
      </x:c>
      <x:c r="I2309" s="14" t="n">
        <x:f>F2309/F2308-1</x:f>
        <x:v>-0.0013125230662087706</x:v>
      </x:c>
      <x:c r="J2309" s="12" t="n">
        <x:v>0</x:v>
      </x:c>
      <x:c r="K2309" s="12" t="n">
        <x:v>0</x:v>
      </x:c>
      <x:c r="L2309" s="12" t="n">
        <x:v>0</x:v>
      </x:c>
      <x:c r="M2309" s="2" t="str">
        <x:v>持有</x:v>
      </x:c>
    </x:row>
    <x:row r="2310" ht="23" customHeight="1">
      <x:c r="A2310" s="11" t="d">
        <x:v>2024-02-29T00:00:00.000Z</x:v>
      </x:c>
      <x:c r="B2310" s="12" t="n">
        <x:v>930.288701</x:v>
      </x:c>
      <x:c r="C2310" s="13" t="n">
        <x:v>263</x:v>
      </x:c>
      <x:c r="D2310" s="12" t="n">
        <x:v>133625.04</x:v>
      </x:c>
      <x:c r="E2310" s="12" t="n">
        <x:v>0</x:v>
      </x:c>
      <x:c r="F2310" s="12" t="n">
        <x:f>SUM(B2310,D2310:E2310)</x:f>
        <x:v>134555.32870100002</x:v>
      </x:c>
      <x:c r="G2310" s="12" t="n">
        <x:f>MAX(G2309,F2310)</x:f>
        <x:v>138687.599344</x:v>
      </x:c>
      <x:c r="H2310" s="14" t="n">
        <x:f>F2310/G2310-1</x:f>
        <x:v>-0.02979553083726183</x:v>
      </x:c>
      <x:c r="I2310" s="14" t="n">
        <x:f>F2310/F2309-1</x:f>
        <x:v>0.0035700469338737495</x:v>
      </x:c>
      <x:c r="J2310" s="12" t="n">
        <x:v>0</x:v>
      </x:c>
      <x:c r="K2310" s="12" t="n">
        <x:v>0</x:v>
      </x:c>
      <x:c r="L2310" s="12" t="n">
        <x:v>0</x:v>
      </x:c>
      <x:c r="M2310" s="2" t="str">
        <x:v>持有</x:v>
      </x:c>
    </x:row>
    <x:row r="2311" ht="23" customHeight="1">
      <x:c r="A2311" s="11" t="d">
        <x:v>2024-03-01T00:00:00.000Z</x:v>
      </x:c>
      <x:c r="B2311" s="12" t="n">
        <x:v>930.288701</x:v>
      </x:c>
      <x:c r="C2311" s="13" t="n">
        <x:v>263</x:v>
      </x:c>
      <x:c r="D2311" s="12" t="n">
        <x:v>134879.55000000002</x:v>
      </x:c>
      <x:c r="E2311" s="12" t="n">
        <x:v>0</x:v>
      </x:c>
      <x:c r="F2311" s="12" t="n">
        <x:f>SUM(B2311,D2311:E2311)</x:f>
        <x:v>135809.83870100003</x:v>
      </x:c>
      <x:c r="G2311" s="12" t="n">
        <x:f>MAX(G2310,F2311)</x:f>
        <x:v>138687.599344</x:v>
      </x:c>
      <x:c r="H2311" s="14" t="n">
        <x:f>F2311/G2311-1</x:f>
        <x:v>-0.02074994921400275</x:v>
      </x:c>
      <x:c r="I2311" s="14" t="n">
        <x:f>F2311/F2310-1</x:f>
        <x:v>0.009323376577583975</x:v>
      </x:c>
      <x:c r="J2311" s="12" t="n">
        <x:v>0</x:v>
      </x:c>
      <x:c r="K2311" s="12" t="n">
        <x:v>0</x:v>
      </x:c>
      <x:c r="L2311" s="12" t="n">
        <x:v>0</x:v>
      </x:c>
      <x:c r="M2311" s="2" t="str">
        <x:v>持有</x:v>
      </x:c>
    </x:row>
    <x:row r="2312" ht="23" customHeight="1">
      <x:c r="A2312" s="11" t="d">
        <x:v>2024-03-04T00:00:00.000Z</x:v>
      </x:c>
      <x:c r="B2312" s="12" t="n">
        <x:v>930.288701</x:v>
      </x:c>
      <x:c r="C2312" s="13" t="n">
        <x:v>263</x:v>
      </x:c>
      <x:c r="D2312" s="12" t="n">
        <x:v>134734.9</x:v>
      </x:c>
      <x:c r="E2312" s="12" t="n">
        <x:v>0</x:v>
      </x:c>
      <x:c r="F2312" s="12" t="n">
        <x:f>SUM(B2312,D2312:E2312)</x:f>
        <x:v>135665.188701</x:v>
      </x:c>
      <x:c r="G2312" s="12" t="n">
        <x:f>MAX(G2311,F2312)</x:f>
        <x:v>138687.599344</x:v>
      </x:c>
      <x:c r="H2312" s="14" t="n">
        <x:f>F2312/G2312-1</x:f>
        <x:v>-0.021792940805783312</x:v>
      </x:c>
      <x:c r="I2312" s="14" t="n">
        <x:f>F2312/F2311-1</x:f>
        <x:v>-0.0010650922008565988</x:v>
      </x:c>
      <x:c r="J2312" s="12" t="n">
        <x:v>0</x:v>
      </x:c>
      <x:c r="K2312" s="12" t="n">
        <x:v>0</x:v>
      </x:c>
      <x:c r="L2312" s="12" t="n">
        <x:v>0</x:v>
      </x:c>
      <x:c r="M2312" s="2" t="str">
        <x:v>持有</x:v>
      </x:c>
    </x:row>
    <x:row r="2313" ht="23" customHeight="1">
      <x:c r="A2313" s="11" t="d">
        <x:v>2024-03-05T00:00:00.000Z</x:v>
      </x:c>
      <x:c r="B2313" s="12" t="n">
        <x:v>930.288701</x:v>
      </x:c>
      <x:c r="C2313" s="13" t="n">
        <x:v>263</x:v>
      </x:c>
      <x:c r="D2313" s="12" t="n">
        <x:v>133388.34</x:v>
      </x:c>
      <x:c r="E2313" s="12" t="n">
        <x:v>0</x:v>
      </x:c>
      <x:c r="F2313" s="12" t="n">
        <x:f>SUM(B2313,D2313:E2313)</x:f>
        <x:v>134318.628701</x:v>
      </x:c>
      <x:c r="G2313" s="12" t="n">
        <x:f>MAX(G2312,F2313)</x:f>
        <x:v>138687.599344</x:v>
      </x:c>
      <x:c r="H2313" s="14" t="n">
        <x:f>F2313/G2313-1</x:f>
        <x:v>-0.031502244351084396</x:v>
      </x:c>
      <x:c r="I2313" s="14" t="n">
        <x:f>F2313/F2312-1</x:f>
        <x:v>-0.00992561181606988</x:v>
      </x:c>
      <x:c r="J2313" s="12" t="n">
        <x:v>0</x:v>
      </x:c>
      <x:c r="K2313" s="12" t="n">
        <x:v>0</x:v>
      </x:c>
      <x:c r="L2313" s="12" t="n">
        <x:v>0</x:v>
      </x:c>
      <x:c r="M2313" s="2" t="str">
        <x:v>持有</x:v>
      </x:c>
    </x:row>
    <x:row r="2314" ht="23" customHeight="1">
      <x:c r="A2314" s="11" t="d">
        <x:v>2024-03-06T00:00:00.000Z</x:v>
      </x:c>
      <x:c r="B2314" s="12" t="n">
        <x:v>930.288701</x:v>
      </x:c>
      <x:c r="C2314" s="13" t="n">
        <x:v>263</x:v>
      </x:c>
      <x:c r="D2314" s="12" t="n">
        <x:v>134064.25</x:v>
      </x:c>
      <x:c r="E2314" s="12" t="n">
        <x:v>0</x:v>
      </x:c>
      <x:c r="F2314" s="12" t="n">
        <x:f>SUM(B2314,D2314:E2314)</x:f>
        <x:v>134994.538701</x:v>
      </x:c>
      <x:c r="G2314" s="12" t="n">
        <x:f>MAX(G2313,F2314)</x:f>
        <x:v>138687.599344</x:v>
      </x:c>
      <x:c r="H2314" s="14" t="n">
        <x:f>F2314/G2314-1</x:f>
        <x:v>-0.0266286290949469</x:v>
      </x:c>
      <x:c r="I2314" s="14" t="n">
        <x:f>F2314/F2313-1</x:f>
        <x:v>0.005032138926199137</x:v>
      </x:c>
      <x:c r="J2314" s="12" t="n">
        <x:v>0</x:v>
      </x:c>
      <x:c r="K2314" s="12" t="n">
        <x:v>0</x:v>
      </x:c>
      <x:c r="L2314" s="12" t="n">
        <x:v>0</x:v>
      </x:c>
      <x:c r="M2314" s="2" t="str">
        <x:v>持有</x:v>
      </x:c>
    </x:row>
    <x:row r="2315" ht="23" customHeight="1">
      <x:c r="A2315" s="11" t="d">
        <x:v>2024-03-07T00:00:00.000Z</x:v>
      </x:c>
      <x:c r="B2315" s="12" t="n">
        <x:v>930.288701</x:v>
      </x:c>
      <x:c r="C2315" s="13" t="n">
        <x:v>263</x:v>
      </x:c>
      <x:c r="D2315" s="12" t="n">
        <x:v>135395.03</x:v>
      </x:c>
      <x:c r="E2315" s="12" t="n">
        <x:v>0</x:v>
      </x:c>
      <x:c r="F2315" s="12" t="n">
        <x:f>SUM(B2315,D2315:E2315)</x:f>
        <x:v>136325.318701</x:v>
      </x:c>
      <x:c r="G2315" s="12" t="n">
        <x:f>MAX(G2314,F2315)</x:f>
        <x:v>138687.599344</x:v>
      </x:c>
      <x:c r="H2315" s="14" t="n">
        <x:f>F2315/G2315-1</x:f>
        <x:v>-0.017033106450567326</x:v>
      </x:c>
      <x:c r="I2315" s="14" t="n">
        <x:f>F2315/F2314-1</x:f>
        <x:v>0.009858028426968701</x:v>
      </x:c>
      <x:c r="J2315" s="12" t="n">
        <x:v>0</x:v>
      </x:c>
      <x:c r="K2315" s="12" t="n">
        <x:v>0</x:v>
      </x:c>
      <x:c r="L2315" s="12" t="n">
        <x:v>0</x:v>
      </x:c>
      <x:c r="M2315" s="2" t="str">
        <x:v>持有</x:v>
      </x:c>
    </x:row>
    <x:row r="2316" ht="23" customHeight="1">
      <x:c r="A2316" s="11" t="d">
        <x:v>2024-03-08T00:00:00.000Z</x:v>
      </x:c>
      <x:c r="B2316" s="12" t="n">
        <x:v>930.288701</x:v>
      </x:c>
      <x:c r="C2316" s="13" t="n">
        <x:v>263</x:v>
      </x:c>
      <x:c r="D2316" s="12" t="n">
        <x:v>134582.36000000002</x:v>
      </x:c>
      <x:c r="E2316" s="12" t="n">
        <x:v>0</x:v>
      </x:c>
      <x:c r="F2316" s="12" t="n">
        <x:f>SUM(B2316,D2316:E2316)</x:f>
        <x:v>135512.64870100003</x:v>
      </x:c>
      <x:c r="G2316" s="12" t="n">
        <x:f>MAX(G2315,F2316)</x:f>
        <x:v>138687.599344</x:v>
      </x:c>
      <x:c r="H2316" s="14" t="n">
        <x:f>F2316/G2316-1</x:f>
        <x:v>-0.022892822848024297</x:v>
      </x:c>
      <x:c r="I2316" s="14" t="n">
        <x:f>F2316/F2315-1</x:f>
        <x:v>-0.005961255089983686</x:v>
      </x:c>
      <x:c r="J2316" s="12" t="n">
        <x:v>0</x:v>
      </x:c>
      <x:c r="K2316" s="12" t="n">
        <x:v>0</x:v>
      </x:c>
      <x:c r="L2316" s="12" t="n">
        <x:v>0</x:v>
      </x:c>
      <x:c r="M2316" s="2" t="str">
        <x:v>持有</x:v>
      </x:c>
    </x:row>
    <x:row r="2317" ht="23" customHeight="1">
      <x:c r="A2317" s="11" t="d">
        <x:v>2024-03-11T00:00:00.000Z</x:v>
      </x:c>
      <x:c r="B2317" s="12" t="n">
        <x:v>930.288701</x:v>
      </x:c>
      <x:c r="C2317" s="13" t="n">
        <x:v>263</x:v>
      </x:c>
      <x:c r="D2317" s="12" t="n">
        <x:v>134466.63999999998</x:v>
      </x:c>
      <x:c r="E2317" s="12" t="n">
        <x:v>0</x:v>
      </x:c>
      <x:c r="F2317" s="12" t="n">
        <x:f>SUM(B2317,D2317:E2317)</x:f>
        <x:v>135396.928701</x:v>
      </x:c>
      <x:c r="G2317" s="12" t="n">
        <x:f>MAX(G2316,F2317)</x:f>
        <x:v>138687.599344</x:v>
      </x:c>
      <x:c r="H2317" s="14" t="n">
        <x:f>F2317/G2317-1</x:f>
        <x:v>-0.02372721612144879</x:v>
      </x:c>
      <x:c r="I2317" s="14" t="n">
        <x:f>F2317/F2316-1</x:f>
        <x:v>-0.0008539424261078121</x:v>
      </x:c>
      <x:c r="J2317" s="12" t="n">
        <x:v>0</x:v>
      </x:c>
      <x:c r="K2317" s="12" t="n">
        <x:v>0</x:v>
      </x:c>
      <x:c r="L2317" s="12" t="n">
        <x:v>0</x:v>
      </x:c>
      <x:c r="M2317" s="2" t="str">
        <x:v>持有</x:v>
      </x:c>
    </x:row>
    <x:row r="2318" ht="23" customHeight="1">
      <x:c r="A2318" s="11" t="d">
        <x:v>2024-03-12T00:00:00.000Z</x:v>
      </x:c>
      <x:c r="B2318" s="12" t="n">
        <x:v>930.288701</x:v>
      </x:c>
      <x:c r="C2318" s="13" t="n">
        <x:v>263</x:v>
      </x:c>
      <x:c r="D2318" s="12" t="n">
        <x:v>135913.13999999998</x:v>
      </x:c>
      <x:c r="E2318" s="12" t="n">
        <x:v>0</x:v>
      </x:c>
      <x:c r="F2318" s="12" t="n">
        <x:f>SUM(B2318,D2318:E2318)</x:f>
        <x:v>136843.428701</x:v>
      </x:c>
      <x:c r="G2318" s="12" t="n">
        <x:f>MAX(G2317,F2318)</x:f>
        <x:v>138687.599344</x:v>
      </x:c>
      <x:c r="H2318" s="14" t="n">
        <x:f>F2318/G2318-1</x:f>
        <x:v>-0.013297300203644835</x:v>
      </x:c>
      <x:c r="I2318" s="14" t="n">
        <x:f>F2318/F2317-1</x:f>
        <x:v>0.01068340333771034</x:v>
      </x:c>
      <x:c r="J2318" s="12" t="n">
        <x:v>0</x:v>
      </x:c>
      <x:c r="K2318" s="12" t="n">
        <x:v>0</x:v>
      </x:c>
      <x:c r="L2318" s="12" t="n">
        <x:v>0</x:v>
      </x:c>
      <x:c r="M2318" s="2" t="str">
        <x:v>持有</x:v>
      </x:c>
    </x:row>
    <x:row r="2319" ht="23" customHeight="1">
      <x:c r="A2319" s="11" t="d">
        <x:v>2024-03-13T00:00:00.000Z</x:v>
      </x:c>
      <x:c r="B2319" s="12" t="n">
        <x:v>930.288701</x:v>
      </x:c>
      <x:c r="C2319" s="13" t="n">
        <x:v>263</x:v>
      </x:c>
      <x:c r="D2319" s="12" t="n">
        <x:v>135700.11000000002</x:v>
      </x:c>
      <x:c r="E2319" s="12" t="n">
        <x:v>0</x:v>
      </x:c>
      <x:c r="F2319" s="12" t="n">
        <x:f>SUM(B2319,D2319:E2319)</x:f>
        <x:v>136630.39870100003</x:v>
      </x:c>
      <x:c r="G2319" s="12" t="n">
        <x:f>MAX(G2318,F2319)</x:f>
        <x:v>138687.599344</x:v>
      </x:c>
      <x:c r="H2319" s="14" t="n">
        <x:f>F2319/G2319-1</x:f>
        <x:v>-0.014833342366084912</x:v>
      </x:c>
      <x:c r="I2319" s="14" t="n">
        <x:f>F2319/F2318-1</x:f>
        <x:v>-0.0015567426366189796</x:v>
      </x:c>
      <x:c r="J2319" s="12" t="n">
        <x:v>0</x:v>
      </x:c>
      <x:c r="K2319" s="12" t="n">
        <x:v>0</x:v>
      </x:c>
      <x:c r="L2319" s="12" t="n">
        <x:v>0</x:v>
      </x:c>
      <x:c r="M2319" s="2" t="str">
        <x:v>持有</x:v>
      </x:c>
    </x:row>
    <x:row r="2320" ht="23" customHeight="1">
      <x:c r="A2320" s="11" t="d">
        <x:v>2024-03-14T00:00:00.000Z</x:v>
      </x:c>
      <x:c r="B2320" s="12" t="n">
        <x:v>930.288701</x:v>
      </x:c>
      <x:c r="C2320" s="13" t="n">
        <x:v>263</x:v>
      </x:c>
      <x:c r="D2320" s="12" t="n">
        <x:v>135431.85</x:v>
      </x:c>
      <x:c r="E2320" s="12" t="n">
        <x:v>0</x:v>
      </x:c>
      <x:c r="F2320" s="12" t="n">
        <x:f>SUM(B2320,D2320:E2320)</x:f>
        <x:v>136362.13870100002</x:v>
      </x:c>
      <x:c r="G2320" s="12" t="n">
        <x:f>MAX(G2319,F2320)</x:f>
        <x:v>138687.599344</x:v>
      </x:c>
      <x:c r="H2320" s="14" t="n">
        <x:f>F2320/G2320-1</x:f>
        <x:v>-0.01676761768175039</x:v>
      </x:c>
      <x:c r="I2320" s="14" t="n">
        <x:f>F2320/F2319-1</x:f>
        <x:v>-0.0019633990865171036</x:v>
      </x:c>
      <x:c r="J2320" s="12" t="n">
        <x:v>0</x:v>
      </x:c>
      <x:c r="K2320" s="12" t="n">
        <x:v>0</x:v>
      </x:c>
      <x:c r="L2320" s="12" t="n">
        <x:v>0</x:v>
      </x:c>
      <x:c r="M2320" s="2" t="str">
        <x:v>持有</x:v>
      </x:c>
    </x:row>
    <x:row r="2321" ht="23" customHeight="1">
      <x:c r="A2321" s="11" t="d">
        <x:v>2024-03-15T00:00:00.000Z</x:v>
      </x:c>
      <x:c r="B2321" s="12" t="n">
        <x:v>930.288701</x:v>
      </x:c>
      <x:c r="C2321" s="13" t="n">
        <x:v>263</x:v>
      </x:c>
      <x:c r="D2321" s="12" t="n">
        <x:v>134085.29</x:v>
      </x:c>
      <x:c r="E2321" s="12" t="n">
        <x:v>419.468431</x:v>
      </x:c>
      <x:c r="F2321" s="12" t="n">
        <x:f>SUM(B2321,D2321:E2321)</x:f>
        <x:v>135435.047132</x:v>
      </x:c>
      <x:c r="G2321" s="12" t="n">
        <x:f>MAX(G2320,F2321)</x:f>
        <x:v>138687.599344</x:v>
      </x:c>
      <x:c r="H2321" s="14" t="n">
        <x:f>F2321/G2321-1</x:f>
        <x:v>-0.02345236508083437</x:v>
      </x:c>
      <x:c r="I2321" s="14" t="n">
        <x:f>F2321/F2320-1</x:f>
        <x:v>-0.006798746175672998</x:v>
      </x:c>
      <x:c r="J2321" s="12" t="n">
        <x:v>419.468431</x:v>
      </x:c>
      <x:c r="K2321" s="12" t="n">
        <x:v>0</x:v>
      </x:c>
      <x:c r="L2321" s="12" t="n">
        <x:v>0</x:v>
      </x:c>
      <x:c r="M2321" s="2" t="str">
        <x:v>持有</x:v>
      </x:c>
    </x:row>
    <x:row r="2322" ht="23" customHeight="1">
      <x:c r="A2322" s="11" t="d">
        <x:v>2024-03-18T00:00:00.000Z</x:v>
      </x:c>
      <x:c r="B2322" s="12" t="n">
        <x:v>930.288701</x:v>
      </x:c>
      <x:c r="C2322" s="13" t="n">
        <x:v>263</x:v>
      </x:c>
      <x:c r="D2322" s="12" t="n">
        <x:v>134882.18</x:v>
      </x:c>
      <x:c r="E2322" s="12" t="n">
        <x:v>419.468431</x:v>
      </x:c>
      <x:c r="F2322" s="12" t="n">
        <x:f>SUM(B2322,D2322:E2322)</x:f>
        <x:v>136231.937132</x:v>
      </x:c>
      <x:c r="G2322" s="12" t="n">
        <x:f>MAX(G2321,F2322)</x:f>
        <x:v>138687.599344</x:v>
      </x:c>
      <x:c r="H2322" s="14" t="n">
        <x:f>F2322/G2322-1</x:f>
        <x:v>-0.01770642958429891</x:v>
      </x:c>
      <x:c r="I2322" s="14" t="n">
        <x:f>F2322/F2321-1</x:f>
        <x:v>0.00588392751267186</x:v>
      </x:c>
      <x:c r="J2322" s="12" t="n">
        <x:v>0</x:v>
      </x:c>
      <x:c r="K2322" s="12" t="n">
        <x:v>0</x:v>
      </x:c>
      <x:c r="L2322" s="12" t="n">
        <x:v>0</x:v>
      </x:c>
      <x:c r="M2322" s="2" t="str">
        <x:v>持有</x:v>
      </x:c>
    </x:row>
    <x:row r="2323" ht="23" customHeight="1">
      <x:c r="A2323" s="11" t="d">
        <x:v>2024-03-19T00:00:00.000Z</x:v>
      </x:c>
      <x:c r="B2323" s="12" t="n">
        <x:v>930.288701</x:v>
      </x:c>
      <x:c r="C2323" s="13" t="n">
        <x:v>263</x:v>
      </x:c>
      <x:c r="D2323" s="12" t="n">
        <x:v>135631.73</x:v>
      </x:c>
      <x:c r="E2323" s="12" t="n">
        <x:v>419.468431</x:v>
      </x:c>
      <x:c r="F2323" s="12" t="n">
        <x:f>SUM(B2323,D2323:E2323)</x:f>
        <x:v>136981.487132</x:v>
      </x:c>
      <x:c r="G2323" s="12" t="n">
        <x:f>MAX(G2322,F2323)</x:f>
        <x:v>138687.599344</x:v>
      </x:c>
      <x:c r="H2323" s="14" t="n">
        <x:f>F2323/G2323-1</x:f>
        <x:v>-0.012301836790527654</x:v>
      </x:c>
      <x:c r="I2323" s="14" t="n">
        <x:f>F2323/F2322-1</x:f>
        <x:v>0.005502013813939666</x:v>
      </x:c>
      <x:c r="J2323" s="12" t="n">
        <x:v>0</x:v>
      </x:c>
      <x:c r="K2323" s="12" t="n">
        <x:v>0</x:v>
      </x:c>
      <x:c r="L2323" s="12" t="n">
        <x:v>0</x:v>
      </x:c>
      <x:c r="M2323" s="2" t="str">
        <x:v>持有</x:v>
      </x:c>
    </x:row>
    <x:row r="2324" ht="23" customHeight="1">
      <x:c r="A2324" s="11" t="d">
        <x:v>2024-03-20T00:00:00.000Z</x:v>
      </x:c>
      <x:c r="B2324" s="12" t="n">
        <x:v>930.288701</x:v>
      </x:c>
      <x:c r="C2324" s="13" t="n">
        <x:v>263</x:v>
      </x:c>
      <x:c r="D2324" s="12" t="n">
        <x:v>136886.24</x:v>
      </x:c>
      <x:c r="E2324" s="12" t="n">
        <x:v>419.468431</x:v>
      </x:c>
      <x:c r="F2324" s="12" t="n">
        <x:f>SUM(B2324,D2324:E2324)</x:f>
        <x:v>138235.997132</x:v>
      </x:c>
      <x:c r="G2324" s="12" t="n">
        <x:f>MAX(G2323,F2324)</x:f>
        <x:v>138687.599344</x:v>
      </x:c>
      <x:c r="H2324" s="14" t="n">
        <x:f>F2324/G2324-1</x:f>
        <x:v>-0.0032562551672687956</x:v>
      </x:c>
      <x:c r="I2324" s="14" t="n">
        <x:f>F2324/F2323-1</x:f>
        <x:v>0.009158244856774633</x:v>
      </x:c>
      <x:c r="J2324" s="12" t="n">
        <x:v>0</x:v>
      </x:c>
      <x:c r="K2324" s="12" t="n">
        <x:v>0</x:v>
      </x:c>
      <x:c r="L2324" s="12" t="n">
        <x:v>0</x:v>
      </x:c>
      <x:c r="M2324" s="2" t="str">
        <x:v>持有</x:v>
      </x:c>
    </x:row>
    <x:row r="2325" ht="23" customHeight="1">
      <x:c r="A2325" s="11" t="d">
        <x:v>2024-03-21T00:00:00.000Z</x:v>
      </x:c>
      <x:c r="B2325" s="12" t="n">
        <x:v>930.288701</x:v>
      </x:c>
      <x:c r="C2325" s="13" t="n">
        <x:v>263</x:v>
      </x:c>
      <x:c r="D2325" s="12" t="n">
        <x:v>137338.6</x:v>
      </x:c>
      <x:c r="E2325" s="12" t="n">
        <x:v>419.468431</x:v>
      </x:c>
      <x:c r="F2325" s="12" t="n">
        <x:f>SUM(B2325,D2325:E2325)</x:f>
        <x:v>138688.357132</x:v>
      </x:c>
      <x:c r="G2325" s="12" t="n">
        <x:f>MAX(G2324,F2325)</x:f>
        <x:v>138688.357132</x:v>
      </x:c>
      <x:c r="H2325" s="14" t="n">
        <x:f>F2325/G2325-1</x:f>
        <x:v>0</x:v>
      </x:c>
      <x:c r="I2325" s="14" t="n">
        <x:f>F2325/F2324-1</x:f>
        <x:v>0.0032723748472553993</x:v>
      </x:c>
      <x:c r="J2325" s="12" t="n">
        <x:v>0</x:v>
      </x:c>
      <x:c r="K2325" s="12" t="n">
        <x:v>0</x:v>
      </x:c>
      <x:c r="L2325" s="12" t="n">
        <x:v>0</x:v>
      </x:c>
      <x:c r="M2325" s="2" t="str">
        <x:v>持有</x:v>
      </x:c>
    </x:row>
    <x:row r="2326" ht="23" customHeight="1">
      <x:c r="A2326" s="11" t="d">
        <x:v>2024-03-22T00:00:00.000Z</x:v>
      </x:c>
      <x:c r="B2326" s="12" t="n">
        <x:v>930.288701</x:v>
      </x:c>
      <x:c r="C2326" s="13" t="n">
        <x:v>263</x:v>
      </x:c>
      <x:c r="D2326" s="12" t="n">
        <x:v>137078.23</x:v>
      </x:c>
      <x:c r="E2326" s="12" t="n">
        <x:v>419.468431</x:v>
      </x:c>
      <x:c r="F2326" s="12" t="n">
        <x:f>SUM(B2326,D2326:E2326)</x:f>
        <x:v>138427.987132</x:v>
      </x:c>
      <x:c r="G2326" s="12" t="n">
        <x:f>MAX(G2325,F2326)</x:f>
        <x:v>138688.357132</x:v>
      </x:c>
      <x:c r="H2326" s="14" t="n">
        <x:f>F2326/G2326-1</x:f>
        <x:v>-0.001877374607243909</x:v>
      </x:c>
      <x:c r="I2326" s="14" t="n">
        <x:f>F2326/F2325-1</x:f>
        <x:v>-0.001877374607243909</x:v>
      </x:c>
      <x:c r="J2326" s="12" t="n">
        <x:v>0</x:v>
      </x:c>
      <x:c r="K2326" s="12" t="n">
        <x:v>0</x:v>
      </x:c>
      <x:c r="L2326" s="12" t="n">
        <x:v>0</x:v>
      </x:c>
      <x:c r="M2326" s="2" t="str">
        <x:v>持有</x:v>
      </x:c>
    </x:row>
    <x:row r="2327" ht="23" customHeight="1">
      <x:c r="A2327" s="11" t="d">
        <x:v>2024-03-25T00:00:00.000Z</x:v>
      </x:c>
      <x:c r="B2327" s="12" t="n">
        <x:v>930.288701</x:v>
      </x:c>
      <x:c r="C2327" s="13" t="n">
        <x:v>263</x:v>
      </x:c>
      <x:c r="D2327" s="12" t="n">
        <x:v>136699.51</x:v>
      </x:c>
      <x:c r="E2327" s="12" t="n">
        <x:v>419.468431</x:v>
      </x:c>
      <x:c r="F2327" s="12" t="n">
        <x:f>SUM(B2327,D2327:E2327)</x:f>
        <x:v>138049.267132</x:v>
      </x:c>
      <x:c r="G2327" s="12" t="n">
        <x:f>MAX(G2326,F2327)</x:f>
        <x:v>138688.357132</x:v>
      </x:c>
      <x:c r="H2327" s="14" t="n">
        <x:f>F2327/G2327-1</x:f>
        <x:v>-0.004608101308689716</x:v>
      </x:c>
      <x:c r="I2327" s="14" t="n">
        <x:f>F2327/F2326-1</x:f>
        <x:v>-0.0027358629410602076</x:v>
      </x:c>
      <x:c r="J2327" s="12" t="n">
        <x:v>0</x:v>
      </x:c>
      <x:c r="K2327" s="12" t="n">
        <x:v>0</x:v>
      </x:c>
      <x:c r="L2327" s="12" t="n">
        <x:v>0</x:v>
      </x:c>
      <x:c r="M2327" s="2" t="str">
        <x:v>持有</x:v>
      </x:c>
    </x:row>
    <x:row r="2328" ht="23" customHeight="1">
      <x:c r="A2328" s="11" t="d">
        <x:v>2024-03-26T00:00:00.000Z</x:v>
      </x:c>
      <x:c r="B2328" s="12" t="n">
        <x:v>930.288701</x:v>
      </x:c>
      <x:c r="C2328" s="13" t="n">
        <x:v>263</x:v>
      </x:c>
      <x:c r="D2328" s="12" t="n">
        <x:v>136447.03</x:v>
      </x:c>
      <x:c r="E2328" s="12" t="n">
        <x:v>419.468431</x:v>
      </x:c>
      <x:c r="F2328" s="12" t="n">
        <x:f>SUM(B2328,D2328:E2328)</x:f>
        <x:v>137796.787132</x:v>
      </x:c>
      <x:c r="G2328" s="12" t="n">
        <x:f>MAX(G2327,F2328)</x:f>
        <x:v>138688.357132</x:v>
      </x:c>
      <x:c r="H2328" s="14" t="n">
        <x:f>F2328/G2328-1</x:f>
        <x:v>-0.006428585776320328</x:v>
      </x:c>
      <x:c r="I2328" s="14" t="n">
        <x:f>F2328/F2327-1</x:f>
        <x:v>-0.0018289122807048086</x:v>
      </x:c>
      <x:c r="J2328" s="12" t="n">
        <x:v>0</x:v>
      </x:c>
      <x:c r="K2328" s="12" t="n">
        <x:v>0</x:v>
      </x:c>
      <x:c r="L2328" s="12" t="n">
        <x:v>0</x:v>
      </x:c>
      <x:c r="M2328" s="2" t="str">
        <x:v>持有</x:v>
      </x:c>
    </x:row>
    <x:row r="2329" ht="23" customHeight="1">
      <x:c r="A2329" s="11" t="d">
        <x:v>2024-03-27T00:00:00.000Z</x:v>
      </x:c>
      <x:c r="B2329" s="12" t="n">
        <x:v>930.288701</x:v>
      </x:c>
      <x:c r="C2329" s="13" t="n">
        <x:v>263</x:v>
      </x:c>
      <x:c r="D2329" s="12" t="n">
        <x:v>137593.71</x:v>
      </x:c>
      <x:c r="E2329" s="12" t="n">
        <x:v>419.468431</x:v>
      </x:c>
      <x:c r="F2329" s="12" t="n">
        <x:f>SUM(B2329,D2329:E2329)</x:f>
        <x:v>138943.467132</x:v>
      </x:c>
      <x:c r="G2329" s="12" t="n">
        <x:f>MAX(G2328,F2329)</x:f>
        <x:v>138943.467132</x:v>
      </x:c>
      <x:c r="H2329" s="14" t="n">
        <x:f>F2329/G2329-1</x:f>
        <x:v>0</x:v>
      </x:c>
      <x:c r="I2329" s="14" t="n">
        <x:f>F2329/F2328-1</x:f>
        <x:v>0.008321529288644047</x:v>
      </x:c>
      <x:c r="J2329" s="12" t="n">
        <x:v>0</x:v>
      </x:c>
      <x:c r="K2329" s="12" t="n">
        <x:v>0</x:v>
      </x:c>
      <x:c r="L2329" s="12" t="n">
        <x:v>0</x:v>
      </x:c>
      <x:c r="M2329" s="2" t="str">
        <x:v>持有</x:v>
      </x:c>
    </x:row>
    <x:row r="2330" ht="23" customHeight="1">
      <x:c r="A2330" s="11" t="d">
        <x:v>2024-03-28T00:00:00.000Z</x:v>
      </x:c>
      <x:c r="B2330" s="12" t="n">
        <x:v>930.288701</x:v>
      </x:c>
      <x:c r="C2330" s="13" t="n">
        <x:v>263</x:v>
      </x:c>
      <x:c r="D2330" s="12" t="n">
        <x:v>137567.41</x:v>
      </x:c>
      <x:c r="E2330" s="12" t="n">
        <x:v>419.468431</x:v>
      </x:c>
      <x:c r="F2330" s="12" t="n">
        <x:f>SUM(B2330,D2330:E2330)</x:f>
        <x:v>138917.167132</x:v>
      </x:c>
      <x:c r="G2330" s="12" t="n">
        <x:f>MAX(G2329,F2330)</x:f>
        <x:v>138943.467132</x:v>
      </x:c>
      <x:c r="H2330" s="14" t="n">
        <x:f>F2330/G2330-1</x:f>
        <x:v>-0.00018928561768938312</x:v>
      </x:c>
      <x:c r="I2330" s="14" t="n">
        <x:f>F2330/F2329-1</x:f>
        <x:v>-0.00018928561768938312</x:v>
      </x:c>
      <x:c r="J2330" s="12" t="n">
        <x:v>0</x:v>
      </x:c>
      <x:c r="K2330" s="12" t="n">
        <x:v>0</x:v>
      </x:c>
      <x:c r="L2330" s="12" t="n">
        <x:v>0</x:v>
      </x:c>
      <x:c r="M2330" s="2" t="str">
        <x:v>持有</x:v>
      </x:c>
    </x:row>
    <x:row r="2331" ht="23" customHeight="1">
      <x:c r="A2331" s="11" t="d">
        <x:v>2024-04-01T00:00:00.000Z</x:v>
      </x:c>
      <x:c r="B2331" s="12" t="n">
        <x:v>930.288701</x:v>
      </x:c>
      <x:c r="C2331" s="13" t="n">
        <x:v>263</x:v>
      </x:c>
      <x:c r="D2331" s="12" t="n">
        <x:v>137328.08</x:v>
      </x:c>
      <x:c r="E2331" s="12" t="n">
        <x:v>419.468431</x:v>
      </x:c>
      <x:c r="F2331" s="12" t="n">
        <x:f>SUM(B2331,D2331:E2331)</x:f>
        <x:v>138677.837132</x:v>
      </x:c>
      <x:c r="G2331" s="12" t="n">
        <x:f>MAX(G2330,F2331)</x:f>
        <x:v>138943.467132</x:v>
      </x:c>
      <x:c r="H2331" s="14" t="n">
        <x:f>F2331/G2331-1</x:f>
        <x:v>-0.0019117847386639353</x:v>
      </x:c>
      <x:c r="I2331" s="14" t="n">
        <x:f>F2331/F2330-1</x:f>
        <x:v>-0.0017228252270117261</x:v>
      </x:c>
      <x:c r="J2331" s="12" t="n">
        <x:v>0</x:v>
      </x:c>
      <x:c r="K2331" s="12" t="n">
        <x:v>0</x:v>
      </x:c>
      <x:c r="L2331" s="12" t="n">
        <x:v>0</x:v>
      </x:c>
      <x:c r="M2331" s="2" t="str">
        <x:v>持有</x:v>
      </x:c>
    </x:row>
    <x:row r="2332" ht="23" customHeight="1">
      <x:c r="A2332" s="11" t="d">
        <x:v>2024-04-02T00:00:00.000Z</x:v>
      </x:c>
      <x:c r="B2332" s="12" t="n">
        <x:v>930.288701</x:v>
      </x:c>
      <x:c r="C2332" s="13" t="n">
        <x:v>263</x:v>
      </x:c>
      <x:c r="D2332" s="12" t="n">
        <x:v>136454.92</x:v>
      </x:c>
      <x:c r="E2332" s="12" t="n">
        <x:v>419.468431</x:v>
      </x:c>
      <x:c r="F2332" s="12" t="n">
        <x:f>SUM(B2332,D2332:E2332)</x:f>
        <x:v>137804.677132</x:v>
      </x:c>
      <x:c r="G2332" s="12" t="n">
        <x:f>MAX(G2331,F2332)</x:f>
        <x:v>138943.467132</x:v>
      </x:c>
      <x:c r="H2332" s="14" t="n">
        <x:f>F2332/G2332-1</x:f>
        <x:v>-0.008196067245954786</x:v>
      </x:c>
      <x:c r="I2332" s="14" t="n">
        <x:f>F2332/F2331-1</x:f>
        <x:v>-0.006296319715232257</x:v>
      </x:c>
      <x:c r="J2332" s="12" t="n">
        <x:v>0</x:v>
      </x:c>
      <x:c r="K2332" s="12" t="n">
        <x:v>0</x:v>
      </x:c>
      <x:c r="L2332" s="12" t="n">
        <x:v>0</x:v>
      </x:c>
      <x:c r="M2332" s="2" t="str">
        <x:v>持有</x:v>
      </x:c>
    </x:row>
    <x:row r="2333" ht="23" customHeight="1">
      <x:c r="A2333" s="11" t="d">
        <x:v>2024-04-03T00:00:00.000Z</x:v>
      </x:c>
      <x:c r="B2333" s="12" t="n">
        <x:v>930.288701</x:v>
      </x:c>
      <x:c r="C2333" s="13" t="n">
        <x:v>263</x:v>
      </x:c>
      <x:c r="D2333" s="12" t="n">
        <x:v>136604.83</x:v>
      </x:c>
      <x:c r="E2333" s="12" t="n">
        <x:v>419.468431</x:v>
      </x:c>
      <x:c r="F2333" s="12" t="n">
        <x:f>SUM(B2333,D2333:E2333)</x:f>
        <x:v>137954.587132</x:v>
      </x:c>
      <x:c r="G2333" s="12" t="n">
        <x:f>MAX(G2332,F2333)</x:f>
        <x:v>138943.467132</x:v>
      </x:c>
      <x:c r="H2333" s="14" t="n">
        <x:f>F2333/G2333-1</x:f>
        <x:v>-0.007117139225124913</x:v>
      </x:c>
      <x:c r="I2333" s="14" t="n">
        <x:f>F2333/F2332-1</x:f>
        <x:v>0.0010878440639310316</x:v>
      </x:c>
      <x:c r="J2333" s="12" t="n">
        <x:v>0</x:v>
      </x:c>
      <x:c r="K2333" s="12" t="n">
        <x:v>0</x:v>
      </x:c>
      <x:c r="L2333" s="12" t="n">
        <x:v>0</x:v>
      </x:c>
      <x:c r="M2333" s="2" t="str">
        <x:v>持有</x:v>
      </x:c>
    </x:row>
    <x:row r="2334" ht="23" customHeight="1">
      <x:c r="A2334" s="11" t="d">
        <x:v>2024-04-04T00:00:00.000Z</x:v>
      </x:c>
      <x:c r="B2334" s="12" t="n">
        <x:v>930.288701</x:v>
      </x:c>
      <x:c r="C2334" s="13" t="n">
        <x:v>263</x:v>
      </x:c>
      <x:c r="D2334" s="12" t="n">
        <x:v>134937.41</x:v>
      </x:c>
      <x:c r="E2334" s="12" t="n">
        <x:v>419.468431</x:v>
      </x:c>
      <x:c r="F2334" s="12" t="n">
        <x:f>SUM(B2334,D2334:E2334)</x:f>
        <x:v>136287.167132</x:v>
      </x:c>
      <x:c r="G2334" s="12" t="n">
        <x:f>MAX(G2333,F2334)</x:f>
        <x:v>138943.467132</x:v>
      </x:c>
      <x:c r="H2334" s="14" t="n">
        <x:f>F2334/G2334-1</x:f>
        <x:v>-0.019117847386638465</x:v>
      </x:c>
      <x:c r="I2334" s="14" t="n">
        <x:f>F2334/F2333-1</x:f>
        <x:v>-0.012086731109597237</x:v>
      </x:c>
      <x:c r="J2334" s="12" t="n">
        <x:v>0</x:v>
      </x:c>
      <x:c r="K2334" s="12" t="n">
        <x:v>0</x:v>
      </x:c>
      <x:c r="L2334" s="12" t="n">
        <x:v>0</x:v>
      </x:c>
      <x:c r="M2334" s="2" t="str">
        <x:v>持有</x:v>
      </x:c>
    </x:row>
    <x:row r="2335" ht="23" customHeight="1">
      <x:c r="A2335" s="11" t="d">
        <x:v>2024-04-05T00:00:00.000Z</x:v>
      </x:c>
      <x:c r="B2335" s="12" t="n">
        <x:v>930.288701</x:v>
      </x:c>
      <x:c r="C2335" s="13" t="n">
        <x:v>263</x:v>
      </x:c>
      <x:c r="D2335" s="12" t="n">
        <x:v>136347.09</x:v>
      </x:c>
      <x:c r="E2335" s="12" t="n">
        <x:v>419.468431</x:v>
      </x:c>
      <x:c r="F2335" s="12" t="n">
        <x:f>SUM(B2335,D2335:E2335)</x:f>
        <x:v>137696.847132</x:v>
      </x:c>
      <x:c r="G2335" s="12" t="n">
        <x:f>MAX(G2334,F2335)</x:f>
        <x:v>138943.467132</x:v>
      </x:c>
      <x:c r="H2335" s="14" t="n">
        <x:f>F2335/G2335-1</x:f>
        <x:v>-0.008972138278481756</x:v>
      </x:c>
      <x:c r="I2335" s="14" t="n">
        <x:f>F2335/F2334-1</x:f>
        <x:v>0.0103434536770044</x:v>
      </x:c>
      <x:c r="J2335" s="12" t="n">
        <x:v>0</x:v>
      </x:c>
      <x:c r="K2335" s="12" t="n">
        <x:v>0</x:v>
      </x:c>
      <x:c r="L2335" s="12" t="n">
        <x:v>0</x:v>
      </x:c>
      <x:c r="M2335" s="2" t="str">
        <x:v>持有</x:v>
      </x:c>
    </x:row>
    <x:row r="2336" ht="23" customHeight="1">
      <x:c r="A2336" s="11" t="d">
        <x:v>2024-04-08T00:00:00.000Z</x:v>
      </x:c>
      <x:c r="B2336" s="12" t="n">
        <x:v>930.288701</x:v>
      </x:c>
      <x:c r="C2336" s="13" t="n">
        <x:v>263</x:v>
      </x:c>
      <x:c r="D2336" s="12" t="n">
        <x:v>136423.36000000002</x:v>
      </x:c>
      <x:c r="E2336" s="12" t="n">
        <x:v>419.468431</x:v>
      </x:c>
      <x:c r="F2336" s="12" t="n">
        <x:f>SUM(B2336,D2336:E2336)</x:f>
        <x:v>137773.117132</x:v>
      </x:c>
      <x:c r="G2336" s="12" t="n">
        <x:f>MAX(G2335,F2336)</x:f>
        <x:v>138943.467132</x:v>
      </x:c>
      <x:c r="H2336" s="14" t="n">
        <x:f>F2336/G2336-1</x:f>
        <x:v>-0.008423209987182156</x:v>
      </x:c>
      <x:c r="I2336" s="14" t="n">
        <x:f>F2336/F2335-1</x:f>
        <x:v>0.0005538979402113231</x:v>
      </x:c>
      <x:c r="J2336" s="12" t="n">
        <x:v>0</x:v>
      </x:c>
      <x:c r="K2336" s="12" t="n">
        <x:v>0</x:v>
      </x:c>
      <x:c r="L2336" s="12" t="n">
        <x:v>0</x:v>
      </x:c>
      <x:c r="M2336" s="2" t="str">
        <x:v>持有</x:v>
      </x:c>
    </x:row>
    <x:row r="2337" ht="23" customHeight="1">
      <x:c r="A2337" s="11" t="d">
        <x:v>2024-04-09T00:00:00.000Z</x:v>
      </x:c>
      <x:c r="B2337" s="12" t="n">
        <x:v>930.288701</x:v>
      </x:c>
      <x:c r="C2337" s="13" t="n">
        <x:v>263</x:v>
      </x:c>
      <x:c r="D2337" s="12" t="n">
        <x:v>136581.16</x:v>
      </x:c>
      <x:c r="E2337" s="12" t="n">
        <x:v>419.468431</x:v>
      </x:c>
      <x:c r="F2337" s="12" t="n">
        <x:f>SUM(B2337,D2337:E2337)</x:f>
        <x:v>137930.917132</x:v>
      </x:c>
      <x:c r="G2337" s="12" t="n">
        <x:f>MAX(G2336,F2337)</x:f>
        <x:v>138943.467132</x:v>
      </x:c>
      <x:c r="H2337" s="14" t="n">
        <x:f>F2337/G2337-1</x:f>
        <x:v>-0.0072874962810453026</x:v>
      </x:c>
      <x:c r="I2337" s="14" t="n">
        <x:f>F2337/F2336-1</x:f>
        <x:v>0.0011453613250893557</x:v>
      </x:c>
      <x:c r="J2337" s="12" t="n">
        <x:v>0</x:v>
      </x:c>
      <x:c r="K2337" s="12" t="n">
        <x:v>0</x:v>
      </x:c>
      <x:c r="L2337" s="12" t="n">
        <x:v>0</x:v>
      </x:c>
      <x:c r="M2337" s="2" t="str">
        <x:v>持有</x:v>
      </x:c>
    </x:row>
    <x:row r="2338" ht="23" customHeight="1">
      <x:c r="A2338" s="11" t="d">
        <x:v>2024-04-10T00:00:00.000Z</x:v>
      </x:c>
      <x:c r="B2338" s="12" t="n">
        <x:v>930.288701</x:v>
      </x:c>
      <x:c r="C2338" s="13" t="n">
        <x:v>263</x:v>
      </x:c>
      <x:c r="D2338" s="12" t="n">
        <x:v>135213.56</x:v>
      </x:c>
      <x:c r="E2338" s="12" t="n">
        <x:v>419.468431</x:v>
      </x:c>
      <x:c r="F2338" s="12" t="n">
        <x:f>SUM(B2338,D2338:E2338)</x:f>
        <x:v>136563.317132</x:v>
      </x:c>
      <x:c r="G2338" s="12" t="n">
        <x:f>MAX(G2337,F2338)</x:f>
        <x:v>138943.467132</x:v>
      </x:c>
      <x:c r="H2338" s="14" t="n">
        <x:f>F2338/G2338-1</x:f>
        <x:v>-0.017130348400898776</x:v>
      </x:c>
      <x:c r="I2338" s="14" t="n">
        <x:f>F2338/F2337-1</x:f>
        <x:v>-0.009915108435704867</x:v>
      </x:c>
      <x:c r="J2338" s="12" t="n">
        <x:v>0</x:v>
      </x:c>
      <x:c r="K2338" s="12" t="n">
        <x:v>0</x:v>
      </x:c>
      <x:c r="L2338" s="12" t="n">
        <x:v>0</x:v>
      </x:c>
      <x:c r="M2338" s="2" t="str">
        <x:v>持有</x:v>
      </x:c>
    </x:row>
    <x:row r="2339" ht="23" customHeight="1">
      <x:c r="A2339" s="11" t="d">
        <x:v>2024-04-11T00:00:00.000Z</x:v>
      </x:c>
      <x:c r="B2339" s="12" t="n">
        <x:v>930.288701</x:v>
      </x:c>
      <x:c r="C2339" s="13" t="n">
        <x:v>263</x:v>
      </x:c>
      <x:c r="D2339" s="12" t="n">
        <x:v>136234</x:v>
      </x:c>
      <x:c r="E2339" s="12" t="n">
        <x:v>419.468431</x:v>
      </x:c>
      <x:c r="F2339" s="12" t="n">
        <x:f>SUM(B2339,D2339:E2339)</x:f>
        <x:v>137583.757132</x:v>
      </x:c>
      <x:c r="G2339" s="12" t="n">
        <x:f>MAX(G2338,F2339)</x:f>
        <x:v>138943.467132</x:v>
      </x:c>
      <x:c r="H2339" s="14" t="n">
        <x:f>F2339/G2339-1</x:f>
        <x:v>-0.009786066434546603</x:v>
      </x:c>
      <x:c r="I2339" s="14" t="n">
        <x:f>F2339/F2338-1</x:f>
        <x:v>0.007472284808472063</x:v>
      </x:c>
      <x:c r="J2339" s="12" t="n">
        <x:v>0</x:v>
      </x:c>
      <x:c r="K2339" s="12" t="n">
        <x:v>0</x:v>
      </x:c>
      <x:c r="L2339" s="12" t="n">
        <x:v>0</x:v>
      </x:c>
      <x:c r="M2339" s="2" t="str">
        <x:v>持有</x:v>
      </x:c>
    </x:row>
    <x:row r="2340" ht="23" customHeight="1">
      <x:c r="A2340" s="11" t="d">
        <x:v>2024-04-12T00:00:00.000Z</x:v>
      </x:c>
      <x:c r="B2340" s="12" t="n">
        <x:v>930.288701</x:v>
      </x:c>
      <x:c r="C2340" s="13" t="n">
        <x:v>263</x:v>
      </x:c>
      <x:c r="D2340" s="12" t="n">
        <x:v>134353.55000000002</x:v>
      </x:c>
      <x:c r="E2340" s="12" t="n">
        <x:v>419.468431</x:v>
      </x:c>
      <x:c r="F2340" s="12" t="n">
        <x:f>SUM(B2340,D2340:E2340)</x:f>
        <x:v>135703.30713200002</x:v>
      </x:c>
      <x:c r="G2340" s="12" t="n">
        <x:f>MAX(G2339,F2340)</x:f>
        <x:v>138943.467132</x:v>
      </x:c>
      <x:c r="H2340" s="14" t="n">
        <x:f>F2340/G2340-1</x:f>
        <x:v>-0.02331998809934499</x:v>
      </x:c>
      <x:c r="I2340" s="14" t="n">
        <x:f>F2340/F2339-1</x:f>
        <x:v>-0.013667674434823307</x:v>
      </x:c>
      <x:c r="J2340" s="12" t="n">
        <x:v>0</x:v>
      </x:c>
      <x:c r="K2340" s="12" t="n">
        <x:v>0</x:v>
      </x:c>
      <x:c r="L2340" s="12" t="n">
        <x:v>0</x:v>
      </x:c>
      <x:c r="M2340" s="2" t="str">
        <x:v>持有</x:v>
      </x:c>
    </x:row>
    <x:row r="2341" ht="23" customHeight="1">
      <x:c r="A2341" s="11" t="d">
        <x:v>2024-04-15T00:00:00.000Z</x:v>
      </x:c>
      <x:c r="B2341" s="12" t="n">
        <x:v>930.288701</x:v>
      </x:c>
      <x:c r="C2341" s="13" t="n">
        <x:v>263</x:v>
      </x:c>
      <x:c r="D2341" s="12" t="n">
        <x:v>132670.35</x:v>
      </x:c>
      <x:c r="E2341" s="12" t="n">
        <x:v>419.468431</x:v>
      </x:c>
      <x:c r="F2341" s="12" t="n">
        <x:f>SUM(B2341,D2341:E2341)</x:f>
        <x:v>134020.107132</x:v>
      </x:c>
      <x:c r="G2341" s="12" t="n">
        <x:f>MAX(G2340,F2341)</x:f>
        <x:v>138943.467132</x:v>
      </x:c>
      <x:c r="H2341" s="14" t="n">
        <x:f>F2341/G2341-1</x:f>
        <x:v>-0.035434267631472505</x:v>
      </x:c>
      <x:c r="I2341" s="14" t="n">
        <x:f>F2341/F2340-1</x:f>
        <x:v>-0.012403529697052607</x:v>
      </x:c>
      <x:c r="J2341" s="12" t="n">
        <x:v>0</x:v>
      </x:c>
      <x:c r="K2341" s="12" t="n">
        <x:v>0</x:v>
      </x:c>
      <x:c r="L2341" s="12" t="n">
        <x:v>0</x:v>
      </x:c>
      <x:c r="M2341" s="2" t="str">
        <x:v>持有</x:v>
      </x:c>
    </x:row>
    <x:row r="2342" ht="23" customHeight="1">
      <x:c r="A2342" s="11" t="d">
        <x:v>2024-04-16T00:00:00.000Z</x:v>
      </x:c>
      <x:c r="B2342" s="12" t="n">
        <x:v>133596.709481</x:v>
      </x:c>
      <x:c r="C2342" s="13" t="n">
        <x:v>0</x:v>
      </x:c>
      <x:c r="D2342" s="12" t="n">
        <x:v>0</x:v>
      </x:c>
      <x:c r="E2342" s="12" t="n">
        <x:v>419.468431</x:v>
      </x:c>
      <x:c r="F2342" s="12" t="n">
        <x:f>SUM(B2342,D2342:E2342)</x:f>
        <x:v>134016.17791199998</x:v>
      </x:c>
      <x:c r="G2342" s="12" t="n">
        <x:f>MAX(G2341,F2342)</x:f>
        <x:v>138943.467132</x:v>
      </x:c>
      <x:c r="H2342" s="14" t="n">
        <x:f>F2342/G2342-1</x:f>
        <x:v>-0.03546254690275541</x:v>
      </x:c>
      <x:c r="I2342" s="14" t="n">
        <x:f>F2342/F2341-1</x:f>
        <x:v>-0.000029318138032419228</x:v>
      </x:c>
      <x:c r="J2342" s="12" t="n">
        <x:v>0</x:v>
      </x:c>
      <x:c r="K2342" s="12" t="n">
        <x:v>0</x:v>
      </x:c>
      <x:c r="L2342" s="12" t="n">
        <x:v>-263</x:v>
      </x:c>
      <x:c r="M2342" s="2" t="str">
        <x:v>卖出</x:v>
      </x:c>
    </x:row>
    <x:row r="2343" ht="23" customHeight="1">
      <x:c r="A2343" s="11" t="d">
        <x:v>2024-04-17T00:00:00.000Z</x:v>
      </x:c>
      <x:c r="B2343" s="12" t="n">
        <x:v>133596.709481</x:v>
      </x:c>
      <x:c r="C2343" s="13" t="n">
        <x:v>0</x:v>
      </x:c>
      <x:c r="D2343" s="12" t="n">
        <x:v>0</x:v>
      </x:c>
      <x:c r="E2343" s="12" t="n">
        <x:v>419.468431</x:v>
      </x:c>
      <x:c r="F2343" s="12" t="n">
        <x:f>SUM(B2343,D2343:E2343)</x:f>
        <x:v>134016.17791199998</x:v>
      </x:c>
      <x:c r="G2343" s="12" t="n">
        <x:f>MAX(G2342,F2343)</x:f>
        <x:v>138943.467132</x:v>
      </x:c>
      <x:c r="H2343" s="14" t="n">
        <x:f>F2343/G2343-1</x:f>
        <x:v>-0.03546254690275541</x:v>
      </x:c>
      <x:c r="I2343" s="14" t="n">
        <x:f>F2343/F2342-1</x:f>
        <x:v>0</x:v>
      </x:c>
      <x:c r="J2343" s="12" t="n">
        <x:v>0</x:v>
      </x:c>
      <x:c r="K2343" s="12" t="n">
        <x:v>0</x:v>
      </x:c>
      <x:c r="L2343" s="12" t="n">
        <x:v>0</x:v>
      </x:c>
      <x:c r="M2343" s="2" t="str">
        <x:v>空仓</x:v>
      </x:c>
    </x:row>
    <x:row r="2344" ht="23" customHeight="1">
      <x:c r="A2344" s="11" t="d">
        <x:v>2024-04-18T00:00:00.000Z</x:v>
      </x:c>
      <x:c r="B2344" s="12" t="n">
        <x:v>133596.709481</x:v>
      </x:c>
      <x:c r="C2344" s="13" t="n">
        <x:v>0</x:v>
      </x:c>
      <x:c r="D2344" s="12" t="n">
        <x:v>0</x:v>
      </x:c>
      <x:c r="E2344" s="12" t="n">
        <x:v>419.468431</x:v>
      </x:c>
      <x:c r="F2344" s="12" t="n">
        <x:f>SUM(B2344,D2344:E2344)</x:f>
        <x:v>134016.17791199998</x:v>
      </x:c>
      <x:c r="G2344" s="12" t="n">
        <x:f>MAX(G2343,F2344)</x:f>
        <x:v>138943.467132</x:v>
      </x:c>
      <x:c r="H2344" s="14" t="n">
        <x:f>F2344/G2344-1</x:f>
        <x:v>-0.03546254690275541</x:v>
      </x:c>
      <x:c r="I2344" s="14" t="n">
        <x:f>F2344/F2343-1</x:f>
        <x:v>0</x:v>
      </x:c>
      <x:c r="J2344" s="12" t="n">
        <x:v>0</x:v>
      </x:c>
      <x:c r="K2344" s="12" t="n">
        <x:v>0</x:v>
      </x:c>
      <x:c r="L2344" s="12" t="n">
        <x:v>0</x:v>
      </x:c>
      <x:c r="M2344" s="2" t="str">
        <x:v>空仓</x:v>
      </x:c>
    </x:row>
    <x:row r="2345" ht="23" customHeight="1">
      <x:c r="A2345" s="11" t="d">
        <x:v>2024-04-19T00:00:00.000Z</x:v>
      </x:c>
      <x:c r="B2345" s="12" t="n">
        <x:v>133596.709481</x:v>
      </x:c>
      <x:c r="C2345" s="13" t="n">
        <x:v>0</x:v>
      </x:c>
      <x:c r="D2345" s="12" t="n">
        <x:v>0</x:v>
      </x:c>
      <x:c r="E2345" s="12" t="n">
        <x:v>419.468431</x:v>
      </x:c>
      <x:c r="F2345" s="12" t="n">
        <x:f>SUM(B2345,D2345:E2345)</x:f>
        <x:v>134016.17791199998</x:v>
      </x:c>
      <x:c r="G2345" s="12" t="n">
        <x:f>MAX(G2344,F2345)</x:f>
        <x:v>138943.467132</x:v>
      </x:c>
      <x:c r="H2345" s="14" t="n">
        <x:f>F2345/G2345-1</x:f>
        <x:v>-0.03546254690275541</x:v>
      </x:c>
      <x:c r="I2345" s="14" t="n">
        <x:f>F2345/F2344-1</x:f>
        <x:v>0</x:v>
      </x:c>
      <x:c r="J2345" s="12" t="n">
        <x:v>0</x:v>
      </x:c>
      <x:c r="K2345" s="12" t="n">
        <x:v>0</x:v>
      </x:c>
      <x:c r="L2345" s="12" t="n">
        <x:v>0</x:v>
      </x:c>
      <x:c r="M2345" s="2" t="str">
        <x:v>空仓</x:v>
      </x:c>
    </x:row>
    <x:row r="2346" ht="23" customHeight="1">
      <x:c r="A2346" s="11" t="d">
        <x:v>2024-04-22T00:00:00.000Z</x:v>
      </x:c>
      <x:c r="B2346" s="12" t="n">
        <x:v>133596.709481</x:v>
      </x:c>
      <x:c r="C2346" s="13" t="n">
        <x:v>0</x:v>
      </x:c>
      <x:c r="D2346" s="12" t="n">
        <x:v>0</x:v>
      </x:c>
      <x:c r="E2346" s="12" t="n">
        <x:v>419.468431</x:v>
      </x:c>
      <x:c r="F2346" s="12" t="n">
        <x:f>SUM(B2346,D2346:E2346)</x:f>
        <x:v>134016.17791199998</x:v>
      </x:c>
      <x:c r="G2346" s="12" t="n">
        <x:f>MAX(G2345,F2346)</x:f>
        <x:v>138943.467132</x:v>
      </x:c>
      <x:c r="H2346" s="14" t="n">
        <x:f>F2346/G2346-1</x:f>
        <x:v>-0.03546254690275541</x:v>
      </x:c>
      <x:c r="I2346" s="14" t="n">
        <x:f>F2346/F2345-1</x:f>
        <x:v>0</x:v>
      </x:c>
      <x:c r="J2346" s="12" t="n">
        <x:v>0</x:v>
      </x:c>
      <x:c r="K2346" s="12" t="n">
        <x:v>0</x:v>
      </x:c>
      <x:c r="L2346" s="12" t="n">
        <x:v>0</x:v>
      </x:c>
      <x:c r="M2346" s="2" t="str">
        <x:v>空仓</x:v>
      </x:c>
    </x:row>
    <x:row r="2347" ht="23" customHeight="1">
      <x:c r="A2347" s="11" t="d">
        <x:v>2024-04-23T00:00:00.000Z</x:v>
      </x:c>
      <x:c r="B2347" s="12" t="n">
        <x:v>133596.709481</x:v>
      </x:c>
      <x:c r="C2347" s="13" t="n">
        <x:v>0</x:v>
      </x:c>
      <x:c r="D2347" s="12" t="n">
        <x:v>0</x:v>
      </x:c>
      <x:c r="E2347" s="12" t="n">
        <x:v>419.468431</x:v>
      </x:c>
      <x:c r="F2347" s="12" t="n">
        <x:f>SUM(B2347,D2347:E2347)</x:f>
        <x:v>134016.17791199998</x:v>
      </x:c>
      <x:c r="G2347" s="12" t="n">
        <x:f>MAX(G2346,F2347)</x:f>
        <x:v>138943.467132</x:v>
      </x:c>
      <x:c r="H2347" s="14" t="n">
        <x:f>F2347/G2347-1</x:f>
        <x:v>-0.03546254690275541</x:v>
      </x:c>
      <x:c r="I2347" s="14" t="n">
        <x:f>F2347/F2346-1</x:f>
        <x:v>0</x:v>
      </x:c>
      <x:c r="J2347" s="12" t="n">
        <x:v>0</x:v>
      </x:c>
      <x:c r="K2347" s="12" t="n">
        <x:v>0</x:v>
      </x:c>
      <x:c r="L2347" s="12" t="n">
        <x:v>0</x:v>
      </x:c>
      <x:c r="M2347" s="2" t="str">
        <x:v>空仓</x:v>
      </x:c>
    </x:row>
    <x:row r="2348" ht="23" customHeight="1">
      <x:c r="A2348" s="11" t="d">
        <x:v>2024-04-24T00:00:00.000Z</x:v>
      </x:c>
      <x:c r="B2348" s="12" t="n">
        <x:v>133596.709481</x:v>
      </x:c>
      <x:c r="C2348" s="13" t="n">
        <x:v>0</x:v>
      </x:c>
      <x:c r="D2348" s="12" t="n">
        <x:v>0</x:v>
      </x:c>
      <x:c r="E2348" s="12" t="n">
        <x:v>419.468431</x:v>
      </x:c>
      <x:c r="F2348" s="12" t="n">
        <x:f>SUM(B2348,D2348:E2348)</x:f>
        <x:v>134016.17791199998</x:v>
      </x:c>
      <x:c r="G2348" s="12" t="n">
        <x:f>MAX(G2347,F2348)</x:f>
        <x:v>138943.467132</x:v>
      </x:c>
      <x:c r="H2348" s="14" t="n">
        <x:f>F2348/G2348-1</x:f>
        <x:v>-0.03546254690275541</x:v>
      </x:c>
      <x:c r="I2348" s="14" t="n">
        <x:f>F2348/F2347-1</x:f>
        <x:v>0</x:v>
      </x:c>
      <x:c r="J2348" s="12" t="n">
        <x:v>0</x:v>
      </x:c>
      <x:c r="K2348" s="12" t="n">
        <x:v>0</x:v>
      </x:c>
      <x:c r="L2348" s="12" t="n">
        <x:v>0</x:v>
      </x:c>
      <x:c r="M2348" s="2" t="str">
        <x:v>空仓</x:v>
      </x:c>
    </x:row>
    <x:row r="2349" ht="23" customHeight="1">
      <x:c r="A2349" s="11" t="d">
        <x:v>2024-04-25T00:00:00.000Z</x:v>
      </x:c>
      <x:c r="B2349" s="12" t="n">
        <x:v>133596.709481</x:v>
      </x:c>
      <x:c r="C2349" s="13" t="n">
        <x:v>0</x:v>
      </x:c>
      <x:c r="D2349" s="12" t="n">
        <x:v>0</x:v>
      </x:c>
      <x:c r="E2349" s="12" t="n">
        <x:v>419.468431</x:v>
      </x:c>
      <x:c r="F2349" s="12" t="n">
        <x:f>SUM(B2349,D2349:E2349)</x:f>
        <x:v>134016.17791199998</x:v>
      </x:c>
      <x:c r="G2349" s="12" t="n">
        <x:f>MAX(G2348,F2349)</x:f>
        <x:v>138943.467132</x:v>
      </x:c>
      <x:c r="H2349" s="14" t="n">
        <x:f>F2349/G2349-1</x:f>
        <x:v>-0.03546254690275541</x:v>
      </x:c>
      <x:c r="I2349" s="14" t="n">
        <x:f>F2349/F2348-1</x:f>
        <x:v>0</x:v>
      </x:c>
      <x:c r="J2349" s="12" t="n">
        <x:v>0</x:v>
      </x:c>
      <x:c r="K2349" s="12" t="n">
        <x:v>0</x:v>
      </x:c>
      <x:c r="L2349" s="12" t="n">
        <x:v>0</x:v>
      </x:c>
      <x:c r="M2349" s="2" t="str">
        <x:v>空仓</x:v>
      </x:c>
    </x:row>
    <x:row r="2350" ht="23" customHeight="1">
      <x:c r="A2350" s="11" t="d">
        <x:v>2024-04-26T00:00:00.000Z</x:v>
      </x:c>
      <x:c r="B2350" s="12" t="n">
        <x:v>133596.709481</x:v>
      </x:c>
      <x:c r="C2350" s="13" t="n">
        <x:v>0</x:v>
      </x:c>
      <x:c r="D2350" s="12" t="n">
        <x:v>0</x:v>
      </x:c>
      <x:c r="E2350" s="12" t="n">
        <x:v>419.468431</x:v>
      </x:c>
      <x:c r="F2350" s="12" t="n">
        <x:f>SUM(B2350,D2350:E2350)</x:f>
        <x:v>134016.17791199998</x:v>
      </x:c>
      <x:c r="G2350" s="12" t="n">
        <x:f>MAX(G2349,F2350)</x:f>
        <x:v>138943.467132</x:v>
      </x:c>
      <x:c r="H2350" s="14" t="n">
        <x:f>F2350/G2350-1</x:f>
        <x:v>-0.03546254690275541</x:v>
      </x:c>
      <x:c r="I2350" s="14" t="n">
        <x:f>F2350/F2349-1</x:f>
        <x:v>0</x:v>
      </x:c>
      <x:c r="J2350" s="12" t="n">
        <x:v>0</x:v>
      </x:c>
      <x:c r="K2350" s="12" t="n">
        <x:v>0</x:v>
      </x:c>
      <x:c r="L2350" s="12" t="n">
        <x:v>0</x:v>
      </x:c>
      <x:c r="M2350" s="2" t="str">
        <x:v>空仓</x:v>
      </x:c>
    </x:row>
    <x:row r="2351" ht="23" customHeight="1">
      <x:c r="A2351" s="11" t="d">
        <x:v>2024-04-29T00:00:00.000Z</x:v>
      </x:c>
      <x:c r="B2351" s="12" t="n">
        <x:v>133596.709481</x:v>
      </x:c>
      <x:c r="C2351" s="13" t="n">
        <x:v>0</x:v>
      </x:c>
      <x:c r="D2351" s="12" t="n">
        <x:v>0</x:v>
      </x:c>
      <x:c r="E2351" s="12" t="n">
        <x:v>419.468431</x:v>
      </x:c>
      <x:c r="F2351" s="12" t="n">
        <x:f>SUM(B2351,D2351:E2351)</x:f>
        <x:v>134016.17791199998</x:v>
      </x:c>
      <x:c r="G2351" s="12" t="n">
        <x:f>MAX(G2350,F2351)</x:f>
        <x:v>138943.467132</x:v>
      </x:c>
      <x:c r="H2351" s="14" t="n">
        <x:f>F2351/G2351-1</x:f>
        <x:v>-0.03546254690275541</x:v>
      </x:c>
      <x:c r="I2351" s="14" t="n">
        <x:f>F2351/F2350-1</x:f>
        <x:v>0</x:v>
      </x:c>
      <x:c r="J2351" s="12" t="n">
        <x:v>0</x:v>
      </x:c>
      <x:c r="K2351" s="12" t="n">
        <x:v>0</x:v>
      </x:c>
      <x:c r="L2351" s="12" t="n">
        <x:v>0</x:v>
      </x:c>
      <x:c r="M2351" s="2" t="str">
        <x:v>空仓</x:v>
      </x:c>
    </x:row>
    <x:row r="2352" ht="23" customHeight="1">
      <x:c r="A2352" s="11" t="d">
        <x:v>2024-04-30T00:00:00.000Z</x:v>
      </x:c>
      <x:c r="B2352" s="12" t="n">
        <x:v>134016.177912</x:v>
      </x:c>
      <x:c r="C2352" s="13" t="n">
        <x:v>0</x:v>
      </x:c>
      <x:c r="D2352" s="12" t="n">
        <x:v>0</x:v>
      </x:c>
      <x:c r="E2352" s="12" t="n">
        <x:v>0</x:v>
      </x:c>
      <x:c r="F2352" s="12" t="n">
        <x:f>SUM(B2352,D2352:E2352)</x:f>
        <x:v>134016.177912</x:v>
      </x:c>
      <x:c r="G2352" s="12" t="n">
        <x:f>MAX(G2351,F2352)</x:f>
        <x:v>138943.467132</x:v>
      </x:c>
      <x:c r="H2352" s="14" t="n">
        <x:f>F2352/G2352-1</x:f>
        <x:v>-0.03546254690275519</x:v>
      </x:c>
      <x:c r="I2352" s="14" t="n">
        <x:f>F2352/F2351-1</x:f>
        <x:v>2.220446049250313e-16</x:v>
      </x:c>
      <x:c r="J2352" s="12" t="n">
        <x:v>0</x:v>
      </x:c>
      <x:c r="K2352" s="12" t="n">
        <x:v>419.468431</x:v>
      </x:c>
      <x:c r="L2352" s="12" t="n">
        <x:v>0</x:v>
      </x:c>
      <x:c r="M2352" s="2" t="str">
        <x:v>空仓</x:v>
      </x:c>
    </x:row>
    <x:row r="2353" ht="23" customHeight="1">
      <x:c r="A2353" s="11" t="d">
        <x:v>2024-05-01T00:00:00.000Z</x:v>
      </x:c>
      <x:c r="B2353" s="12" t="n">
        <x:v>134016.177912</x:v>
      </x:c>
      <x:c r="C2353" s="13" t="n">
        <x:v>0</x:v>
      </x:c>
      <x:c r="D2353" s="12" t="n">
        <x:v>0</x:v>
      </x:c>
      <x:c r="E2353" s="12" t="n">
        <x:v>0</x:v>
      </x:c>
      <x:c r="F2353" s="12" t="n">
        <x:f>SUM(B2353,D2353:E2353)</x:f>
        <x:v>134016.177912</x:v>
      </x:c>
      <x:c r="G2353" s="12" t="n">
        <x:f>MAX(G2352,F2353)</x:f>
        <x:v>138943.467132</x:v>
      </x:c>
      <x:c r="H2353" s="14" t="n">
        <x:f>F2353/G2353-1</x:f>
        <x:v>-0.03546254690275519</x:v>
      </x:c>
      <x:c r="I2353" s="14" t="n">
        <x:f>F2353/F2352-1</x:f>
        <x:v>0</x:v>
      </x:c>
      <x:c r="J2353" s="12" t="n">
        <x:v>0</x:v>
      </x:c>
      <x:c r="K2353" s="12" t="n">
        <x:v>0</x:v>
      </x:c>
      <x:c r="L2353" s="12" t="n">
        <x:v>0</x:v>
      </x:c>
      <x:c r="M2353" s="2" t="str">
        <x:v>空仓</x:v>
      </x:c>
    </x:row>
    <x:row r="2354" ht="23" customHeight="1">
      <x:c r="A2354" s="11" t="d">
        <x:v>2024-05-02T00:00:00.000Z</x:v>
      </x:c>
      <x:c r="B2354" s="12" t="n">
        <x:v>134016.177912</x:v>
      </x:c>
      <x:c r="C2354" s="13" t="n">
        <x:v>0</x:v>
      </x:c>
      <x:c r="D2354" s="12" t="n">
        <x:v>0</x:v>
      </x:c>
      <x:c r="E2354" s="12" t="n">
        <x:v>0</x:v>
      </x:c>
      <x:c r="F2354" s="12" t="n">
        <x:f>SUM(B2354,D2354:E2354)</x:f>
        <x:v>134016.177912</x:v>
      </x:c>
      <x:c r="G2354" s="12" t="n">
        <x:f>MAX(G2353,F2354)</x:f>
        <x:v>138943.467132</x:v>
      </x:c>
      <x:c r="H2354" s="14" t="n">
        <x:f>F2354/G2354-1</x:f>
        <x:v>-0.03546254690275519</x:v>
      </x:c>
      <x:c r="I2354" s="14" t="n">
        <x:f>F2354/F2353-1</x:f>
        <x:v>0</x:v>
      </x:c>
      <x:c r="J2354" s="12" t="n">
        <x:v>0</x:v>
      </x:c>
      <x:c r="K2354" s="12" t="n">
        <x:v>0</x:v>
      </x:c>
      <x:c r="L2354" s="12" t="n">
        <x:v>0</x:v>
      </x:c>
      <x:c r="M2354" s="2" t="str">
        <x:v>空仓</x:v>
      </x:c>
    </x:row>
    <x:row r="2355" ht="23" customHeight="1">
      <x:c r="A2355" s="11" t="d">
        <x:v>2024-05-03T00:00:00.000Z</x:v>
      </x:c>
      <x:c r="B2355" s="12" t="n">
        <x:v>134016.177912</x:v>
      </x:c>
      <x:c r="C2355" s="13" t="n">
        <x:v>0</x:v>
      </x:c>
      <x:c r="D2355" s="12" t="n">
        <x:v>0</x:v>
      </x:c>
      <x:c r="E2355" s="12" t="n">
        <x:v>0</x:v>
      </x:c>
      <x:c r="F2355" s="12" t="n">
        <x:f>SUM(B2355,D2355:E2355)</x:f>
        <x:v>134016.177912</x:v>
      </x:c>
      <x:c r="G2355" s="12" t="n">
        <x:f>MAX(G2354,F2355)</x:f>
        <x:v>138943.467132</x:v>
      </x:c>
      <x:c r="H2355" s="14" t="n">
        <x:f>F2355/G2355-1</x:f>
        <x:v>-0.03546254690275519</x:v>
      </x:c>
      <x:c r="I2355" s="14" t="n">
        <x:f>F2355/F2354-1</x:f>
        <x:v>0</x:v>
      </x:c>
      <x:c r="J2355" s="12" t="n">
        <x:v>0</x:v>
      </x:c>
      <x:c r="K2355" s="12" t="n">
        <x:v>0</x:v>
      </x:c>
      <x:c r="L2355" s="12" t="n">
        <x:v>0</x:v>
      </x:c>
      <x:c r="M2355" s="2" t="str">
        <x:v>空仓</x:v>
      </x:c>
    </x:row>
    <x:row r="2356" ht="23" customHeight="1">
      <x:c r="A2356" s="11" t="d">
        <x:v>2024-05-06T00:00:00.000Z</x:v>
      </x:c>
      <x:c r="B2356" s="12" t="n">
        <x:v>134016.177912</x:v>
      </x:c>
      <x:c r="C2356" s="13" t="n">
        <x:v>0</x:v>
      </x:c>
      <x:c r="D2356" s="12" t="n">
        <x:v>0</x:v>
      </x:c>
      <x:c r="E2356" s="12" t="n">
        <x:v>0</x:v>
      </x:c>
      <x:c r="F2356" s="12" t="n">
        <x:f>SUM(B2356,D2356:E2356)</x:f>
        <x:v>134016.177912</x:v>
      </x:c>
      <x:c r="G2356" s="12" t="n">
        <x:f>MAX(G2355,F2356)</x:f>
        <x:v>138943.467132</x:v>
      </x:c>
      <x:c r="H2356" s="14" t="n">
        <x:f>F2356/G2356-1</x:f>
        <x:v>-0.03546254690275519</x:v>
      </x:c>
      <x:c r="I2356" s="14" t="n">
        <x:f>F2356/F2355-1</x:f>
        <x:v>0</x:v>
      </x:c>
      <x:c r="J2356" s="12" t="n">
        <x:v>0</x:v>
      </x:c>
      <x:c r="K2356" s="12" t="n">
        <x:v>0</x:v>
      </x:c>
      <x:c r="L2356" s="12" t="n">
        <x:v>0</x:v>
      </x:c>
      <x:c r="M2356" s="2" t="str">
        <x:v>空仓</x:v>
      </x:c>
    </x:row>
    <x:row r="2357" ht="23" customHeight="1">
      <x:c r="A2357" s="11" t="d">
        <x:v>2024-05-07T00:00:00.000Z</x:v>
      </x:c>
      <x:c r="B2357" s="12" t="n">
        <x:v>352.167432</x:v>
      </x:c>
      <x:c r="C2357" s="13" t="n">
        <x:v>258</x:v>
      </x:c>
      <x:c r="D2357" s="12" t="n">
        <x:v>133422.12</x:v>
      </x:c>
      <x:c r="E2357" s="12" t="n">
        <x:v>0</x:v>
      </x:c>
      <x:c r="F2357" s="12" t="n">
        <x:f>SUM(B2357,D2357:E2357)</x:f>
        <x:v>133774.28743199998</x:v>
      </x:c>
      <x:c r="G2357" s="12" t="n">
        <x:f>MAX(G2356,F2357)</x:f>
        <x:v>138943.467132</x:v>
      </x:c>
      <x:c r="H2357" s="14" t="n">
        <x:f>F2357/G2357-1</x:f>
        <x:v>-0.037203474238116874</x:v>
      </x:c>
      <x:c r="I2357" s="14" t="n">
        <x:f>F2357/F2356-1</x:f>
        <x:v>-0.0018049349247883928</x:v>
      </x:c>
      <x:c r="J2357" s="12" t="n">
        <x:v>0</x:v>
      </x:c>
      <x:c r="K2357" s="12" t="n">
        <x:v>0</x:v>
      </x:c>
      <x:c r="L2357" s="12" t="n">
        <x:v>258</x:v>
      </x:c>
      <x:c r="M2357" s="2" t="str">
        <x:v>买入</x:v>
      </x:c>
    </x:row>
    <x:row r="2358" ht="23" customHeight="1">
      <x:c r="A2358" s="11" t="d">
        <x:v>2024-05-08T00:00:00.000Z</x:v>
      </x:c>
      <x:c r="B2358" s="12" t="n">
        <x:v>352.167432</x:v>
      </x:c>
      <x:c r="C2358" s="13" t="n">
        <x:v>258</x:v>
      </x:c>
      <x:c r="D2358" s="12" t="n">
        <x:v>133435.02000000002</x:v>
      </x:c>
      <x:c r="E2358" s="12" t="n">
        <x:v>0</x:v>
      </x:c>
      <x:c r="F2358" s="12" t="n">
        <x:f>SUM(B2358,D2358:E2358)</x:f>
        <x:v>133787.187432</x:v>
      </x:c>
      <x:c r="G2358" s="12" t="n">
        <x:f>MAX(G2357,F2358)</x:f>
        <x:v>138943.467132</x:v>
      </x:c>
      <x:c r="H2358" s="14" t="n">
        <x:f>F2358/G2358-1</x:f>
        <x:v>-0.037110630722215876</x:v>
      </x:c>
      <x:c r="I2358" s="14" t="n">
        <x:f>F2358/F2357-1</x:f>
        <x:v>0.00009643108737611428</x:v>
      </x:c>
      <x:c r="J2358" s="12" t="n">
        <x:v>0</x:v>
      </x:c>
      <x:c r="K2358" s="12" t="n">
        <x:v>0</x:v>
      </x:c>
      <x:c r="L2358" s="12" t="n">
        <x:v>0</x:v>
      </x:c>
      <x:c r="M2358" s="2" t="str">
        <x:v>持有</x:v>
      </x:c>
    </x:row>
    <x:row r="2359" ht="23" customHeight="1">
      <x:c r="A2359" s="11" t="d">
        <x:v>2024-05-09T00:00:00.000Z</x:v>
      </x:c>
      <x:c r="B2359" s="12" t="n">
        <x:v>352.167432</x:v>
      </x:c>
      <x:c r="C2359" s="13" t="n">
        <x:v>258</x:v>
      </x:c>
      <x:c r="D2359" s="12" t="n">
        <x:v>134203.86</x:v>
      </x:c>
      <x:c r="E2359" s="12" t="n">
        <x:v>0</x:v>
      </x:c>
      <x:c r="F2359" s="12" t="n">
        <x:f>SUM(B2359,D2359:E2359)</x:f>
        <x:v>134556.02743199997</x:v>
      </x:c>
      <x:c r="G2359" s="12" t="n">
        <x:f>MAX(G2358,F2359)</x:f>
        <x:v>138943.467132</x:v>
      </x:c>
      <x:c r="H2359" s="14" t="n">
        <x:f>F2359/G2359-1</x:f>
        <x:v>-0.0315771571745207</x:v>
      </x:c>
      <x:c r="I2359" s="14" t="n">
        <x:f>F2359/F2358-1</x:f>
        <x:v>0.005746738643345406</x:v>
      </x:c>
      <x:c r="J2359" s="12" t="n">
        <x:v>0</x:v>
      </x:c>
      <x:c r="K2359" s="12" t="n">
        <x:v>0</x:v>
      </x:c>
      <x:c r="L2359" s="12" t="n">
        <x:v>0</x:v>
      </x:c>
      <x:c r="M2359" s="2" t="str">
        <x:v>持有</x:v>
      </x:c>
    </x:row>
    <x:row r="2360" ht="23" customHeight="1">
      <x:c r="A2360" s="11" t="d">
        <x:v>2024-05-10T00:00:00.000Z</x:v>
      </x:c>
      <x:c r="B2360" s="12" t="n">
        <x:v>352.167432</x:v>
      </x:c>
      <x:c r="C2360" s="13" t="n">
        <x:v>258</x:v>
      </x:c>
      <x:c r="D2360" s="12" t="n">
        <x:v>134376.72</x:v>
      </x:c>
      <x:c r="E2360" s="12" t="n">
        <x:v>0</x:v>
      </x:c>
      <x:c r="F2360" s="12" t="n">
        <x:f>SUM(B2360,D2360:E2360)</x:f>
        <x:v>134728.887432</x:v>
      </x:c>
      <x:c r="G2360" s="12" t="n">
        <x:f>MAX(G2359,F2360)</x:f>
        <x:v>138943.467132</x:v>
      </x:c>
      <x:c r="H2360" s="14" t="n">
        <x:f>F2360/G2360-1</x:f>
        <x:v>-0.03033305406144815</x:v>
      </x:c>
      <x:c r="I2360" s="14" t="n">
        <x:f>F2360/F2359-1</x:f>
        <x:v>0.001284669318045717</x:v>
      </x:c>
      <x:c r="J2360" s="12" t="n">
        <x:v>0</x:v>
      </x:c>
      <x:c r="K2360" s="12" t="n">
        <x:v>0</x:v>
      </x:c>
      <x:c r="L2360" s="12" t="n">
        <x:v>0</x:v>
      </x:c>
      <x:c r="M2360" s="2" t="str">
        <x:v>持有</x:v>
      </x:c>
    </x:row>
    <x:row r="2361" ht="23" customHeight="1">
      <x:c r="A2361" s="11" t="d">
        <x:v>2024-05-13T00:00:00.000Z</x:v>
      </x:c>
      <x:c r="B2361" s="12" t="n">
        <x:v>352.167432</x:v>
      </x:c>
      <x:c r="C2361" s="13" t="n">
        <x:v>258</x:v>
      </x:c>
      <x:c r="D2361" s="12" t="n">
        <x:v>134394.78</x:v>
      </x:c>
      <x:c r="E2361" s="12" t="n">
        <x:v>0</x:v>
      </x:c>
      <x:c r="F2361" s="12" t="n">
        <x:f>SUM(B2361,D2361:E2361)</x:f>
        <x:v>134746.947432</x:v>
      </x:c>
      <x:c r="G2361" s="12" t="n">
        <x:f>MAX(G2360,F2361)</x:f>
        <x:v>138943.467132</x:v>
      </x:c>
      <x:c r="H2361" s="14" t="n">
        <x:f>F2361/G2361-1</x:f>
        <x:v>-0.03020307313918691</x:v>
      </x:c>
      <x:c r="I2361" s="14" t="n">
        <x:f>F2361/F2360-1</x:f>
        <x:v>0.00013404697644459063</x:v>
      </x:c>
      <x:c r="J2361" s="12" t="n">
        <x:v>0</x:v>
      </x:c>
      <x:c r="K2361" s="12" t="n">
        <x:v>0</x:v>
      </x:c>
      <x:c r="L2361" s="12" t="n">
        <x:v>0</x:v>
      </x:c>
      <x:c r="M2361" s="2" t="str">
        <x:v>持有</x:v>
      </x:c>
    </x:row>
    <x:row r="2362" ht="23" customHeight="1">
      <x:c r="A2362" s="11" t="d">
        <x:v>2024-05-14T00:00:00.000Z</x:v>
      </x:c>
      <x:c r="B2362" s="12" t="n">
        <x:v>352.167432</x:v>
      </x:c>
      <x:c r="C2362" s="13" t="n">
        <x:v>258</x:v>
      </x:c>
      <x:c r="D2362" s="12" t="n">
        <x:v>135011.4</x:v>
      </x:c>
      <x:c r="E2362" s="12" t="n">
        <x:v>0</x:v>
      </x:c>
      <x:c r="F2362" s="12" t="n">
        <x:f>SUM(B2362,D2362:E2362)</x:f>
        <x:v>135363.56743199998</x:v>
      </x:c>
      <x:c r="G2362" s="12" t="n">
        <x:f>MAX(G2361,F2362)</x:f>
        <x:v>138943.467132</x:v>
      </x:c>
      <x:c r="H2362" s="14" t="n">
        <x:f>F2362/G2362-1</x:f>
        <x:v>-0.025765153079122527</x:v>
      </x:c>
      <x:c r="I2362" s="14" t="n">
        <x:f>F2362/F2361-1</x:f>
        <x:v>0.004576133350339351</x:v>
      </x:c>
      <x:c r="J2362" s="12" t="n">
        <x:v>0</x:v>
      </x:c>
      <x:c r="K2362" s="12" t="n">
        <x:v>0</x:v>
      </x:c>
      <x:c r="L2362" s="12" t="n">
        <x:v>0</x:v>
      </x:c>
      <x:c r="M2362" s="2" t="str">
        <x:v>持有</x:v>
      </x:c>
    </x:row>
    <x:row r="2363" ht="23" customHeight="1">
      <x:c r="A2363" s="11" t="d">
        <x:v>2024-05-15T00:00:00.000Z</x:v>
      </x:c>
      <x:c r="B2363" s="12" t="n">
        <x:v>352.167432</x:v>
      </x:c>
      <x:c r="C2363" s="13" t="n">
        <x:v>258</x:v>
      </x:c>
      <x:c r="D2363" s="12" t="n">
        <x:v>136683.24</x:v>
      </x:c>
      <x:c r="E2363" s="12" t="n">
        <x:v>0</x:v>
      </x:c>
      <x:c r="F2363" s="12" t="n">
        <x:f>SUM(B2363,D2363:E2363)</x:f>
        <x:v>137035.40743199998</x:v>
      </x:c>
      <x:c r="G2363" s="12" t="n">
        <x:f>MAX(G2362,F2363)</x:f>
        <x:v>138943.467132</x:v>
      </x:c>
      <x:c r="H2363" s="14" t="n">
        <x:f>F2363/G2363-1</x:f>
        <x:v>-0.013732633418362172</x:v>
      </x:c>
      <x:c r="I2363" s="14" t="n">
        <x:f>F2363/F2362-1</x:f>
        <x:v>0.012350738324326871</x:v>
      </x:c>
      <x:c r="J2363" s="12" t="n">
        <x:v>0</x:v>
      </x:c>
      <x:c r="K2363" s="12" t="n">
        <x:v>0</x:v>
      </x:c>
      <x:c r="L2363" s="12" t="n">
        <x:v>0</x:v>
      </x:c>
      <x:c r="M2363" s="2" t="str">
        <x:v>持有</x:v>
      </x:c>
    </x:row>
    <x:row r="2364" ht="23" customHeight="1">
      <x:c r="A2364" s="11" t="d">
        <x:v>2024-05-16T00:00:00.000Z</x:v>
      </x:c>
      <x:c r="B2364" s="12" t="n">
        <x:v>352.167432</x:v>
      </x:c>
      <x:c r="C2364" s="13" t="n">
        <x:v>258</x:v>
      </x:c>
      <x:c r="D2364" s="12" t="n">
        <x:v>136402.02000000002</x:v>
      </x:c>
      <x:c r="E2364" s="12" t="n">
        <x:v>0</x:v>
      </x:c>
      <x:c r="F2364" s="12" t="n">
        <x:f>SUM(B2364,D2364:E2364)</x:f>
        <x:v>136754.187432</x:v>
      </x:c>
      <x:c r="G2364" s="12" t="n">
        <x:f>MAX(G2363,F2364)</x:f>
        <x:v>138943.467132</x:v>
      </x:c>
      <x:c r="H2364" s="14" t="n">
        <x:f>F2364/G2364-1</x:f>
        <x:v>-0.01575662206500228</x:v>
      </x:c>
      <x:c r="I2364" s="14" t="n">
        <x:f>F2364/F2363-1</x:f>
        <x:v>-0.0020521703497654586</x:v>
      </x:c>
      <x:c r="J2364" s="12" t="n">
        <x:v>0</x:v>
      </x:c>
      <x:c r="K2364" s="12" t="n">
        <x:v>0</x:v>
      </x:c>
      <x:c r="L2364" s="12" t="n">
        <x:v>0</x:v>
      </x:c>
      <x:c r="M2364" s="2" t="str">
        <x:v>持有</x:v>
      </x:c>
    </x:row>
    <x:row r="2365" ht="23" customHeight="1">
      <x:c r="A2365" s="11" t="d">
        <x:v>2024-05-17T00:00:00.000Z</x:v>
      </x:c>
      <x:c r="B2365" s="12" t="n">
        <x:v>352.167432</x:v>
      </x:c>
      <x:c r="C2365" s="13" t="n">
        <x:v>258</x:v>
      </x:c>
      <x:c r="D2365" s="12" t="n">
        <x:v>136598.1</x:v>
      </x:c>
      <x:c r="E2365" s="12" t="n">
        <x:v>0</x:v>
      </x:c>
      <x:c r="F2365" s="12" t="n">
        <x:f>SUM(B2365,D2365:E2365)</x:f>
        <x:v>136950.267432</x:v>
      </x:c>
      <x:c r="G2365" s="12" t="n">
        <x:f>MAX(G2364,F2365)</x:f>
        <x:v>138943.467132</x:v>
      </x:c>
      <x:c r="H2365" s="14" t="n">
        <x:f>F2365/G2365-1</x:f>
        <x:v>-0.014345400623308247</x:v>
      </x:c>
      <x:c r="I2365" s="14" t="n">
        <x:f>F2365/F2364-1</x:f>
        <x:v>0.0014338134991112028</x:v>
      </x:c>
      <x:c r="J2365" s="12" t="n">
        <x:v>0</x:v>
      </x:c>
      <x:c r="K2365" s="12" t="n">
        <x:v>0</x:v>
      </x:c>
      <x:c r="L2365" s="12" t="n">
        <x:v>0</x:v>
      </x:c>
      <x:c r="M2365" s="2" t="str">
        <x:v>持有</x:v>
      </x:c>
    </x:row>
    <x:row r="2366" ht="23" customHeight="1">
      <x:c r="A2366" s="11" t="d">
        <x:v>2024-05-20T00:00:00.000Z</x:v>
      </x:c>
      <x:c r="B2366" s="12" t="n">
        <x:v>352.167432</x:v>
      </x:c>
      <x:c r="C2366" s="13" t="n">
        <x:v>258</x:v>
      </x:c>
      <x:c r="D2366" s="12" t="n">
        <x:v>136755.47999999998</x:v>
      </x:c>
      <x:c r="E2366" s="12" t="n">
        <x:v>0</x:v>
      </x:c>
      <x:c r="F2366" s="12" t="n">
        <x:f>SUM(B2366,D2366:E2366)</x:f>
        <x:v>137107.64743199997</x:v>
      </x:c>
      <x:c r="G2366" s="12" t="n">
        <x:f>MAX(G2365,F2366)</x:f>
        <x:v>138943.467132</x:v>
      </x:c>
      <x:c r="H2366" s="14" t="n">
        <x:f>F2366/G2366-1</x:f>
        <x:v>-0.013212709729317096</x:v>
      </x:c>
      <x:c r="I2366" s="14" t="n">
        <x:f>F2366/F2365-1</x:f>
        <x:v>0.001149176288232745</x:v>
      </x:c>
      <x:c r="J2366" s="12" t="n">
        <x:v>0</x:v>
      </x:c>
      <x:c r="K2366" s="12" t="n">
        <x:v>0</x:v>
      </x:c>
      <x:c r="L2366" s="12" t="n">
        <x:v>0</x:v>
      </x:c>
      <x:c r="M2366" s="2" t="str">
        <x:v>持有</x:v>
      </x:c>
    </x:row>
    <x:row r="2367" ht="23" customHeight="1">
      <x:c r="A2367" s="11" t="d">
        <x:v>2024-05-21T00:00:00.000Z</x:v>
      </x:c>
      <x:c r="B2367" s="12" t="n">
        <x:v>352.167432</x:v>
      </x:c>
      <x:c r="C2367" s="13" t="n">
        <x:v>258</x:v>
      </x:c>
      <x:c r="D2367" s="12" t="n">
        <x:v>137090.88</x:v>
      </x:c>
      <x:c r="E2367" s="12" t="n">
        <x:v>0</x:v>
      </x:c>
      <x:c r="F2367" s="12" t="n">
        <x:f>SUM(B2367,D2367:E2367)</x:f>
        <x:v>137443.047432</x:v>
      </x:c>
      <x:c r="G2367" s="12" t="n">
        <x:f>MAX(G2366,F2367)</x:f>
        <x:v>138943.467132</x:v>
      </x:c>
      <x:c r="H2367" s="14" t="n">
        <x:f>F2367/G2367-1</x:f>
        <x:v>-0.01079877831589271</x:v>
      </x:c>
      <x:c r="I2367" s="14" t="n">
        <x:f>F2367/F2366-1</x:f>
        <x:v>0.002446253044830149</x:v>
      </x:c>
      <x:c r="J2367" s="12" t="n">
        <x:v>0</x:v>
      </x:c>
      <x:c r="K2367" s="12" t="n">
        <x:v>0</x:v>
      </x:c>
      <x:c r="L2367" s="12" t="n">
        <x:v>0</x:v>
      </x:c>
      <x:c r="M2367" s="2" t="str">
        <x:v>持有</x:v>
      </x:c>
    </x:row>
    <x:row r="2368" ht="23" customHeight="1">
      <x:c r="A2368" s="11" t="d">
        <x:v>2024-05-22T00:00:00.000Z</x:v>
      </x:c>
      <x:c r="B2368" s="12" t="n">
        <x:v>352.167432</x:v>
      </x:c>
      <x:c r="C2368" s="13" t="n">
        <x:v>258</x:v>
      </x:c>
      <x:c r="D2368" s="12" t="n">
        <x:v>136696.14</x:v>
      </x:c>
      <x:c r="E2368" s="12" t="n">
        <x:v>0</x:v>
      </x:c>
      <x:c r="F2368" s="12" t="n">
        <x:f>SUM(B2368,D2368:E2368)</x:f>
        <x:v>137048.307432</x:v>
      </x:c>
      <x:c r="G2368" s="12" t="n">
        <x:f>MAX(G2367,F2368)</x:f>
        <x:v>138943.467132</x:v>
      </x:c>
      <x:c r="H2368" s="14" t="n">
        <x:f>F2368/G2368-1</x:f>
        <x:v>-0.013639789902461064</x:v>
      </x:c>
      <x:c r="I2368" s="14" t="n">
        <x:f>F2368/F2367-1</x:f>
        <x:v>-0.0028720259582085683</x:v>
      </x:c>
      <x:c r="J2368" s="12" t="n">
        <x:v>0</x:v>
      </x:c>
      <x:c r="K2368" s="12" t="n">
        <x:v>0</x:v>
      </x:c>
      <x:c r="L2368" s="12" t="n">
        <x:v>0</x:v>
      </x:c>
      <x:c r="M2368" s="2" t="str">
        <x:v>持有</x:v>
      </x:c>
    </x:row>
    <x:row r="2369" ht="23" customHeight="1">
      <x:c r="A2369" s="11" t="d">
        <x:v>2024-05-23T00:00:00.000Z</x:v>
      </x:c>
      <x:c r="B2369" s="12" t="n">
        <x:v>352.167432</x:v>
      </x:c>
      <x:c r="C2369" s="13" t="n">
        <x:v>258</x:v>
      </x:c>
      <x:c r="D2369" s="12" t="n">
        <x:v>135697.68000000002</x:v>
      </x:c>
      <x:c r="E2369" s="12" t="n">
        <x:v>0</x:v>
      </x:c>
      <x:c r="F2369" s="12" t="n">
        <x:f>SUM(B2369,D2369:E2369)</x:f>
        <x:v>136049.847432</x:v>
      </x:c>
      <x:c r="G2369" s="12" t="n">
        <x:f>MAX(G2368,F2369)</x:f>
        <x:v>138943.467132</x:v>
      </x:c>
      <x:c r="H2369" s="14" t="n">
        <x:f>F2369/G2369-1</x:f>
        <x:v>-0.020825878033192913</x:v>
      </x:c>
      <x:c r="I2369" s="14" t="n">
        <x:f>F2369/F2368-1</x:f>
        <x:v>-0.0072854602782701505</x:v>
      </x:c>
      <x:c r="J2369" s="12" t="n">
        <x:v>0</x:v>
      </x:c>
      <x:c r="K2369" s="12" t="n">
        <x:v>0</x:v>
      </x:c>
      <x:c r="L2369" s="12" t="n">
        <x:v>0</x:v>
      </x:c>
      <x:c r="M2369" s="2" t="str">
        <x:v>持有</x:v>
      </x:c>
    </x:row>
    <x:row r="2370" ht="23" customHeight="1">
      <x:c r="A2370" s="11" t="d">
        <x:v>2024-05-24T00:00:00.000Z</x:v>
      </x:c>
      <x:c r="B2370" s="12" t="n">
        <x:v>352.167432</x:v>
      </x:c>
      <x:c r="C2370" s="13" t="n">
        <x:v>258</x:v>
      </x:c>
      <x:c r="D2370" s="12" t="n">
        <x:v>136595.52000000002</x:v>
      </x:c>
      <x:c r="E2370" s="12" t="n">
        <x:v>0</x:v>
      </x:c>
      <x:c r="F2370" s="12" t="n">
        <x:f>SUM(B2370,D2370:E2370)</x:f>
        <x:v>136947.687432</x:v>
      </x:c>
      <x:c r="G2370" s="12" t="n">
        <x:f>MAX(G2369,F2370)</x:f>
        <x:v>138943.467132</x:v>
      </x:c>
      <x:c r="H2370" s="14" t="n">
        <x:f>F2370/G2370-1</x:f>
        <x:v>-0.014363969326488313</x:v>
      </x:c>
      <x:c r="I2370" s="14" t="n">
        <x:f>F2370/F2369-1</x:f>
        <x:v>0.006599345879081175</x:v>
      </x:c>
      <x:c r="J2370" s="12" t="n">
        <x:v>0</x:v>
      </x:c>
      <x:c r="K2370" s="12" t="n">
        <x:v>0</x:v>
      </x:c>
      <x:c r="L2370" s="12" t="n">
        <x:v>0</x:v>
      </x:c>
      <x:c r="M2370" s="2" t="str">
        <x:v>持有</x:v>
      </x:c>
    </x:row>
    <x:row r="2371" ht="23" customHeight="1">
      <x:c r="A2371" s="11" t="d">
        <x:v>2024-05-28T00:00:00.000Z</x:v>
      </x:c>
      <x:c r="B2371" s="12" t="n">
        <x:v>352.167432</x:v>
      </x:c>
      <x:c r="C2371" s="13" t="n">
        <x:v>258</x:v>
      </x:c>
      <x:c r="D2371" s="12" t="n">
        <x:v>136690.97999999998</x:v>
      </x:c>
      <x:c r="E2371" s="12" t="n">
        <x:v>0</x:v>
      </x:c>
      <x:c r="F2371" s="12" t="n">
        <x:f>SUM(B2371,D2371:E2371)</x:f>
        <x:v>137043.14743199997</x:v>
      </x:c>
      <x:c r="G2371" s="12" t="n">
        <x:f>MAX(G2370,F2371)</x:f>
        <x:v>138943.467132</x:v>
      </x:c>
      <x:c r="H2371" s="14" t="n">
        <x:f>F2371/G2371-1</x:f>
        <x:v>-0.013676927308821751</x:v>
      </x:c>
      <x:c r="I2371" s="14" t="n">
        <x:f>F2371/F2370-1</x:f>
        <x:v>0.0006970544869357997</x:v>
      </x:c>
      <x:c r="J2371" s="12" t="n">
        <x:v>0</x:v>
      </x:c>
      <x:c r="K2371" s="12" t="n">
        <x:v>0</x:v>
      </x:c>
      <x:c r="L2371" s="12" t="n">
        <x:v>0</x:v>
      </x:c>
      <x:c r="M2371" s="2" t="str">
        <x:v>持有</x:v>
      </x:c>
    </x:row>
    <x:row r="2372" ht="23" customHeight="1">
      <x:c r="A2372" s="11" t="d">
        <x:v>2024-05-29T00:00:00.000Z</x:v>
      </x:c>
      <x:c r="B2372" s="12" t="n">
        <x:v>352.167432</x:v>
      </x:c>
      <x:c r="C2372" s="13" t="n">
        <x:v>258</x:v>
      </x:c>
      <x:c r="D2372" s="12" t="n">
        <x:v>135733.80000000002</x:v>
      </x:c>
      <x:c r="E2372" s="12" t="n">
        <x:v>0</x:v>
      </x:c>
      <x:c r="F2372" s="12" t="n">
        <x:f>SUM(B2372,D2372:E2372)</x:f>
        <x:v>136085.967432</x:v>
      </x:c>
      <x:c r="G2372" s="12" t="n">
        <x:f>MAX(G2371,F2372)</x:f>
        <x:v>138943.467132</x:v>
      </x:c>
      <x:c r="H2372" s="14" t="n">
        <x:f>F2372/G2372-1</x:f>
        <x:v>-0.02056591618867032</x:v>
      </x:c>
      <x:c r="I2372" s="14" t="n">
        <x:f>F2372/F2371-1</x:f>
        <x:v>-0.006984515591886176</x:v>
      </x:c>
      <x:c r="J2372" s="12" t="n">
        <x:v>0</x:v>
      </x:c>
      <x:c r="K2372" s="12" t="n">
        <x:v>0</x:v>
      </x:c>
      <x:c r="L2372" s="12" t="n">
        <x:v>0</x:v>
      </x:c>
      <x:c r="M2372" s="2" t="str">
        <x:v>持有</x:v>
      </x:c>
    </x:row>
    <x:row r="2373" ht="23" customHeight="1">
      <x:c r="A2373" s="11" t="d">
        <x:v>2024-05-30T00:00:00.000Z</x:v>
      </x:c>
      <x:c r="B2373" s="12" t="n">
        <x:v>352.167432</x:v>
      </x:c>
      <x:c r="C2373" s="13" t="n">
        <x:v>258</x:v>
      </x:c>
      <x:c r="D2373" s="12" t="n">
        <x:v>134833.38</x:v>
      </x:c>
      <x:c r="E2373" s="12" t="n">
        <x:v>0</x:v>
      </x:c>
      <x:c r="F2373" s="12" t="n">
        <x:f>SUM(B2373,D2373:E2373)</x:f>
        <x:v>135185.547432</x:v>
      </x:c>
      <x:c r="G2373" s="12" t="n">
        <x:f>MAX(G2372,F2373)</x:f>
        <x:v>138943.467132</x:v>
      </x:c>
      <x:c r="H2373" s="14" t="n">
        <x:f>F2373/G2373-1</x:f>
        <x:v>-0.02704639359855532</x:v>
      </x:c>
      <x:c r="I2373" s="14" t="n">
        <x:f>F2373/F2372-1</x:f>
        <x:v>-0.006616552881912208</x:v>
      </x:c>
      <x:c r="J2373" s="12" t="n">
        <x:v>0</x:v>
      </x:c>
      <x:c r="K2373" s="12" t="n">
        <x:v>0</x:v>
      </x:c>
      <x:c r="L2373" s="12" t="n">
        <x:v>0</x:v>
      </x:c>
      <x:c r="M2373" s="2" t="str">
        <x:v>持有</x:v>
      </x:c>
    </x:row>
    <x:row r="2374" ht="23" customHeight="1">
      <x:c r="A2374" s="11" t="d">
        <x:v>2024-05-31T00:00:00.000Z</x:v>
      </x:c>
      <x:c r="B2374" s="12" t="n">
        <x:v>352.167432</x:v>
      </x:c>
      <x:c r="C2374" s="13" t="n">
        <x:v>258</x:v>
      </x:c>
      <x:c r="D2374" s="12" t="n">
        <x:v>136061.46</x:v>
      </x:c>
      <x:c r="E2374" s="12" t="n">
        <x:v>0</x:v>
      </x:c>
      <x:c r="F2374" s="12" t="n">
        <x:f>SUM(B2374,D2374:E2374)</x:f>
        <x:v>136413.62743199998</x:v>
      </x:c>
      <x:c r="G2374" s="12" t="n">
        <x:f>MAX(G2373,F2374)</x:f>
        <x:v>138943.467132</x:v>
      </x:c>
      <x:c r="H2374" s="14" t="n">
        <x:f>F2374/G2374-1</x:f>
        <x:v>-0.01820769088478691</x:v>
      </x:c>
      <x:c r="I2374" s="14" t="n">
        <x:f>F2374/F2373-1</x:f>
        <x:v>0.00908440305438507</x:v>
      </x:c>
      <x:c r="J2374" s="12" t="n">
        <x:v>0</x:v>
      </x:c>
      <x:c r="K2374" s="12" t="n">
        <x:v>0</x:v>
      </x:c>
      <x:c r="L2374" s="12" t="n">
        <x:v>0</x:v>
      </x:c>
      <x:c r="M2374" s="2" t="str">
        <x:v>持有</x:v>
      </x:c>
    </x:row>
    <x:row r="2375" ht="23" customHeight="1">
      <x:c r="A2375" s="11" t="d">
        <x:v>2024-06-03T00:00:00.000Z</x:v>
      </x:c>
      <x:c r="B2375" s="12" t="n">
        <x:v>352.167432</x:v>
      </x:c>
      <x:c r="C2375" s="13" t="n">
        <x:v>258</x:v>
      </x:c>
      <x:c r="D2375" s="12" t="n">
        <x:v>136172.4</x:v>
      </x:c>
      <x:c r="E2375" s="12" t="n">
        <x:v>0</x:v>
      </x:c>
      <x:c r="F2375" s="12" t="n">
        <x:f>SUM(B2375,D2375:E2375)</x:f>
        <x:v>136524.56743199998</x:v>
      </x:c>
      <x:c r="G2375" s="12" t="n">
        <x:f>MAX(G2374,F2375)</x:f>
        <x:v>138943.467132</x:v>
      </x:c>
      <x:c r="H2375" s="14" t="n">
        <x:f>F2375/G2375-1</x:f>
        <x:v>-0.01740923664803895</x:v>
      </x:c>
      <x:c r="I2375" s="14" t="n">
        <x:f>F2375/F2374-1</x:f>
        <x:v>0.0008132618572531669</x:v>
      </x:c>
      <x:c r="J2375" s="12" t="n">
        <x:v>0</x:v>
      </x:c>
      <x:c r="K2375" s="12" t="n">
        <x:v>0</x:v>
      </x:c>
      <x:c r="L2375" s="12" t="n">
        <x:v>0</x:v>
      </x:c>
      <x:c r="M2375" s="2" t="str">
        <x:v>持有</x:v>
      </x:c>
    </x:row>
    <x:row r="2376" ht="23" customHeight="1">
      <x:c r="A2376" s="11" t="d">
        <x:v>2024-06-04T00:00:00.000Z</x:v>
      </x:c>
      <x:c r="B2376" s="12" t="n">
        <x:v>352.167432</x:v>
      </x:c>
      <x:c r="C2376" s="13" t="n">
        <x:v>258</x:v>
      </x:c>
      <x:c r="D2376" s="12" t="n">
        <x:v>136324.62</x:v>
      </x:c>
      <x:c r="E2376" s="12" t="n">
        <x:v>0</x:v>
      </x:c>
      <x:c r="F2376" s="12" t="n">
        <x:f>SUM(B2376,D2376:E2376)</x:f>
        <x:v>136676.78743199998</x:v>
      </x:c>
      <x:c r="G2376" s="12" t="n">
        <x:f>MAX(G2375,F2376)</x:f>
        <x:v>138943.467132</x:v>
      </x:c>
      <x:c r="H2376" s="14" t="n">
        <x:f>F2376/G2376-1</x:f>
        <x:v>-0.016313683160407932</x:v>
      </x:c>
      <x:c r="I2376" s="14" t="n">
        <x:f>F2376/F2375-1</x:f>
        <x:v>0.001114964162591603</x:v>
      </x:c>
      <x:c r="J2376" s="12" t="n">
        <x:v>0</x:v>
      </x:c>
      <x:c r="K2376" s="12" t="n">
        <x:v>0</x:v>
      </x:c>
      <x:c r="L2376" s="12" t="n">
        <x:v>0</x:v>
      </x:c>
      <x:c r="M2376" s="2" t="str">
        <x:v>持有</x:v>
      </x:c>
    </x:row>
    <x:row r="2377" ht="23" customHeight="1">
      <x:c r="A2377" s="11" t="d">
        <x:v>2024-06-05T00:00:00.000Z</x:v>
      </x:c>
      <x:c r="B2377" s="12" t="n">
        <x:v>352.167432</x:v>
      </x:c>
      <x:c r="C2377" s="13" t="n">
        <x:v>258</x:v>
      </x:c>
      <x:c r="D2377" s="12" t="n">
        <x:v>137944.86</x:v>
      </x:c>
      <x:c r="E2377" s="12" t="n">
        <x:v>0</x:v>
      </x:c>
      <x:c r="F2377" s="12" t="n">
        <x:f>SUM(B2377,D2377:E2377)</x:f>
        <x:v>138297.02743199997</x:v>
      </x:c>
      <x:c r="G2377" s="12" t="n">
        <x:f>MAX(G2376,F2377)</x:f>
        <x:v>138943.467132</x:v>
      </x:c>
      <x:c r="H2377" s="14" t="n">
        <x:f>F2377/G2377-1</x:f>
        <x:v>-0.004652537563251458</x:v>
      </x:c>
      <x:c r="I2377" s="14" t="n">
        <x:f>F2377/F2376-1</x:f>
        <x:v>0.011854536753771017</x:v>
      </x:c>
      <x:c r="J2377" s="12" t="n">
        <x:v>0</x:v>
      </x:c>
      <x:c r="K2377" s="12" t="n">
        <x:v>0</x:v>
      </x:c>
      <x:c r="L2377" s="12" t="n">
        <x:v>0</x:v>
      </x:c>
      <x:c r="M2377" s="2" t="str">
        <x:v>持有</x:v>
      </x:c>
    </x:row>
    <x:row r="2378" ht="23" customHeight="1">
      <x:c r="A2378" s="11" t="d">
        <x:v>2024-06-06T00:00:00.000Z</x:v>
      </x:c>
      <x:c r="B2378" s="12" t="n">
        <x:v>352.167432</x:v>
      </x:c>
      <x:c r="C2378" s="13" t="n">
        <x:v>258</x:v>
      </x:c>
      <x:c r="D2378" s="12" t="n">
        <x:v>137942.28</x:v>
      </x:c>
      <x:c r="E2378" s="12" t="n">
        <x:v>0</x:v>
      </x:c>
      <x:c r="F2378" s="12" t="n">
        <x:f>SUM(B2378,D2378:E2378)</x:f>
        <x:v>138294.447432</x:v>
      </x:c>
      <x:c r="G2378" s="12" t="n">
        <x:f>MAX(G2377,F2378)</x:f>
        <x:v>138943.467132</x:v>
      </x:c>
      <x:c r="H2378" s="14" t="n">
        <x:f>F2378/G2378-1</x:f>
        <x:v>-0.004671106266431524</x:v>
      </x:c>
      <x:c r="I2378" s="14" t="n">
        <x:f>F2378/F2377-1</x:f>
        <x:v>-0.000018655498588038277</x:v>
      </x:c>
      <x:c r="J2378" s="12" t="n">
        <x:v>0</x:v>
      </x:c>
      <x:c r="K2378" s="12" t="n">
        <x:v>0</x:v>
      </x:c>
      <x:c r="L2378" s="12" t="n">
        <x:v>0</x:v>
      </x:c>
      <x:c r="M2378" s="2" t="str">
        <x:v>持有</x:v>
      </x:c>
    </x:row>
    <x:row r="2379" ht="23" customHeight="1">
      <x:c r="A2379" s="11" t="d">
        <x:v>2024-06-07T00:00:00.000Z</x:v>
      </x:c>
      <x:c r="B2379" s="12" t="n">
        <x:v>352.167432</x:v>
      </x:c>
      <x:c r="C2379" s="13" t="n">
        <x:v>258</x:v>
      </x:c>
      <x:c r="D2379" s="12" t="n">
        <x:v>137774.58</x:v>
      </x:c>
      <x:c r="E2379" s="12" t="n">
        <x:v>0</x:v>
      </x:c>
      <x:c r="F2379" s="12" t="n">
        <x:f>SUM(B2379,D2379:E2379)</x:f>
        <x:v>138126.74743199997</x:v>
      </x:c>
      <x:c r="G2379" s="12" t="n">
        <x:f>MAX(G2378,F2379)</x:f>
        <x:v>138943.467132</x:v>
      </x:c>
      <x:c r="H2379" s="14" t="n">
        <x:f>F2379/G2379-1</x:f>
        <x:v>-0.005878071973143606</x:v>
      </x:c>
      <x:c r="I2379" s="14" t="n">
        <x:f>F2379/F2378-1</x:f>
        <x:v>-0.001212630030446249</x:v>
      </x:c>
      <x:c r="J2379" s="12" t="n">
        <x:v>0</x:v>
      </x:c>
      <x:c r="K2379" s="12" t="n">
        <x:v>0</x:v>
      </x:c>
      <x:c r="L2379" s="12" t="n">
        <x:v>0</x:v>
      </x:c>
      <x:c r="M2379" s="2" t="str">
        <x:v>持有</x:v>
      </x:c>
    </x:row>
    <x:row r="2380" ht="23" customHeight="1">
      <x:c r="A2380" s="11" t="d">
        <x:v>2024-06-10T00:00:00.000Z</x:v>
      </x:c>
      <x:c r="B2380" s="12" t="n">
        <x:v>352.167432</x:v>
      </x:c>
      <x:c r="C2380" s="13" t="n">
        <x:v>258</x:v>
      </x:c>
      <x:c r="D2380" s="12" t="n">
        <x:v>138200.28</x:v>
      </x:c>
      <x:c r="E2380" s="12" t="n">
        <x:v>0</x:v>
      </x:c>
      <x:c r="F2380" s="12" t="n">
        <x:f>SUM(B2380,D2380:E2380)</x:f>
        <x:v>138552.447432</x:v>
      </x:c>
      <x:c r="G2380" s="12" t="n">
        <x:f>MAX(G2379,F2380)</x:f>
        <x:v>138943.467132</x:v>
      </x:c>
      <x:c r="H2380" s="14" t="n">
        <x:f>F2380/G2380-1</x:f>
        <x:v>-0.002814235948412902</x:v>
      </x:c>
      <x:c r="I2380" s="14" t="n">
        <x:f>F2380/F2379-1</x:f>
        <x:v>0.0030819519601703593</x:v>
      </x:c>
      <x:c r="J2380" s="12" t="n">
        <x:v>0</x:v>
      </x:c>
      <x:c r="K2380" s="12" t="n">
        <x:v>0</x:v>
      </x:c>
      <x:c r="L2380" s="12" t="n">
        <x:v>0</x:v>
      </x:c>
      <x:c r="M2380" s="2" t="str">
        <x:v>持有</x:v>
      </x:c>
    </x:row>
    <x:row r="2381" ht="23" customHeight="1">
      <x:c r="A2381" s="11" t="d">
        <x:v>2024-06-11T00:00:00.000Z</x:v>
      </x:c>
      <x:c r="B2381" s="12" t="n">
        <x:v>352.167432</x:v>
      </x:c>
      <x:c r="C2381" s="13" t="n">
        <x:v>258</x:v>
      </x:c>
      <x:c r="D2381" s="12" t="n">
        <x:v>138533.1</x:v>
      </x:c>
      <x:c r="E2381" s="12" t="n">
        <x:v>0</x:v>
      </x:c>
      <x:c r="F2381" s="12" t="n">
        <x:f>SUM(B2381,D2381:E2381)</x:f>
        <x:v>138885.267432</x:v>
      </x:c>
      <x:c r="G2381" s="12" t="n">
        <x:f>MAX(G2380,F2381)</x:f>
        <x:v>138943.467132</x:v>
      </x:c>
      <x:c r="H2381" s="14" t="n">
        <x:f>F2381/G2381-1</x:f>
        <x:v>-0.0004188732381689153</x:v>
      </x:c>
      <x:c r="I2381" s="14" t="n">
        <x:f>F2381/F2380-1</x:f>
        <x:v>0.002402122850722943</x:v>
      </x:c>
      <x:c r="J2381" s="12" t="n">
        <x:v>0</x:v>
      </x:c>
      <x:c r="K2381" s="12" t="n">
        <x:v>0</x:v>
      </x:c>
      <x:c r="L2381" s="12" t="n">
        <x:v>0</x:v>
      </x:c>
      <x:c r="M2381" s="2" t="str">
        <x:v>持有</x:v>
      </x:c>
    </x:row>
    <x:row r="2382" ht="23" customHeight="1">
      <x:c r="A2382" s="11" t="d">
        <x:v>2024-06-12T00:00:00.000Z</x:v>
      </x:c>
      <x:c r="B2382" s="12" t="n">
        <x:v>352.167432</x:v>
      </x:c>
      <x:c r="C2382" s="13" t="n">
        <x:v>258</x:v>
      </x:c>
      <x:c r="D2382" s="12" t="n">
        <x:v>139670.88</x:v>
      </x:c>
      <x:c r="E2382" s="12" t="n">
        <x:v>0</x:v>
      </x:c>
      <x:c r="F2382" s="12" t="n">
        <x:f>SUM(B2382,D2382:E2382)</x:f>
        <x:v>140023.047432</x:v>
      </x:c>
      <x:c r="G2382" s="12" t="n">
        <x:f>MAX(G2381,F2382)</x:f>
        <x:v>140023.047432</x:v>
      </x:c>
      <x:c r="H2382" s="14" t="n">
        <x:f>F2382/G2382-1</x:f>
        <x:v>0</x:v>
      </x:c>
      <x:c r="I2382" s="14" t="n">
        <x:f>F2382/F2381-1</x:f>
        <x:v>0.008192229608205759</x:v>
      </x:c>
      <x:c r="J2382" s="12" t="n">
        <x:v>0</x:v>
      </x:c>
      <x:c r="K2382" s="12" t="n">
        <x:v>0</x:v>
      </x:c>
      <x:c r="L2382" s="12" t="n">
        <x:v>0</x:v>
      </x:c>
      <x:c r="M2382" s="2" t="str">
        <x:v>持有</x:v>
      </x:c>
    </x:row>
    <x:row r="2383" ht="23" customHeight="1">
      <x:c r="A2383" s="11" t="d">
        <x:v>2024-06-13T00:00:00.000Z</x:v>
      </x:c>
      <x:c r="B2383" s="12" t="n">
        <x:v>352.167432</x:v>
      </x:c>
      <x:c r="C2383" s="13" t="n">
        <x:v>258</x:v>
      </x:c>
      <x:c r="D2383" s="12" t="n">
        <x:v>139952.1</x:v>
      </x:c>
      <x:c r="E2383" s="12" t="n">
        <x:v>0</x:v>
      </x:c>
      <x:c r="F2383" s="12" t="n">
        <x:f>SUM(B2383,D2383:E2383)</x:f>
        <x:v>140304.267432</x:v>
      </x:c>
      <x:c r="G2383" s="12" t="n">
        <x:f>MAX(G2382,F2383)</x:f>
        <x:v>140304.267432</x:v>
      </x:c>
      <x:c r="H2383" s="14" t="n">
        <x:f>F2383/G2383-1</x:f>
        <x:v>0</x:v>
      </x:c>
      <x:c r="I2383" s="14" t="n">
        <x:f>F2383/F2382-1</x:f>
        <x:v>0.0020083836565303326</x:v>
      </x:c>
      <x:c r="J2383" s="12" t="n">
        <x:v>0</x:v>
      </x:c>
      <x:c r="K2383" s="12" t="n">
        <x:v>0</x:v>
      </x:c>
      <x:c r="L2383" s="12" t="n">
        <x:v>0</x:v>
      </x:c>
      <x:c r="M2383" s="2" t="str">
        <x:v>持有</x:v>
      </x:c>
    </x:row>
    <x:row r="2384" ht="23" customHeight="1">
      <x:c r="A2384" s="11" t="d">
        <x:v>2024-06-14T00:00:00.000Z</x:v>
      </x:c>
      <x:c r="B2384" s="12" t="n">
        <x:v>352.167432</x:v>
      </x:c>
      <x:c r="C2384" s="13" t="n">
        <x:v>258</x:v>
      </x:c>
      <x:c r="D2384" s="12" t="n">
        <x:v>140037.24</x:v>
      </x:c>
      <x:c r="E2384" s="12" t="n">
        <x:v>0</x:v>
      </x:c>
      <x:c r="F2384" s="12" t="n">
        <x:f>SUM(B2384,D2384:E2384)</x:f>
        <x:v>140389.40743199998</x:v>
      </x:c>
      <x:c r="G2384" s="12" t="n">
        <x:f>MAX(G2383,F2384)</x:f>
        <x:v>140389.40743199998</x:v>
      </x:c>
      <x:c r="H2384" s="14" t="n">
        <x:f>F2384/G2384-1</x:f>
        <x:v>0</x:v>
      </x:c>
      <x:c r="I2384" s="14" t="n">
        <x:f>F2384/F2383-1</x:f>
        <x:v>0.0006068240229488708</x:v>
      </x:c>
      <x:c r="J2384" s="12" t="n">
        <x:v>0</x:v>
      </x:c>
      <x:c r="K2384" s="12" t="n">
        <x:v>0</x:v>
      </x:c>
      <x:c r="L2384" s="12" t="n">
        <x:v>0</x:v>
      </x:c>
      <x:c r="M2384" s="2" t="str">
        <x:v>持有</x:v>
      </x:c>
    </x:row>
    <x:row r="2385" ht="23" customHeight="1">
      <x:c r="A2385" s="11" t="d">
        <x:v>2024-06-17T00:00:00.000Z</x:v>
      </x:c>
      <x:c r="B2385" s="12" t="n">
        <x:v>352.167432</x:v>
      </x:c>
      <x:c r="C2385" s="13" t="n">
        <x:v>258</x:v>
      </x:c>
      <x:c r="D2385" s="12" t="n">
        <x:v>141151.80000000002</x:v>
      </x:c>
      <x:c r="E2385" s="12" t="n">
        <x:v>0</x:v>
      </x:c>
      <x:c r="F2385" s="12" t="n">
        <x:f>SUM(B2385,D2385:E2385)</x:f>
        <x:v>141503.967432</x:v>
      </x:c>
      <x:c r="G2385" s="12" t="n">
        <x:f>MAX(G2384,F2385)</x:f>
        <x:v>141503.967432</x:v>
      </x:c>
      <x:c r="H2385" s="14" t="n">
        <x:f>F2385/G2385-1</x:f>
        <x:v>0</x:v>
      </x:c>
      <x:c r="I2385" s="14" t="n">
        <x:f>F2385/F2384-1</x:f>
        <x:v>0.007939060505970819</x:v>
      </x:c>
      <x:c r="J2385" s="12" t="n">
        <x:v>0</x:v>
      </x:c>
      <x:c r="K2385" s="12" t="n">
        <x:v>0</x:v>
      </x:c>
      <x:c r="L2385" s="12" t="n">
        <x:v>0</x:v>
      </x:c>
      <x:c r="M2385" s="2" t="str">
        <x:v>持有</x:v>
      </x:c>
    </x:row>
    <x:row r="2386" ht="23" customHeight="1">
      <x:c r="A2386" s="11" t="d">
        <x:v>2024-06-18T00:00:00.000Z</x:v>
      </x:c>
      <x:c r="B2386" s="12" t="n">
        <x:v>352.167432</x:v>
      </x:c>
      <x:c r="C2386" s="13" t="n">
        <x:v>258</x:v>
      </x:c>
      <x:c r="D2386" s="12" t="n">
        <x:v>141510.42</x:v>
      </x:c>
      <x:c r="E2386" s="12" t="n">
        <x:v>0</x:v>
      </x:c>
      <x:c r="F2386" s="12" t="n">
        <x:f>SUM(B2386,D2386:E2386)</x:f>
        <x:v>141862.587432</x:v>
      </x:c>
      <x:c r="G2386" s="12" t="n">
        <x:f>MAX(G2385,F2386)</x:f>
        <x:v>141862.587432</x:v>
      </x:c>
      <x:c r="H2386" s="14" t="n">
        <x:f>F2386/G2386-1</x:f>
        <x:v>0</x:v>
      </x:c>
      <x:c r="I2386" s="14" t="n">
        <x:f>F2386/F2385-1</x:f>
        <x:v>0.0025343459021551773</x:v>
      </x:c>
      <x:c r="J2386" s="12" t="n">
        <x:v>0</x:v>
      </x:c>
      <x:c r="K2386" s="12" t="n">
        <x:v>0</x:v>
      </x:c>
      <x:c r="L2386" s="12" t="n">
        <x:v>0</x:v>
      </x:c>
      <x:c r="M2386" s="2" t="str">
        <x:v>持有</x:v>
      </x:c>
    </x:row>
    <x:row r="2387" ht="23" customHeight="1">
      <x:c r="A2387" s="11" t="d">
        <x:v>2024-06-20T00:00:00.000Z</x:v>
      </x:c>
      <x:c r="B2387" s="12" t="n">
        <x:v>352.167432</x:v>
      </x:c>
      <x:c r="C2387" s="13" t="n">
        <x:v>258</x:v>
      </x:c>
      <x:c r="D2387" s="12" t="n">
        <x:v>141126</x:v>
      </x:c>
      <x:c r="E2387" s="12" t="n">
        <x:v>0</x:v>
      </x:c>
      <x:c r="F2387" s="12" t="n">
        <x:f>SUM(B2387,D2387:E2387)</x:f>
        <x:v>141478.167432</x:v>
      </x:c>
      <x:c r="G2387" s="12" t="n">
        <x:f>MAX(G2386,F2387)</x:f>
        <x:v>141862.587432</x:v>
      </x:c>
      <x:c r="H2387" s="14" t="n">
        <x:f>F2387/G2387-1</x:f>
        <x:v>-0.0027098053613626716</x:v>
      </x:c>
      <x:c r="I2387" s="14" t="n">
        <x:f>F2387/F2386-1</x:f>
        <x:v>-0.0027098053613626716</x:v>
      </x:c>
      <x:c r="J2387" s="12" t="n">
        <x:v>0</x:v>
      </x:c>
      <x:c r="K2387" s="12" t="n">
        <x:v>0</x:v>
      </x:c>
      <x:c r="L2387" s="12" t="n">
        <x:v>0</x:v>
      </x:c>
      <x:c r="M2387" s="2" t="str">
        <x:v>持有</x:v>
      </x:c>
    </x:row>
    <x:row r="2388" ht="23" customHeight="1">
      <x:c r="A2388" s="11" t="d">
        <x:v>2024-06-21T00:00:00.000Z</x:v>
      </x:c>
      <x:c r="B2388" s="12" t="n">
        <x:v>352.167432</x:v>
      </x:c>
      <x:c r="C2388" s="13" t="n">
        <x:v>258</x:v>
      </x:c>
      <x:c r="D2388" s="12" t="n">
        <x:v>140483.58</x:v>
      </x:c>
      <x:c r="E2388" s="12" t="n">
        <x:v>453.828192</x:v>
      </x:c>
      <x:c r="F2388" s="12" t="n">
        <x:f>SUM(B2388,D2388:E2388)</x:f>
        <x:v>141289.57562399996</x:v>
      </x:c>
      <x:c r="G2388" s="12" t="n">
        <x:f>MAX(G2387,F2388)</x:f>
        <x:v>141862.587432</x:v>
      </x:c>
      <x:c r="H2388" s="14" t="n">
        <x:f>F2388/G2388-1</x:f>
        <x:v>-0.004039203135743685</x:v>
      </x:c>
      <x:c r="I2388" s="14" t="n">
        <x:f>F2388/F2387-1</x:f>
        <x:v>-0.001333009971949739</x:v>
      </x:c>
      <x:c r="J2388" s="12" t="n">
        <x:v>453.828192</x:v>
      </x:c>
      <x:c r="K2388" s="12" t="n">
        <x:v>0</x:v>
      </x:c>
      <x:c r="L2388" s="12" t="n">
        <x:v>0</x:v>
      </x:c>
      <x:c r="M2388" s="2" t="str">
        <x:v>持有</x:v>
      </x:c>
    </x:row>
    <x:row r="2389" ht="23" customHeight="1">
      <x:c r="A2389" s="11" t="d">
        <x:v>2024-06-24T00:00:00.000Z</x:v>
      </x:c>
      <x:c r="B2389" s="12" t="n">
        <x:v>352.167432</x:v>
      </x:c>
      <x:c r="C2389" s="13" t="n">
        <x:v>258</x:v>
      </x:c>
      <x:c r="D2389" s="12" t="n">
        <x:v>140026.92</x:v>
      </x:c>
      <x:c r="E2389" s="12" t="n">
        <x:v>453.828192</x:v>
      </x:c>
      <x:c r="F2389" s="12" t="n">
        <x:f>SUM(B2389,D2389:E2389)</x:f>
        <x:v>140832.915624</x:v>
      </x:c>
      <x:c r="G2389" s="12" t="n">
        <x:f>MAX(G2388,F2389)</x:f>
        <x:v>141862.587432</x:v>
      </x:c>
      <x:c r="H2389" s="14" t="n">
        <x:f>F2389/G2389-1</x:f>
        <x:v>-0.007258233665684233</x:v>
      </x:c>
      <x:c r="I2389" s="14" t="n">
        <x:f>F2389/F2388-1</x:f>
        <x:v>-0.0032320855801509785</x:v>
      </x:c>
      <x:c r="J2389" s="12" t="n">
        <x:v>0</x:v>
      </x:c>
      <x:c r="K2389" s="12" t="n">
        <x:v>0</x:v>
      </x:c>
      <x:c r="L2389" s="12" t="n">
        <x:v>0</x:v>
      </x:c>
      <x:c r="M2389" s="2" t="str">
        <x:v>持有</x:v>
      </x:c>
    </x:row>
    <x:row r="2390" ht="23" customHeight="1">
      <x:c r="A2390" s="11" t="d">
        <x:v>2024-06-25T00:00:00.000Z</x:v>
      </x:c>
      <x:c r="B2390" s="12" t="n">
        <x:v>352.167432</x:v>
      </x:c>
      <x:c r="C2390" s="13" t="n">
        <x:v>258</x:v>
      </x:c>
      <x:c r="D2390" s="12" t="n">
        <x:v>140566.14</x:v>
      </x:c>
      <x:c r="E2390" s="12" t="n">
        <x:v>453.828192</x:v>
      </x:c>
      <x:c r="F2390" s="12" t="n">
        <x:f>SUM(B2390,D2390:E2390)</x:f>
        <x:v>141372.135624</x:v>
      </x:c>
      <x:c r="G2390" s="12" t="n">
        <x:f>MAX(G2389,F2390)</x:f>
        <x:v>141862.587432</x:v>
      </x:c>
      <x:c r="H2390" s="14" t="n">
        <x:f>F2390/G2390-1</x:f>
        <x:v>-0.003457231514511161</x:v>
      </x:c>
      <x:c r="I2390" s="14" t="n">
        <x:f>F2390/F2389-1</x:f>
        <x:v>0.0038287924212236923</x:v>
      </x:c>
      <x:c r="J2390" s="12" t="n">
        <x:v>0</x:v>
      </x:c>
      <x:c r="K2390" s="12" t="n">
        <x:v>0</x:v>
      </x:c>
      <x:c r="L2390" s="12" t="n">
        <x:v>0</x:v>
      </x:c>
      <x:c r="M2390" s="2" t="str">
        <x:v>持有</x:v>
      </x:c>
    </x:row>
    <x:row r="2391" ht="23" customHeight="1">
      <x:c r="A2391" s="11" t="d">
        <x:v>2024-06-26T00:00:00.000Z</x:v>
      </x:c>
      <x:c r="B2391" s="12" t="n">
        <x:v>352.167432</x:v>
      </x:c>
      <x:c r="C2391" s="13" t="n">
        <x:v>258</x:v>
      </x:c>
      <x:c r="D2391" s="12" t="n">
        <x:v>140741.58</x:v>
      </x:c>
      <x:c r="E2391" s="12" t="n">
        <x:v>453.828192</x:v>
      </x:c>
      <x:c r="F2391" s="12" t="n">
        <x:f>SUM(B2391,D2391:E2391)</x:f>
        <x:v>141547.57562399996</x:v>
      </x:c>
      <x:c r="G2391" s="12" t="n">
        <x:f>MAX(G2390,F2391)</x:f>
        <x:v>141862.587432</x:v>
      </x:c>
      <x:c r="H2391" s="14" t="n">
        <x:f>F2391/G2391-1</x:f>
        <x:v>-0.002220541819392907</x:v>
      </x:c>
      <x:c r="I2391" s="14" t="n">
        <x:f>F2391/F2390-1</x:f>
        <x:v>0.0012409800504575852</x:v>
      </x:c>
      <x:c r="J2391" s="12" t="n">
        <x:v>0</x:v>
      </x:c>
      <x:c r="K2391" s="12" t="n">
        <x:v>0</x:v>
      </x:c>
      <x:c r="L2391" s="12" t="n">
        <x:v>0</x:v>
      </x:c>
      <x:c r="M2391" s="2" t="str">
        <x:v>持有</x:v>
      </x:c>
    </x:row>
    <x:row r="2392" ht="23" customHeight="1">
      <x:c r="A2392" s="11" t="d">
        <x:v>2024-06-27T00:00:00.000Z</x:v>
      </x:c>
      <x:c r="B2392" s="12" t="n">
        <x:v>352.167432</x:v>
      </x:c>
      <x:c r="C2392" s="13" t="n">
        <x:v>258</x:v>
      </x:c>
      <x:c r="D2392" s="12" t="n">
        <x:v>140963.46</x:v>
      </x:c>
      <x:c r="E2392" s="12" t="n">
        <x:v>453.828192</x:v>
      </x:c>
      <x:c r="F2392" s="12" t="n">
        <x:f>SUM(B2392,D2392:E2392)</x:f>
        <x:v>141769.45562399997</x:v>
      </x:c>
      <x:c r="G2392" s="12" t="n">
        <x:f>MAX(G2391,F2392)</x:f>
        <x:v>141862.587432</x:v>
      </x:c>
      <x:c r="H2392" s="14" t="n">
        <x:f>F2392/G2392-1</x:f>
        <x:v>-0.0006564930873312891</x:v>
      </x:c>
      <x:c r="I2392" s="14" t="n">
        <x:f>F2392/F2391-1</x:f>
        <x:v>0.001567529496862674</x:v>
      </x:c>
      <x:c r="J2392" s="12" t="n">
        <x:v>0</x:v>
      </x:c>
      <x:c r="K2392" s="12" t="n">
        <x:v>0</x:v>
      </x:c>
      <x:c r="L2392" s="12" t="n">
        <x:v>0</x:v>
      </x:c>
      <x:c r="M2392" s="2" t="str">
        <x:v>持有</x:v>
      </x:c>
    </x:row>
    <x:row r="2393" ht="23" customHeight="1">
      <x:c r="A2393" s="11" t="d">
        <x:v>2024-06-28T00:00:00.000Z</x:v>
      </x:c>
      <x:c r="B2393" s="12" t="n">
        <x:v>352.167432</x:v>
      </x:c>
      <x:c r="C2393" s="13" t="n">
        <x:v>258</x:v>
      </x:c>
      <x:c r="D2393" s="12" t="n">
        <x:v>140408.76</x:v>
      </x:c>
      <x:c r="E2393" s="12" t="n">
        <x:v>453.828192</x:v>
      </x:c>
      <x:c r="F2393" s="12" t="n">
        <x:f>SUM(B2393,D2393:E2393)</x:f>
        <x:v>141214.75562399998</x:v>
      </x:c>
      <x:c r="G2393" s="12" t="n">
        <x:f>MAX(G2392,F2393)</x:f>
        <x:v>141862.587432</x:v>
      </x:c>
      <x:c r="H2393" s="14" t="n">
        <x:f>F2393/G2393-1</x:f>
        <x:v>-0.004566614917485223</x:v>
      </x:c>
      <x:c r="I2393" s="14" t="n">
        <x:f>F2393/F2392-1</x:f>
        <x:v>-0.0039126904844097865</x:v>
      </x:c>
      <x:c r="J2393" s="12" t="n">
        <x:v>0</x:v>
      </x:c>
      <x:c r="K2393" s="12" t="n">
        <x:v>0</x:v>
      </x:c>
      <x:c r="L2393" s="12" t="n">
        <x:v>0</x:v>
      </x:c>
      <x:c r="M2393" s="2" t="str">
        <x:v>持有</x:v>
      </x:c>
    </x:row>
    <x:row r="2394" ht="23" customHeight="1">
      <x:c r="A2394" s="11" t="d">
        <x:v>2024-07-01T00:00:00.000Z</x:v>
      </x:c>
      <x:c r="B2394" s="12" t="n">
        <x:v>352.167432</x:v>
      </x:c>
      <x:c r="C2394" s="13" t="n">
        <x:v>258</x:v>
      </x:c>
      <x:c r="D2394" s="12" t="n">
        <x:v>140697.72</x:v>
      </x:c>
      <x:c r="E2394" s="12" t="n">
        <x:v>453.828192</x:v>
      </x:c>
      <x:c r="F2394" s="12" t="n">
        <x:f>SUM(B2394,D2394:E2394)</x:f>
        <x:v>141503.71562399997</x:v>
      </x:c>
      <x:c r="G2394" s="12" t="n">
        <x:f>MAX(G2393,F2394)</x:f>
        <x:v>141862.587432</x:v>
      </x:c>
      <x:c r="H2394" s="14" t="n">
        <x:f>F2394/G2394-1</x:f>
        <x:v>-0.0025297142431723874</x:v>
      </x:c>
      <x:c r="I2394" s="14" t="n">
        <x:f>F2394/F2393-1</x:f>
        <x:v>0.00204624508765483</x:v>
      </x:c>
      <x:c r="J2394" s="12" t="n">
        <x:v>0</x:v>
      </x:c>
      <x:c r="K2394" s="12" t="n">
        <x:v>0</x:v>
      </x:c>
      <x:c r="L2394" s="12" t="n">
        <x:v>0</x:v>
      </x:c>
      <x:c r="M2394" s="2" t="str">
        <x:v>持有</x:v>
      </x:c>
    </x:row>
    <x:row r="2395" ht="23" customHeight="1">
      <x:c r="A2395" s="11" t="d">
        <x:v>2024-07-02T00:00:00.000Z</x:v>
      </x:c>
      <x:c r="B2395" s="12" t="n">
        <x:v>352.167432</x:v>
      </x:c>
      <x:c r="C2395" s="13" t="n">
        <x:v>258</x:v>
      </x:c>
      <x:c r="D2395" s="12" t="n">
        <x:v>141644.58</x:v>
      </x:c>
      <x:c r="E2395" s="12" t="n">
        <x:v>453.828192</x:v>
      </x:c>
      <x:c r="F2395" s="12" t="n">
        <x:f>SUM(B2395,D2395:E2395)</x:f>
        <x:v>142450.57562399996</x:v>
      </x:c>
      <x:c r="G2395" s="12" t="n">
        <x:f>MAX(G2394,F2395)</x:f>
        <x:v>142450.57562399996</x:v>
      </x:c>
      <x:c r="H2395" s="14" t="n">
        <x:f>F2395/G2395-1</x:f>
        <x:v>0</x:v>
      </x:c>
      <x:c r="I2395" s="14" t="n">
        <x:f>F2395/F2394-1</x:f>
        <x:v>0.00669141439731491</x:v>
      </x:c>
      <x:c r="J2395" s="12" t="n">
        <x:v>0</x:v>
      </x:c>
      <x:c r="K2395" s="12" t="n">
        <x:v>0</x:v>
      </x:c>
      <x:c r="L2395" s="12" t="n">
        <x:v>0</x:v>
      </x:c>
      <x:c r="M2395" s="2" t="str">
        <x:v>持有</x:v>
      </x:c>
    </x:row>
    <x:row r="2396" ht="23" customHeight="1">
      <x:c r="A2396" s="11" t="d">
        <x:v>2024-07-03T00:00:00.000Z</x:v>
      </x:c>
      <x:c r="B2396" s="12" t="n">
        <x:v>352.167432</x:v>
      </x:c>
      <x:c r="C2396" s="13" t="n">
        <x:v>258</x:v>
      </x:c>
      <x:c r="D2396" s="12" t="n">
        <x:v>142276.68000000002</x:v>
      </x:c>
      <x:c r="E2396" s="12" t="n">
        <x:v>453.828192</x:v>
      </x:c>
      <x:c r="F2396" s="12" t="n">
        <x:f>SUM(B2396,D2396:E2396)</x:f>
        <x:v>143082.675624</x:v>
      </x:c>
      <x:c r="G2396" s="12" t="n">
        <x:f>MAX(G2395,F2396)</x:f>
        <x:v>143082.675624</x:v>
      </x:c>
      <x:c r="H2396" s="14" t="n">
        <x:f>F2396/G2396-1</x:f>
        <x:v>0</x:v>
      </x:c>
      <x:c r="I2396" s="14" t="n">
        <x:f>F2396/F2395-1</x:f>
        <x:v>0.004437328506614602</x:v>
      </x:c>
      <x:c r="J2396" s="12" t="n">
        <x:v>0</x:v>
      </x:c>
      <x:c r="K2396" s="12" t="n">
        <x:v>0</x:v>
      </x:c>
      <x:c r="L2396" s="12" t="n">
        <x:v>0</x:v>
      </x:c>
      <x:c r="M2396" s="2" t="str">
        <x:v>持有</x:v>
      </x:c>
    </x:row>
    <x:row r="2397" ht="23" customHeight="1">
      <x:c r="A2397" s="11" t="d">
        <x:v>2024-07-05T00:00:00.000Z</x:v>
      </x:c>
      <x:c r="B2397" s="12" t="n">
        <x:v>352.167432</x:v>
      </x:c>
      <x:c r="C2397" s="13" t="n">
        <x:v>258</x:v>
      </x:c>
      <x:c r="D2397" s="12" t="n">
        <x:v>143097.12</x:v>
      </x:c>
      <x:c r="E2397" s="12" t="n">
        <x:v>453.828192</x:v>
      </x:c>
      <x:c r="F2397" s="12" t="n">
        <x:f>SUM(B2397,D2397:E2397)</x:f>
        <x:v>143903.11562399997</x:v>
      </x:c>
      <x:c r="G2397" s="12" t="n">
        <x:f>MAX(G2396,F2397)</x:f>
        <x:v>143903.11562399997</x:v>
      </x:c>
      <x:c r="H2397" s="14" t="n">
        <x:f>F2397/G2397-1</x:f>
        <x:v>0</x:v>
      </x:c>
      <x:c r="I2397" s="14" t="n">
        <x:f>F2397/F2396-1</x:f>
        <x:v>0.005734027522353413</x:v>
      </x:c>
      <x:c r="J2397" s="12" t="n">
        <x:v>0</x:v>
      </x:c>
      <x:c r="K2397" s="12" t="n">
        <x:v>0</x:v>
      </x:c>
      <x:c r="L2397" s="12" t="n">
        <x:v>0</x:v>
      </x:c>
      <x:c r="M2397" s="2" t="str">
        <x:v>持有</x:v>
      </x:c>
    </x:row>
    <x:row r="2398" ht="23" customHeight="1">
      <x:c r="A2398" s="11" t="d">
        <x:v>2024-07-08T00:00:00.000Z</x:v>
      </x:c>
      <x:c r="B2398" s="12" t="n">
        <x:v>352.167432</x:v>
      </x:c>
      <x:c r="C2398" s="13" t="n">
        <x:v>258</x:v>
      </x:c>
      <x:c r="D2398" s="12" t="n">
        <x:v>143262.24</x:v>
      </x:c>
      <x:c r="E2398" s="12" t="n">
        <x:v>453.828192</x:v>
      </x:c>
      <x:c r="F2398" s="12" t="n">
        <x:f>SUM(B2398,D2398:E2398)</x:f>
        <x:v>144068.23562399996</x:v>
      </x:c>
      <x:c r="G2398" s="12" t="n">
        <x:f>MAX(G2397,F2398)</x:f>
        <x:v>144068.23562399996</x:v>
      </x:c>
      <x:c r="H2398" s="14" t="n">
        <x:f>F2398/G2398-1</x:f>
        <x:v>0</x:v>
      </x:c>
      <x:c r="I2398" s="14" t="n">
        <x:f>F2398/F2397-1</x:f>
        <x:v>0.0011474386727763353</x:v>
      </x:c>
      <x:c r="J2398" s="12" t="n">
        <x:v>0</x:v>
      </x:c>
      <x:c r="K2398" s="12" t="n">
        <x:v>0</x:v>
      </x:c>
      <x:c r="L2398" s="12" t="n">
        <x:v>0</x:v>
      </x:c>
      <x:c r="M2398" s="2" t="str">
        <x:v>持有</x:v>
      </x:c>
    </x:row>
    <x:row r="2399" ht="23" customHeight="1">
      <x:c r="A2399" s="11" t="d">
        <x:v>2024-07-09T00:00:00.000Z</x:v>
      </x:c>
      <x:c r="B2399" s="12" t="n">
        <x:v>352.167432</x:v>
      </x:c>
      <x:c r="C2399" s="13" t="n">
        <x:v>258</x:v>
      </x:c>
      <x:c r="D2399" s="12" t="n">
        <x:v>143401.56000000003</x:v>
      </x:c>
      <x:c r="E2399" s="12" t="n">
        <x:v>453.828192</x:v>
      </x:c>
      <x:c r="F2399" s="12" t="n">
        <x:f>SUM(B2399,D2399:E2399)</x:f>
        <x:v>144207.555624</x:v>
      </x:c>
      <x:c r="G2399" s="12" t="n">
        <x:f>MAX(G2398,F2399)</x:f>
        <x:v>144207.555624</x:v>
      </x:c>
      <x:c r="H2399" s="14" t="n">
        <x:f>F2399/G2399-1</x:f>
        <x:v>0</x:v>
      </x:c>
      <x:c r="I2399" s="14" t="n">
        <x:f>F2399/F2398-1</x:f>
        <x:v>0.0009670417590428304</x:v>
      </x:c>
      <x:c r="J2399" s="12" t="n">
        <x:v>0</x:v>
      </x:c>
      <x:c r="K2399" s="12" t="n">
        <x:v>0</x:v>
      </x:c>
      <x:c r="L2399" s="12" t="n">
        <x:v>0</x:v>
      </x:c>
      <x:c r="M2399" s="2" t="str">
        <x:v>持有</x:v>
      </x:c>
    </x:row>
    <x:row r="2400" ht="23" customHeight="1">
      <x:c r="A2400" s="11" t="d">
        <x:v>2024-07-10T00:00:00.000Z</x:v>
      </x:c>
      <x:c r="B2400" s="12" t="n">
        <x:v>352.167432</x:v>
      </x:c>
      <x:c r="C2400" s="13" t="n">
        <x:v>258</x:v>
      </x:c>
      <x:c r="D2400" s="12" t="n">
        <x:v>144820.56000000003</x:v>
      </x:c>
      <x:c r="E2400" s="12" t="n">
        <x:v>453.828192</x:v>
      </x:c>
      <x:c r="F2400" s="12" t="n">
        <x:f>SUM(B2400,D2400:E2400)</x:f>
        <x:v>145626.555624</x:v>
      </x:c>
      <x:c r="G2400" s="12" t="n">
        <x:f>MAX(G2399,F2400)</x:f>
        <x:v>145626.555624</x:v>
      </x:c>
      <x:c r="H2400" s="14" t="n">
        <x:f>F2400/G2400-1</x:f>
        <x:v>0</x:v>
      </x:c>
      <x:c r="I2400" s="14" t="n">
        <x:f>F2400/F2399-1</x:f>
        <x:v>0.009839983722488288</x:v>
      </x:c>
      <x:c r="J2400" s="12" t="n">
        <x:v>0</x:v>
      </x:c>
      <x:c r="K2400" s="12" t="n">
        <x:v>0</x:v>
      </x:c>
      <x:c r="L2400" s="12" t="n">
        <x:v>0</x:v>
      </x:c>
      <x:c r="M2400" s="2" t="str">
        <x:v>持有</x:v>
      </x:c>
    </x:row>
    <x:row r="2401" ht="23" customHeight="1">
      <x:c r="A2401" s="11" t="d">
        <x:v>2024-07-11T00:00:00.000Z</x:v>
      </x:c>
      <x:c r="B2401" s="12" t="n">
        <x:v>352.167432</x:v>
      </x:c>
      <x:c r="C2401" s="13" t="n">
        <x:v>258</x:v>
      </x:c>
      <x:c r="D2401" s="12" t="n">
        <x:v>143571.84</x:v>
      </x:c>
      <x:c r="E2401" s="12" t="n">
        <x:v>453.828192</x:v>
      </x:c>
      <x:c r="F2401" s="12" t="n">
        <x:f>SUM(B2401,D2401:E2401)</x:f>
        <x:v>144377.83562399997</x:v>
      </x:c>
      <x:c r="G2401" s="12" t="n">
        <x:f>MAX(G2400,F2401)</x:f>
        <x:v>145626.555624</x:v>
      </x:c>
      <x:c r="H2401" s="14" t="n">
        <x:f>F2401/G2401-1</x:f>
        <x:v>-0.008574809688036256</x:v>
      </x:c>
      <x:c r="I2401" s="14" t="n">
        <x:f>F2401/F2400-1</x:f>
        <x:v>-0.008574809688036256</x:v>
      </x:c>
      <x:c r="J2401" s="12" t="n">
        <x:v>0</x:v>
      </x:c>
      <x:c r="K2401" s="12" t="n">
        <x:v>0</x:v>
      </x:c>
      <x:c r="L2401" s="12" t="n">
        <x:v>0</x:v>
      </x:c>
      <x:c r="M2401" s="2" t="str">
        <x:v>持有</x:v>
      </x:c>
    </x:row>
    <x:row r="2402" ht="23" customHeight="1">
      <x:c r="A2402" s="11" t="d">
        <x:v>2024-07-12T00:00:00.000Z</x:v>
      </x:c>
      <x:c r="B2402" s="12" t="n">
        <x:v>352.167432</x:v>
      </x:c>
      <x:c r="C2402" s="13" t="n">
        <x:v>258</x:v>
      </x:c>
      <x:c r="D2402" s="12" t="n">
        <x:v>144477.42</x:v>
      </x:c>
      <x:c r="E2402" s="12" t="n">
        <x:v>453.828192</x:v>
      </x:c>
      <x:c r="F2402" s="12" t="n">
        <x:f>SUM(B2402,D2402:E2402)</x:f>
        <x:v>145283.415624</x:v>
      </x:c>
      <x:c r="G2402" s="12" t="n">
        <x:f>MAX(G2401,F2402)</x:f>
        <x:v>145626.555624</x:v>
      </x:c>
      <x:c r="H2402" s="14" t="n">
        <x:f>F2402/G2402-1</x:f>
        <x:v>-0.002356301009315831</x:v>
      </x:c>
      <x:c r="I2402" s="14" t="n">
        <x:f>F2402/F2401-1</x:f>
        <x:v>0.006272292392292211</x:v>
      </x:c>
      <x:c r="J2402" s="12" t="n">
        <x:v>0</x:v>
      </x:c>
      <x:c r="K2402" s="12" t="n">
        <x:v>0</x:v>
      </x:c>
      <x:c r="L2402" s="12" t="n">
        <x:v>0</x:v>
      </x:c>
      <x:c r="M2402" s="2" t="str">
        <x:v>持有</x:v>
      </x:c>
    </x:row>
    <x:row r="2403" ht="23" customHeight="1">
      <x:c r="A2403" s="11" t="d">
        <x:v>2024-07-15T00:00:00.000Z</x:v>
      </x:c>
      <x:c r="B2403" s="12" t="n">
        <x:v>352.167432</x:v>
      </x:c>
      <x:c r="C2403" s="13" t="n">
        <x:v>258</x:v>
      </x:c>
      <x:c r="D2403" s="12" t="n">
        <x:v>144874.74</x:v>
      </x:c>
      <x:c r="E2403" s="12" t="n">
        <x:v>453.828192</x:v>
      </x:c>
      <x:c r="F2403" s="12" t="n">
        <x:f>SUM(B2403,D2403:E2403)</x:f>
        <x:v>145680.73562399996</x:v>
      </x:c>
      <x:c r="G2403" s="12" t="n">
        <x:f>MAX(G2402,F2403)</x:f>
        <x:v>145680.73562399996</x:v>
      </x:c>
      <x:c r="H2403" s="14" t="n">
        <x:f>F2403/G2403-1</x:f>
        <x:v>0</x:v>
      </x:c>
      <x:c r="I2403" s="14" t="n">
        <x:f>F2403/F2402-1</x:f>
        <x:v>0.0027347925315044375</x:v>
      </x:c>
      <x:c r="J2403" s="12" t="n">
        <x:v>0</x:v>
      </x:c>
      <x:c r="K2403" s="12" t="n">
        <x:v>0</x:v>
      </x:c>
      <x:c r="L2403" s="12" t="n">
        <x:v>0</x:v>
      </x:c>
      <x:c r="M2403" s="2" t="str">
        <x:v>持有</x:v>
      </x:c>
    </x:row>
    <x:row r="2404" ht="23" customHeight="1">
      <x:c r="A2404" s="11" t="d">
        <x:v>2024-07-16T00:00:00.000Z</x:v>
      </x:c>
      <x:c r="B2404" s="12" t="n">
        <x:v>352.167432</x:v>
      </x:c>
      <x:c r="C2404" s="13" t="n">
        <x:v>258</x:v>
      </x:c>
      <x:c r="D2404" s="12" t="n">
        <x:v>145733.88</x:v>
      </x:c>
      <x:c r="E2404" s="12" t="n">
        <x:v>453.828192</x:v>
      </x:c>
      <x:c r="F2404" s="12" t="n">
        <x:f>SUM(B2404,D2404:E2404)</x:f>
        <x:v>146539.87562399998</x:v>
      </x:c>
      <x:c r="G2404" s="12" t="n">
        <x:f>MAX(G2403,F2404)</x:f>
        <x:v>146539.87562399998</x:v>
      </x:c>
      <x:c r="H2404" s="14" t="n">
        <x:f>F2404/G2404-1</x:f>
        <x:v>0</x:v>
      </x:c>
      <x:c r="I2404" s="14" t="n">
        <x:f>F2404/F2403-1</x:f>
        <x:v>0.005897416678464884</x:v>
      </x:c>
      <x:c r="J2404" s="12" t="n">
        <x:v>0</x:v>
      </x:c>
      <x:c r="K2404" s="12" t="n">
        <x:v>0</x:v>
      </x:c>
      <x:c r="L2404" s="12" t="n">
        <x:v>0</x:v>
      </x:c>
      <x:c r="M2404" s="2" t="str">
        <x:v>持有</x:v>
      </x:c>
    </x:row>
    <x:row r="2405" ht="23" customHeight="1">
      <x:c r="A2405" s="11" t="d">
        <x:v>2024-07-17T00:00:00.000Z</x:v>
      </x:c>
      <x:c r="B2405" s="12" t="n">
        <x:v>352.167432</x:v>
      </x:c>
      <x:c r="C2405" s="13" t="n">
        <x:v>258</x:v>
      </x:c>
      <x:c r="D2405" s="12" t="n">
        <x:v>143690.52000000002</x:v>
      </x:c>
      <x:c r="E2405" s="12" t="n">
        <x:v>453.828192</x:v>
      </x:c>
      <x:c r="F2405" s="12" t="n">
        <x:f>SUM(B2405,D2405:E2405)</x:f>
        <x:v>144496.515624</x:v>
      </x:c>
      <x:c r="G2405" s="12" t="n">
        <x:f>MAX(G2404,F2405)</x:f>
        <x:v>146539.87562399998</x:v>
      </x:c>
      <x:c r="H2405" s="14" t="n">
        <x:f>F2405/G2405-1</x:f>
        <x:v>-0.013944054417262874</x:v>
      </x:c>
      <x:c r="I2405" s="14" t="n">
        <x:f>F2405/F2404-1</x:f>
        <x:v>-0.013944054417262874</x:v>
      </x:c>
      <x:c r="J2405" s="12" t="n">
        <x:v>0</x:v>
      </x:c>
      <x:c r="K2405" s="12" t="n">
        <x:v>0</x:v>
      </x:c>
      <x:c r="L2405" s="12" t="n">
        <x:v>0</x:v>
      </x:c>
      <x:c r="M2405" s="2" t="str">
        <x:v>持有</x:v>
      </x:c>
    </x:row>
    <x:row r="2406" ht="23" customHeight="1">
      <x:c r="A2406" s="11" t="d">
        <x:v>2024-07-18T00:00:00.000Z</x:v>
      </x:c>
      <x:c r="B2406" s="12" t="n">
        <x:v>352.167432</x:v>
      </x:c>
      <x:c r="C2406" s="13" t="n">
        <x:v>258</x:v>
      </x:c>
      <x:c r="D2406" s="12" t="n">
        <x:v>142586.28</x:v>
      </x:c>
      <x:c r="E2406" s="12" t="n">
        <x:v>453.828192</x:v>
      </x:c>
      <x:c r="F2406" s="12" t="n">
        <x:f>SUM(B2406,D2406:E2406)</x:f>
        <x:v>143392.27562399997</x:v>
      </x:c>
      <x:c r="G2406" s="12" t="n">
        <x:f>MAX(G2405,F2406)</x:f>
        <x:v>146539.87562399998</x:v>
      </x:c>
      <x:c r="H2406" s="14" t="n">
        <x:f>F2406/G2406-1</x:f>
        <x:v>-0.021479477763965638</x:v>
      </x:c>
      <x:c r="I2406" s="14" t="n">
        <x:f>F2406/F2405-1</x:f>
        <x:v>-0.007641983581620826</x:v>
      </x:c>
      <x:c r="J2406" s="12" t="n">
        <x:v>0</x:v>
      </x:c>
      <x:c r="K2406" s="12" t="n">
        <x:v>0</x:v>
      </x:c>
      <x:c r="L2406" s="12" t="n">
        <x:v>0</x:v>
      </x:c>
      <x:c r="M2406" s="2" t="str">
        <x:v>持有</x:v>
      </x:c>
    </x:row>
    <x:row r="2407" ht="23" customHeight="1">
      <x:c r="A2407" s="11" t="d">
        <x:v>2024-07-19T00:00:00.000Z</x:v>
      </x:c>
      <x:c r="B2407" s="12" t="n">
        <x:v>352.167432</x:v>
      </x:c>
      <x:c r="C2407" s="13" t="n">
        <x:v>258</x:v>
      </x:c>
      <x:c r="D2407" s="12" t="n">
        <x:v>141639.42</x:v>
      </x:c>
      <x:c r="E2407" s="12" t="n">
        <x:v>453.828192</x:v>
      </x:c>
      <x:c r="F2407" s="12" t="n">
        <x:f>SUM(B2407,D2407:E2407)</x:f>
        <x:v>142445.415624</x:v>
      </x:c>
      <x:c r="G2407" s="12" t="n">
        <x:f>MAX(G2406,F2407)</x:f>
        <x:v>146539.87562399998</x:v>
      </x:c>
      <x:c r="H2407" s="14" t="n">
        <x:f>F2407/G2407-1</x:f>
        <x:v>-0.02794092722246999</x:v>
      </x:c>
      <x:c r="I2407" s="14" t="n">
        <x:f>F2407/F2406-1</x:f>
        <x:v>-0.006603284562432199</x:v>
      </x:c>
      <x:c r="J2407" s="12" t="n">
        <x:v>0</x:v>
      </x:c>
      <x:c r="K2407" s="12" t="n">
        <x:v>0</x:v>
      </x:c>
      <x:c r="L2407" s="12" t="n">
        <x:v>0</x:v>
      </x:c>
      <x:c r="M2407" s="2" t="str">
        <x:v>持有</x:v>
      </x:c>
    </x:row>
    <x:row r="2408" ht="23" customHeight="1">
      <x:c r="A2408" s="11" t="d">
        <x:v>2024-07-22T00:00:00.000Z</x:v>
      </x:c>
      <x:c r="B2408" s="12" t="n">
        <x:v>352.167432</x:v>
      </x:c>
      <x:c r="C2408" s="13" t="n">
        <x:v>258</x:v>
      </x:c>
      <x:c r="D2408" s="12" t="n">
        <x:v>143099.69999999998</x:v>
      </x:c>
      <x:c r="E2408" s="12" t="n">
        <x:v>453.828192</x:v>
      </x:c>
      <x:c r="F2408" s="12" t="n">
        <x:f>SUM(B2408,D2408:E2408)</x:f>
        <x:v>143905.69562399996</x:v>
      </x:c>
      <x:c r="G2408" s="12" t="n">
        <x:f>MAX(G2407,F2408)</x:f>
        <x:v>146539.87562399998</x:v>
      </x:c>
      <x:c r="H2408" s="14" t="n">
        <x:f>F2408/G2408-1</x:f>
        <x:v>-0.0179758580303353</x:v>
      </x:c>
      <x:c r="I2408" s="14" t="n">
        <x:f>F2408/F2407-1</x:f>
        <x:v>0.010251505768739788</x:v>
      </x:c>
      <x:c r="J2408" s="12" t="n">
        <x:v>0</x:v>
      </x:c>
      <x:c r="K2408" s="12" t="n">
        <x:v>0</x:v>
      </x:c>
      <x:c r="L2408" s="12" t="n">
        <x:v>0</x:v>
      </x:c>
      <x:c r="M2408" s="2" t="str">
        <x:v>持有</x:v>
      </x:c>
    </x:row>
    <x:row r="2409" ht="23" customHeight="1">
      <x:c r="A2409" s="11" t="d">
        <x:v>2024-07-23T00:00:00.000Z</x:v>
      </x:c>
      <x:c r="B2409" s="12" t="n">
        <x:v>352.167432</x:v>
      </x:c>
      <x:c r="C2409" s="13" t="n">
        <x:v>258</x:v>
      </x:c>
      <x:c r="D2409" s="12" t="n">
        <x:v>142875.24</x:v>
      </x:c>
      <x:c r="E2409" s="12" t="n">
        <x:v>453.828192</x:v>
      </x:c>
      <x:c r="F2409" s="12" t="n">
        <x:f>SUM(B2409,D2409:E2409)</x:f>
        <x:v>143681.23562399996</x:v>
      </x:c>
      <x:c r="G2409" s="12" t="n">
        <x:f>MAX(G2408,F2409)</x:f>
        <x:v>146539.87562399998</x:v>
      </x:c>
      <x:c r="H2409" s="14" t="n">
        <x:f>F2409/G2409-1</x:f>
        <x:v>-0.01950759128071644</x:v>
      </x:c>
      <x:c r="I2409" s="14" t="n">
        <x:f>F2409/F2408-1</x:f>
        <x:v>-0.0015597714810848817</x:v>
      </x:c>
      <x:c r="J2409" s="12" t="n">
        <x:v>0</x:v>
      </x:c>
      <x:c r="K2409" s="12" t="n">
        <x:v>0</x:v>
      </x:c>
      <x:c r="L2409" s="12" t="n">
        <x:v>0</x:v>
      </x:c>
      <x:c r="M2409" s="2" t="str">
        <x:v>持有</x:v>
      </x:c>
    </x:row>
    <x:row r="2410" ht="23" customHeight="1">
      <x:c r="A2410" s="11" t="d">
        <x:v>2024-07-24T00:00:00.000Z</x:v>
      </x:c>
      <x:c r="B2410" s="12" t="n">
        <x:v>352.167432</x:v>
      </x:c>
      <x:c r="C2410" s="13" t="n">
        <x:v>258</x:v>
      </x:c>
      <x:c r="D2410" s="12" t="n">
        <x:v>139637.34</x:v>
      </x:c>
      <x:c r="E2410" s="12" t="n">
        <x:v>453.828192</x:v>
      </x:c>
      <x:c r="F2410" s="12" t="n">
        <x:f>SUM(B2410,D2410:E2410)</x:f>
        <x:v>140443.33562399997</x:v>
      </x:c>
      <x:c r="G2410" s="12" t="n">
        <x:f>MAX(G2409,F2410)</x:f>
        <x:v>146539.87562399998</x:v>
      </x:c>
      <x:c r="H2410" s="14" t="n">
        <x:f>F2410/G2410-1</x:f>
        <x:v>-0.041603283570697425</x:v>
      </x:c>
      <x:c r="I2410" s="14" t="n">
        <x:f>F2410/F2409-1</x:f>
        <x:v>-0.022535301745826186</x:v>
      </x:c>
      <x:c r="J2410" s="12" t="n">
        <x:v>0</x:v>
      </x:c>
      <x:c r="K2410" s="12" t="n">
        <x:v>0</x:v>
      </x:c>
      <x:c r="L2410" s="12" t="n">
        <x:v>0</x:v>
      </x:c>
      <x:c r="M2410" s="2" t="str">
        <x:v>持有</x:v>
      </x:c>
    </x:row>
    <x:row r="2411" ht="23" customHeight="1">
      <x:c r="A2411" s="11" t="d">
        <x:v>2024-07-25T00:00:00.000Z</x:v>
      </x:c>
      <x:c r="B2411" s="12" t="n">
        <x:v>139880.799132</x:v>
      </x:c>
      <x:c r="C2411" s="13" t="n">
        <x:v>0</x:v>
      </x:c>
      <x:c r="D2411" s="12" t="n">
        <x:v>0</x:v>
      </x:c>
      <x:c r="E2411" s="12" t="n">
        <x:v>453.828192</x:v>
      </x:c>
      <x:c r="F2411" s="12" t="n">
        <x:f>SUM(B2411,D2411:E2411)</x:f>
        <x:v>140334.62732399997</x:v>
      </x:c>
      <x:c r="G2411" s="12" t="n">
        <x:f>MAX(G2410,F2411)</x:f>
        <x:v>146539.87562399998</x:v>
      </x:c>
      <x:c r="H2411" s="14" t="n">
        <x:f>F2411/G2411-1</x:f>
        <x:v>-0.042345117829373446</x:v>
      </x:c>
      <x:c r="I2411" s="14" t="n">
        <x:f>F2411/F2410-1</x:f>
        <x:v>-0.0007740367281722227</x:v>
      </x:c>
      <x:c r="J2411" s="12" t="n">
        <x:v>0</x:v>
      </x:c>
      <x:c r="K2411" s="12" t="n">
        <x:v>0</x:v>
      </x:c>
      <x:c r="L2411" s="12" t="n">
        <x:v>-258</x:v>
      </x:c>
      <x:c r="M2411" s="2" t="str">
        <x:v>卖出</x:v>
      </x:c>
    </x:row>
    <x:row r="2412" ht="23" customHeight="1">
      <x:c r="A2412" s="11" t="d">
        <x:v>2024-07-26T00:00:00.000Z</x:v>
      </x:c>
      <x:c r="B2412" s="12" t="n">
        <x:v>139880.799132</x:v>
      </x:c>
      <x:c r="C2412" s="13" t="n">
        <x:v>0</x:v>
      </x:c>
      <x:c r="D2412" s="12" t="n">
        <x:v>0</x:v>
      </x:c>
      <x:c r="E2412" s="12" t="n">
        <x:v>453.828192</x:v>
      </x:c>
      <x:c r="F2412" s="12" t="n">
        <x:f>SUM(B2412,D2412:E2412)</x:f>
        <x:v>140334.62732399997</x:v>
      </x:c>
      <x:c r="G2412" s="12" t="n">
        <x:f>MAX(G2411,F2412)</x:f>
        <x:v>146539.87562399998</x:v>
      </x:c>
      <x:c r="H2412" s="14" t="n">
        <x:f>F2412/G2412-1</x:f>
        <x:v>-0.042345117829373446</x:v>
      </x:c>
      <x:c r="I2412" s="14" t="n">
        <x:f>F2412/F2411-1</x:f>
        <x:v>0</x:v>
      </x:c>
      <x:c r="J2412" s="12" t="n">
        <x:v>0</x:v>
      </x:c>
      <x:c r="K2412" s="12" t="n">
        <x:v>0</x:v>
      </x:c>
      <x:c r="L2412" s="12" t="n">
        <x:v>0</x:v>
      </x:c>
      <x:c r="M2412" s="2" t="str">
        <x:v>空仓</x:v>
      </x:c>
    </x:row>
    <x:row r="2413" ht="23" customHeight="1">
      <x:c r="A2413" s="11" t="d">
        <x:v>2024-07-29T00:00:00.000Z</x:v>
      </x:c>
      <x:c r="B2413" s="12" t="n">
        <x:v>506.464032</x:v>
      </x:c>
      <x:c r="C2413" s="13" t="n">
        <x:v>255</x:v>
      </x:c>
      <x:c r="D2413" s="12" t="n">
        <x:v>138913.8</x:v>
      </x:c>
      <x:c r="E2413" s="12" t="n">
        <x:v>453.828192</x:v>
      </x:c>
      <x:c r="F2413" s="12" t="n">
        <x:f>SUM(B2413,D2413:E2413)</x:f>
        <x:v>139874.09222399996</x:v>
      </x:c>
      <x:c r="G2413" s="12" t="n">
        <x:f>MAX(G2412,F2413)</x:f>
        <x:v>146539.87562399998</x:v>
      </x:c>
      <x:c r="H2413" s="14" t="n">
        <x:f>F2413/G2413-1</x:f>
        <x:v>-0.04548784671486583</x:v>
      </x:c>
      <x:c r="I2413" s="14" t="n">
        <x:f>F2413/F2412-1</x:f>
        <x:v>-0.0032816925429013377</x:v>
      </x:c>
      <x:c r="J2413" s="12" t="n">
        <x:v>0</x:v>
      </x:c>
      <x:c r="K2413" s="12" t="n">
        <x:v>0</x:v>
      </x:c>
      <x:c r="L2413" s="12" t="n">
        <x:v>255</x:v>
      </x:c>
      <x:c r="M2413" s="2" t="str">
        <x:v>买入</x:v>
      </x:c>
    </x:row>
    <x:row r="2414" ht="23" customHeight="1">
      <x:c r="A2414" s="11" t="d">
        <x:v>2024-07-30T00:00:00.000Z</x:v>
      </x:c>
      <x:c r="B2414" s="12" t="n">
        <x:v>506.464032</x:v>
      </x:c>
      <x:c r="C2414" s="13" t="n">
        <x:v>255</x:v>
      </x:c>
      <x:c r="D2414" s="12" t="n">
        <x:v>138210</x:v>
      </x:c>
      <x:c r="E2414" s="12" t="n">
        <x:v>453.828192</x:v>
      </x:c>
      <x:c r="F2414" s="12" t="n">
        <x:f>SUM(B2414,D2414:E2414)</x:f>
        <x:v>139170.29222399998</x:v>
      </x:c>
      <x:c r="G2414" s="12" t="n">
        <x:f>MAX(G2413,F2414)</x:f>
        <x:v>146539.87562399998</x:v>
      </x:c>
      <x:c r="H2414" s="14" t="n">
        <x:f>F2414/G2414-1</x:f>
        <x:v>-0.050290635013975904</x:v>
      </x:c>
      <x:c r="I2414" s="14" t="n">
        <x:f>F2414/F2413-1</x:f>
        <x:v>-0.005031668043806836</x:v>
      </x:c>
      <x:c r="J2414" s="12" t="n">
        <x:v>0</x:v>
      </x:c>
      <x:c r="K2414" s="12" t="n">
        <x:v>0</x:v>
      </x:c>
      <x:c r="L2414" s="12" t="n">
        <x:v>0</x:v>
      </x:c>
      <x:c r="M2414" s="2" t="str">
        <x:v>持有</x:v>
      </x:c>
    </x:row>
    <x:row r="2415" ht="23" customHeight="1">
      <x:c r="A2415" s="11" t="d">
        <x:v>2024-07-31T00:00:00.000Z</x:v>
      </x:c>
      <x:c r="B2415" s="12" t="n">
        <x:v>140810.202324</x:v>
      </x:c>
      <x:c r="C2415" s="13" t="n">
        <x:v>0</x:v>
      </x:c>
      <x:c r="D2415" s="12" t="n">
        <x:v>0</x:v>
      </x:c>
      <x:c r="E2415" s="12" t="n">
        <x:v>0</x:v>
      </x:c>
      <x:c r="F2415" s="12" t="n">
        <x:f>SUM(B2415,D2415:E2415)</x:f>
        <x:v>140810.202324</x:v>
      </x:c>
      <x:c r="G2415" s="12" t="n">
        <x:f>MAX(G2414,F2415)</x:f>
        <x:v>146539.87562399998</x:v>
      </x:c>
      <x:c r="H2415" s="14" t="n">
        <x:f>F2415/G2415-1</x:f>
        <x:v>-0.03909975544609767</x:v>
      </x:c>
      <x:c r="I2415" s="14" t="n">
        <x:f>F2415/F2414-1</x:f>
        <x:v>0.011783478167600059</x:v>
      </x:c>
      <x:c r="J2415" s="12" t="n">
        <x:v>0</x:v>
      </x:c>
      <x:c r="K2415" s="12" t="n">
        <x:v>453.828192</x:v>
      </x:c>
      <x:c r="L2415" s="12" t="n">
        <x:v>-255</x:v>
      </x:c>
      <x:c r="M2415" s="2" t="str">
        <x:v>卖出</x:v>
      </x:c>
    </x:row>
    <x:row r="2416" ht="23" customHeight="1">
      <x:c r="A2416" s="11" t="d">
        <x:v>2024-08-01T00:00:00.000Z</x:v>
      </x:c>
      <x:c r="B2416" s="12" t="n">
        <x:v>317.069544</x:v>
      </x:c>
      <x:c r="C2416" s="13" t="n">
        <x:v>254</x:v>
      </x:c>
      <x:c r="D2416" s="12" t="n">
        <x:v>137924.54</x:v>
      </x:c>
      <x:c r="E2416" s="12" t="n">
        <x:v>0</x:v>
      </x:c>
      <x:c r="F2416" s="12" t="n">
        <x:f>SUM(B2416,D2416:E2416)</x:f>
        <x:v>138241.609544</x:v>
      </x:c>
      <x:c r="G2416" s="12" t="n">
        <x:f>MAX(G2415,F2416)</x:f>
        <x:v>146539.87562399998</x:v>
      </x:c>
      <x:c r="H2416" s="14" t="n">
        <x:f>F2416/G2416-1</x:f>
        <x:v>-0.056628040966078874</x:v>
      </x:c>
      <x:c r="I2416" s="14" t="n">
        <x:f>F2416/F2415-1</x:f>
        <x:v>-0.018241524673686338</x:v>
      </x:c>
      <x:c r="J2416" s="12" t="n">
        <x:v>0</x:v>
      </x:c>
      <x:c r="K2416" s="12" t="n">
        <x:v>0</x:v>
      </x:c>
      <x:c r="L2416" s="12" t="n">
        <x:v>254</x:v>
      </x:c>
      <x:c r="M2416" s="2" t="str">
        <x:v>买入</x:v>
      </x:c>
    </x:row>
    <x:row r="2417" ht="23" customHeight="1">
      <x:c r="A2417" s="11" t="d">
        <x:v>2024-08-02T00:00:00.000Z</x:v>
      </x:c>
      <x:c r="B2417" s="12" t="n">
        <x:v>136261.489044</x:v>
      </x:c>
      <x:c r="C2417" s="13" t="n">
        <x:v>0</x:v>
      </x:c>
      <x:c r="D2417" s="12" t="n">
        <x:v>0</x:v>
      </x:c>
      <x:c r="E2417" s="12" t="n">
        <x:v>0</x:v>
      </x:c>
      <x:c r="F2417" s="12" t="n">
        <x:f>SUM(B2417,D2417:E2417)</x:f>
        <x:v>136261.489044</x:v>
      </x:c>
      <x:c r="G2417" s="12" t="n">
        <x:f>MAX(G2416,F2417)</x:f>
        <x:v>146539.87562399998</x:v>
      </x:c>
      <x:c r="H2417" s="14" t="n">
        <x:f>F2417/G2417-1</x:f>
        <x:v>-0.07014054390473778</x:v>
      </x:c>
      <x:c r="I2417" s="14" t="n">
        <x:f>F2417/F2416-1</x:f>
        <x:v>-0.014323621567569944</x:v>
      </x:c>
      <x:c r="J2417" s="12" t="n">
        <x:v>0</x:v>
      </x:c>
      <x:c r="K2417" s="12" t="n">
        <x:v>0</x:v>
      </x:c>
      <x:c r="L2417" s="12" t="n">
        <x:v>-254</x:v>
      </x:c>
      <x:c r="M2417" s="2" t="str">
        <x:v>卖出</x:v>
      </x:c>
    </x:row>
    <x:row r="2418" ht="23" customHeight="1">
      <x:c r="A2418" s="11" t="d">
        <x:v>2024-08-05T00:00:00.000Z</x:v>
      </x:c>
      <x:c r="B2418" s="12" t="n">
        <x:v>136261.489044</x:v>
      </x:c>
      <x:c r="C2418" s="13" t="n">
        <x:v>0</x:v>
      </x:c>
      <x:c r="D2418" s="12" t="n">
        <x:v>0</x:v>
      </x:c>
      <x:c r="E2418" s="12" t="n">
        <x:v>0</x:v>
      </x:c>
      <x:c r="F2418" s="12" t="n">
        <x:f>SUM(B2418,D2418:E2418)</x:f>
        <x:v>136261.489044</x:v>
      </x:c>
      <x:c r="G2418" s="12" t="n">
        <x:f>MAX(G2417,F2418)</x:f>
        <x:v>146539.87562399998</x:v>
      </x:c>
      <x:c r="H2418" s="14" t="n">
        <x:f>F2418/G2418-1</x:f>
        <x:v>-0.07014054390473778</x:v>
      </x:c>
      <x:c r="I2418" s="14" t="n">
        <x:f>F2418/F2417-1</x:f>
        <x:v>0</x:v>
      </x:c>
      <x:c r="J2418" s="12" t="n">
        <x:v>0</x:v>
      </x:c>
      <x:c r="K2418" s="12" t="n">
        <x:v>0</x:v>
      </x:c>
      <x:c r="L2418" s="12" t="n">
        <x:v>0</x:v>
      </x:c>
      <x:c r="M2418" s="2" t="str">
        <x:v>空仓</x:v>
      </x:c>
    </x:row>
    <x:row r="2419" ht="23" customHeight="1">
      <x:c r="A2419" s="11" t="d">
        <x:v>2024-08-06T00:00:00.000Z</x:v>
      </x:c>
      <x:c r="B2419" s="12" t="n">
        <x:v>136261.489044</x:v>
      </x:c>
      <x:c r="C2419" s="13" t="n">
        <x:v>0</x:v>
      </x:c>
      <x:c r="D2419" s="12" t="n">
        <x:v>0</x:v>
      </x:c>
      <x:c r="E2419" s="12" t="n">
        <x:v>0</x:v>
      </x:c>
      <x:c r="F2419" s="12" t="n">
        <x:f>SUM(B2419,D2419:E2419)</x:f>
        <x:v>136261.489044</x:v>
      </x:c>
      <x:c r="G2419" s="12" t="n">
        <x:f>MAX(G2418,F2419)</x:f>
        <x:v>146539.87562399998</x:v>
      </x:c>
      <x:c r="H2419" s="14" t="n">
        <x:f>F2419/G2419-1</x:f>
        <x:v>-0.07014054390473778</x:v>
      </x:c>
      <x:c r="I2419" s="14" t="n">
        <x:f>F2419/F2418-1</x:f>
        <x:v>0</x:v>
      </x:c>
      <x:c r="J2419" s="12" t="n">
        <x:v>0</x:v>
      </x:c>
      <x:c r="K2419" s="12" t="n">
        <x:v>0</x:v>
      </x:c>
      <x:c r="L2419" s="12" t="n">
        <x:v>0</x:v>
      </x:c>
      <x:c r="M2419" s="2" t="str">
        <x:v>空仓</x:v>
      </x:c>
    </x:row>
    <x:row r="2420" ht="23" customHeight="1">
      <x:c r="A2420" s="11" t="d">
        <x:v>2024-08-07T00:00:00.000Z</x:v>
      </x:c>
      <x:c r="B2420" s="12" t="n">
        <x:v>136261.489044</x:v>
      </x:c>
      <x:c r="C2420" s="13" t="n">
        <x:v>0</x:v>
      </x:c>
      <x:c r="D2420" s="12" t="n">
        <x:v>0</x:v>
      </x:c>
      <x:c r="E2420" s="12" t="n">
        <x:v>0</x:v>
      </x:c>
      <x:c r="F2420" s="12" t="n">
        <x:f>SUM(B2420,D2420:E2420)</x:f>
        <x:v>136261.489044</x:v>
      </x:c>
      <x:c r="G2420" s="12" t="n">
        <x:f>MAX(G2419,F2420)</x:f>
        <x:v>146539.87562399998</x:v>
      </x:c>
      <x:c r="H2420" s="14" t="n">
        <x:f>F2420/G2420-1</x:f>
        <x:v>-0.07014054390473778</x:v>
      </x:c>
      <x:c r="I2420" s="14" t="n">
        <x:f>F2420/F2419-1</x:f>
        <x:v>0</x:v>
      </x:c>
      <x:c r="J2420" s="12" t="n">
        <x:v>0</x:v>
      </x:c>
      <x:c r="K2420" s="12" t="n">
        <x:v>0</x:v>
      </x:c>
      <x:c r="L2420" s="12" t="n">
        <x:v>0</x:v>
      </x:c>
      <x:c r="M2420" s="2" t="str">
        <x:v>空仓</x:v>
      </x:c>
    </x:row>
    <x:row r="2421" ht="23" customHeight="1">
      <x:c r="A2421" s="11" t="d">
        <x:v>2024-08-08T00:00:00.000Z</x:v>
      </x:c>
      <x:c r="B2421" s="12" t="n">
        <x:v>136261.489044</x:v>
      </x:c>
      <x:c r="C2421" s="13" t="n">
        <x:v>0</x:v>
      </x:c>
      <x:c r="D2421" s="12" t="n">
        <x:v>0</x:v>
      </x:c>
      <x:c r="E2421" s="12" t="n">
        <x:v>0</x:v>
      </x:c>
      <x:c r="F2421" s="12" t="n">
        <x:f>SUM(B2421,D2421:E2421)</x:f>
        <x:v>136261.489044</x:v>
      </x:c>
      <x:c r="G2421" s="12" t="n">
        <x:f>MAX(G2420,F2421)</x:f>
        <x:v>146539.87562399998</x:v>
      </x:c>
      <x:c r="H2421" s="14" t="n">
        <x:f>F2421/G2421-1</x:f>
        <x:v>-0.07014054390473778</x:v>
      </x:c>
      <x:c r="I2421" s="14" t="n">
        <x:f>F2421/F2420-1</x:f>
        <x:v>0</x:v>
      </x:c>
      <x:c r="J2421" s="12" t="n">
        <x:v>0</x:v>
      </x:c>
      <x:c r="K2421" s="12" t="n">
        <x:v>0</x:v>
      </x:c>
      <x:c r="L2421" s="12" t="n">
        <x:v>0</x:v>
      </x:c>
      <x:c r="M2421" s="2" t="str">
        <x:v>空仓</x:v>
      </x:c>
    </x:row>
    <x:row r="2422" ht="23" customHeight="1">
      <x:c r="A2422" s="11" t="d">
        <x:v>2024-08-09T00:00:00.000Z</x:v>
      </x:c>
      <x:c r="B2422" s="12" t="n">
        <x:v>136261.489044</x:v>
      </x:c>
      <x:c r="C2422" s="13" t="n">
        <x:v>0</x:v>
      </x:c>
      <x:c r="D2422" s="12" t="n">
        <x:v>0</x:v>
      </x:c>
      <x:c r="E2422" s="12" t="n">
        <x:v>0</x:v>
      </x:c>
      <x:c r="F2422" s="12" t="n">
        <x:f>SUM(B2422,D2422:E2422)</x:f>
        <x:v>136261.489044</x:v>
      </x:c>
      <x:c r="G2422" s="12" t="n">
        <x:f>MAX(G2421,F2422)</x:f>
        <x:v>146539.87562399998</x:v>
      </x:c>
      <x:c r="H2422" s="14" t="n">
        <x:f>F2422/G2422-1</x:f>
        <x:v>-0.07014054390473778</x:v>
      </x:c>
      <x:c r="I2422" s="14" t="n">
        <x:f>F2422/F2421-1</x:f>
        <x:v>0</x:v>
      </x:c>
      <x:c r="J2422" s="12" t="n">
        <x:v>0</x:v>
      </x:c>
      <x:c r="K2422" s="12" t="n">
        <x:v>0</x:v>
      </x:c>
      <x:c r="L2422" s="12" t="n">
        <x:v>0</x:v>
      </x:c>
      <x:c r="M2422" s="2" t="str">
        <x:v>空仓</x:v>
      </x:c>
    </x:row>
    <x:row r="2423" ht="23" customHeight="1">
      <x:c r="A2423" s="11" t="d">
        <x:v>2024-08-12T00:00:00.000Z</x:v>
      </x:c>
      <x:c r="B2423" s="12" t="n">
        <x:v>136261.489044</x:v>
      </x:c>
      <x:c r="C2423" s="13" t="n">
        <x:v>0</x:v>
      </x:c>
      <x:c r="D2423" s="12" t="n">
        <x:v>0</x:v>
      </x:c>
      <x:c r="E2423" s="12" t="n">
        <x:v>0</x:v>
      </x:c>
      <x:c r="F2423" s="12" t="n">
        <x:f>SUM(B2423,D2423:E2423)</x:f>
        <x:v>136261.489044</x:v>
      </x:c>
      <x:c r="G2423" s="12" t="n">
        <x:f>MAX(G2422,F2423)</x:f>
        <x:v>146539.87562399998</x:v>
      </x:c>
      <x:c r="H2423" s="14" t="n">
        <x:f>F2423/G2423-1</x:f>
        <x:v>-0.07014054390473778</x:v>
      </x:c>
      <x:c r="I2423" s="14" t="n">
        <x:f>F2423/F2422-1</x:f>
        <x:v>0</x:v>
      </x:c>
      <x:c r="J2423" s="12" t="n">
        <x:v>0</x:v>
      </x:c>
      <x:c r="K2423" s="12" t="n">
        <x:v>0</x:v>
      </x:c>
      <x:c r="L2423" s="12" t="n">
        <x:v>0</x:v>
      </x:c>
      <x:c r="M2423" s="2" t="str">
        <x:v>空仓</x:v>
      </x:c>
    </x:row>
    <x:row r="2424" ht="23" customHeight="1">
      <x:c r="A2424" s="11" t="d">
        <x:v>2024-08-13T00:00:00.000Z</x:v>
      </x:c>
      <x:c r="B2424" s="12" t="n">
        <x:v>136261.489044</x:v>
      </x:c>
      <x:c r="C2424" s="13" t="n">
        <x:v>0</x:v>
      </x:c>
      <x:c r="D2424" s="12" t="n">
        <x:v>0</x:v>
      </x:c>
      <x:c r="E2424" s="12" t="n">
        <x:v>0</x:v>
      </x:c>
      <x:c r="F2424" s="12" t="n">
        <x:f>SUM(B2424,D2424:E2424)</x:f>
        <x:v>136261.489044</x:v>
      </x:c>
      <x:c r="G2424" s="12" t="n">
        <x:f>MAX(G2423,F2424)</x:f>
        <x:v>146539.87562399998</x:v>
      </x:c>
      <x:c r="H2424" s="14" t="n">
        <x:f>F2424/G2424-1</x:f>
        <x:v>-0.07014054390473778</x:v>
      </x:c>
      <x:c r="I2424" s="14" t="n">
        <x:f>F2424/F2423-1</x:f>
        <x:v>0</x:v>
      </x:c>
      <x:c r="J2424" s="12" t="n">
        <x:v>0</x:v>
      </x:c>
      <x:c r="K2424" s="12" t="n">
        <x:v>0</x:v>
      </x:c>
      <x:c r="L2424" s="12" t="n">
        <x:v>0</x:v>
      </x:c>
      <x:c r="M2424" s="2" t="str">
        <x:v>空仓</x:v>
      </x:c>
    </x:row>
    <x:row r="2425" ht="23" customHeight="1">
      <x:c r="A2425" s="11" t="d">
        <x:v>2024-08-14T00:00:00.000Z</x:v>
      </x:c>
      <x:c r="B2425" s="12" t="n">
        <x:v>136261.489044</x:v>
      </x:c>
      <x:c r="C2425" s="13" t="n">
        <x:v>0</x:v>
      </x:c>
      <x:c r="D2425" s="12" t="n">
        <x:v>0</x:v>
      </x:c>
      <x:c r="E2425" s="12" t="n">
        <x:v>0</x:v>
      </x:c>
      <x:c r="F2425" s="12" t="n">
        <x:f>SUM(B2425,D2425:E2425)</x:f>
        <x:v>136261.489044</x:v>
      </x:c>
      <x:c r="G2425" s="12" t="n">
        <x:f>MAX(G2424,F2425)</x:f>
        <x:v>146539.87562399998</x:v>
      </x:c>
      <x:c r="H2425" s="14" t="n">
        <x:f>F2425/G2425-1</x:f>
        <x:v>-0.07014054390473778</x:v>
      </x:c>
      <x:c r="I2425" s="14" t="n">
        <x:f>F2425/F2424-1</x:f>
        <x:v>0</x:v>
      </x:c>
      <x:c r="J2425" s="12" t="n">
        <x:v>0</x:v>
      </x:c>
      <x:c r="K2425" s="12" t="n">
        <x:v>0</x:v>
      </x:c>
      <x:c r="L2425" s="12" t="n">
        <x:v>0</x:v>
      </x:c>
      <x:c r="M2425" s="2" t="str">
        <x:v>空仓</x:v>
      </x:c>
    </x:row>
    <x:row r="2426" ht="23" customHeight="1">
      <x:c r="A2426" s="11" t="d">
        <x:v>2024-08-15T00:00:00.000Z</x:v>
      </x:c>
      <x:c r="B2426" s="12" t="n">
        <x:v>136261.489044</x:v>
      </x:c>
      <x:c r="C2426" s="13" t="n">
        <x:v>0</x:v>
      </x:c>
      <x:c r="D2426" s="12" t="n">
        <x:v>0</x:v>
      </x:c>
      <x:c r="E2426" s="12" t="n">
        <x:v>0</x:v>
      </x:c>
      <x:c r="F2426" s="12" t="n">
        <x:f>SUM(B2426,D2426:E2426)</x:f>
        <x:v>136261.489044</x:v>
      </x:c>
      <x:c r="G2426" s="12" t="n">
        <x:f>MAX(G2425,F2426)</x:f>
        <x:v>146539.87562399998</x:v>
      </x:c>
      <x:c r="H2426" s="14" t="n">
        <x:f>F2426/G2426-1</x:f>
        <x:v>-0.07014054390473778</x:v>
      </x:c>
      <x:c r="I2426" s="14" t="n">
        <x:f>F2426/F2425-1</x:f>
        <x:v>0</x:v>
      </x:c>
      <x:c r="J2426" s="12" t="n">
        <x:v>0</x:v>
      </x:c>
      <x:c r="K2426" s="12" t="n">
        <x:v>0</x:v>
      </x:c>
      <x:c r="L2426" s="12" t="n">
        <x:v>0</x:v>
      </x:c>
      <x:c r="M2426" s="2" t="str">
        <x:v>空仓</x:v>
      </x:c>
    </x:row>
    <x:row r="2427" ht="23" customHeight="1">
      <x:c r="A2427" s="11" t="d">
        <x:v>2024-08-16T00:00:00.000Z</x:v>
      </x:c>
      <x:c r="B2427" s="12" t="n">
        <x:v>476.519724</x:v>
      </x:c>
      <x:c r="C2427" s="13" t="n">
        <x:v>246</x:v>
      </x:c>
      <x:c r="D2427" s="12" t="n">
        <x:v>136360.25999999998</x:v>
      </x:c>
      <x:c r="E2427" s="12" t="n">
        <x:v>0</x:v>
      </x:c>
      <x:c r="F2427" s="12" t="n">
        <x:f>SUM(B2427,D2427:E2427)</x:f>
        <x:v>136836.779724</x:v>
      </x:c>
      <x:c r="G2427" s="12" t="n">
        <x:f>MAX(G2426,F2427)</x:f>
        <x:v>146539.87562399998</x:v>
      </x:c>
      <x:c r="H2427" s="14" t="n">
        <x:f>F2427/G2427-1</x:f>
        <x:v>-0.06621471363123521</x:v>
      </x:c>
      <x:c r="I2427" s="14" t="n">
        <x:f>F2427/F2426-1</x:f>
        <x:v>0.004221960907929256</x:v>
      </x:c>
      <x:c r="J2427" s="12" t="n">
        <x:v>0</x:v>
      </x:c>
      <x:c r="K2427" s="12" t="n">
        <x:v>0</x:v>
      </x:c>
      <x:c r="L2427" s="12" t="n">
        <x:v>246</x:v>
      </x:c>
      <x:c r="M2427" s="2" t="str">
        <x:v>买入</x:v>
      </x:c>
    </x:row>
    <x:row r="2428" ht="23" customHeight="1">
      <x:c r="A2428" s="11" t="d">
        <x:v>2024-08-19T00:00:00.000Z</x:v>
      </x:c>
      <x:c r="B2428" s="12" t="n">
        <x:v>476.519724</x:v>
      </x:c>
      <x:c r="C2428" s="13" t="n">
        <x:v>246</x:v>
      </x:c>
      <x:c r="D2428" s="12" t="n">
        <x:v>137664.06</x:v>
      </x:c>
      <x:c r="E2428" s="12" t="n">
        <x:v>0</x:v>
      </x:c>
      <x:c r="F2428" s="12" t="n">
        <x:f>SUM(B2428,D2428:E2428)</x:f>
        <x:v>138140.579724</x:v>
      </x:c>
      <x:c r="G2428" s="12" t="n">
        <x:f>MAX(G2427,F2428)</x:f>
        <x:v>146539.87562399998</x:v>
      </x:c>
      <x:c r="H2428" s="14" t="n">
        <x:f>F2428/G2428-1</x:f>
        <x:v>-0.057317476654281774</x:v>
      </x:c>
      <x:c r="I2428" s="14" t="n">
        <x:f>F2428/F2427-1</x:f>
        <x:v>0.009528140041221267</x:v>
      </x:c>
      <x:c r="J2428" s="12" t="n">
        <x:v>0</x:v>
      </x:c>
      <x:c r="K2428" s="12" t="n">
        <x:v>0</x:v>
      </x:c>
      <x:c r="L2428" s="12" t="n">
        <x:v>0</x:v>
      </x:c>
      <x:c r="M2428" s="2" t="str">
        <x:v>持有</x:v>
      </x:c>
    </x:row>
    <x:row r="2429" ht="23" customHeight="1">
      <x:c r="A2429" s="11" t="d">
        <x:v>2024-08-20T00:00:00.000Z</x:v>
      </x:c>
      <x:c r="B2429" s="12" t="n">
        <x:v>476.519724</x:v>
      </x:c>
      <x:c r="C2429" s="13" t="n">
        <x:v>246</x:v>
      </x:c>
      <x:c r="D2429" s="12" t="n">
        <x:v>137440.2</x:v>
      </x:c>
      <x:c r="E2429" s="12" t="n">
        <x:v>0</x:v>
      </x:c>
      <x:c r="F2429" s="12" t="n">
        <x:f>SUM(B2429,D2429:E2429)</x:f>
        <x:v>137916.71972400002</x:v>
      </x:c>
      <x:c r="G2429" s="12" t="n">
        <x:f>MAX(G2428,F2429)</x:f>
        <x:v>146539.87562399998</x:v>
      </x:c>
      <x:c r="H2429" s="14" t="n">
        <x:f>F2429/G2429-1</x:f>
        <x:v>-0.05884511545598492</x:v>
      </x:c>
      <x:c r="I2429" s="14" t="n">
        <x:f>F2429/F2428-1</x:f>
        <x:v>-0.0016205230964517758</x:v>
      </x:c>
      <x:c r="J2429" s="12" t="n">
        <x:v>0</x:v>
      </x:c>
      <x:c r="K2429" s="12" t="n">
        <x:v>0</x:v>
      </x:c>
      <x:c r="L2429" s="12" t="n">
        <x:v>0</x:v>
      </x:c>
      <x:c r="M2429" s="2" t="str">
        <x:v>持有</x:v>
      </x:c>
    </x:row>
    <x:row r="2430" ht="23" customHeight="1">
      <x:c r="A2430" s="11" t="d">
        <x:v>2024-08-21T00:00:00.000Z</x:v>
      </x:c>
      <x:c r="B2430" s="12" t="n">
        <x:v>476.519724</x:v>
      </x:c>
      <x:c r="C2430" s="13" t="n">
        <x:v>246</x:v>
      </x:c>
      <x:c r="D2430" s="12" t="n">
        <x:v>137912.52</x:v>
      </x:c>
      <x:c r="E2430" s="12" t="n">
        <x:v>0</x:v>
      </x:c>
      <x:c r="F2430" s="12" t="n">
        <x:f>SUM(B2430,D2430:E2430)</x:f>
        <x:v>138389.039724</x:v>
      </x:c>
      <x:c r="G2430" s="12" t="n">
        <x:f>MAX(G2429,F2430)</x:f>
        <x:v>146539.87562399998</x:v>
      </x:c>
      <x:c r="H2430" s="14" t="n">
        <x:f>F2430/G2430-1</x:f>
        <x:v>-0.05562196545678688</x:v>
      </x:c>
      <x:c r="I2430" s="14" t="n">
        <x:f>F2430/F2429-1</x:f>
        <x:v>0.003424675419667622</x:v>
      </x:c>
      <x:c r="J2430" s="12" t="n">
        <x:v>0</x:v>
      </x:c>
      <x:c r="K2430" s="12" t="n">
        <x:v>0</x:v>
      </x:c>
      <x:c r="L2430" s="12" t="n">
        <x:v>0</x:v>
      </x:c>
      <x:c r="M2430" s="2" t="str">
        <x:v>持有</x:v>
      </x:c>
    </x:row>
    <x:row r="2431" ht="23" customHeight="1">
      <x:c r="A2431" s="11" t="d">
        <x:v>2024-08-22T00:00:00.000Z</x:v>
      </x:c>
      <x:c r="B2431" s="12" t="n">
        <x:v>476.519724</x:v>
      </x:c>
      <x:c r="C2431" s="13" t="n">
        <x:v>246</x:v>
      </x:c>
      <x:c r="D2431" s="12" t="n">
        <x:v>136830.12</x:v>
      </x:c>
      <x:c r="E2431" s="12" t="n">
        <x:v>0</x:v>
      </x:c>
      <x:c r="F2431" s="12" t="n">
        <x:f>SUM(B2431,D2431:E2431)</x:f>
        <x:v>137306.639724</x:v>
      </x:c>
      <x:c r="G2431" s="12" t="n">
        <x:f>MAX(G2430,F2431)</x:f>
        <x:v>146539.87562399998</x:v>
      </x:c>
      <x:c r="H2431" s="14" t="n">
        <x:f>F2431/G2431-1</x:f>
        <x:v>-0.06300835087161605</x:v>
      </x:c>
      <x:c r="I2431" s="14" t="n">
        <x:f>F2431/F2430-1</x:f>
        <x:v>-0.007821428648964623</x:v>
      </x:c>
      <x:c r="J2431" s="12" t="n">
        <x:v>0</x:v>
      </x:c>
      <x:c r="K2431" s="12" t="n">
        <x:v>0</x:v>
      </x:c>
      <x:c r="L2431" s="12" t="n">
        <x:v>0</x:v>
      </x:c>
      <x:c r="M2431" s="2" t="str">
        <x:v>持有</x:v>
      </x:c>
    </x:row>
    <x:row r="2432" ht="23" customHeight="1">
      <x:c r="A2432" s="11" t="d">
        <x:v>2024-08-23T00:00:00.000Z</x:v>
      </x:c>
      <x:c r="B2432" s="12" t="n">
        <x:v>476.519724</x:v>
      </x:c>
      <x:c r="C2432" s="13" t="n">
        <x:v>246</x:v>
      </x:c>
      <x:c r="D2432" s="12" t="n">
        <x:v>138283.98</x:v>
      </x:c>
      <x:c r="E2432" s="12" t="n">
        <x:v>0</x:v>
      </x:c>
      <x:c r="F2432" s="12" t="n">
        <x:f>SUM(B2432,D2432:E2432)</x:f>
        <x:v>138760.49972400002</x:v>
      </x:c>
      <x:c r="G2432" s="12" t="n">
        <x:f>MAX(G2431,F2432)</x:f>
        <x:v>146539.87562399998</x:v>
      </x:c>
      <x:c r="H2432" s="14" t="n">
        <x:f>F2432/G2432-1</x:f>
        <x:v>-0.053087092280334036</x:v>
      </x:c>
      <x:c r="I2432" s="14" t="n">
        <x:f>F2432/F2431-1</x:f>
        <x:v>0.010588417303944109</x:v>
      </x:c>
      <x:c r="J2432" s="12" t="n">
        <x:v>0</x:v>
      </x:c>
      <x:c r="K2432" s="12" t="n">
        <x:v>0</x:v>
      </x:c>
      <x:c r="L2432" s="12" t="n">
        <x:v>0</x:v>
      </x:c>
      <x:c r="M2432" s="2" t="str">
        <x:v>持有</x:v>
      </x:c>
    </x:row>
    <x:row r="2433" ht="23" customHeight="1">
      <x:c r="A2433" s="11" t="d">
        <x:v>2024-08-26T00:00:00.000Z</x:v>
      </x:c>
      <x:c r="B2433" s="12" t="n">
        <x:v>476.519724</x:v>
      </x:c>
      <x:c r="C2433" s="13" t="n">
        <x:v>246</x:v>
      </x:c>
      <x:c r="D2433" s="12" t="n">
        <x:v>137954.34</x:v>
      </x:c>
      <x:c r="E2433" s="12" t="n">
        <x:v>0</x:v>
      </x:c>
      <x:c r="F2433" s="12" t="n">
        <x:f>SUM(B2433,D2433:E2433)</x:f>
        <x:v>138430.859724</x:v>
      </x:c>
      <x:c r="G2433" s="12" t="n">
        <x:f>MAX(G2432,F2433)</x:f>
        <x:v>146539.87562399998</x:v>
      </x:c>
      <x:c r="H2433" s="14" t="n">
        <x:f>F2433/G2433-1</x:f>
        <x:v>-0.055336582383941235</x:v>
      </x:c>
      <x:c r="I2433" s="14" t="n">
        <x:f>F2433/F2432-1</x:f>
        <x:v>-0.0023756040130705758</x:v>
      </x:c>
      <x:c r="J2433" s="12" t="n">
        <x:v>0</x:v>
      </x:c>
      <x:c r="K2433" s="12" t="n">
        <x:v>0</x:v>
      </x:c>
      <x:c r="L2433" s="12" t="n">
        <x:v>0</x:v>
      </x:c>
      <x:c r="M2433" s="2" t="str">
        <x:v>持有</x:v>
      </x:c>
    </x:row>
    <x:row r="2434" ht="23" customHeight="1">
      <x:c r="A2434" s="11" t="d">
        <x:v>2024-08-27T00:00:00.000Z</x:v>
      </x:c>
      <x:c r="B2434" s="12" t="n">
        <x:v>476.519724</x:v>
      </x:c>
      <x:c r="C2434" s="13" t="n">
        <x:v>246</x:v>
      </x:c>
      <x:c r="D2434" s="12" t="n">
        <x:v>138143.75999999998</x:v>
      </x:c>
      <x:c r="E2434" s="12" t="n">
        <x:v>0</x:v>
      </x:c>
      <x:c r="F2434" s="12" t="n">
        <x:f>SUM(B2434,D2434:E2434)</x:f>
        <x:v>138620.279724</x:v>
      </x:c>
      <x:c r="G2434" s="12" t="n">
        <x:f>MAX(G2433,F2434)</x:f>
        <x:v>146539.87562399998</x:v>
      </x:c>
      <x:c r="H2434" s="14" t="n">
        <x:f>F2434/G2434-1</x:f>
        <x:v>-0.05404396493634622</x:v>
      </x:c>
      <x:c r="I2434" s="14" t="n">
        <x:f>F2434/F2433-1</x:f>
        <x:v>0.0013683365138210668</x:v>
      </x:c>
      <x:c r="J2434" s="12" t="n">
        <x:v>0</x:v>
      </x:c>
      <x:c r="K2434" s="12" t="n">
        <x:v>0</x:v>
      </x:c>
      <x:c r="L2434" s="12" t="n">
        <x:v>0</x:v>
      </x:c>
      <x:c r="M2434" s="2" t="str">
        <x:v>持有</x:v>
      </x:c>
    </x:row>
    <x:row r="2435" ht="23" customHeight="1">
      <x:c r="A2435" s="11" t="d">
        <x:v>2024-08-28T00:00:00.000Z</x:v>
      </x:c>
      <x:c r="B2435" s="12" t="n">
        <x:v>476.519724</x:v>
      </x:c>
      <x:c r="C2435" s="13" t="n">
        <x:v>246</x:v>
      </x:c>
      <x:c r="D2435" s="12" t="n">
        <x:v>137341.8</x:v>
      </x:c>
      <x:c r="E2435" s="12" t="n">
        <x:v>0</x:v>
      </x:c>
      <x:c r="F2435" s="12" t="n">
        <x:f>SUM(B2435,D2435:E2435)</x:f>
        <x:v>137818.319724</x:v>
      </x:c>
      <x:c r="G2435" s="12" t="n">
        <x:f>MAX(G2434,F2435)</x:f>
        <x:v>146539.87562399998</x:v>
      </x:c>
      <x:c r="H2435" s="14" t="n">
        <x:f>F2435/G2435-1</x:f>
        <x:v>-0.05951660503915146</x:v>
      </x:c>
      <x:c r="I2435" s="14" t="n">
        <x:f>F2435/F2434-1</x:f>
        <x:v>-0.00578530069046701</x:v>
      </x:c>
      <x:c r="J2435" s="12" t="n">
        <x:v>0</x:v>
      </x:c>
      <x:c r="K2435" s="12" t="n">
        <x:v>0</x:v>
      </x:c>
      <x:c r="L2435" s="12" t="n">
        <x:v>0</x:v>
      </x:c>
      <x:c r="M2435" s="2" t="str">
        <x:v>持有</x:v>
      </x:c>
    </x:row>
    <x:row r="2436" ht="23" customHeight="1">
      <x:c r="A2436" s="11" t="d">
        <x:v>2024-08-29T00:00:00.000Z</x:v>
      </x:c>
      <x:c r="B2436" s="12" t="n">
        <x:v>476.519724</x:v>
      </x:c>
      <x:c r="C2436" s="13" t="n">
        <x:v>246</x:v>
      </x:c>
      <x:c r="D2436" s="12" t="n">
        <x:v>137354.1</x:v>
      </x:c>
      <x:c r="E2436" s="12" t="n">
        <x:v>0</x:v>
      </x:c>
      <x:c r="F2436" s="12" t="n">
        <x:f>SUM(B2436,D2436:E2436)</x:f>
        <x:v>137830.61972400002</x:v>
      </x:c>
      <x:c r="G2436" s="12" t="n">
        <x:f>MAX(G2435,F2436)</x:f>
        <x:v>146539.87562399998</x:v>
      </x:c>
      <x:c r="H2436" s="14" t="n">
        <x:f>F2436/G2436-1</x:f>
        <x:v>-0.05943266884125553</x:v>
      </x:c>
      <x:c r="I2436" s="14" t="n">
        <x:f>F2436/F2435-1</x:f>
        <x:v>0.00008924793180353774</x:v>
      </x:c>
      <x:c r="J2436" s="12" t="n">
        <x:v>0</x:v>
      </x:c>
      <x:c r="K2436" s="12" t="n">
        <x:v>0</x:v>
      </x:c>
      <x:c r="L2436" s="12" t="n">
        <x:v>0</x:v>
      </x:c>
      <x:c r="M2436" s="2" t="str">
        <x:v>持有</x:v>
      </x:c>
    </x:row>
    <x:row r="2437" ht="23" customHeight="1">
      <x:c r="A2437" s="11" t="d">
        <x:v>2024-08-30T00:00:00.000Z</x:v>
      </x:c>
      <x:c r="B2437" s="12" t="n">
        <x:v>476.519724</x:v>
      </x:c>
      <x:c r="C2437" s="13" t="n">
        <x:v>246</x:v>
      </x:c>
      <x:c r="D2437" s="12" t="n">
        <x:v>138665.28</x:v>
      </x:c>
      <x:c r="E2437" s="12" t="n">
        <x:v>0</x:v>
      </x:c>
      <x:c r="F2437" s="12" t="n">
        <x:f>SUM(B2437,D2437:E2437)</x:f>
        <x:v>139141.799724</x:v>
      </x:c>
      <x:c r="G2437" s="12" t="n">
        <x:f>MAX(G2436,F2437)</x:f>
        <x:v>146539.87562399998</x:v>
      </x:c>
      <x:c r="H2437" s="14" t="n">
        <x:f>F2437/G2437-1</x:f>
        <x:v>-0.05048507014556469</x:v>
      </x:c>
      <x:c r="I2437" s="14" t="n">
        <x:f>F2437/F2436-1</x:f>
        <x:v>0.009512980516416247</x:v>
      </x:c>
      <x:c r="J2437" s="12" t="n">
        <x:v>0</x:v>
      </x:c>
      <x:c r="K2437" s="12" t="n">
        <x:v>0</x:v>
      </x:c>
      <x:c r="L2437" s="12" t="n">
        <x:v>0</x:v>
      </x:c>
      <x:c r="M2437" s="2" t="str">
        <x:v>持有</x:v>
      </x:c>
    </x:row>
    <x:row r="2438" ht="23" customHeight="1">
      <x:c r="A2438" s="11" t="d">
        <x:v>2024-09-03T00:00:00.000Z</x:v>
      </x:c>
      <x:c r="B2438" s="12" t="n">
        <x:v>476.519724</x:v>
      </x:c>
      <x:c r="C2438" s="13" t="n">
        <x:v>246</x:v>
      </x:c>
      <x:c r="D2438" s="12" t="n">
        <x:v>135811.68000000002</x:v>
      </x:c>
      <x:c r="E2438" s="12" t="n">
        <x:v>0</x:v>
      </x:c>
      <x:c r="F2438" s="12" t="n">
        <x:f>SUM(B2438,D2438:E2438)</x:f>
        <x:v>136288.19972400003</x:v>
      </x:c>
      <x:c r="G2438" s="12" t="n">
        <x:f>MAX(G2437,F2438)</x:f>
        <x:v>146539.87562399998</x:v>
      </x:c>
      <x:c r="H2438" s="14" t="n">
        <x:f>F2438/G2438-1</x:f>
        <x:v>-0.06995826805738703</x:v>
      </x:c>
      <x:c r="I2438" s="14" t="n">
        <x:f>F2438/F2437-1</x:f>
        <x:v>-0.020508574746484154</x:v>
      </x:c>
      <x:c r="J2438" s="12" t="n">
        <x:v>0</x:v>
      </x:c>
      <x:c r="K2438" s="12" t="n">
        <x:v>0</x:v>
      </x:c>
      <x:c r="L2438" s="12" t="n">
        <x:v>0</x:v>
      </x:c>
      <x:c r="M2438" s="2" t="str">
        <x:v>持有</x:v>
      </x:c>
    </x:row>
    <x:row r="2439" ht="23" customHeight="1">
      <x:c r="A2439" s="11" t="d">
        <x:v>2024-09-04T00:00:00.000Z</x:v>
      </x:c>
      <x:c r="B2439" s="12" t="n">
        <x:v>476.519724</x:v>
      </x:c>
      <x:c r="C2439" s="13" t="n">
        <x:v>246</x:v>
      </x:c>
      <x:c r="D2439" s="12" t="n">
        <x:v>135533.7</x:v>
      </x:c>
      <x:c r="E2439" s="12" t="n">
        <x:v>0</x:v>
      </x:c>
      <x:c r="F2439" s="12" t="n">
        <x:f>SUM(B2439,D2439:E2439)</x:f>
        <x:v>136010.21972400002</x:v>
      </x:c>
      <x:c r="G2439" s="12" t="n">
        <x:f>MAX(G2438,F2439)</x:f>
        <x:v>146539.87562399998</x:v>
      </x:c>
      <x:c r="H2439" s="14" t="n">
        <x:f>F2439/G2439-1</x:f>
        <x:v>-0.07185522612983186</x:v>
      </x:c>
      <x:c r="I2439" s="14" t="n">
        <x:f>F2439/F2438-1</x:f>
        <x:v>-0.0020396483375886287</x:v>
      </x:c>
      <x:c r="J2439" s="12" t="n">
        <x:v>0</x:v>
      </x:c>
      <x:c r="K2439" s="12" t="n">
        <x:v>0</x:v>
      </x:c>
      <x:c r="L2439" s="12" t="n">
        <x:v>0</x:v>
      </x:c>
      <x:c r="M2439" s="2" t="str">
        <x:v>持有</x:v>
      </x:c>
    </x:row>
    <x:row r="2440" ht="23" customHeight="1">
      <x:c r="A2440" s="11" t="d">
        <x:v>2024-09-05T00:00:00.000Z</x:v>
      </x:c>
      <x:c r="B2440" s="12" t="n">
        <x:v>476.519724</x:v>
      </x:c>
      <x:c r="C2440" s="13" t="n">
        <x:v>246</x:v>
      </x:c>
      <x:c r="D2440" s="12" t="n">
        <x:v>135204.06</x:v>
      </x:c>
      <x:c r="E2440" s="12" t="n">
        <x:v>0</x:v>
      </x:c>
      <x:c r="F2440" s="12" t="n">
        <x:f>SUM(B2440,D2440:E2440)</x:f>
        <x:v>135680.579724</x:v>
      </x:c>
      <x:c r="G2440" s="12" t="n">
        <x:f>MAX(G2439,F2440)</x:f>
        <x:v>146539.87562399998</x:v>
      </x:c>
      <x:c r="H2440" s="14" t="n">
        <x:f>F2440/G2440-1</x:f>
        <x:v>-0.07410471623343906</x:v>
      </x:c>
      <x:c r="I2440" s="14" t="n">
        <x:f>F2440/F2439-1</x:f>
        <x:v>-0.0024236414048072197</x:v>
      </x:c>
      <x:c r="J2440" s="12" t="n">
        <x:v>0</x:v>
      </x:c>
      <x:c r="K2440" s="12" t="n">
        <x:v>0</x:v>
      </x:c>
      <x:c r="L2440" s="12" t="n">
        <x:v>0</x:v>
      </x:c>
      <x:c r="M2440" s="2" t="str">
        <x:v>持有</x:v>
      </x:c>
    </x:row>
    <x:row r="2441" ht="23" customHeight="1">
      <x:c r="A2441" s="11" t="d">
        <x:v>2024-09-06T00:00:00.000Z</x:v>
      </x:c>
      <x:c r="B2441" s="12" t="n">
        <x:v>476.519724</x:v>
      </x:c>
      <x:c r="C2441" s="13" t="n">
        <x:v>246</x:v>
      </x:c>
      <x:c r="D2441" s="12" t="n">
        <x:v>132928.56</x:v>
      </x:c>
      <x:c r="E2441" s="12" t="n">
        <x:v>0</x:v>
      </x:c>
      <x:c r="F2441" s="12" t="n">
        <x:f>SUM(B2441,D2441:E2441)</x:f>
        <x:v>133405.079724</x:v>
      </x:c>
      <x:c r="G2441" s="12" t="n">
        <x:f>MAX(G2440,F2441)</x:f>
        <x:v>146539.87562399998</x:v>
      </x:c>
      <x:c r="H2441" s="14" t="n">
        <x:f>F2441/G2441-1</x:f>
        <x:v>-0.08963291284415953</x:v>
      </x:c>
      <x:c r="I2441" s="14" t="n">
        <x:f>F2441/F2440-1</x:f>
        <x:v>-0.01677100735144854</x:v>
      </x:c>
      <x:c r="J2441" s="12" t="n">
        <x:v>0</x:v>
      </x:c>
      <x:c r="K2441" s="12" t="n">
        <x:v>0</x:v>
      </x:c>
      <x:c r="L2441" s="12" t="n">
        <x:v>0</x:v>
      </x:c>
      <x:c r="M2441" s="2" t="str">
        <x:v>持有</x:v>
      </x:c>
    </x:row>
    <x:row r="2442" ht="23" customHeight="1">
      <x:c r="A2442" s="11" t="d">
        <x:v>2024-09-09T00:00:00.000Z</x:v>
      </x:c>
      <x:c r="B2442" s="12" t="n">
        <x:v>134326.435824</x:v>
      </x:c>
      <x:c r="C2442" s="13" t="n">
        <x:v>0</x:v>
      </x:c>
      <x:c r="D2442" s="12" t="n">
        <x:v>0</x:v>
      </x:c>
      <x:c r="E2442" s="12" t="n">
        <x:v>0</x:v>
      </x:c>
      <x:c r="F2442" s="12" t="n">
        <x:f>SUM(B2442,D2442:E2442)</x:f>
        <x:v>134326.435824</x:v>
      </x:c>
      <x:c r="G2442" s="12" t="n">
        <x:f>MAX(G2441,F2442)</x:f>
        <x:v>146539.87562399998</x:v>
      </x:c>
      <x:c r="H2442" s="14" t="n">
        <x:f>F2442/G2442-1</x:f>
        <x:v>-0.08334550406838004</x:v>
      </x:c>
      <x:c r="I2442" s="14" t="n">
        <x:f>F2442/F2441-1</x:f>
        <x:v>0.006906454401182982</x:v>
      </x:c>
      <x:c r="J2442" s="12" t="n">
        <x:v>0</x:v>
      </x:c>
      <x:c r="K2442" s="12" t="n">
        <x:v>0</x:v>
      </x:c>
      <x:c r="L2442" s="12" t="n">
        <x:v>-246</x:v>
      </x:c>
      <x:c r="M2442" s="2" t="str">
        <x:v>卖出</x:v>
      </x:c>
    </x:row>
    <x:row r="2443" ht="23" customHeight="1">
      <x:c r="A2443" s="11" t="d">
        <x:v>2024-09-10T00:00:00.000Z</x:v>
      </x:c>
      <x:c r="B2443" s="12" t="n">
        <x:v>134326.435824</x:v>
      </x:c>
      <x:c r="C2443" s="13" t="n">
        <x:v>0</x:v>
      </x:c>
      <x:c r="D2443" s="12" t="n">
        <x:v>0</x:v>
      </x:c>
      <x:c r="E2443" s="12" t="n">
        <x:v>0</x:v>
      </x:c>
      <x:c r="F2443" s="12" t="n">
        <x:f>SUM(B2443,D2443:E2443)</x:f>
        <x:v>134326.435824</x:v>
      </x:c>
      <x:c r="G2443" s="12" t="n">
        <x:f>MAX(G2442,F2443)</x:f>
        <x:v>146539.87562399998</x:v>
      </x:c>
      <x:c r="H2443" s="14" t="n">
        <x:f>F2443/G2443-1</x:f>
        <x:v>-0.08334550406838004</x:v>
      </x:c>
      <x:c r="I2443" s="14" t="n">
        <x:f>F2443/F2442-1</x:f>
        <x:v>0</x:v>
      </x:c>
      <x:c r="J2443" s="12" t="n">
        <x:v>0</x:v>
      </x:c>
      <x:c r="K2443" s="12" t="n">
        <x:v>0</x:v>
      </x:c>
      <x:c r="L2443" s="12" t="n">
        <x:v>0</x:v>
      </x:c>
      <x:c r="M2443" s="2" t="str">
        <x:v>空仓</x:v>
      </x:c>
    </x:row>
    <x:row r="2444" ht="23" customHeight="1">
      <x:c r="A2444" s="11" t="d">
        <x:v>2024-09-11T00:00:00.000Z</x:v>
      </x:c>
      <x:c r="B2444" s="12" t="n">
        <x:v>134326.435824</x:v>
      </x:c>
      <x:c r="C2444" s="13" t="n">
        <x:v>0</x:v>
      </x:c>
      <x:c r="D2444" s="12" t="n">
        <x:v>0</x:v>
      </x:c>
      <x:c r="E2444" s="12" t="n">
        <x:v>0</x:v>
      </x:c>
      <x:c r="F2444" s="12" t="n">
        <x:f>SUM(B2444,D2444:E2444)</x:f>
        <x:v>134326.435824</x:v>
      </x:c>
      <x:c r="G2444" s="12" t="n">
        <x:f>MAX(G2443,F2444)</x:f>
        <x:v>146539.87562399998</x:v>
      </x:c>
      <x:c r="H2444" s="14" t="n">
        <x:f>F2444/G2444-1</x:f>
        <x:v>-0.08334550406838004</x:v>
      </x:c>
      <x:c r="I2444" s="14" t="n">
        <x:f>F2444/F2443-1</x:f>
        <x:v>0</x:v>
      </x:c>
      <x:c r="J2444" s="12" t="n">
        <x:v>0</x:v>
      </x:c>
      <x:c r="K2444" s="12" t="n">
        <x:v>0</x:v>
      </x:c>
      <x:c r="L2444" s="12" t="n">
        <x:v>0</x:v>
      </x:c>
      <x:c r="M2444" s="2" t="str">
        <x:v>空仓</x:v>
      </x:c>
    </x:row>
    <x:row r="2445" ht="23" customHeight="1">
      <x:c r="A2445" s="11" t="d">
        <x:v>2024-09-12T00:00:00.000Z</x:v>
      </x:c>
      <x:c r="B2445" s="12" t="n">
        <x:v>435.268414</x:v>
      </x:c>
      <x:c r="C2445" s="13" t="n">
        <x:v>241</x:v>
      </x:c>
      <x:c r="D2445" s="12" t="n">
        <x:v>134740.69</x:v>
      </x:c>
      <x:c r="E2445" s="12" t="n">
        <x:v>0</x:v>
      </x:c>
      <x:c r="F2445" s="12" t="n">
        <x:f>SUM(B2445,D2445:E2445)</x:f>
        <x:v>135175.958414</x:v>
      </x:c>
      <x:c r="G2445" s="12" t="n">
        <x:f>MAX(G2444,F2445)</x:f>
        <x:v>146539.87562399998</x:v>
      </x:c>
      <x:c r="H2445" s="14" t="n">
        <x:f>F2445/G2445-1</x:f>
        <x:v>-0.07754829299267418</x:v>
      </x:c>
      <x:c r="I2445" s="14" t="n">
        <x:f>F2445/F2444-1</x:f>
        <x:v>0.006324314233373096</x:v>
      </x:c>
      <x:c r="J2445" s="12" t="n">
        <x:v>0</x:v>
      </x:c>
      <x:c r="K2445" s="12" t="n">
        <x:v>0</x:v>
      </x:c>
      <x:c r="L2445" s="12" t="n">
        <x:v>241</x:v>
      </x:c>
      <x:c r="M2445" s="2" t="str">
        <x:v>买入</x:v>
      </x:c>
    </x:row>
    <x:row r="2446" ht="23" customHeight="1">
      <x:c r="A2446" s="11" t="d">
        <x:v>2024-09-13T00:00:00.000Z</x:v>
      </x:c>
      <x:c r="B2446" s="12" t="n">
        <x:v>435.268414</x:v>
      </x:c>
      <x:c r="C2446" s="13" t="n">
        <x:v>241</x:v>
      </x:c>
      <x:c r="D2446" s="12" t="n">
        <x:v>135444.41</x:v>
      </x:c>
      <x:c r="E2446" s="12" t="n">
        <x:v>0</x:v>
      </x:c>
      <x:c r="F2446" s="12" t="n">
        <x:f>SUM(B2446,D2446:E2446)</x:f>
        <x:v>135879.678414</x:v>
      </x:c>
      <x:c r="G2446" s="12" t="n">
        <x:f>MAX(G2445,F2446)</x:f>
        <x:v>146539.87562399998</x:v>
      </x:c>
      <x:c r="H2446" s="14" t="n">
        <x:f>F2446/G2446-1</x:f>
        <x:v>-0.07274605062005446</x:v>
      </x:c>
      <x:c r="I2446" s="14" t="n">
        <x:f>F2446/F2445-1</x:f>
        <x:v>0.005205955321172739</x:v>
      </x:c>
      <x:c r="J2446" s="12" t="n">
        <x:v>0</x:v>
      </x:c>
      <x:c r="K2446" s="12" t="n">
        <x:v>0</x:v>
      </x:c>
      <x:c r="L2446" s="12" t="n">
        <x:v>0</x:v>
      </x:c>
      <x:c r="M2446" s="2" t="str">
        <x:v>持有</x:v>
      </x:c>
    </x:row>
    <x:row r="2447" ht="23" customHeight="1">
      <x:c r="A2447" s="11" t="d">
        <x:v>2024-09-16T00:00:00.000Z</x:v>
      </x:c>
      <x:c r="B2447" s="12" t="n">
        <x:v>435.268414</x:v>
      </x:c>
      <x:c r="C2447" s="13" t="n">
        <x:v>241</x:v>
      </x:c>
      <x:c r="D2447" s="12" t="n">
        <x:v>135644.44</x:v>
      </x:c>
      <x:c r="E2447" s="12" t="n">
        <x:v>0</x:v>
      </x:c>
      <x:c r="F2447" s="12" t="n">
        <x:f>SUM(B2447,D2447:E2447)</x:f>
        <x:v>136079.708414</x:v>
      </x:c>
      <x:c r="G2447" s="12" t="n">
        <x:f>MAX(G2446,F2447)</x:f>
        <x:v>146539.87562399998</x:v>
      </x:c>
      <x:c r="H2447" s="14" t="n">
        <x:f>F2447/G2447-1</x:f>
        <x:v>-0.07138102967167281</x:v>
      </x:c>
      <x:c r="I2447" s="14" t="n">
        <x:f>F2447/F2446-1</x:f>
        <x:v>0.0014721112261579794</x:v>
      </x:c>
      <x:c r="J2447" s="12" t="n">
        <x:v>0</x:v>
      </x:c>
      <x:c r="K2447" s="12" t="n">
        <x:v>0</x:v>
      </x:c>
      <x:c r="L2447" s="12" t="n">
        <x:v>0</x:v>
      </x:c>
      <x:c r="M2447" s="2" t="str">
        <x:v>持有</x:v>
      </x:c>
    </x:row>
    <x:row r="2448" ht="23" customHeight="1">
      <x:c r="A2448" s="11" t="d">
        <x:v>2024-09-17T00:00:00.000Z</x:v>
      </x:c>
      <x:c r="B2448" s="12" t="n">
        <x:v>435.268414</x:v>
      </x:c>
      <x:c r="C2448" s="13" t="n">
        <x:v>241</x:v>
      </x:c>
      <x:c r="D2448" s="12" t="n">
        <x:v>135699.87000000002</x:v>
      </x:c>
      <x:c r="E2448" s="12" t="n">
        <x:v>0</x:v>
      </x:c>
      <x:c r="F2448" s="12" t="n">
        <x:f>SUM(B2448,D2448:E2448)</x:f>
        <x:v>136135.13841400002</x:v>
      </x:c>
      <x:c r="G2448" s="12" t="n">
        <x:f>MAX(G2447,F2448)</x:f>
        <x:v>146539.87562399998</x:v>
      </x:c>
      <x:c r="H2448" s="14" t="n">
        <x:f>F2448/G2448-1</x:f>
        <x:v>-0.07100277085465123</x:v>
      </x:c>
      <x:c r="I2448" s="14" t="n">
        <x:f>F2448/F2447-1</x:f>
        <x:v>0.00040733479404142514</x:v>
      </x:c>
      <x:c r="J2448" s="12" t="n">
        <x:v>0</x:v>
      </x:c>
      <x:c r="K2448" s="12" t="n">
        <x:v>0</x:v>
      </x:c>
      <x:c r="L2448" s="12" t="n">
        <x:v>0</x:v>
      </x:c>
      <x:c r="M2448" s="2" t="str">
        <x:v>持有</x:v>
      </x:c>
    </x:row>
    <x:row r="2449" ht="23" customHeight="1">
      <x:c r="A2449" s="11" t="d">
        <x:v>2024-09-18T00:00:00.000Z</x:v>
      </x:c>
      <x:c r="B2449" s="12" t="n">
        <x:v>435.268414</x:v>
      </x:c>
      <x:c r="C2449" s="13" t="n">
        <x:v>241</x:v>
      </x:c>
      <x:c r="D2449" s="12" t="n">
        <x:v>135297.4</x:v>
      </x:c>
      <x:c r="E2449" s="12" t="n">
        <x:v>0</x:v>
      </x:c>
      <x:c r="F2449" s="12" t="n">
        <x:f>SUM(B2449,D2449:E2449)</x:f>
        <x:v>135732.66841399999</x:v>
      </x:c>
      <x:c r="G2449" s="12" t="n">
        <x:f>MAX(G2448,F2449)</x:f>
        <x:v>146539.87562399998</x:v>
      </x:c>
      <x:c r="H2449" s="14" t="n">
        <x:f>F2449/G2449-1</x:f>
        <x:v>-0.07374925878693739</x:v>
      </x:c>
      <x:c r="I2449" s="14" t="n">
        <x:f>F2449/F2448-1</x:f>
        <x:v>-0.0029564005640929647</x:v>
      </x:c>
      <x:c r="J2449" s="12" t="n">
        <x:v>0</x:v>
      </x:c>
      <x:c r="K2449" s="12" t="n">
        <x:v>0</x:v>
      </x:c>
      <x:c r="L2449" s="12" t="n">
        <x:v>0</x:v>
      </x:c>
      <x:c r="M2449" s="2" t="str">
        <x:v>持有</x:v>
      </x:c>
    </x:row>
    <x:row r="2450" ht="23" customHeight="1">
      <x:c r="A2450" s="11" t="d">
        <x:v>2024-09-19T00:00:00.000Z</x:v>
      </x:c>
      <x:c r="B2450" s="12" t="n">
        <x:v>435.268414</x:v>
      </x:c>
      <x:c r="C2450" s="13" t="n">
        <x:v>241</x:v>
      </x:c>
      <x:c r="D2450" s="12" t="n">
        <x:v>137606.18</x:v>
      </x:c>
      <x:c r="E2450" s="12" t="n">
        <x:v>0</x:v>
      </x:c>
      <x:c r="F2450" s="12" t="n">
        <x:f>SUM(B2450,D2450:E2450)</x:f>
        <x:v>138041.44841399998</x:v>
      </x:c>
      <x:c r="G2450" s="12" t="n">
        <x:f>MAX(G2449,F2450)</x:f>
        <x:v>146539.87562399998</x:v>
      </x:c>
      <x:c r="H2450" s="14" t="n">
        <x:f>F2450/G2450-1</x:f>
        <x:v>-0.05799395675621921</x:v>
      </x:c>
      <x:c r="I2450" s="14" t="n">
        <x:f>F2450/F2449-1</x:f>
        <x:v>0.01700975916098524</x:v>
      </x:c>
      <x:c r="J2450" s="12" t="n">
        <x:v>0</x:v>
      </x:c>
      <x:c r="K2450" s="12" t="n">
        <x:v>0</x:v>
      </x:c>
      <x:c r="L2450" s="12" t="n">
        <x:v>0</x:v>
      </x:c>
      <x:c r="M2450" s="2" t="str">
        <x:v>持有</x:v>
      </x:c>
    </x:row>
    <x:row r="2451" ht="23" customHeight="1">
      <x:c r="A2451" s="11" t="d">
        <x:v>2024-09-20T00:00:00.000Z</x:v>
      </x:c>
      <x:c r="B2451" s="12" t="n">
        <x:v>435.268414</x:v>
      </x:c>
      <x:c r="C2451" s="13" t="n">
        <x:v>241</x:v>
      </x:c>
      <x:c r="D2451" s="12" t="n">
        <x:v>136948.25</x:v>
      </x:c>
      <x:c r="E2451" s="12" t="n">
        <x:v>420.672971</x:v>
      </x:c>
      <x:c r="F2451" s="12" t="n">
        <x:f>SUM(B2451,D2451:E2451)</x:f>
        <x:v>137804.19138499998</x:v>
      </x:c>
      <x:c r="G2451" s="12" t="n">
        <x:f>MAX(G2450,F2451)</x:f>
        <x:v>146539.87562399998</x:v>
      </x:c>
      <x:c r="H2451" s="14" t="n">
        <x:f>F2451/G2451-1</x:f>
        <x:v>-0.05961301797071594</x:v>
      </x:c>
      <x:c r="I2451" s="14" t="n">
        <x:f>F2451/F2450-1</x:f>
        <x:v>-0.0017187376090725959</x:v>
      </x:c>
      <x:c r="J2451" s="12" t="n">
        <x:v>420.672971</x:v>
      </x:c>
      <x:c r="K2451" s="12" t="n">
        <x:v>0</x:v>
      </x:c>
      <x:c r="L2451" s="12" t="n">
        <x:v>0</x:v>
      </x:c>
      <x:c r="M2451" s="2" t="str">
        <x:v>持有</x:v>
      </x:c>
    </x:row>
    <x:row r="2452" ht="23" customHeight="1">
      <x:c r="A2452" s="11" t="d">
        <x:v>2024-09-23T00:00:00.000Z</x:v>
      </x:c>
      <x:c r="B2452" s="12" t="n">
        <x:v>435.268414</x:v>
      </x:c>
      <x:c r="C2452" s="13" t="n">
        <x:v>241</x:v>
      </x:c>
      <x:c r="D2452" s="12" t="n">
        <x:v>137290.47</x:v>
      </x:c>
      <x:c r="E2452" s="12" t="n">
        <x:v>420.672971</x:v>
      </x:c>
      <x:c r="F2452" s="12" t="n">
        <x:f>SUM(B2452,D2452:E2452)</x:f>
        <x:v>138146.41138499998</x:v>
      </x:c>
      <x:c r="G2452" s="12" t="n">
        <x:f>MAX(G2451,F2452)</x:f>
        <x:v>146539.87562399998</x:v>
      </x:c>
      <x:c r="H2452" s="14" t="n">
        <x:f>F2452/G2452-1</x:f>
        <x:v>-0.057277680926496766</x:v>
      </x:c>
      <x:c r="I2452" s="14" t="n">
        <x:f>F2452/F2451-1</x:f>
        <x:v>0.002483378746034548</x:v>
      </x:c>
      <x:c r="J2452" s="12" t="n">
        <x:v>0</x:v>
      </x:c>
      <x:c r="K2452" s="12" t="n">
        <x:v>0</x:v>
      </x:c>
      <x:c r="L2452" s="12" t="n">
        <x:v>0</x:v>
      </x:c>
      <x:c r="M2452" s="2" t="str">
        <x:v>持有</x:v>
      </x:c>
    </x:row>
    <x:row r="2453" ht="23" customHeight="1">
      <x:c r="A2453" s="11" t="d">
        <x:v>2024-09-24T00:00:00.000Z</x:v>
      </x:c>
      <x:c r="B2453" s="12" t="n">
        <x:v>435.268414</x:v>
      </x:c>
      <x:c r="C2453" s="13" t="n">
        <x:v>241</x:v>
      </x:c>
      <x:c r="D2453" s="12" t="n">
        <x:v>137683.3</x:v>
      </x:c>
      <x:c r="E2453" s="12" t="n">
        <x:v>420.672971</x:v>
      </x:c>
      <x:c r="F2453" s="12" t="n">
        <x:f>SUM(B2453,D2453:E2453)</x:f>
        <x:v>138539.24138499997</x:v>
      </x:c>
      <x:c r="G2453" s="12" t="n">
        <x:f>MAX(G2452,F2453)</x:f>
        <x:v>146539.87562399998</x:v>
      </x:c>
      <x:c r="H2453" s="14" t="n">
        <x:f>F2453/G2453-1</x:f>
        <x:v>-0.05459697713630163</x:v>
      </x:c>
      <x:c r="I2453" s="14" t="n">
        <x:f>F2453/F2452-1</x:f>
        <x:v>0.0028435773036854517</x:v>
      </x:c>
      <x:c r="J2453" s="12" t="n">
        <x:v>0</x:v>
      </x:c>
      <x:c r="K2453" s="12" t="n">
        <x:v>0</x:v>
      </x:c>
      <x:c r="L2453" s="12" t="n">
        <x:v>0</x:v>
      </x:c>
      <x:c r="M2453" s="2" t="str">
        <x:v>持有</x:v>
      </x:c>
    </x:row>
    <x:row r="2454" ht="23" customHeight="1">
      <x:c r="A2454" s="11" t="d">
        <x:v>2024-09-25T00:00:00.000Z</x:v>
      </x:c>
      <x:c r="B2454" s="12" t="n">
        <x:v>435.268414</x:v>
      </x:c>
      <x:c r="C2454" s="13" t="n">
        <x:v>241</x:v>
      </x:c>
      <x:c r="D2454" s="12" t="n">
        <x:v>137379.63999999998</x:v>
      </x:c>
      <x:c r="E2454" s="12" t="n">
        <x:v>420.672971</x:v>
      </x:c>
      <x:c r="F2454" s="12" t="n">
        <x:f>SUM(B2454,D2454:E2454)</x:f>
        <x:v>138235.58138499997</x:v>
      </x:c>
      <x:c r="G2454" s="12" t="n">
        <x:f>MAX(G2453,F2454)</x:f>
        <x:v>146539.87562399998</x:v>
      </x:c>
      <x:c r="H2454" s="14" t="n">
        <x:f>F2454/G2454-1</x:f>
        <x:v>-0.05666917761215806</x:v>
      </x:c>
      <x:c r="I2454" s="14" t="n">
        <x:f>F2454/F2453-1</x:f>
        <x:v>-0.0021918699493678195</x:v>
      </x:c>
      <x:c r="J2454" s="12" t="n">
        <x:v>0</x:v>
      </x:c>
      <x:c r="K2454" s="12" t="n">
        <x:v>0</x:v>
      </x:c>
      <x:c r="L2454" s="12" t="n">
        <x:v>0</x:v>
      </x:c>
      <x:c r="M2454" s="2" t="str">
        <x:v>持有</x:v>
      </x:c>
    </x:row>
    <x:row r="2455" ht="23" customHeight="1">
      <x:c r="A2455" s="11" t="d">
        <x:v>2024-09-26T00:00:00.000Z</x:v>
      </x:c>
      <x:c r="B2455" s="12" t="n">
        <x:v>435.268414</x:v>
      </x:c>
      <x:c r="C2455" s="13" t="n">
        <x:v>241</x:v>
      </x:c>
      <x:c r="D2455" s="12" t="n">
        <x:v>137924.3</x:v>
      </x:c>
      <x:c r="E2455" s="12" t="n">
        <x:v>420.672971</x:v>
      </x:c>
      <x:c r="F2455" s="12" t="n">
        <x:f>SUM(B2455,D2455:E2455)</x:f>
        <x:v>138780.24138499997</x:v>
      </x:c>
      <x:c r="G2455" s="12" t="n">
        <x:f>MAX(G2454,F2455)</x:f>
        <x:v>146539.87562399998</x:v>
      </x:c>
      <x:c r="H2455" s="14" t="n">
        <x:f>F2455/G2455-1</x:f>
        <x:v>-0.052952373584034595</x:v>
      </x:c>
      <x:c r="I2455" s="14" t="n">
        <x:f>F2455/F2454-1</x:f>
        <x:v>0.0039400854291129495</x:v>
      </x:c>
      <x:c r="J2455" s="12" t="n">
        <x:v>0</x:v>
      </x:c>
      <x:c r="K2455" s="12" t="n">
        <x:v>0</x:v>
      </x:c>
      <x:c r="L2455" s="12" t="n">
        <x:v>0</x:v>
      </x:c>
      <x:c r="M2455" s="2" t="str">
        <x:v>持有</x:v>
      </x:c>
    </x:row>
    <x:row r="2456" ht="23" customHeight="1">
      <x:c r="A2456" s="11" t="d">
        <x:v>2024-09-27T00:00:00.000Z</x:v>
      </x:c>
      <x:c r="B2456" s="12" t="n">
        <x:v>435.268414</x:v>
      </x:c>
      <x:c r="C2456" s="13" t="n">
        <x:v>241</x:v>
      </x:c>
      <x:c r="D2456" s="12" t="n">
        <x:v>137724.27000000002</x:v>
      </x:c>
      <x:c r="E2456" s="12" t="n">
        <x:v>420.672971</x:v>
      </x:c>
      <x:c r="F2456" s="12" t="n">
        <x:f>SUM(B2456,D2456:E2456)</x:f>
        <x:v>138580.211385</x:v>
      </x:c>
      <x:c r="G2456" s="12" t="n">
        <x:f>MAX(G2455,F2456)</x:f>
        <x:v>146539.87562399998</x:v>
      </x:c>
      <x:c r="H2456" s="14" t="n">
        <x:f>F2456/G2456-1</x:f>
        <x:v>-0.05431739453241602</x:v>
      </x:c>
      <x:c r="I2456" s="14" t="n">
        <x:f>F2456/F2455-1</x:f>
        <x:v>-0.0014413435082956116</x:v>
      </x:c>
      <x:c r="J2456" s="12" t="n">
        <x:v>0</x:v>
      </x:c>
      <x:c r="K2456" s="12" t="n">
        <x:v>0</x:v>
      </x:c>
      <x:c r="L2456" s="12" t="n">
        <x:v>0</x:v>
      </x:c>
      <x:c r="M2456" s="2" t="str">
        <x:v>持有</x:v>
      </x:c>
    </x:row>
    <x:row r="2457" ht="23" customHeight="1">
      <x:c r="A2457" s="11" t="d">
        <x:v>2024-09-30T00:00:00.000Z</x:v>
      </x:c>
      <x:c r="B2457" s="12" t="n">
        <x:v>435.268414</x:v>
      </x:c>
      <x:c r="C2457" s="13" t="n">
        <x:v>241</x:v>
      </x:c>
      <x:c r="D2457" s="12" t="n">
        <x:v>138276.16</x:v>
      </x:c>
      <x:c r="E2457" s="12" t="n">
        <x:v>420.672971</x:v>
      </x:c>
      <x:c r="F2457" s="12" t="n">
        <x:f>SUM(B2457,D2457:E2457)</x:f>
        <x:v>139132.101385</x:v>
      </x:c>
      <x:c r="G2457" s="12" t="n">
        <x:f>MAX(G2456,F2457)</x:f>
        <x:v>146539.87562399998</x:v>
      </x:c>
      <x:c r="H2457" s="14" t="n">
        <x:f>F2457/G2457-1</x:f>
        <x:v>-0.05055125239772462</x:v>
      </x:c>
      <x:c r="I2457" s="14" t="n">
        <x:f>F2457/F2456-1</x:f>
        <x:v>0.003982458927463517</x:v>
      </x:c>
      <x:c r="J2457" s="12" t="n">
        <x:v>0</x:v>
      </x:c>
      <x:c r="K2457" s="12" t="n">
        <x:v>0</x:v>
      </x:c>
      <x:c r="L2457" s="12" t="n">
        <x:v>0</x:v>
      </x:c>
      <x:c r="M2457" s="2" t="str">
        <x:v>持有</x:v>
      </x:c>
    </x:row>
    <x:row r="2458" ht="23" customHeight="1">
      <x:c r="A2458" s="11" t="d">
        <x:v>2024-10-01T00:00:00.000Z</x:v>
      </x:c>
      <x:c r="B2458" s="12" t="n">
        <x:v>435.268414</x:v>
      </x:c>
      <x:c r="C2458" s="13" t="n">
        <x:v>241</x:v>
      </x:c>
      <x:c r="D2458" s="12" t="n">
        <x:v>137037.42</x:v>
      </x:c>
      <x:c r="E2458" s="12" t="n">
        <x:v>420.672971</x:v>
      </x:c>
      <x:c r="F2458" s="12" t="n">
        <x:f>SUM(B2458,D2458:E2458)</x:f>
        <x:v>137893.361385</x:v>
      </x:c>
      <x:c r="G2458" s="12" t="n">
        <x:f>MAX(G2457,F2458)</x:f>
        <x:v>146539.87562399998</x:v>
      </x:c>
      <x:c r="H2458" s="14" t="n">
        <x:f>F2458/G2458-1</x:f>
        <x:v>-0.05900451465637713</x:v>
      </x:c>
      <x:c r="I2458" s="14" t="n">
        <x:f>F2458/F2457-1</x:f>
        <x:v>-0.008903337099554043</x:v>
      </x:c>
      <x:c r="J2458" s="12" t="n">
        <x:v>0</x:v>
      </x:c>
      <x:c r="K2458" s="12" t="n">
        <x:v>0</x:v>
      </x:c>
      <x:c r="L2458" s="12" t="n">
        <x:v>0</x:v>
      </x:c>
      <x:c r="M2458" s="2" t="str">
        <x:v>持有</x:v>
      </x:c>
    </x:row>
    <x:row r="2459" ht="23" customHeight="1">
      <x:c r="A2459" s="11" t="d">
        <x:v>2024-10-02T00:00:00.000Z</x:v>
      </x:c>
      <x:c r="B2459" s="12" t="n">
        <x:v>435.268414</x:v>
      </x:c>
      <x:c r="C2459" s="13" t="n">
        <x:v>241</x:v>
      </x:c>
      <x:c r="D2459" s="12" t="n">
        <x:v>137095.26</x:v>
      </x:c>
      <x:c r="E2459" s="12" t="n">
        <x:v>420.672971</x:v>
      </x:c>
      <x:c r="F2459" s="12" t="n">
        <x:f>SUM(B2459,D2459:E2459)</x:f>
        <x:v>137951.201385</x:v>
      </x:c>
      <x:c r="G2459" s="12" t="n">
        <x:f>MAX(G2458,F2459)</x:f>
        <x:v>146539.87562399998</x:v>
      </x:c>
      <x:c r="H2459" s="14" t="n">
        <x:f>F2459/G2459-1</x:f>
        <x:v>-0.05860980980383301</x:v>
      </x:c>
      <x:c r="I2459" s="14" t="n">
        <x:f>F2459/F2458-1</x:f>
        <x:v>0.0004194545656082127</x:v>
      </x:c>
      <x:c r="J2459" s="12" t="n">
        <x:v>0</x:v>
      </x:c>
      <x:c r="K2459" s="12" t="n">
        <x:v>0</x:v>
      </x:c>
      <x:c r="L2459" s="12" t="n">
        <x:v>0</x:v>
      </x:c>
      <x:c r="M2459" s="2" t="str">
        <x:v>持有</x:v>
      </x:c>
    </x:row>
    <x:row r="2460" ht="23" customHeight="1">
      <x:c r="A2460" s="11" t="d">
        <x:v>2024-10-03T00:00:00.000Z</x:v>
      </x:c>
      <x:c r="B2460" s="12" t="n">
        <x:v>435.268414</x:v>
      </x:c>
      <x:c r="C2460" s="13" t="n">
        <x:v>241</x:v>
      </x:c>
      <x:c r="D2460" s="12" t="n">
        <x:v>136844.62000000002</x:v>
      </x:c>
      <x:c r="E2460" s="12" t="n">
        <x:v>420.672971</x:v>
      </x:c>
      <x:c r="F2460" s="12" t="n">
        <x:f>SUM(B2460,D2460:E2460)</x:f>
        <x:v>137700.561385</x:v>
      </x:c>
      <x:c r="G2460" s="12" t="n">
        <x:f>MAX(G2459,F2460)</x:f>
        <x:v>146539.87562399998</x:v>
      </x:c>
      <x:c r="H2460" s="14" t="n">
        <x:f>F2460/G2460-1</x:f>
        <x:v>-0.06032019749819062</x:v>
      </x:c>
      <x:c r="I2460" s="14" t="n">
        <x:f>F2460/F2459-1</x:f>
        <x:v>-0.0018168743547255506</x:v>
      </x:c>
      <x:c r="J2460" s="12" t="n">
        <x:v>0</x:v>
      </x:c>
      <x:c r="K2460" s="12" t="n">
        <x:v>0</x:v>
      </x:c>
      <x:c r="L2460" s="12" t="n">
        <x:v>0</x:v>
      </x:c>
      <x:c r="M2460" s="2" t="str">
        <x:v>持有</x:v>
      </x:c>
    </x:row>
    <x:row r="2461" ht="23" customHeight="1">
      <x:c r="A2461" s="11" t="d">
        <x:v>2024-10-04T00:00:00.000Z</x:v>
      </x:c>
      <x:c r="B2461" s="12" t="n">
        <x:v>435.268414</x:v>
      </x:c>
      <x:c r="C2461" s="13" t="n">
        <x:v>241</x:v>
      </x:c>
      <x:c r="D2461" s="12" t="n">
        <x:v>138088.18</x:v>
      </x:c>
      <x:c r="E2461" s="12" t="n">
        <x:v>420.672971</x:v>
      </x:c>
      <x:c r="F2461" s="12" t="n">
        <x:f>SUM(B2461,D2461:E2461)</x:f>
        <x:v>138944.12138499998</x:v>
      </x:c>
      <x:c r="G2461" s="12" t="n">
        <x:f>MAX(G2460,F2461)</x:f>
        <x:v>146539.87562399998</x:v>
      </x:c>
      <x:c r="H2461" s="14" t="n">
        <x:f>F2461/G2461-1</x:f>
        <x:v>-0.05183404316849294</x:v>
      </x:c>
      <x:c r="I2461" s="14" t="n">
        <x:f>F2461/F2460-1</x:f>
        <x:v>0.009030900001366637</x:v>
      </x:c>
      <x:c r="J2461" s="12" t="n">
        <x:v>0</x:v>
      </x:c>
      <x:c r="K2461" s="12" t="n">
        <x:v>0</x:v>
      </x:c>
      <x:c r="L2461" s="12" t="n">
        <x:v>0</x:v>
      </x:c>
      <x:c r="M2461" s="2" t="str">
        <x:v>持有</x:v>
      </x:c>
    </x:row>
    <x:row r="2462" ht="23" customHeight="1">
      <x:c r="A2462" s="11" t="d">
        <x:v>2024-10-07T00:00:00.000Z</x:v>
      </x:c>
      <x:c r="B2462" s="12" t="n">
        <x:v>435.268414</x:v>
      </x:c>
      <x:c r="C2462" s="13" t="n">
        <x:v>241</x:v>
      </x:c>
      <x:c r="D2462" s="12" t="n">
        <x:v>136839.8</x:v>
      </x:c>
      <x:c r="E2462" s="12" t="n">
        <x:v>420.672971</x:v>
      </x:c>
      <x:c r="F2462" s="12" t="n">
        <x:f>SUM(B2462,D2462:E2462)</x:f>
        <x:v>137695.74138499997</x:v>
      </x:c>
      <x:c r="G2462" s="12" t="n">
        <x:f>MAX(G2461,F2462)</x:f>
        <x:v>146539.87562399998</x:v>
      </x:c>
      <x:c r="H2462" s="14" t="n">
        <x:f>F2462/G2462-1</x:f>
        <x:v>-0.06035308956923624</x:v>
      </x:c>
      <x:c r="I2462" s="14" t="n">
        <x:f>F2462/F2461-1</x:f>
        <x:v>-0.008984762993612838</x:v>
      </x:c>
      <x:c r="J2462" s="12" t="n">
        <x:v>0</x:v>
      </x:c>
      <x:c r="K2462" s="12" t="n">
        <x:v>0</x:v>
      </x:c>
      <x:c r="L2462" s="12" t="n">
        <x:v>0</x:v>
      </x:c>
      <x:c r="M2462" s="2" t="str">
        <x:v>持有</x:v>
      </x:c>
    </x:row>
    <x:row r="2463" ht="23" customHeight="1">
      <x:c r="A2463" s="11" t="d">
        <x:v>2024-10-08T00:00:00.000Z</x:v>
      </x:c>
      <x:c r="B2463" s="12" t="n">
        <x:v>435.268414</x:v>
      </x:c>
      <x:c r="C2463" s="13" t="n">
        <x:v>241</x:v>
      </x:c>
      <x:c r="D2463" s="12" t="n">
        <x:v>138133.97</x:v>
      </x:c>
      <x:c r="E2463" s="12" t="n">
        <x:v>420.672971</x:v>
      </x:c>
      <x:c r="F2463" s="12" t="n">
        <x:f>SUM(B2463,D2463:E2463)</x:f>
        <x:v>138989.91138499998</x:v>
      </x:c>
      <x:c r="G2463" s="12" t="n">
        <x:f>MAX(G2462,F2463)</x:f>
        <x:v>146539.87562399998</x:v>
      </x:c>
      <x:c r="H2463" s="14" t="n">
        <x:f>F2463/G2463-1</x:f>
        <x:v>-0.05152156849356215</x:v>
      </x:c>
      <x:c r="I2463" s="14" t="n">
        <x:f>F2463/F2462-1</x:f>
        <x:v>0.009398765618912508</x:v>
      </x:c>
      <x:c r="J2463" s="12" t="n">
        <x:v>0</x:v>
      </x:c>
      <x:c r="K2463" s="12" t="n">
        <x:v>0</x:v>
      </x:c>
      <x:c r="L2463" s="12" t="n">
        <x:v>0</x:v>
      </x:c>
      <x:c r="M2463" s="2" t="str">
        <x:v>持有</x:v>
      </x:c>
    </x:row>
    <x:row r="2464" ht="23" customHeight="1">
      <x:c r="A2464" s="11" t="d">
        <x:v>2024-10-09T00:00:00.000Z</x:v>
      </x:c>
      <x:c r="B2464" s="12" t="n">
        <x:v>435.268414</x:v>
      </x:c>
      <x:c r="C2464" s="13" t="n">
        <x:v>241</x:v>
      </x:c>
      <x:c r="D2464" s="12" t="n">
        <x:v>139090.74</x:v>
      </x:c>
      <x:c r="E2464" s="12" t="n">
        <x:v>420.672971</x:v>
      </x:c>
      <x:c r="F2464" s="12" t="n">
        <x:f>SUM(B2464,D2464:E2464)</x:f>
        <x:v>139946.68138499997</x:v>
      </x:c>
      <x:c r="G2464" s="12" t="n">
        <x:f>MAX(G2463,F2464)</x:f>
        <x:v>146539.87562399998</x:v>
      </x:c>
      <x:c r="H2464" s="14" t="n">
        <x:f>F2464/G2464-1</x:f>
        <x:v>-0.04499249239106207</x:v>
      </x:c>
      <x:c r="I2464" s="14" t="n">
        <x:f>F2464/F2463-1</x:f>
        <x:v>0.006883737031458059</x:v>
      </x:c>
      <x:c r="J2464" s="12" t="n">
        <x:v>0</x:v>
      </x:c>
      <x:c r="K2464" s="12" t="n">
        <x:v>0</x:v>
      </x:c>
      <x:c r="L2464" s="12" t="n">
        <x:v>0</x:v>
      </x:c>
      <x:c r="M2464" s="2" t="str">
        <x:v>持有</x:v>
      </x:c>
    </x:row>
    <x:row r="2465" ht="23" customHeight="1">
      <x:c r="A2465" s="11" t="d">
        <x:v>2024-10-10T00:00:00.000Z</x:v>
      </x:c>
      <x:c r="B2465" s="12" t="n">
        <x:v>435.268414</x:v>
      </x:c>
      <x:c r="C2465" s="13" t="n">
        <x:v>241</x:v>
      </x:c>
      <x:c r="D2465" s="12" t="n">
        <x:v>138847.33</x:v>
      </x:c>
      <x:c r="E2465" s="12" t="n">
        <x:v>420.672971</x:v>
      </x:c>
      <x:c r="F2465" s="12" t="n">
        <x:f>SUM(B2465,D2465:E2465)</x:f>
        <x:v>139703.27138499997</x:v>
      </x:c>
      <x:c r="G2465" s="12" t="n">
        <x:f>MAX(G2464,F2465)</x:f>
        <x:v>146539.87562399998</x:v>
      </x:c>
      <x:c r="H2465" s="14" t="n">
        <x:f>F2465/G2465-1</x:f>
        <x:v>-0.046653541978851854</x:v>
      </x:c>
      <x:c r="I2465" s="14" t="n">
        <x:f>F2465/F2464-1</x:f>
        <x:v>-0.0017393052667706854</x:v>
      </x:c>
      <x:c r="J2465" s="12" t="n">
        <x:v>0</x:v>
      </x:c>
      <x:c r="K2465" s="12" t="n">
        <x:v>0</x:v>
      </x:c>
      <x:c r="L2465" s="12" t="n">
        <x:v>0</x:v>
      </x:c>
      <x:c r="M2465" s="2" t="str">
        <x:v>持有</x:v>
      </x:c>
    </x:row>
    <x:row r="2466" ht="23" customHeight="1">
      <x:c r="A2466" s="11" t="d">
        <x:v>2024-10-11T00:00:00.000Z</x:v>
      </x:c>
      <x:c r="B2466" s="12" t="n">
        <x:v>435.268414</x:v>
      </x:c>
      <x:c r="C2466" s="13" t="n">
        <x:v>241</x:v>
      </x:c>
      <x:c r="D2466" s="12" t="n">
        <x:v>139678.78</x:v>
      </x:c>
      <x:c r="E2466" s="12" t="n">
        <x:v>420.672971</x:v>
      </x:c>
      <x:c r="F2466" s="12" t="n">
        <x:f>SUM(B2466,D2466:E2466)</x:f>
        <x:v>140534.72138499998</x:v>
      </x:c>
      <x:c r="G2466" s="12" t="n">
        <x:f>MAX(G2465,F2466)</x:f>
        <x:v>146539.87562399998</x:v>
      </x:c>
      <x:c r="H2466" s="14" t="n">
        <x:f>F2466/G2466-1</x:f>
        <x:v>-0.04097965972353046</x:v>
      </x:c>
      <x:c r="I2466" s="14" t="n">
        <x:f>F2466/F2465-1</x:f>
        <x:v>0.005951542807531407</x:v>
      </x:c>
      <x:c r="J2466" s="12" t="n">
        <x:v>0</x:v>
      </x:c>
      <x:c r="K2466" s="12" t="n">
        <x:v>0</x:v>
      </x:c>
      <x:c r="L2466" s="12" t="n">
        <x:v>0</x:v>
      </x:c>
      <x:c r="M2466" s="2" t="str">
        <x:v>持有</x:v>
      </x:c>
    </x:row>
    <x:row r="2467" ht="23" customHeight="1">
      <x:c r="A2467" s="11" t="d">
        <x:v>2024-10-14T00:00:00.000Z</x:v>
      </x:c>
      <x:c r="B2467" s="12" t="n">
        <x:v>435.268414</x:v>
      </x:c>
      <x:c r="C2467" s="13" t="n">
        <x:v>241</x:v>
      </x:c>
      <x:c r="D2467" s="12" t="n">
        <x:v>140821.12000000002</x:v>
      </x:c>
      <x:c r="E2467" s="12" t="n">
        <x:v>420.672971</x:v>
      </x:c>
      <x:c r="F2467" s="12" t="n">
        <x:f>SUM(B2467,D2467:E2467)</x:f>
        <x:v>141677.061385</x:v>
      </x:c>
      <x:c r="G2467" s="12" t="n">
        <x:f>MAX(G2466,F2467)</x:f>
        <x:v>146539.87562399998</x:v>
      </x:c>
      <x:c r="H2467" s="14" t="n">
        <x:f>F2467/G2467-1</x:f>
        <x:v>-0.03318423888578459</x:v>
      </x:c>
      <x:c r="I2467" s="14" t="n">
        <x:f>F2467/F2466-1</x:f>
        <x:v>0.008128525027423894</x:v>
      </x:c>
      <x:c r="J2467" s="12" t="n">
        <x:v>0</x:v>
      </x:c>
      <x:c r="K2467" s="12" t="n">
        <x:v>0</x:v>
      </x:c>
      <x:c r="L2467" s="12" t="n">
        <x:v>0</x:v>
      </x:c>
      <x:c r="M2467" s="2" t="str">
        <x:v>持有</x:v>
      </x:c>
    </x:row>
    <x:row r="2468" ht="23" customHeight="1">
      <x:c r="A2468" s="11" t="d">
        <x:v>2024-10-15T00:00:00.000Z</x:v>
      </x:c>
      <x:c r="B2468" s="12" t="n">
        <x:v>435.268414</x:v>
      </x:c>
      <x:c r="C2468" s="13" t="n">
        <x:v>241</x:v>
      </x:c>
      <x:c r="D2468" s="12" t="n">
        <x:v>139726.97999999998</x:v>
      </x:c>
      <x:c r="E2468" s="12" t="n">
        <x:v>420.672971</x:v>
      </x:c>
      <x:c r="F2468" s="12" t="n">
        <x:f>SUM(B2468,D2468:E2468)</x:f>
        <x:v>140582.92138499997</x:v>
      </x:c>
      <x:c r="G2468" s="12" t="n">
        <x:f>MAX(G2467,F2468)</x:f>
        <x:v>146539.87562399998</x:v>
      </x:c>
      <x:c r="H2468" s="14" t="n">
        <x:f>F2468/G2468-1</x:f>
        <x:v>-0.04065073901307714</x:v>
      </x:c>
      <x:c r="I2468" s="14" t="n">
        <x:f>F2468/F2467-1</x:f>
        <x:v>-0.007722774521887965</x:v>
      </x:c>
      <x:c r="J2468" s="12" t="n">
        <x:v>0</x:v>
      </x:c>
      <x:c r="K2468" s="12" t="n">
        <x:v>0</x:v>
      </x:c>
      <x:c r="L2468" s="12" t="n">
        <x:v>0</x:v>
      </x:c>
      <x:c r="M2468" s="2" t="str">
        <x:v>持有</x:v>
      </x:c>
    </x:row>
    <x:row r="2469" ht="23" customHeight="1">
      <x:c r="A2469" s="11" t="d">
        <x:v>2024-10-16T00:00:00.000Z</x:v>
      </x:c>
      <x:c r="B2469" s="12" t="n">
        <x:v>435.268414</x:v>
      </x:c>
      <x:c r="C2469" s="13" t="n">
        <x:v>241</x:v>
      </x:c>
      <x:c r="D2469" s="12" t="n">
        <x:v>140334.3</x:v>
      </x:c>
      <x:c r="E2469" s="12" t="n">
        <x:v>420.672971</x:v>
      </x:c>
      <x:c r="F2469" s="12" t="n">
        <x:f>SUM(B2469,D2469:E2469)</x:f>
        <x:v>141190.24138499997</x:v>
      </x:c>
      <x:c r="G2469" s="12" t="n">
        <x:f>MAX(G2468,F2469)</x:f>
        <x:v>146539.87562399998</x:v>
      </x:c>
      <x:c r="H2469" s="14" t="n">
        <x:f>F2469/G2469-1</x:f>
        <x:v>-0.03650633806136416</x:v>
      </x:c>
      <x:c r="I2469" s="14" t="n">
        <x:f>F2469/F2468-1</x:f>
        <x:v>0.004320012658840744</x:v>
      </x:c>
      <x:c r="J2469" s="12" t="n">
        <x:v>0</x:v>
      </x:c>
      <x:c r="K2469" s="12" t="n">
        <x:v>0</x:v>
      </x:c>
      <x:c r="L2469" s="12" t="n">
        <x:v>0</x:v>
      </x:c>
      <x:c r="M2469" s="2" t="str">
        <x:v>持有</x:v>
      </x:c>
    </x:row>
    <x:row r="2470" ht="23" customHeight="1">
      <x:c r="A2470" s="11" t="d">
        <x:v>2024-10-17T00:00:00.000Z</x:v>
      </x:c>
      <x:c r="B2470" s="12" t="n">
        <x:v>435.268414</x:v>
      </x:c>
      <x:c r="C2470" s="13" t="n">
        <x:v>241</x:v>
      </x:c>
      <x:c r="D2470" s="12" t="n">
        <x:v>140346.35</x:v>
      </x:c>
      <x:c r="E2470" s="12" t="n">
        <x:v>420.672971</x:v>
      </x:c>
      <x:c r="F2470" s="12" t="n">
        <x:f>SUM(B2470,D2470:E2470)</x:f>
        <x:v>141202.291385</x:v>
      </x:c>
      <x:c r="G2470" s="12" t="n">
        <x:f>MAX(G2469,F2470)</x:f>
        <x:v>146539.87562399998</x:v>
      </x:c>
      <x:c r="H2470" s="14" t="n">
        <x:f>F2470/G2470-1</x:f>
        <x:v>-0.03642410788375072</x:v>
      </x:c>
      <x:c r="I2470" s="14" t="n">
        <x:f>F2470/F2469-1</x:f>
        <x:v>0.0000853458417651165</x:v>
      </x:c>
      <x:c r="J2470" s="12" t="n">
        <x:v>0</x:v>
      </x:c>
      <x:c r="K2470" s="12" t="n">
        <x:v>0</x:v>
      </x:c>
      <x:c r="L2470" s="12" t="n">
        <x:v>0</x:v>
      </x:c>
      <x:c r="M2470" s="2" t="str">
        <x:v>持有</x:v>
      </x:c>
    </x:row>
    <x:row r="2471" ht="23" customHeight="1">
      <x:c r="A2471" s="11" t="d">
        <x:v>2024-10-18T00:00:00.000Z</x:v>
      </x:c>
      <x:c r="B2471" s="12" t="n">
        <x:v>435.268414</x:v>
      </x:c>
      <x:c r="C2471" s="13" t="n">
        <x:v>241</x:v>
      </x:c>
      <x:c r="D2471" s="12" t="n">
        <x:v>140886.19</x:v>
      </x:c>
      <x:c r="E2471" s="12" t="n">
        <x:v>420.672971</x:v>
      </x:c>
      <x:c r="F2471" s="12" t="n">
        <x:f>SUM(B2471,D2471:E2471)</x:f>
        <x:v>141742.131385</x:v>
      </x:c>
      <x:c r="G2471" s="12" t="n">
        <x:f>MAX(G2470,F2471)</x:f>
        <x:v>146539.87562399998</x:v>
      </x:c>
      <x:c r="H2471" s="14" t="n">
        <x:f>F2471/G2471-1</x:f>
        <x:v>-0.032740195926672544</x:v>
      </x:c>
      <x:c r="I2471" s="14" t="n">
        <x:f>F2471/F2470-1</x:f>
        <x:v>0.0038231674196282928</x:v>
      </x:c>
      <x:c r="J2471" s="12" t="n">
        <x:v>0</x:v>
      </x:c>
      <x:c r="K2471" s="12" t="n">
        <x:v>0</x:v>
      </x:c>
      <x:c r="L2471" s="12" t="n">
        <x:v>0</x:v>
      </x:c>
      <x:c r="M2471" s="2" t="str">
        <x:v>持有</x:v>
      </x:c>
    </x:row>
    <x:row r="2472" ht="23" customHeight="1">
      <x:c r="A2472" s="11" t="d">
        <x:v>2024-10-21T00:00:00.000Z</x:v>
      </x:c>
      <x:c r="B2472" s="12" t="n">
        <x:v>435.268414</x:v>
      </x:c>
      <x:c r="C2472" s="13" t="n">
        <x:v>241</x:v>
      </x:c>
      <x:c r="D2472" s="12" t="n">
        <x:v>140654.83</x:v>
      </x:c>
      <x:c r="E2472" s="12" t="n">
        <x:v>420.672971</x:v>
      </x:c>
      <x:c r="F2472" s="12" t="n">
        <x:f>SUM(B2472,D2472:E2472)</x:f>
        <x:v>141510.77138499997</x:v>
      </x:c>
      <x:c r="G2472" s="12" t="n">
        <x:f>MAX(G2471,F2472)</x:f>
        <x:v>146539.87562399998</x:v>
      </x:c>
      <x:c r="H2472" s="14" t="n">
        <x:f>F2472/G2472-1</x:f>
        <x:v>-0.034319015336849</x:v>
      </x:c>
      <x:c r="I2472" s="14" t="n">
        <x:f>F2472/F2471-1</x:f>
        <x:v>-0.0016322599197523546</x:v>
      </x:c>
      <x:c r="J2472" s="12" t="n">
        <x:v>0</x:v>
      </x:c>
      <x:c r="K2472" s="12" t="n">
        <x:v>0</x:v>
      </x:c>
      <x:c r="L2472" s="12" t="n">
        <x:v>0</x:v>
      </x:c>
      <x:c r="M2472" s="2" t="str">
        <x:v>持有</x:v>
      </x:c>
    </x:row>
    <x:row r="2473" ht="23" customHeight="1">
      <x:c r="A2473" s="11" t="d">
        <x:v>2024-10-22T00:00:00.000Z</x:v>
      </x:c>
      <x:c r="B2473" s="12" t="n">
        <x:v>435.268414</x:v>
      </x:c>
      <x:c r="C2473" s="13" t="n">
        <x:v>241</x:v>
      </x:c>
      <x:c r="D2473" s="12" t="n">
        <x:v>140580.12000000002</x:v>
      </x:c>
      <x:c r="E2473" s="12" t="n">
        <x:v>420.672971</x:v>
      </x:c>
      <x:c r="F2473" s="12" t="n">
        <x:f>SUM(B2473,D2473:E2473)</x:f>
        <x:v>141436.061385</x:v>
      </x:c>
      <x:c r="G2473" s="12" t="n">
        <x:f>MAX(G2472,F2473)</x:f>
        <x:v>146539.87562399998</x:v>
      </x:c>
      <x:c r="H2473" s="14" t="n">
        <x:f>F2473/G2473-1</x:f>
        <x:v>-0.03482884243805162</x:v>
      </x:c>
      <x:c r="I2473" s="14" t="n">
        <x:f>F2473/F2472-1</x:f>
        <x:v>-0.0005279456769881063</x:v>
      </x:c>
      <x:c r="J2473" s="12" t="n">
        <x:v>0</x:v>
      </x:c>
      <x:c r="K2473" s="12" t="n">
        <x:v>0</x:v>
      </x:c>
      <x:c r="L2473" s="12" t="n">
        <x:v>0</x:v>
      </x:c>
      <x:c r="M2473" s="2" t="str">
        <x:v>持有</x:v>
      </x:c>
    </x:row>
    <x:row r="2474" ht="23" customHeight="1">
      <x:c r="A2474" s="11" t="d">
        <x:v>2024-10-23T00:00:00.000Z</x:v>
      </x:c>
      <x:c r="B2474" s="12" t="n">
        <x:v>435.268414</x:v>
      </x:c>
      <x:c r="C2474" s="13" t="n">
        <x:v>241</x:v>
      </x:c>
      <x:c r="D2474" s="12" t="n">
        <x:v>139295.59</x:v>
      </x:c>
      <x:c r="E2474" s="12" t="n">
        <x:v>420.672971</x:v>
      </x:c>
      <x:c r="F2474" s="12" t="n">
        <x:f>SUM(B2474,D2474:E2474)</x:f>
        <x:v>140151.53138499998</x:v>
      </x:c>
      <x:c r="G2474" s="12" t="n">
        <x:f>MAX(G2473,F2474)</x:f>
        <x:v>146539.87562399998</x:v>
      </x:c>
      <x:c r="H2474" s="14" t="n">
        <x:f>F2474/G2474-1</x:f>
        <x:v>-0.04359457937163502</x:v>
      </x:c>
      <x:c r="I2474" s="14" t="n">
        <x:f>F2474/F2473-1</x:f>
        <x:v>-0.009082054374403459</x:v>
      </x:c>
      <x:c r="J2474" s="12" t="n">
        <x:v>0</x:v>
      </x:c>
      <x:c r="K2474" s="12" t="n">
        <x:v>0</x:v>
      </x:c>
      <x:c r="L2474" s="12" t="n">
        <x:v>0</x:v>
      </x:c>
      <x:c r="M2474" s="2" t="str">
        <x:v>持有</x:v>
      </x:c>
    </x:row>
    <x:row r="2475" ht="23" customHeight="1">
      <x:c r="A2475" s="11" t="d">
        <x:v>2024-10-24T00:00:00.000Z</x:v>
      </x:c>
      <x:c r="B2475" s="12" t="n">
        <x:v>435.268414</x:v>
      </x:c>
      <x:c r="C2475" s="13" t="n">
        <x:v>241</x:v>
      </x:c>
      <x:c r="D2475" s="12" t="n">
        <x:v>139596.84</x:v>
      </x:c>
      <x:c r="E2475" s="12" t="n">
        <x:v>420.672971</x:v>
      </x:c>
      <x:c r="F2475" s="12" t="n">
        <x:f>SUM(B2475,D2475:E2475)</x:f>
        <x:v>140452.78138499998</x:v>
      </x:c>
      <x:c r="G2475" s="12" t="n">
        <x:f>MAX(G2474,F2475)</x:f>
        <x:v>146539.87562399998</x:v>
      </x:c>
      <x:c r="H2475" s="14" t="n">
        <x:f>F2475/G2475-1</x:f>
        <x:v>-0.04153882493130123</x:v>
      </x:c>
      <x:c r="I2475" s="14" t="n">
        <x:f>F2475/F2474-1</x:f>
        <x:v>0.002149459210491589</x:v>
      </x:c>
      <x:c r="J2475" s="12" t="n">
        <x:v>0</x:v>
      </x:c>
      <x:c r="K2475" s="12" t="n">
        <x:v>0</x:v>
      </x:c>
      <x:c r="L2475" s="12" t="n">
        <x:v>0</x:v>
      </x:c>
      <x:c r="M2475" s="2" t="str">
        <x:v>持有</x:v>
      </x:c>
    </x:row>
    <x:row r="2476" ht="23" customHeight="1">
      <x:c r="A2476" s="11" t="d">
        <x:v>2024-10-25T00:00:00.000Z</x:v>
      </x:c>
      <x:c r="B2476" s="12" t="n">
        <x:v>435.268414</x:v>
      </x:c>
      <x:c r="C2476" s="13" t="n">
        <x:v>241</x:v>
      </x:c>
      <x:c r="D2476" s="12" t="n">
        <x:v>139548.63999999998</x:v>
      </x:c>
      <x:c r="E2476" s="12" t="n">
        <x:v>420.672971</x:v>
      </x:c>
      <x:c r="F2476" s="12" t="n">
        <x:f>SUM(B2476,D2476:E2476)</x:f>
        <x:v>140404.58138499997</x:v>
      </x:c>
      <x:c r="G2476" s="12" t="n">
        <x:f>MAX(G2475,F2476)</x:f>
        <x:v>146539.87562399998</x:v>
      </x:c>
      <x:c r="H2476" s="14" t="n">
        <x:f>F2476/G2476-1</x:f>
        <x:v>-0.04186774564175477</x:v>
      </x:c>
      <x:c r="I2476" s="14" t="n">
        <x:f>F2476/F2475-1</x:f>
        <x:v>-0.0003431758312274491</x:v>
      </x:c>
      <x:c r="J2476" s="12" t="n">
        <x:v>0</x:v>
      </x:c>
      <x:c r="K2476" s="12" t="n">
        <x:v>0</x:v>
      </x:c>
      <x:c r="L2476" s="12" t="n">
        <x:v>0</x:v>
      </x:c>
      <x:c r="M2476" s="2" t="str">
        <x:v>持有</x:v>
      </x:c>
    </x:row>
    <x:row r="2477" ht="23" customHeight="1">
      <x:c r="A2477" s="11" t="d">
        <x:v>2024-10-28T00:00:00.000Z</x:v>
      </x:c>
      <x:c r="B2477" s="12" t="n">
        <x:v>435.268414</x:v>
      </x:c>
      <x:c r="C2477" s="13" t="n">
        <x:v>241</x:v>
      </x:c>
      <x:c r="D2477" s="12" t="n">
        <x:v>139980.03</x:v>
      </x:c>
      <x:c r="E2477" s="12" t="n">
        <x:v>420.672971</x:v>
      </x:c>
      <x:c r="F2477" s="12" t="n">
        <x:f>SUM(B2477,D2477:E2477)</x:f>
        <x:v>140835.97138499998</x:v>
      </x:c>
      <x:c r="G2477" s="12" t="n">
        <x:f>MAX(G2476,F2477)</x:f>
        <x:v>146539.87562399998</x:v>
      </x:c>
      <x:c r="H2477" s="14" t="n">
        <x:f>F2477/G2477-1</x:f>
        <x:v>-0.03892390528319667</x:v>
      </x:c>
      <x:c r="I2477" s="14" t="n">
        <x:f>F2477/F2476-1</x:f>
        <x:v>0.0030724780897077864</x:v>
      </x:c>
      <x:c r="J2477" s="12" t="n">
        <x:v>0</x:v>
      </x:c>
      <x:c r="K2477" s="12" t="n">
        <x:v>0</x:v>
      </x:c>
      <x:c r="L2477" s="12" t="n">
        <x:v>0</x:v>
      </x:c>
      <x:c r="M2477" s="2" t="str">
        <x:v>持有</x:v>
      </x:c>
    </x:row>
    <x:row r="2478" ht="23" customHeight="1">
      <x:c r="A2478" s="11" t="d">
        <x:v>2024-10-29T00:00:00.000Z</x:v>
      </x:c>
      <x:c r="B2478" s="12" t="n">
        <x:v>435.268414</x:v>
      </x:c>
      <x:c r="C2478" s="13" t="n">
        <x:v>241</x:v>
      </x:c>
      <x:c r="D2478" s="12" t="n">
        <x:v>140206.57</x:v>
      </x:c>
      <x:c r="E2478" s="12" t="n">
        <x:v>420.672971</x:v>
      </x:c>
      <x:c r="F2478" s="12" t="n">
        <x:f>SUM(B2478,D2478:E2478)</x:f>
        <x:v>141062.511385</x:v>
      </x:c>
      <x:c r="G2478" s="12" t="n">
        <x:f>MAX(G2477,F2478)</x:f>
        <x:v>146539.87562399998</x:v>
      </x:c>
      <x:c r="H2478" s="14" t="n">
        <x:f>F2478/G2478-1</x:f>
        <x:v>-0.03737797794406561</x:v>
      </x:c>
      <x:c r="I2478" s="14" t="n">
        <x:f>F2478/F2477-1</x:f>
        <x:v>0.0016085379166428382</x:v>
      </x:c>
      <x:c r="J2478" s="12" t="n">
        <x:v>0</x:v>
      </x:c>
      <x:c r="K2478" s="12" t="n">
        <x:v>0</x:v>
      </x:c>
      <x:c r="L2478" s="12" t="n">
        <x:v>0</x:v>
      </x:c>
      <x:c r="M2478" s="2" t="str">
        <x:v>持有</x:v>
      </x:c>
    </x:row>
    <x:row r="2479" ht="23" customHeight="1">
      <x:c r="A2479" s="11" t="d">
        <x:v>2024-10-30T00:00:00.000Z</x:v>
      </x:c>
      <x:c r="B2479" s="12" t="n">
        <x:v>435.268414</x:v>
      </x:c>
      <x:c r="C2479" s="13" t="n">
        <x:v>241</x:v>
      </x:c>
      <x:c r="D2479" s="12" t="n">
        <x:v>139782.41</x:v>
      </x:c>
      <x:c r="E2479" s="12" t="n">
        <x:v>420.672971</x:v>
      </x:c>
      <x:c r="F2479" s="12" t="n">
        <x:f>SUM(B2479,D2479:E2479)</x:f>
        <x:v>140638.351385</x:v>
      </x:c>
      <x:c r="G2479" s="12" t="n">
        <x:f>MAX(G2478,F2479)</x:f>
        <x:v>146539.87562399998</x:v>
      </x:c>
      <x:c r="H2479" s="14" t="n">
        <x:f>F2479/G2479-1</x:f>
        <x:v>-0.04027248019605556</x:v>
      </x:c>
      <x:c r="I2479" s="14" t="n">
        <x:f>F2479/F2478-1</x:f>
        <x:v>-0.0030068938645388954</x:v>
      </x:c>
      <x:c r="J2479" s="12" t="n">
        <x:v>0</x:v>
      </x:c>
      <x:c r="K2479" s="12" t="n">
        <x:v>0</x:v>
      </x:c>
      <x:c r="L2479" s="12" t="n">
        <x:v>0</x:v>
      </x:c>
      <x:c r="M2479" s="2" t="str">
        <x:v>持有</x:v>
      </x:c>
    </x:row>
    <x:row r="2480" ht="23" customHeight="1">
      <x:c r="A2480" s="11" t="d">
        <x:v>2024-10-31T00:00:00.000Z</x:v>
      </x:c>
      <x:c r="B2480" s="12" t="n">
        <x:v>855.941385</x:v>
      </x:c>
      <x:c r="C2480" s="13" t="n">
        <x:v>241</x:v>
      </x:c>
      <x:c r="D2480" s="12" t="n">
        <x:v>137042.24</x:v>
      </x:c>
      <x:c r="E2480" s="12" t="n">
        <x:v>0</x:v>
      </x:c>
      <x:c r="F2480" s="12" t="n">
        <x:f>SUM(B2480,D2480:E2480)</x:f>
        <x:v>137898.181385</x:v>
      </x:c>
      <x:c r="G2480" s="12" t="n">
        <x:f>MAX(G2479,F2480)</x:f>
        <x:v>146539.87562399998</x:v>
      </x:c>
      <x:c r="H2480" s="14" t="n">
        <x:f>F2480/G2480-1</x:f>
        <x:v>-0.05897162258533173</x:v>
      </x:c>
      <x:c r="I2480" s="14" t="n">
        <x:f>F2480/F2479-1</x:f>
        <x:v>-0.019483803479029116</x:v>
      </x:c>
      <x:c r="J2480" s="12" t="n">
        <x:v>0</x:v>
      </x:c>
      <x:c r="K2480" s="12" t="n">
        <x:v>420.672971</x:v>
      </x:c>
      <x:c r="L2480" s="12" t="n">
        <x:v>0</x:v>
      </x:c>
      <x:c r="M2480" s="2" t="str">
        <x:v>持有</x:v>
      </x:c>
    </x:row>
    <x:row r="2481" ht="23" customHeight="1">
      <x:c r="A2481" s="11" t="d">
        <x:v>2024-11-01T00:00:00.000Z</x:v>
      </x:c>
      <x:c r="B2481" s="12" t="n">
        <x:v>855.941385</x:v>
      </x:c>
      <x:c r="C2481" s="13" t="n">
        <x:v>241</x:v>
      </x:c>
      <x:c r="D2481" s="12" t="n">
        <x:v>137620.63999999998</x:v>
      </x:c>
      <x:c r="E2481" s="12" t="n">
        <x:v>0</x:v>
      </x:c>
      <x:c r="F2481" s="12" t="n">
        <x:f>SUM(B2481,D2481:E2481)</x:f>
        <x:v>138476.581385</x:v>
      </x:c>
      <x:c r="G2481" s="12" t="n">
        <x:f>MAX(G2480,F2481)</x:f>
        <x:v>146539.87562399998</x:v>
      </x:c>
      <x:c r="H2481" s="14" t="n">
        <x:f>F2481/G2481-1</x:f>
        <x:v>-0.05502457405989081</x:v>
      </x:c>
      <x:c r="I2481" s="14" t="n">
        <x:f>F2481/F2480-1</x:f>
        <x:v>0.004194399042762864</x:v>
      </x:c>
      <x:c r="J2481" s="12" t="n">
        <x:v>0</x:v>
      </x:c>
      <x:c r="K2481" s="12" t="n">
        <x:v>0</x:v>
      </x:c>
      <x:c r="L2481" s="12" t="n">
        <x:v>0</x:v>
      </x:c>
      <x:c r="M2481" s="2" t="str">
        <x:v>持有</x:v>
      </x:c>
    </x:row>
    <x:row r="2482" ht="23" customHeight="1">
      <x:c r="A2482" s="11" t="d">
        <x:v>2024-11-04T00:00:00.000Z</x:v>
      </x:c>
      <x:c r="B2482" s="12" t="n">
        <x:v>855.941385</x:v>
      </x:c>
      <x:c r="C2482" s="13" t="n">
        <x:v>241</x:v>
      </x:c>
      <x:c r="D2482" s="12" t="n">
        <x:v>137324.21</x:v>
      </x:c>
      <x:c r="E2482" s="12" t="n">
        <x:v>0</x:v>
      </x:c>
      <x:c r="F2482" s="12" t="n">
        <x:f>SUM(B2482,D2482:E2482)</x:f>
        <x:v>138180.151385</x:v>
      </x:c>
      <x:c r="G2482" s="12" t="n">
        <x:f>MAX(G2481,F2482)</x:f>
        <x:v>146539.87562399998</x:v>
      </x:c>
      <x:c r="H2482" s="14" t="n">
        <x:f>F2482/G2482-1</x:f>
        <x:v>-0.05704743642917931</x:v>
      </x:c>
      <x:c r="I2482" s="14" t="n">
        <x:f>F2482/F2481-1</x:f>
        <x:v>-0.002140650765892649</x:v>
      </x:c>
      <x:c r="J2482" s="12" t="n">
        <x:v>0</x:v>
      </x:c>
      <x:c r="K2482" s="12" t="n">
        <x:v>0</x:v>
      </x:c>
      <x:c r="L2482" s="12" t="n">
        <x:v>0</x:v>
      </x:c>
      <x:c r="M2482" s="2" t="str">
        <x:v>持有</x:v>
      </x:c>
    </x:row>
    <x:row r="2483" ht="23" customHeight="1">
      <x:c r="A2483" s="11" t="d">
        <x:v>2024-11-05T00:00:00.000Z</x:v>
      </x:c>
      <x:c r="B2483" s="12" t="n">
        <x:v>855.941385</x:v>
      </x:c>
      <x:c r="C2483" s="13" t="n">
        <x:v>241</x:v>
      </x:c>
      <x:c r="D2483" s="12" t="n">
        <x:v>138984.7</x:v>
      </x:c>
      <x:c r="E2483" s="12" t="n">
        <x:v>0</x:v>
      </x:c>
      <x:c r="F2483" s="12" t="n">
        <x:f>SUM(B2483,D2483:E2483)</x:f>
        <x:v>139840.64138500002</x:v>
      </x:c>
      <x:c r="G2483" s="12" t="n">
        <x:f>MAX(G2482,F2483)</x:f>
        <x:v>146539.87562399998</x:v>
      </x:c>
      <x:c r="H2483" s="14" t="n">
        <x:f>F2483/G2483-1</x:f>
        <x:v>-0.04571611795405928</x:v>
      </x:c>
      <x:c r="I2483" s="14" t="n">
        <x:f>F2483/F2482-1</x:f>
        <x:v>0.012016848898750432</x:v>
      </x:c>
      <x:c r="J2483" s="12" t="n">
        <x:v>0</x:v>
      </x:c>
      <x:c r="K2483" s="12" t="n">
        <x:v>0</x:v>
      </x:c>
      <x:c r="L2483" s="12" t="n">
        <x:v>0</x:v>
      </x:c>
      <x:c r="M2483" s="2" t="str">
        <x:v>持有</x:v>
      </x:c>
    </x:row>
    <x:row r="2484" ht="23" customHeight="1">
      <x:c r="A2484" s="11" t="d">
        <x:v>2024-11-06T00:00:00.000Z</x:v>
      </x:c>
      <x:c r="B2484" s="12" t="n">
        <x:v>855.941385</x:v>
      </x:c>
      <x:c r="C2484" s="13" t="n">
        <x:v>241</x:v>
      </x:c>
      <x:c r="D2484" s="12" t="n">
        <x:v>142440.63999999998</x:v>
      </x:c>
      <x:c r="E2484" s="12" t="n">
        <x:v>0</x:v>
      </x:c>
      <x:c r="F2484" s="12" t="n">
        <x:f>SUM(B2484,D2484:E2484)</x:f>
        <x:v>143296.581385</x:v>
      </x:c>
      <x:c r="G2484" s="12" t="n">
        <x:f>MAX(G2483,F2484)</x:f>
        <x:v>146539.87562399998</x:v>
      </x:c>
      <x:c r="H2484" s="14" t="n">
        <x:f>F2484/G2484-1</x:f>
        <x:v>-0.022132503014550164</x:v>
      </x:c>
      <x:c r="I2484" s="14" t="n">
        <x:f>F2484/F2483-1</x:f>
        <x:v>0.02471341639863689</x:v>
      </x:c>
      <x:c r="J2484" s="12" t="n">
        <x:v>0</x:v>
      </x:c>
      <x:c r="K2484" s="12" t="n">
        <x:v>0</x:v>
      </x:c>
      <x:c r="L2484" s="12" t="n">
        <x:v>0</x:v>
      </x:c>
      <x:c r="M2484" s="2" t="str">
        <x:v>持有</x:v>
      </x:c>
    </x:row>
    <x:row r="2485" ht="23" customHeight="1">
      <x:c r="A2485" s="11" t="d">
        <x:v>2024-11-07T00:00:00.000Z</x:v>
      </x:c>
      <x:c r="B2485" s="12" t="n">
        <x:v>855.941385</x:v>
      </x:c>
      <x:c r="C2485" s="13" t="n">
        <x:v>241</x:v>
      </x:c>
      <x:c r="D2485" s="12" t="n">
        <x:v>143542.01</x:v>
      </x:c>
      <x:c r="E2485" s="12" t="n">
        <x:v>0</x:v>
      </x:c>
      <x:c r="F2485" s="12" t="n">
        <x:f>SUM(B2485,D2485:E2485)</x:f>
        <x:v>144397.95138500002</x:v>
      </x:c>
      <x:c r="G2485" s="12" t="n">
        <x:f>MAX(G2484,F2485)</x:f>
        <x:v>146539.87562399998</x:v>
      </x:c>
      <x:c r="H2485" s="14" t="n">
        <x:f>F2485/G2485-1</x:f>
        <x:v>-0.01461666478068957</x:v>
      </x:c>
      <x:c r="I2485" s="14" t="n">
        <x:f>F2485/F2484-1</x:f>
        <x:v>0.0076859474898491875</x:v>
      </x:c>
      <x:c r="J2485" s="12" t="n">
        <x:v>0</x:v>
      </x:c>
      <x:c r="K2485" s="12" t="n">
        <x:v>0</x:v>
      </x:c>
      <x:c r="L2485" s="12" t="n">
        <x:v>0</x:v>
      </x:c>
      <x:c r="M2485" s="2" t="str">
        <x:v>持有</x:v>
      </x:c>
    </x:row>
    <x:row r="2486" ht="23" customHeight="1">
      <x:c r="A2486" s="11" t="d">
        <x:v>2024-11-08T00:00:00.000Z</x:v>
      </x:c>
      <x:c r="B2486" s="12" t="n">
        <x:v>855.941385</x:v>
      </x:c>
      <x:c r="C2486" s="13" t="n">
        <x:v>241</x:v>
      </x:c>
      <x:c r="D2486" s="12" t="n">
        <x:v>144163.79</x:v>
      </x:c>
      <x:c r="E2486" s="12" t="n">
        <x:v>0</x:v>
      </x:c>
      <x:c r="F2486" s="12" t="n">
        <x:f>SUM(B2486,D2486:E2486)</x:f>
        <x:v>145019.73138500002</x:v>
      </x:c>
      <x:c r="G2486" s="12" t="n">
        <x:f>MAX(G2485,F2486)</x:f>
        <x:v>146539.87562399998</x:v>
      </x:c>
      <x:c r="H2486" s="14" t="n">
        <x:f>F2486/G2486-1</x:f>
        <x:v>-0.010373587615840618</x:v>
      </x:c>
      <x:c r="I2486" s="14" t="n">
        <x:f>F2486/F2485-1</x:f>
        <x:v>0.00430601676849407</x:v>
      </x:c>
      <x:c r="J2486" s="12" t="n">
        <x:v>0</x:v>
      </x:c>
      <x:c r="K2486" s="12" t="n">
        <x:v>0</x:v>
      </x:c>
      <x:c r="L2486" s="12" t="n">
        <x:v>0</x:v>
      </x:c>
      <x:c r="M2486" s="2" t="str">
        <x:v>持有</x:v>
      </x:c>
    </x:row>
    <x:row r="2487" ht="23" customHeight="1">
      <x:c r="A2487" s="11" t="d">
        <x:v>2024-11-11T00:00:00.000Z</x:v>
      </x:c>
      <x:c r="B2487" s="12" t="n">
        <x:v>855.941385</x:v>
      </x:c>
      <x:c r="C2487" s="13" t="n">
        <x:v>241</x:v>
      </x:c>
      <x:c r="D2487" s="12" t="n">
        <x:v>144301.16</x:v>
      </x:c>
      <x:c r="E2487" s="12" t="n">
        <x:v>0</x:v>
      </x:c>
      <x:c r="F2487" s="12" t="n">
        <x:f>SUM(B2487,D2487:E2487)</x:f>
        <x:v>145157.10138500002</x:v>
      </x:c>
      <x:c r="G2487" s="12" t="n">
        <x:f>MAX(G2486,F2487)</x:f>
        <x:v>146539.87562399998</x:v>
      </x:c>
      <x:c r="H2487" s="14" t="n">
        <x:f>F2487/G2487-1</x:f>
        <x:v>-0.009436163591048485</x:v>
      </x:c>
      <x:c r="I2487" s="14" t="n">
        <x:f>F2487/F2486-1</x:f>
        <x:v>0.0009472504099135026</x:v>
      </x:c>
      <x:c r="J2487" s="12" t="n">
        <x:v>0</x:v>
      </x:c>
      <x:c r="K2487" s="12" t="n">
        <x:v>0</x:v>
      </x:c>
      <x:c r="L2487" s="12" t="n">
        <x:v>0</x:v>
      </x:c>
      <x:c r="M2487" s="2" t="str">
        <x:v>持有</x:v>
      </x:c>
    </x:row>
    <x:row r="2488" ht="23" customHeight="1">
      <x:c r="A2488" s="11" t="d">
        <x:v>2024-11-12T00:00:00.000Z</x:v>
      </x:c>
      <x:c r="B2488" s="12" t="n">
        <x:v>855.941385</x:v>
      </x:c>
      <x:c r="C2488" s="13" t="n">
        <x:v>241</x:v>
      </x:c>
      <x:c r="D2488" s="12" t="n">
        <x:v>143852.9</x:v>
      </x:c>
      <x:c r="E2488" s="12" t="n">
        <x:v>0</x:v>
      </x:c>
      <x:c r="F2488" s="12" t="n">
        <x:f>SUM(B2488,D2488:E2488)</x:f>
        <x:v>144708.841385</x:v>
      </x:c>
      <x:c r="G2488" s="12" t="n">
        <x:f>MAX(G2487,F2488)</x:f>
        <x:v>146539.87562399998</x:v>
      </x:c>
      <x:c r="H2488" s="14" t="n">
        <x:f>F2488/G2488-1</x:f>
        <x:v>-0.012495126198265205</x:v>
      </x:c>
      <x:c r="I2488" s="14" t="n">
        <x:f>F2488/F2487-1</x:f>
        <x:v>-0.003088102447093455</x:v>
      </x:c>
      <x:c r="J2488" s="12" t="n">
        <x:v>0</x:v>
      </x:c>
      <x:c r="K2488" s="12" t="n">
        <x:v>0</x:v>
      </x:c>
      <x:c r="L2488" s="12" t="n">
        <x:v>0</x:v>
      </x:c>
      <x:c r="M2488" s="2" t="str">
        <x:v>持有</x:v>
      </x:c>
    </x:row>
    <x:row r="2489" ht="23" customHeight="1">
      <x:c r="A2489" s="11" t="d">
        <x:v>2024-11-13T00:00:00.000Z</x:v>
      </x:c>
      <x:c r="B2489" s="12" t="n">
        <x:v>855.941385</x:v>
      </x:c>
      <x:c r="C2489" s="13" t="n">
        <x:v>241</x:v>
      </x:c>
      <x:c r="D2489" s="12" t="n">
        <x:v>143922.79</x:v>
      </x:c>
      <x:c r="E2489" s="12" t="n">
        <x:v>0</x:v>
      </x:c>
      <x:c r="F2489" s="12" t="n">
        <x:f>SUM(B2489,D2489:E2489)</x:f>
        <x:v>144778.73138500002</x:v>
      </x:c>
      <x:c r="G2489" s="12" t="n">
        <x:f>MAX(G2488,F2489)</x:f>
        <x:v>146539.87562399998</x:v>
      </x:c>
      <x:c r="H2489" s="14" t="n">
        <x:f>F2489/G2489-1</x:f>
        <x:v>-0.01201819116810765</x:v>
      </x:c>
      <x:c r="I2489" s="14" t="n">
        <x:f>F2489/F2488-1</x:f>
        <x:v>0.0004829697987427384</x:v>
      </x:c>
      <x:c r="J2489" s="12" t="n">
        <x:v>0</x:v>
      </x:c>
      <x:c r="K2489" s="12" t="n">
        <x:v>0</x:v>
      </x:c>
      <x:c r="L2489" s="12" t="n">
        <x:v>0</x:v>
      </x:c>
      <x:c r="M2489" s="2" t="str">
        <x:v>持有</x:v>
      </x:c>
    </x:row>
    <x:row r="2490" ht="23" customHeight="1">
      <x:c r="A2490" s="11" t="d">
        <x:v>2024-11-14T00:00:00.000Z</x:v>
      </x:c>
      <x:c r="B2490" s="12" t="n">
        <x:v>855.941385</x:v>
      </x:c>
      <x:c r="C2490" s="13" t="n">
        <x:v>241</x:v>
      </x:c>
      <x:c r="D2490" s="12" t="n">
        <x:v>142997.35</x:v>
      </x:c>
      <x:c r="E2490" s="12" t="n">
        <x:v>0</x:v>
      </x:c>
      <x:c r="F2490" s="12" t="n">
        <x:f>SUM(B2490,D2490:E2490)</x:f>
        <x:v>143853.29138500002</x:v>
      </x:c>
      <x:c r="G2490" s="12" t="n">
        <x:f>MAX(G2489,F2490)</x:f>
        <x:v>146539.87562399998</x:v>
      </x:c>
      <x:c r="H2490" s="14" t="n">
        <x:f>F2490/G2490-1</x:f>
        <x:v>-0.018333468808813147</x:v>
      </x:c>
      <x:c r="I2490" s="14" t="n">
        <x:f>F2490/F2489-1</x:f>
        <x:v>-0.00639209910977212</x:v>
      </x:c>
      <x:c r="J2490" s="12" t="n">
        <x:v>0</x:v>
      </x:c>
      <x:c r="K2490" s="12" t="n">
        <x:v>0</x:v>
      </x:c>
      <x:c r="L2490" s="12" t="n">
        <x:v>0</x:v>
      </x:c>
      <x:c r="M2490" s="2" t="str">
        <x:v>持有</x:v>
      </x:c>
    </x:row>
    <x:row r="2491" ht="23" customHeight="1">
      <x:c r="A2491" s="11" t="d">
        <x:v>2024-11-15T00:00:00.000Z</x:v>
      </x:c>
      <x:c r="B2491" s="12" t="n">
        <x:v>855.941385</x:v>
      </x:c>
      <x:c r="C2491" s="13" t="n">
        <x:v>241</x:v>
      </x:c>
      <x:c r="D2491" s="12" t="n">
        <x:v>141165.75</x:v>
      </x:c>
      <x:c r="E2491" s="12" t="n">
        <x:v>0</x:v>
      </x:c>
      <x:c r="F2491" s="12" t="n">
        <x:f>SUM(B2491,D2491:E2491)</x:f>
        <x:v>142021.691385</x:v>
      </x:c>
      <x:c r="G2491" s="12" t="n">
        <x:f>MAX(G2490,F2491)</x:f>
        <x:v>146539.87562399998</x:v>
      </x:c>
      <x:c r="H2491" s="14" t="n">
        <x:f>F2491/G2491-1</x:f>
        <x:v>-0.030832455806042658</x:v>
      </x:c>
      <x:c r="I2491" s="14" t="n">
        <x:f>F2491/F2490-1</x:f>
        <x:v>-0.012732416355340948</x:v>
      </x:c>
      <x:c r="J2491" s="12" t="n">
        <x:v>0</x:v>
      </x:c>
      <x:c r="K2491" s="12" t="n">
        <x:v>0</x:v>
      </x:c>
      <x:c r="L2491" s="12" t="n">
        <x:v>0</x:v>
      </x:c>
      <x:c r="M2491" s="2" t="str">
        <x:v>持有</x:v>
      </x:c>
    </x:row>
    <x:row r="2492" ht="23" customHeight="1">
      <x:c r="A2492" s="11" t="d">
        <x:v>2024-11-18T00:00:00.000Z</x:v>
      </x:c>
      <x:c r="B2492" s="12" t="n">
        <x:v>855.941385</x:v>
      </x:c>
      <x:c r="C2492" s="13" t="n">
        <x:v>241</x:v>
      </x:c>
      <x:c r="D2492" s="12" t="n">
        <x:v>141744.15</x:v>
      </x:c>
      <x:c r="E2492" s="12" t="n">
        <x:v>0</x:v>
      </x:c>
      <x:c r="F2492" s="12" t="n">
        <x:f>SUM(B2492,D2492:E2492)</x:f>
        <x:v>142600.091385</x:v>
      </x:c>
      <x:c r="G2492" s="12" t="n">
        <x:f>MAX(G2491,F2492)</x:f>
        <x:v>146539.87562399998</x:v>
      </x:c>
      <x:c r="H2492" s="14" t="n">
        <x:f>F2492/G2492-1</x:f>
        <x:v>-0.026885407280601847</x:v>
      </x:c>
      <x:c r="I2492" s="14" t="n">
        <x:f>F2492/F2491-1</x:f>
        <x:v>0.00407261731894204</x:v>
      </x:c>
      <x:c r="J2492" s="12" t="n">
        <x:v>0</x:v>
      </x:c>
      <x:c r="K2492" s="12" t="n">
        <x:v>0</x:v>
      </x:c>
      <x:c r="L2492" s="12" t="n">
        <x:v>0</x:v>
      </x:c>
      <x:c r="M2492" s="2" t="str">
        <x:v>持有</x:v>
      </x:c>
    </x:row>
    <x:row r="2493" ht="23" customHeight="1">
      <x:c r="A2493" s="11" t="d">
        <x:v>2024-11-19T00:00:00.000Z</x:v>
      </x:c>
      <x:c r="B2493" s="12" t="n">
        <x:v>855.941385</x:v>
      </x:c>
      <x:c r="C2493" s="13" t="n">
        <x:v>241</x:v>
      </x:c>
      <x:c r="D2493" s="12" t="n">
        <x:v>142262.3</x:v>
      </x:c>
      <x:c r="E2493" s="12" t="n">
        <x:v>0</x:v>
      </x:c>
      <x:c r="F2493" s="12" t="n">
        <x:f>SUM(B2493,D2493:E2493)</x:f>
        <x:v>143118.241385</x:v>
      </x:c>
      <x:c r="G2493" s="12" t="n">
        <x:f>MAX(G2492,F2493)</x:f>
        <x:v>146539.87562399998</x:v>
      </x:c>
      <x:c r="H2493" s="14" t="n">
        <x:f>F2493/G2493-1</x:f>
        <x:v>-0.023349509643227684</x:v>
      </x:c>
      <x:c r="I2493" s="14" t="n">
        <x:f>F2493/F2492-1</x:f>
        <x:v>0.003633588134253518</x:v>
      </x:c>
      <x:c r="J2493" s="12" t="n">
        <x:v>0</x:v>
      </x:c>
      <x:c r="K2493" s="12" t="n">
        <x:v>0</x:v>
      </x:c>
      <x:c r="L2493" s="12" t="n">
        <x:v>0</x:v>
      </x:c>
      <x:c r="M2493" s="2" t="str">
        <x:v>持有</x:v>
      </x:c>
    </x:row>
    <x:row r="2494" ht="23" customHeight="1">
      <x:c r="A2494" s="11" t="d">
        <x:v>2024-11-20T00:00:00.000Z</x:v>
      </x:c>
      <x:c r="B2494" s="12" t="n">
        <x:v>855.941385</x:v>
      </x:c>
      <x:c r="C2494" s="13" t="n">
        <x:v>241</x:v>
      </x:c>
      <x:c r="D2494" s="12" t="n">
        <x:v>142310.5</x:v>
      </x:c>
      <x:c r="E2494" s="12" t="n">
        <x:v>0</x:v>
      </x:c>
      <x:c r="F2494" s="12" t="n">
        <x:f>SUM(B2494,D2494:E2494)</x:f>
        <x:v>143166.441385</x:v>
      </x:c>
      <x:c r="G2494" s="12" t="n">
        <x:f>MAX(G2493,F2494)</x:f>
        <x:v>146539.87562399998</x:v>
      </x:c>
      <x:c r="H2494" s="14" t="n">
        <x:f>F2494/G2494-1</x:f>
        <x:v>-0.023020588932774255</x:v>
      </x:c>
      <x:c r="I2494" s="14" t="n">
        <x:f>F2494/F2493-1</x:f>
        <x:v>0.0003367844625086214</x:v>
      </x:c>
      <x:c r="J2494" s="12" t="n">
        <x:v>0</x:v>
      </x:c>
      <x:c r="K2494" s="12" t="n">
        <x:v>0</x:v>
      </x:c>
      <x:c r="L2494" s="12" t="n">
        <x:v>0</x:v>
      </x:c>
      <x:c r="M2494" s="2" t="str">
        <x:v>持有</x:v>
      </x:c>
    </x:row>
    <x:row r="2495" ht="23" customHeight="1">
      <x:c r="A2495" s="11" t="d">
        <x:v>2024-11-21T00:00:00.000Z</x:v>
      </x:c>
      <x:c r="B2495" s="12" t="n">
        <x:v>855.941385</x:v>
      </x:c>
      <x:c r="C2495" s="13" t="n">
        <x:v>241</x:v>
      </x:c>
      <x:c r="D2495" s="12" t="n">
        <x:v>143074.47</x:v>
      </x:c>
      <x:c r="E2495" s="12" t="n">
        <x:v>0</x:v>
      </x:c>
      <x:c r="F2495" s="12" t="n">
        <x:f>SUM(B2495,D2495:E2495)</x:f>
        <x:v>143930.411385</x:v>
      </x:c>
      <x:c r="G2495" s="12" t="n">
        <x:f>MAX(G2494,F2495)</x:f>
        <x:v>146539.87562399998</x:v>
      </x:c>
      <x:c r="H2495" s="14" t="n">
        <x:f>F2495/G2495-1</x:f>
        <x:v>-0.01780719567208766</x:v>
      </x:c>
      <x:c r="I2495" s="14" t="n">
        <x:f>F2495/F2494-1</x:f>
        <x:v>0.0053362365691940195</x:v>
      </x:c>
      <x:c r="J2495" s="12" t="n">
        <x:v>0</x:v>
      </x:c>
      <x:c r="K2495" s="12" t="n">
        <x:v>0</x:v>
      </x:c>
      <x:c r="L2495" s="12" t="n">
        <x:v>0</x:v>
      </x:c>
      <x:c r="M2495" s="2" t="str">
        <x:v>持有</x:v>
      </x:c>
    </x:row>
    <x:row r="2496" ht="23" customHeight="1">
      <x:c r="A2496" s="11" t="d">
        <x:v>2024-11-22T00:00:00.000Z</x:v>
      </x:c>
      <x:c r="B2496" s="12" t="n">
        <x:v>855.941385</x:v>
      </x:c>
      <x:c r="C2496" s="13" t="n">
        <x:v>241</x:v>
      </x:c>
      <x:c r="D2496" s="12" t="n">
        <x:v>143517.91</x:v>
      </x:c>
      <x:c r="E2496" s="12" t="n">
        <x:v>0</x:v>
      </x:c>
      <x:c r="F2496" s="12" t="n">
        <x:f>SUM(B2496,D2496:E2496)</x:f>
        <x:v>144373.85138500002</x:v>
      </x:c>
      <x:c r="G2496" s="12" t="n">
        <x:f>MAX(G2495,F2496)</x:f>
        <x:v>146539.87562399998</x:v>
      </x:c>
      <x:c r="H2496" s="14" t="n">
        <x:f>F2496/G2496-1</x:f>
        <x:v>-0.01478112513591634</x:v>
      </x:c>
      <x:c r="I2496" s="14" t="n">
        <x:f>F2496/F2495-1</x:f>
        <x:v>0.003080933318628798</x:v>
      </x:c>
      <x:c r="J2496" s="12" t="n">
        <x:v>0</x:v>
      </x:c>
      <x:c r="K2496" s="12" t="n">
        <x:v>0</x:v>
      </x:c>
      <x:c r="L2496" s="12" t="n">
        <x:v>0</x:v>
      </x:c>
      <x:c r="M2496" s="2" t="str">
        <x:v>持有</x:v>
      </x:c>
    </x:row>
    <x:row r="2497" ht="23" customHeight="1">
      <x:c r="A2497" s="11" t="d">
        <x:v>2024-11-25T00:00:00.000Z</x:v>
      </x:c>
      <x:c r="B2497" s="12" t="n">
        <x:v>855.941385</x:v>
      </x:c>
      <x:c r="C2497" s="13" t="n">
        <x:v>241</x:v>
      </x:c>
      <x:c r="D2497" s="12" t="n">
        <x:v>144004.72999999998</x:v>
      </x:c>
      <x:c r="E2497" s="12" t="n">
        <x:v>0</x:v>
      </x:c>
      <x:c r="F2497" s="12" t="n">
        <x:f>SUM(B2497,D2497:E2497)</x:f>
        <x:v>144860.671385</x:v>
      </x:c>
      <x:c r="G2497" s="12" t="n">
        <x:f>MAX(G2496,F2497)</x:f>
        <x:v>146539.87562399998</x:v>
      </x:c>
      <x:c r="H2497" s="14" t="n">
        <x:f>F2497/G2497-1</x:f>
        <x:v>-0.0114590259603371</x:v>
      </x:c>
      <x:c r="I2497" s="14" t="n">
        <x:f>F2497/F2496-1</x:f>
        <x:v>0.003371940246310823</x:v>
      </x:c>
      <x:c r="J2497" s="12" t="n">
        <x:v>0</x:v>
      </x:c>
      <x:c r="K2497" s="12" t="n">
        <x:v>0</x:v>
      </x:c>
      <x:c r="L2497" s="12" t="n">
        <x:v>0</x:v>
      </x:c>
      <x:c r="M2497" s="2" t="str">
        <x:v>持有</x:v>
      </x:c>
    </x:row>
    <x:row r="2498" ht="23" customHeight="1">
      <x:c r="A2498" s="11" t="d">
        <x:v>2024-11-26T00:00:00.000Z</x:v>
      </x:c>
      <x:c r="B2498" s="12" t="n">
        <x:v>855.941385</x:v>
      </x:c>
      <x:c r="C2498" s="13" t="n">
        <x:v>241</x:v>
      </x:c>
      <x:c r="D2498" s="12" t="n">
        <x:v>144756.65</x:v>
      </x:c>
      <x:c r="E2498" s="12" t="n">
        <x:v>0</x:v>
      </x:c>
      <x:c r="F2498" s="12" t="n">
        <x:f>SUM(B2498,D2498:E2498)</x:f>
        <x:v>145612.591385</x:v>
      </x:c>
      <x:c r="G2498" s="12" t="n">
        <x:f>MAX(G2497,F2498)</x:f>
        <x:v>146539.87562399998</x:v>
      </x:c>
      <x:c r="H2498" s="14" t="n">
        <x:f>F2498/G2498-1</x:f>
        <x:v>-0.0063278628772638346</x:v>
      </x:c>
      <x:c r="I2498" s="14" t="n">
        <x:f>F2498/F2497-1</x:f>
        <x:v>0.005190642793595934</x:v>
      </x:c>
      <x:c r="J2498" s="12" t="n">
        <x:v>0</x:v>
      </x:c>
      <x:c r="K2498" s="12" t="n">
        <x:v>0</x:v>
      </x:c>
      <x:c r="L2498" s="12" t="n">
        <x:v>0</x:v>
      </x:c>
      <x:c r="M2498" s="2" t="str">
        <x:v>持有</x:v>
      </x:c>
    </x:row>
    <x:row r="2499" ht="23" customHeight="1">
      <x:c r="A2499" s="11" t="d">
        <x:v>2024-11-27T00:00:00.000Z</x:v>
      </x:c>
      <x:c r="B2499" s="12" t="n">
        <x:v>855.941385</x:v>
      </x:c>
      <x:c r="C2499" s="13" t="n">
        <x:v>241</x:v>
      </x:c>
      <x:c r="D2499" s="12" t="n">
        <x:v>144318.03</x:v>
      </x:c>
      <x:c r="E2499" s="12" t="n">
        <x:v>0</x:v>
      </x:c>
      <x:c r="F2499" s="12" t="n">
        <x:f>SUM(B2499,D2499:E2499)</x:f>
        <x:v>145173.971385</x:v>
      </x:c>
      <x:c r="G2499" s="12" t="n">
        <x:f>MAX(G2498,F2499)</x:f>
        <x:v>146539.87562399998</x:v>
      </x:c>
      <x:c r="H2499" s="14" t="n">
        <x:f>F2499/G2499-1</x:f>
        <x:v>-0.009321041342389869</x:v>
      </x:c>
      <x:c r="I2499" s="14" t="n">
        <x:f>F2499/F2498-1</x:f>
        <x:v>-0.003012239503658587</x:v>
      </x:c>
      <x:c r="J2499" s="12" t="n">
        <x:v>0</x:v>
      </x:c>
      <x:c r="K2499" s="12" t="n">
        <x:v>0</x:v>
      </x:c>
      <x:c r="L2499" s="12" t="n">
        <x:v>0</x:v>
      </x:c>
      <x:c r="M2499" s="2" t="str">
        <x:v>持有</x:v>
      </x:c>
    </x:row>
    <x:row r="2500" ht="23" customHeight="1">
      <x:c r="A2500" s="11" t="d">
        <x:v>2024-11-29T00:00:00.000Z</x:v>
      </x:c>
      <x:c r="B2500" s="12" t="n">
        <x:v>855.941385</x:v>
      </x:c>
      <x:c r="C2500" s="13" t="n">
        <x:v>241</x:v>
      </x:c>
      <x:c r="D2500" s="12" t="n">
        <x:v>145214.55</x:v>
      </x:c>
      <x:c r="E2500" s="12" t="n">
        <x:v>0</x:v>
      </x:c>
      <x:c r="F2500" s="12" t="n">
        <x:f>SUM(B2500,D2500:E2500)</x:f>
        <x:v>146070.491385</x:v>
      </x:c>
      <x:c r="G2500" s="12" t="n">
        <x:f>MAX(G2499,F2500)</x:f>
        <x:v>146539.87562399998</x:v>
      </x:c>
      <x:c r="H2500" s="14" t="n">
        <x:f>F2500/G2500-1</x:f>
        <x:v>-0.00320311612795654</x:v>
      </x:c>
      <x:c r="I2500" s="14" t="n">
        <x:f>F2500/F2499-1</x:f>
        <x:v>0.00617548718580152</x:v>
      </x:c>
      <x:c r="J2500" s="12" t="n">
        <x:v>0</x:v>
      </x:c>
      <x:c r="K2500" s="12" t="n">
        <x:v>0</x:v>
      </x:c>
      <x:c r="L2500" s="12" t="n">
        <x:v>0</x:v>
      </x:c>
      <x:c r="M2500" s="2" t="str">
        <x:v>持有</x:v>
      </x:c>
    </x:row>
    <x:row r="2501" ht="23" customHeight="1">
      <x:c r="A2501" s="11" t="d">
        <x:v>2024-12-02T00:00:00.000Z</x:v>
      </x:c>
      <x:c r="B2501" s="12" t="n">
        <x:v>855.941385</x:v>
      </x:c>
      <x:c r="C2501" s="13" t="n">
        <x:v>241</x:v>
      </x:c>
      <x:c r="D2501" s="12" t="n">
        <x:v>145474.83</x:v>
      </x:c>
      <x:c r="E2501" s="12" t="n">
        <x:v>0</x:v>
      </x:c>
      <x:c r="F2501" s="12" t="n">
        <x:f>SUM(B2501,D2501:E2501)</x:f>
        <x:v>146330.771385</x:v>
      </x:c>
      <x:c r="G2501" s="12" t="n">
        <x:f>MAX(G2500,F2501)</x:f>
        <x:v>146539.87562399998</x:v>
      </x:c>
      <x:c r="H2501" s="14" t="n">
        <x:f>F2501/G2501-1</x:f>
        <x:v>-0.0014269442915081365</x:v>
      </x:c>
      <x:c r="I2501" s="14" t="n">
        <x:f>F2501/F2500-1</x:f>
        <x:v>0.001781879403102593</x:v>
      </x:c>
      <x:c r="J2501" s="12" t="n">
        <x:v>0</x:v>
      </x:c>
      <x:c r="K2501" s="12" t="n">
        <x:v>0</x:v>
      </x:c>
      <x:c r="L2501" s="12" t="n">
        <x:v>0</x:v>
      </x:c>
      <x:c r="M2501" s="2" t="str">
        <x:v>持有</x:v>
      </x:c>
    </x:row>
    <x:row r="2502" ht="23" customHeight="1">
      <x:c r="A2502" s="11" t="d">
        <x:v>2024-12-03T00:00:00.000Z</x:v>
      </x:c>
      <x:c r="B2502" s="12" t="n">
        <x:v>855.941385</x:v>
      </x:c>
      <x:c r="C2502" s="13" t="n">
        <x:v>241</x:v>
      </x:c>
      <x:c r="D2502" s="12" t="n">
        <x:v>145542.31</x:v>
      </x:c>
      <x:c r="E2502" s="12" t="n">
        <x:v>0</x:v>
      </x:c>
      <x:c r="F2502" s="12" t="n">
        <x:f>SUM(B2502,D2502:E2502)</x:f>
        <x:v>146398.251385</x:v>
      </x:c>
      <x:c r="G2502" s="12" t="n">
        <x:f>MAX(G2501,F2502)</x:f>
        <x:v>146539.87562399998</x:v>
      </x:c>
      <x:c r="H2502" s="14" t="n">
        <x:f>F2502/G2502-1</x:f>
        <x:v>-0.0009664552968733364</x:v>
      </x:c>
      <x:c r="I2502" s="14" t="n">
        <x:f>F2502/F2501-1</x:f>
        <x:v>0.00046114702575072997</x:v>
      </x:c>
      <x:c r="J2502" s="12" t="n">
        <x:v>0</x:v>
      </x:c>
      <x:c r="K2502" s="12" t="n">
        <x:v>0</x:v>
      </x:c>
      <x:c r="L2502" s="12" t="n">
        <x:v>0</x:v>
      </x:c>
      <x:c r="M2502" s="2" t="str">
        <x:v>持有</x:v>
      </x:c>
    </x:row>
    <x:row r="2503" ht="23" customHeight="1">
      <x:c r="A2503" s="11" t="d">
        <x:v>2024-12-04T00:00:00.000Z</x:v>
      </x:c>
      <x:c r="B2503" s="12" t="n">
        <x:v>855.941385</x:v>
      </x:c>
      <x:c r="C2503" s="13" t="n">
        <x:v>241</x:v>
      </x:c>
      <x:c r="D2503" s="12" t="n">
        <x:v>146446.06</x:v>
      </x:c>
      <x:c r="E2503" s="12" t="n">
        <x:v>0</x:v>
      </x:c>
      <x:c r="F2503" s="12" t="n">
        <x:f>SUM(B2503,D2503:E2503)</x:f>
        <x:v>147302.001385</x:v>
      </x:c>
      <x:c r="G2503" s="12" t="n">
        <x:f>MAX(G2502,F2503)</x:f>
        <x:v>147302.001385</x:v>
      </x:c>
      <x:c r="H2503" s="14" t="n">
        <x:f>F2503/G2503-1</x:f>
        <x:v>0</x:v>
      </x:c>
      <x:c r="I2503" s="14" t="n">
        <x:f>F2503/F2502-1</x:f>
        <x:v>0.006173229471322816</x:v>
      </x:c>
      <x:c r="J2503" s="12" t="n">
        <x:v>0</x:v>
      </x:c>
      <x:c r="K2503" s="12" t="n">
        <x:v>0</x:v>
      </x:c>
      <x:c r="L2503" s="12" t="n">
        <x:v>0</x:v>
      </x:c>
      <x:c r="M2503" s="2" t="str">
        <x:v>持有</x:v>
      </x:c>
    </x:row>
    <x:row r="2504" ht="23" customHeight="1">
      <x:c r="A2504" s="11" t="d">
        <x:v>2024-12-05T00:00:00.000Z</x:v>
      </x:c>
      <x:c r="B2504" s="12" t="n">
        <x:v>855.941385</x:v>
      </x:c>
      <x:c r="C2504" s="13" t="n">
        <x:v>241</x:v>
      </x:c>
      <x:c r="D2504" s="12" t="n">
        <x:v>146205.06</x:v>
      </x:c>
      <x:c r="E2504" s="12" t="n">
        <x:v>0</x:v>
      </x:c>
      <x:c r="F2504" s="12" t="n">
        <x:f>SUM(B2504,D2504:E2504)</x:f>
        <x:v>147061.001385</x:v>
      </x:c>
      <x:c r="G2504" s="12" t="n">
        <x:f>MAX(G2503,F2504)</x:f>
        <x:v>147302.001385</x:v>
      </x:c>
      <x:c r="H2504" s="14" t="n">
        <x:f>F2504/G2504-1</x:f>
        <x:v>-0.0016360945386620918</x:v>
      </x:c>
      <x:c r="I2504" s="14" t="n">
        <x:f>F2504/F2503-1</x:f>
        <x:v>-0.0016360945386620918</x:v>
      </x:c>
      <x:c r="J2504" s="12" t="n">
        <x:v>0</x:v>
      </x:c>
      <x:c r="K2504" s="12" t="n">
        <x:v>0</x:v>
      </x:c>
      <x:c r="L2504" s="12" t="n">
        <x:v>0</x:v>
      </x:c>
      <x:c r="M2504" s="2" t="str">
        <x:v>持有</x:v>
      </x:c>
    </x:row>
    <x:row r="2505" ht="23" customHeight="1">
      <x:c r="A2505" s="11" t="d">
        <x:v>2024-12-06T00:00:00.000Z</x:v>
      </x:c>
      <x:c r="B2505" s="12" t="n">
        <x:v>855.941385</x:v>
      </x:c>
      <x:c r="C2505" s="13" t="n">
        <x:v>241</x:v>
      </x:c>
      <x:c r="D2505" s="12" t="n">
        <x:v>146482.21</x:v>
      </x:c>
      <x:c r="E2505" s="12" t="n">
        <x:v>0</x:v>
      </x:c>
      <x:c r="F2505" s="12" t="n">
        <x:f>SUM(B2505,D2505:E2505)</x:f>
        <x:v>147338.151385</x:v>
      </x:c>
      <x:c r="G2505" s="12" t="n">
        <x:f>MAX(G2504,F2505)</x:f>
        <x:v>147338.151385</x:v>
      </x:c>
      <x:c r="H2505" s="14" t="n">
        <x:f>F2505/G2505-1</x:f>
        <x:v>0</x:v>
      </x:c>
      <x:c r="I2505" s="14" t="n">
        <x:f>F2505/F2504-1</x:f>
        <x:v>0.0018845920902879065</x:v>
      </x:c>
      <x:c r="J2505" s="12" t="n">
        <x:v>0</x:v>
      </x:c>
      <x:c r="K2505" s="12" t="n">
        <x:v>0</x:v>
      </x:c>
      <x:c r="L2505" s="12" t="n">
        <x:v>0</x:v>
      </x:c>
      <x:c r="M2505" s="2" t="str">
        <x:v>持有</x:v>
      </x:c>
    </x:row>
    <x:row r="2506" ht="23" customHeight="1">
      <x:c r="A2506" s="11" t="d">
        <x:v>2024-12-09T00:00:00.000Z</x:v>
      </x:c>
      <x:c r="B2506" s="12" t="n">
        <x:v>855.941385</x:v>
      </x:c>
      <x:c r="C2506" s="13" t="n">
        <x:v>241</x:v>
      </x:c>
      <x:c r="D2506" s="12" t="n">
        <x:v>145727.87999999998</x:v>
      </x:c>
      <x:c r="E2506" s="12" t="n">
        <x:v>0</x:v>
      </x:c>
      <x:c r="F2506" s="12" t="n">
        <x:f>SUM(B2506,D2506:E2506)</x:f>
        <x:v>146583.821385</x:v>
      </x:c>
      <x:c r="G2506" s="12" t="n">
        <x:f>MAX(G2505,F2506)</x:f>
        <x:v>147338.151385</x:v>
      </x:c>
      <x:c r="H2506" s="14" t="n">
        <x:f>F2506/G2506-1</x:f>
        <x:v>-0.005119719454256821</x:v>
      </x:c>
      <x:c r="I2506" s="14" t="n">
        <x:f>F2506/F2505-1</x:f>
        <x:v>-0.005119719454256821</x:v>
      </x:c>
      <x:c r="J2506" s="12" t="n">
        <x:v>0</x:v>
      </x:c>
      <x:c r="K2506" s="12" t="n">
        <x:v>0</x:v>
      </x:c>
      <x:c r="L2506" s="12" t="n">
        <x:v>0</x:v>
      </x:c>
      <x:c r="M2506" s="2" t="str">
        <x:v>持有</x:v>
      </x:c>
    </x:row>
    <x:row r="2507" ht="23" customHeight="1">
      <x:c r="A2507" s="11" t="d">
        <x:v>2024-12-10T00:00:00.000Z</x:v>
      </x:c>
      <x:c r="B2507" s="12" t="n">
        <x:v>855.941385</x:v>
      </x:c>
      <x:c r="C2507" s="13" t="n">
        <x:v>241</x:v>
      </x:c>
      <x:c r="D2507" s="12" t="n">
        <x:v>145274.8</x:v>
      </x:c>
      <x:c r="E2507" s="12" t="n">
        <x:v>0</x:v>
      </x:c>
      <x:c r="F2507" s="12" t="n">
        <x:f>SUM(B2507,D2507:E2507)</x:f>
        <x:v>146130.741385</x:v>
      </x:c>
      <x:c r="G2507" s="12" t="n">
        <x:f>MAX(G2506,F2507)</x:f>
        <x:v>147338.151385</x:v>
      </x:c>
      <x:c r="H2507" s="14" t="n">
        <x:f>F2507/G2507-1</x:f>
        <x:v>-0.008194822513043487</x:v>
      </x:c>
      <x:c r="I2507" s="14" t="n">
        <x:f>F2507/F2506-1</x:f>
        <x:v>-0.0030909277416774072</x:v>
      </x:c>
      <x:c r="J2507" s="12" t="n">
        <x:v>0</x:v>
      </x:c>
      <x:c r="K2507" s="12" t="n">
        <x:v>0</x:v>
      </x:c>
      <x:c r="L2507" s="12" t="n">
        <x:v>0</x:v>
      </x:c>
      <x:c r="M2507" s="2" t="str">
        <x:v>持有</x:v>
      </x:c>
    </x:row>
    <x:row r="2508" ht="23" customHeight="1">
      <x:c r="A2508" s="11" t="d">
        <x:v>2024-12-11T00:00:00.000Z</x:v>
      </x:c>
      <x:c r="B2508" s="12" t="n">
        <x:v>855.941385</x:v>
      </x:c>
      <x:c r="C2508" s="13" t="n">
        <x:v>241</x:v>
      </x:c>
      <x:c r="D2508" s="12" t="n">
        <x:v>146397.86000000002</x:v>
      </x:c>
      <x:c r="E2508" s="12" t="n">
        <x:v>0</x:v>
      </x:c>
      <x:c r="F2508" s="12" t="n">
        <x:f>SUM(B2508,D2508:E2508)</x:f>
        <x:v>147253.80138500003</x:v>
      </x:c>
      <x:c r="G2508" s="12" t="n">
        <x:f>MAX(G2507,F2508)</x:f>
        <x:v>147338.151385</x:v>
      </x:c>
      <x:c r="H2508" s="14" t="n">
        <x:f>F2508/G2508-1</x:f>
        <x:v>-0.0005724925907314438</x:v>
      </x:c>
      <x:c r="I2508" s="14" t="n">
        <x:f>F2508/F2507-1</x:f>
        <x:v>0.007685309671023877</x:v>
      </x:c>
      <x:c r="J2508" s="12" t="n">
        <x:v>0</x:v>
      </x:c>
      <x:c r="K2508" s="12" t="n">
        <x:v>0</x:v>
      </x:c>
      <x:c r="L2508" s="12" t="n">
        <x:v>0</x:v>
      </x:c>
      <x:c r="M2508" s="2" t="str">
        <x:v>持有</x:v>
      </x:c>
    </x:row>
    <x:row r="2509" ht="23" customHeight="1">
      <x:c r="A2509" s="11" t="d">
        <x:v>2024-12-12T00:00:00.000Z</x:v>
      </x:c>
      <x:c r="B2509" s="12" t="n">
        <x:v>855.941385</x:v>
      </x:c>
      <x:c r="C2509" s="13" t="n">
        <x:v>241</x:v>
      </x:c>
      <x:c r="D2509" s="12" t="n">
        <x:v>145643.53</x:v>
      </x:c>
      <x:c r="E2509" s="12" t="n">
        <x:v>0</x:v>
      </x:c>
      <x:c r="F2509" s="12" t="n">
        <x:f>SUM(B2509,D2509:E2509)</x:f>
        <x:v>146499.471385</x:v>
      </x:c>
      <x:c r="G2509" s="12" t="n">
        <x:f>MAX(G2508,F2509)</x:f>
        <x:v>147338.151385</x:v>
      </x:c>
      <x:c r="H2509" s="14" t="n">
        <x:f>F2509/G2509-1</x:f>
        <x:v>-0.005692212044988154</x:v>
      </x:c>
      <x:c r="I2509" s="14" t="n">
        <x:f>F2509/F2508-1</x:f>
        <x:v>-0.005122652134648797</x:v>
      </x:c>
      <x:c r="J2509" s="12" t="n">
        <x:v>0</x:v>
      </x:c>
      <x:c r="K2509" s="12" t="n">
        <x:v>0</x:v>
      </x:c>
      <x:c r="L2509" s="12" t="n">
        <x:v>0</x:v>
      </x:c>
      <x:c r="M2509" s="2" t="str">
        <x:v>持有</x:v>
      </x:c>
    </x:row>
    <x:row r="2510" ht="23" customHeight="1">
      <x:c r="A2510" s="11" t="d">
        <x:v>2024-12-13T00:00:00.000Z</x:v>
      </x:c>
      <x:c r="B2510" s="12" t="n">
        <x:v>855.941385</x:v>
      </x:c>
      <x:c r="C2510" s="13" t="n">
        <x:v>241</x:v>
      </x:c>
      <x:c r="D2510" s="12" t="n">
        <x:v>145614.61000000002</x:v>
      </x:c>
      <x:c r="E2510" s="12" t="n">
        <x:v>0</x:v>
      </x:c>
      <x:c r="F2510" s="12" t="n">
        <x:f>SUM(B2510,D2510:E2510)</x:f>
        <x:v>146470.55138500003</x:v>
      </x:c>
      <x:c r="G2510" s="12" t="n">
        <x:f>MAX(G2509,F2510)</x:f>
        <x:v>147338.151385</x:v>
      </x:c>
      <x:c r="H2510" s="14" t="n">
        <x:f>F2510/G2510-1</x:f>
        <x:v>-0.0058884952189531825</x:v>
      </x:c>
      <x:c r="I2510" s="14" t="n">
        <x:f>F2510/F2509-1</x:f>
        <x:v>-0.00019740685564650917</x:v>
      </x:c>
      <x:c r="J2510" s="12" t="n">
        <x:v>0</x:v>
      </x:c>
      <x:c r="K2510" s="12" t="n">
        <x:v>0</x:v>
      </x:c>
      <x:c r="L2510" s="12" t="n">
        <x:v>0</x:v>
      </x:c>
      <x:c r="M2510" s="2" t="str">
        <x:v>持有</x:v>
      </x:c>
    </x:row>
    <x:row r="2511" ht="23" customHeight="1">
      <x:c r="A2511" s="11" t="d">
        <x:v>2024-12-16T00:00:00.000Z</x:v>
      </x:c>
      <x:c r="B2511" s="12" t="n">
        <x:v>855.941385</x:v>
      </x:c>
      <x:c r="C2511" s="13" t="n">
        <x:v>241</x:v>
      </x:c>
      <x:c r="D2511" s="12" t="n">
        <x:v>146236.38999999998</x:v>
      </x:c>
      <x:c r="E2511" s="12" t="n">
        <x:v>0</x:v>
      </x:c>
      <x:c r="F2511" s="12" t="n">
        <x:f>SUM(B2511,D2511:E2511)</x:f>
        <x:v>147092.331385</x:v>
      </x:c>
      <x:c r="G2511" s="12" t="n">
        <x:f>MAX(G2510,F2511)</x:f>
        <x:v>147338.151385</x:v>
      </x:c>
      <x:c r="H2511" s="14" t="n">
        <x:f>F2511/G2511-1</x:f>
        <x:v>-0.0016684069787035183</x:v>
      </x:c>
      <x:c r="I2511" s="14" t="n">
        <x:f>F2511/F2510-1</x:f>
        <x:v>0.00424508540536328</x:v>
      </x:c>
      <x:c r="J2511" s="12" t="n">
        <x:v>0</x:v>
      </x:c>
      <x:c r="K2511" s="12" t="n">
        <x:v>0</x:v>
      </x:c>
      <x:c r="L2511" s="12" t="n">
        <x:v>0</x:v>
      </x:c>
      <x:c r="M2511" s="2" t="str">
        <x:v>持有</x:v>
      </x:c>
    </x:row>
    <x:row r="2512" ht="23" customHeight="1">
      <x:c r="A2512" s="11" t="d">
        <x:v>2024-12-17T00:00:00.000Z</x:v>
      </x:c>
      <x:c r="B2512" s="12" t="n">
        <x:v>855.941385</x:v>
      </x:c>
      <x:c r="C2512" s="13" t="n">
        <x:v>241</x:v>
      </x:c>
      <x:c r="D2512" s="12" t="n">
        <x:v>145633.88999999998</x:v>
      </x:c>
      <x:c r="E2512" s="12" t="n">
        <x:v>0</x:v>
      </x:c>
      <x:c r="F2512" s="12" t="n">
        <x:f>SUM(B2512,D2512:E2512)</x:f>
        <x:v>146489.831385</x:v>
      </x:c>
      <x:c r="G2512" s="12" t="n">
        <x:f>MAX(G2511,F2512)</x:f>
        <x:v>147338.151385</x:v>
      </x:c>
      <x:c r="H2512" s="14" t="n">
        <x:f>F2512/G2512-1</x:f>
        <x:v>-0.005757639769643386</x:v>
      </x:c>
      <x:c r="I2512" s="14" t="n">
        <x:f>F2512/F2511-1</x:f>
        <x:v>-0.004096066697202638</x:v>
      </x:c>
      <x:c r="J2512" s="12" t="n">
        <x:v>0</x:v>
      </x:c>
      <x:c r="K2512" s="12" t="n">
        <x:v>0</x:v>
      </x:c>
      <x:c r="L2512" s="12" t="n">
        <x:v>0</x:v>
      </x:c>
      <x:c r="M2512" s="2" t="str">
        <x:v>持有</x:v>
      </x:c>
    </x:row>
    <x:row r="2513" ht="23" customHeight="1">
      <x:c r="A2513" s="11" t="d">
        <x:v>2024-12-18T00:00:00.000Z</x:v>
      </x:c>
      <x:c r="B2513" s="12" t="n">
        <x:v>855.941385</x:v>
      </x:c>
      <x:c r="C2513" s="13" t="n">
        <x:v>241</x:v>
      </x:c>
      <x:c r="D2513" s="12" t="n">
        <x:v>141293.47999999998</x:v>
      </x:c>
      <x:c r="E2513" s="12" t="n">
        <x:v>0</x:v>
      </x:c>
      <x:c r="F2513" s="12" t="n">
        <x:f>SUM(B2513,D2513:E2513)</x:f>
        <x:v>142149.421385</x:v>
      </x:c>
      <x:c r="G2513" s="12" t="n">
        <x:f>MAX(G2512,F2513)</x:f>
        <x:v>147338.151385</x:v>
      </x:c>
      <x:c r="H2513" s="14" t="n">
        <x:f>F2513/G2513-1</x:f>
        <x:v>-0.03521647279557394</x:v>
      </x:c>
      <x:c r="I2513" s="14" t="n">
        <x:f>F2513/F2512-1</x:f>
        <x:v>-0.029629428602403585</x:v>
      </x:c>
      <x:c r="J2513" s="12" t="n">
        <x:v>0</x:v>
      </x:c>
      <x:c r="K2513" s="12" t="n">
        <x:v>0</x:v>
      </x:c>
      <x:c r="L2513" s="12" t="n">
        <x:v>0</x:v>
      </x:c>
      <x:c r="M2513" s="2" t="str">
        <x:v>持有</x:v>
      </x:c>
    </x:row>
    <x:row r="2514" ht="23" customHeight="1">
      <x:c r="A2514" s="11" t="d">
        <x:v>2024-12-19T00:00:00.000Z</x:v>
      </x:c>
      <x:c r="B2514" s="12" t="n">
        <x:v>143231.183625</x:v>
      </x:c>
      <x:c r="C2514" s="13" t="n">
        <x:v>0</x:v>
      </x:c>
      <x:c r="D2514" s="12" t="n">
        <x:v>0</x:v>
      </x:c>
      <x:c r="E2514" s="12" t="n">
        <x:v>0</x:v>
      </x:c>
      <x:c r="F2514" s="12" t="n">
        <x:f>SUM(B2514,D2514:E2514)</x:f>
        <x:v>143231.183625</x:v>
      </x:c>
      <x:c r="G2514" s="12" t="n">
        <x:f>MAX(G2513,F2514)</x:f>
        <x:v>147338.151385</x:v>
      </x:c>
      <x:c r="H2514" s="14" t="n">
        <x:f>F2514/G2514-1</x:f>
        <x:v>-0.027874435245684226</x:v>
      </x:c>
      <x:c r="I2514" s="14" t="n">
        <x:f>F2514/F2513-1</x:f>
        <x:v>0.007610036182069013</x:v>
      </x:c>
      <x:c r="J2514" s="12" t="n">
        <x:v>0</x:v>
      </x:c>
      <x:c r="K2514" s="12" t="n">
        <x:v>0</x:v>
      </x:c>
      <x:c r="L2514" s="12" t="n">
        <x:v>-241</x:v>
      </x:c>
      <x:c r="M2514" s="2" t="str">
        <x:v>卖出</x:v>
      </x:c>
    </x:row>
    <x:row r="2515" ht="23" customHeight="1">
      <x:c r="A2515" s="11" t="d">
        <x:v>2024-12-20T00:00:00.000Z</x:v>
      </x:c>
      <x:c r="B2515" s="12" t="n">
        <x:v>143231.183625</x:v>
      </x:c>
      <x:c r="C2515" s="13" t="n">
        <x:v>0</x:v>
      </x:c>
      <x:c r="D2515" s="12" t="n">
        <x:v>0</x:v>
      </x:c>
      <x:c r="E2515" s="12" t="n">
        <x:v>0</x:v>
      </x:c>
      <x:c r="F2515" s="12" t="n">
        <x:f>SUM(B2515,D2515:E2515)</x:f>
        <x:v>143231.183625</x:v>
      </x:c>
      <x:c r="G2515" s="12" t="n">
        <x:f>MAX(G2514,F2515)</x:f>
        <x:v>147338.151385</x:v>
      </x:c>
      <x:c r="H2515" s="14" t="n">
        <x:f>F2515/G2515-1</x:f>
        <x:v>-0.027874435245684226</x:v>
      </x:c>
      <x:c r="I2515" s="14" t="n">
        <x:f>F2515/F2514-1</x:f>
        <x:v>0</x:v>
      </x:c>
      <x:c r="J2515" s="12" t="n">
        <x:v>0</x:v>
      </x:c>
      <x:c r="K2515" s="12" t="n">
        <x:v>0</x:v>
      </x:c>
      <x:c r="L2515" s="12" t="n">
        <x:v>0</x:v>
      </x:c>
      <x:c r="M2515" s="2" t="str">
        <x:v>空仓</x:v>
      </x:c>
    </x:row>
    <x:row r="2516" ht="23" customHeight="1">
      <x:c r="A2516" s="11" t="d">
        <x:v>2024-12-23T00:00:00.000Z</x:v>
      </x:c>
      <x:c r="B2516" s="12" t="n">
        <x:v>143231.183625</x:v>
      </x:c>
      <x:c r="C2516" s="13" t="n">
        <x:v>0</x:v>
      </x:c>
      <x:c r="D2516" s="12" t="n">
        <x:v>0</x:v>
      </x:c>
      <x:c r="E2516" s="12" t="n">
        <x:v>0</x:v>
      </x:c>
      <x:c r="F2516" s="12" t="n">
        <x:f>SUM(B2516,D2516:E2516)</x:f>
        <x:v>143231.183625</x:v>
      </x:c>
      <x:c r="G2516" s="12" t="n">
        <x:f>MAX(G2515,F2516)</x:f>
        <x:v>147338.151385</x:v>
      </x:c>
      <x:c r="H2516" s="14" t="n">
        <x:f>F2516/G2516-1</x:f>
        <x:v>-0.027874435245684226</x:v>
      </x:c>
      <x:c r="I2516" s="14" t="n">
        <x:f>F2516/F2515-1</x:f>
        <x:v>0</x:v>
      </x:c>
      <x:c r="J2516" s="12" t="n">
        <x:v>0</x:v>
      </x:c>
      <x:c r="K2516" s="12" t="n">
        <x:v>0</x:v>
      </x:c>
      <x:c r="L2516" s="12" t="n">
        <x:v>0</x:v>
      </x:c>
      <x:c r="M2516" s="2" t="str">
        <x:v>空仓</x:v>
      </x:c>
    </x:row>
    <x:row r="2517" ht="23" customHeight="1">
      <x:c r="A2517" s="11" t="d">
        <x:v>2024-12-24T00:00:00.000Z</x:v>
      </x:c>
      <x:c r="B2517" s="12" t="n">
        <x:v>33.729225</x:v>
      </x:c>
      <x:c r="C2517" s="13" t="n">
        <x:v>240</x:v>
      </x:c>
      <x:c r="D2517" s="12" t="n">
        <x:v>144312</x:v>
      </x:c>
      <x:c r="E2517" s="12" t="n">
        <x:v>0</x:v>
      </x:c>
      <x:c r="F2517" s="12" t="n">
        <x:f>SUM(B2517,D2517:E2517)</x:f>
        <x:v>144345.729225</x:v>
      </x:c>
      <x:c r="G2517" s="12" t="n">
        <x:f>MAX(G2516,F2517)</x:f>
        <x:v>147338.151385</x:v>
      </x:c>
      <x:c r="H2517" s="14" t="n">
        <x:f>F2517/G2517-1</x:f>
        <x:v>-0.020309893478849927</x:v>
      </x:c>
      <x:c r="I2517" s="14" t="n">
        <x:f>F2517/F2516-1</x:f>
        <x:v>0.007781445155951694</x:v>
      </x:c>
      <x:c r="J2517" s="12" t="n">
        <x:v>0</x:v>
      </x:c>
      <x:c r="K2517" s="12" t="n">
        <x:v>0</x:v>
      </x:c>
      <x:c r="L2517" s="12" t="n">
        <x:v>240</x:v>
      </x:c>
      <x:c r="M2517" s="2" t="str">
        <x:v>买入</x:v>
      </x:c>
    </x:row>
    <x:row r="2518" ht="23" customHeight="1">
      <x:c r="A2518" s="11" t="d">
        <x:v>2024-12-26T00:00:00.000Z</x:v>
      </x:c>
      <x:c r="B2518" s="12" t="n">
        <x:v>33.729225</x:v>
      </x:c>
      <x:c r="C2518" s="13" t="n">
        <x:v>240</x:v>
      </x:c>
      <x:c r="D2518" s="12" t="n">
        <x:v>144321.6</x:v>
      </x:c>
      <x:c r="E2518" s="12" t="n">
        <x:v>0</x:v>
      </x:c>
      <x:c r="F2518" s="12" t="n">
        <x:f>SUM(B2518,D2518:E2518)</x:f>
        <x:v>144355.329225</x:v>
      </x:c>
      <x:c r="G2518" s="12" t="n">
        <x:f>MAX(G2517,F2518)</x:f>
        <x:v>147338.151385</x:v>
      </x:c>
      <x:c r="H2518" s="14" t="n">
        <x:f>F2518/G2518-1</x:f>
        <x:v>-0.020244737238529487</x:v>
      </x:c>
      <x:c r="I2518" s="14" t="n">
        <x:f>F2518/F2517-1</x:f>
        <x:v>0.0000665069902070492</x:v>
      </x:c>
      <x:c r="J2518" s="12" t="n">
        <x:v>0</x:v>
      </x:c>
      <x:c r="K2518" s="12" t="n">
        <x:v>0</x:v>
      </x:c>
      <x:c r="L2518" s="12" t="n">
        <x:v>0</x:v>
      </x:c>
      <x:c r="M2518" s="2" t="str">
        <x:v>持有</x:v>
      </x:c>
    </x:row>
    <x:row r="2519" ht="23" customHeight="1">
      <x:c r="A2519" s="11" t="d">
        <x:v>2024-12-27T00:00:00.000Z</x:v>
      </x:c>
      <x:c r="B2519" s="12" t="n">
        <x:v>33.729225</x:v>
      </x:c>
      <x:c r="C2519" s="13" t="n">
        <x:v>240</x:v>
      </x:c>
      <x:c r="D2519" s="12" t="n">
        <x:v>142802.4</x:v>
      </x:c>
      <x:c r="E2519" s="12" t="n">
        <x:v>0</x:v>
      </x:c>
      <x:c r="F2519" s="12" t="n">
        <x:f>SUM(B2519,D2519:E2519)</x:f>
        <x:v>142836.12922499998</x:v>
      </x:c>
      <x:c r="G2519" s="12" t="n">
        <x:f>MAX(G2518,F2519)</x:f>
        <x:v>147338.151385</x:v>
      </x:c>
      <x:c r="H2519" s="14" t="n">
        <x:f>F2519/G2519-1</x:f>
        <x:v>-0.03055571226922804</x:v>
      </x:c>
      <x:c r="I2519" s="14" t="n">
        <x:f>F2519/F2518-1</x:f>
        <x:v>-0.010524031278624335</x:v>
      </x:c>
      <x:c r="J2519" s="12" t="n">
        <x:v>0</x:v>
      </x:c>
      <x:c r="K2519" s="12" t="n">
        <x:v>0</x:v>
      </x:c>
      <x:c r="L2519" s="12" t="n">
        <x:v>0</x:v>
      </x:c>
      <x:c r="M2519" s="2" t="str">
        <x:v>持有</x:v>
      </x:c>
    </x:row>
    <x:row r="2520" ht="23" customHeight="1">
      <x:c r="A2520" s="11" t="d">
        <x:v>2024-12-30T00:00:00.000Z</x:v>
      </x:c>
      <x:c r="B2520" s="12" t="n">
        <x:v>33.729225</x:v>
      </x:c>
      <x:c r="C2520" s="13" t="n">
        <x:v>240</x:v>
      </x:c>
      <x:c r="D2520" s="12" t="n">
        <x:v>141172.80000000002</x:v>
      </x:c>
      <x:c r="E2520" s="12" t="n">
        <x:v>0</x:v>
      </x:c>
      <x:c r="F2520" s="12" t="n">
        <x:f>SUM(B2520,D2520:E2520)</x:f>
        <x:v>141206.529225</x:v>
      </x:c>
      <x:c r="G2520" s="12" t="n">
        <x:f>MAX(G2519,F2520)</x:f>
        <x:v>147338.151385</x:v>
      </x:c>
      <x:c r="H2520" s="14" t="n">
        <x:f>F2520/G2520-1</x:f>
        <x:v>-0.041615984063610556</x:v>
      </x:c>
      <x:c r="I2520" s="14" t="n">
        <x:f>F2520/F2519-1</x:f>
        <x:v>-0.011408878193786554</x:v>
      </x:c>
      <x:c r="J2520" s="12" t="n">
        <x:v>0</x:v>
      </x:c>
      <x:c r="K2520" s="12" t="n">
        <x:v>0</x:v>
      </x:c>
      <x:c r="L2520" s="12" t="n">
        <x:v>0</x:v>
      </x:c>
      <x:c r="M2520" s="2" t="str">
        <x:v>持有</x:v>
      </x:c>
    </x:row>
    <x:row r="2521" ht="23" customHeight="1">
      <x:c r="A2521" s="11" t="d">
        <x:v>2024-12-31T00:00:00.000Z</x:v>
      </x:c>
      <x:c r="B2521" s="12" t="n">
        <x:v>141470.550825</x:v>
      </x:c>
      <x:c r="C2521" s="13" t="n">
        <x:v>0</x:v>
      </x:c>
      <x:c r="D2521" s="12" t="n">
        <x:v>0</x:v>
      </x:c>
      <x:c r="E2521" s="12" t="n">
        <x:v>0</x:v>
      </x:c>
      <x:c r="F2521" s="12" t="n">
        <x:f>SUM(B2521,D2521:E2521)</x:f>
        <x:v>141470.550825</x:v>
      </x:c>
      <x:c r="G2521" s="12" t="n">
        <x:f>MAX(G2520,F2521)</x:f>
        <x:v>147338.151385</x:v>
      </x:c>
      <x:c r="H2521" s="14" t="n">
        <x:f>F2521/G2521-1</x:f>
        <x:v>-0.039824040853259635</x:v>
      </x:c>
      <x:c r="I2521" s="14" t="n">
        <x:f>F2521/F2520-1</x:f>
        <x:v>0.0018697549004926817</x:v>
      </x:c>
      <x:c r="J2521" s="12" t="n">
        <x:v>0</x:v>
      </x:c>
      <x:c r="K2521" s="12" t="n">
        <x:v>0</x:v>
      </x:c>
      <x:c r="L2521" s="12" t="n">
        <x:v>-240</x:v>
      </x:c>
      <x:c r="M2521" s="2" t="str">
        <x:v>卖出</x:v>
      </x:c>
    </x:row>
    <x:row r="2522" ht="23" customHeight="1">
      <x:c r="A2522" s="11" t="d">
        <x:v>2025-01-02T00:00:00.000Z</x:v>
      </x:c>
      <x:c r="B2522" s="12" t="n">
        <x:v>141470.550825</x:v>
      </x:c>
      <x:c r="C2522" s="13" t="n">
        <x:v>0</x:v>
      </x:c>
      <x:c r="D2522" s="12" t="n">
        <x:v>0</x:v>
      </x:c>
      <x:c r="E2522" s="12" t="n">
        <x:v>0</x:v>
      </x:c>
      <x:c r="F2522" s="12" t="n">
        <x:f>SUM(B2522,D2522:E2522)</x:f>
        <x:v>141470.550825</x:v>
      </x:c>
      <x:c r="G2522" s="12" t="n">
        <x:f>MAX(G2521,F2522)</x:f>
        <x:v>147338.151385</x:v>
      </x:c>
      <x:c r="H2522" s="14" t="n">
        <x:f>F2522/G2522-1</x:f>
        <x:v>-0.039824040853259635</x:v>
      </x:c>
      <x:c r="I2522" s="14" t="n">
        <x:f>F2522/F2521-1</x:f>
        <x:v>0</x:v>
      </x:c>
      <x:c r="J2522" s="12" t="n">
        <x:v>0</x:v>
      </x:c>
      <x:c r="K2522" s="12" t="n">
        <x:v>0</x:v>
      </x:c>
      <x:c r="L2522" s="12" t="n">
        <x:v>0</x:v>
      </x:c>
      <x:c r="M2522" s="2" t="str">
        <x:v>空仓</x:v>
      </x:c>
    </x:row>
    <x:row r="2523" ht="23" customHeight="1">
      <x:c r="A2523" s="11" t="d">
        <x:v>2025-01-03T00:00:00.000Z</x:v>
      </x:c>
      <x:c r="B2523" s="12" t="n">
        <x:v>141470.550825</x:v>
      </x:c>
      <x:c r="C2523" s="13" t="n">
        <x:v>0</x:v>
      </x:c>
      <x:c r="D2523" s="12" t="n">
        <x:v>0</x:v>
      </x:c>
      <x:c r="E2523" s="12" t="n">
        <x:v>0</x:v>
      </x:c>
      <x:c r="F2523" s="12" t="n">
        <x:f>SUM(B2523,D2523:E2523)</x:f>
        <x:v>141470.550825</x:v>
      </x:c>
      <x:c r="G2523" s="12" t="n">
        <x:f>MAX(G2522,F2523)</x:f>
        <x:v>147338.151385</x:v>
      </x:c>
      <x:c r="H2523" s="14" t="n">
        <x:f>F2523/G2523-1</x:f>
        <x:v>-0.039824040853259635</x:v>
      </x:c>
      <x:c r="I2523" s="14" t="n">
        <x:f>F2523/F2522-1</x:f>
        <x:v>0</x:v>
      </x:c>
      <x:c r="J2523" s="12" t="n">
        <x:v>0</x:v>
      </x:c>
      <x:c r="K2523" s="12" t="n">
        <x:v>0</x:v>
      </x:c>
      <x:c r="L2523" s="12" t="n">
        <x:v>0</x:v>
      </x:c>
      <x:c r="M2523" s="2" t="str">
        <x:v>空仓</x:v>
      </x:c>
    </x:row>
    <x:row r="2524" ht="23" customHeight="1">
      <x:c r="A2524" s="11" t="d">
        <x:v>2025-01-06T00:00:00.000Z</x:v>
      </x:c>
      <x:c r="B2524" s="12" t="n">
        <x:v>141470.550825</x:v>
      </x:c>
      <x:c r="C2524" s="13" t="n">
        <x:v>0</x:v>
      </x:c>
      <x:c r="D2524" s="12" t="n">
        <x:v>0</x:v>
      </x:c>
      <x:c r="E2524" s="12" t="n">
        <x:v>0</x:v>
      </x:c>
      <x:c r="F2524" s="12" t="n">
        <x:f>SUM(B2524,D2524:E2524)</x:f>
        <x:v>141470.550825</x:v>
      </x:c>
      <x:c r="G2524" s="12" t="n">
        <x:f>MAX(G2523,F2524)</x:f>
        <x:v>147338.151385</x:v>
      </x:c>
      <x:c r="H2524" s="14" t="n">
        <x:f>F2524/G2524-1</x:f>
        <x:v>-0.039824040853259635</x:v>
      </x:c>
      <x:c r="I2524" s="14" t="n">
        <x:f>F2524/F2523-1</x:f>
        <x:v>0</x:v>
      </x:c>
      <x:c r="J2524" s="12" t="n">
        <x:v>0</x:v>
      </x:c>
      <x:c r="K2524" s="12" t="n">
        <x:v>0</x:v>
      </x:c>
      <x:c r="L2524" s="12" t="n">
        <x:v>0</x:v>
      </x:c>
      <x:c r="M2524" s="2" t="str">
        <x:v>空仓</x:v>
      </x:c>
    </x:row>
    <x:row r="2525" ht="23" customHeight="1">
      <x:c r="A2525" s="11" t="d">
        <x:v>2025-01-07T00:00:00.000Z</x:v>
      </x:c>
      <x:c r="B2525" s="12" t="n">
        <x:v>338.439705</x:v>
      </x:c>
      <x:c r="C2525" s="13" t="n">
        <x:v>236</x:v>
      </x:c>
      <x:c r="D2525" s="12" t="n">
        <x:v>138916.68</x:v>
      </x:c>
      <x:c r="E2525" s="12" t="n">
        <x:v>0</x:v>
      </x:c>
      <x:c r="F2525" s="12" t="n">
        <x:f>SUM(B2525,D2525:E2525)</x:f>
        <x:v>139255.119705</x:v>
      </x:c>
      <x:c r="G2525" s="12" t="n">
        <x:f>MAX(G2524,F2525)</x:f>
        <x:v>147338.151385</x:v>
      </x:c>
      <x:c r="H2525" s="14" t="n">
        <x:f>F2525/G2525-1</x:f>
        <x:v>-0.05486041194367064</x:v>
      </x:c>
      <x:c r="I2525" s="14" t="n">
        <x:f>F2525/F2524-1</x:f>
        <x:v>-0.01566001621595814</x:v>
      </x:c>
      <x:c r="J2525" s="12" t="n">
        <x:v>0</x:v>
      </x:c>
      <x:c r="K2525" s="12" t="n">
        <x:v>0</x:v>
      </x:c>
      <x:c r="L2525" s="12" t="n">
        <x:v>236</x:v>
      </x:c>
      <x:c r="M2525" s="2" t="str">
        <x:v>买入</x:v>
      </x:c>
    </x:row>
    <x:row r="2526" ht="23" customHeight="1">
      <x:c r="A2526" s="11" t="d">
        <x:v>2025-01-08T00:00:00.000Z</x:v>
      </x:c>
      <x:c r="B2526" s="12" t="n">
        <x:v>139132.706505</x:v>
      </x:c>
      <x:c r="C2526" s="13" t="n">
        <x:v>0</x:v>
      </x:c>
      <x:c r="D2526" s="12" t="n">
        <x:v>0</x:v>
      </x:c>
      <x:c r="E2526" s="12" t="n">
        <x:v>0</x:v>
      </x:c>
      <x:c r="F2526" s="12" t="n">
        <x:f>SUM(B2526,D2526:E2526)</x:f>
        <x:v>139132.706505</x:v>
      </x:c>
      <x:c r="G2526" s="12" t="n">
        <x:f>MAX(G2525,F2526)</x:f>
        <x:v>147338.151385</x:v>
      </x:c>
      <x:c r="H2526" s="14" t="n">
        <x:f>F2526/G2526-1</x:f>
        <x:v>-0.055691243597585705</x:v>
      </x:c>
      <x:c r="I2526" s="14" t="n">
        <x:f>F2526/F2525-1</x:f>
        <x:v>-0.0008790570878780546</x:v>
      </x:c>
      <x:c r="J2526" s="12" t="n">
        <x:v>0</x:v>
      </x:c>
      <x:c r="K2526" s="12" t="n">
        <x:v>0</x:v>
      </x:c>
      <x:c r="L2526" s="12" t="n">
        <x:v>-236</x:v>
      </x:c>
      <x:c r="M2526" s="2" t="str">
        <x:v>卖出</x:v>
      </x:c>
    </x:row>
    <x:row r="2527" ht="23" customHeight="1">
      <x:c r="A2527" s="11" t="d">
        <x:v>2025-01-10T00:00:00.000Z</x:v>
      </x:c>
      <x:c r="B2527" s="12" t="n">
        <x:v>139132.706505</x:v>
      </x:c>
      <x:c r="C2527" s="13" t="n">
        <x:v>0</x:v>
      </x:c>
      <x:c r="D2527" s="12" t="n">
        <x:v>0</x:v>
      </x:c>
      <x:c r="E2527" s="12" t="n">
        <x:v>0</x:v>
      </x:c>
      <x:c r="F2527" s="12" t="n">
        <x:f>SUM(B2527,D2527:E2527)</x:f>
        <x:v>139132.706505</x:v>
      </x:c>
      <x:c r="G2527" s="12" t="n">
        <x:f>MAX(G2526,F2527)</x:f>
        <x:v>147338.151385</x:v>
      </x:c>
      <x:c r="H2527" s="14" t="n">
        <x:f>F2527/G2527-1</x:f>
        <x:v>-0.055691243597585705</x:v>
      </x:c>
      <x:c r="I2527" s="14" t="n">
        <x:f>F2527/F2526-1</x:f>
        <x:v>0</x:v>
      </x:c>
      <x:c r="J2527" s="12" t="n">
        <x:v>0</x:v>
      </x:c>
      <x:c r="K2527" s="12" t="n">
        <x:v>0</x:v>
      </x:c>
      <x:c r="L2527" s="12" t="n">
        <x:v>0</x:v>
      </x:c>
      <x:c r="M2527" s="2" t="str">
        <x:v>空仓</x:v>
      </x:c>
    </x:row>
    <x:row r="2528" ht="23" customHeight="1">
      <x:c r="A2528" s="11" t="d">
        <x:v>2025-01-13T00:00:00.000Z</x:v>
      </x:c>
      <x:c r="B2528" s="12" t="n">
        <x:v>139132.706505</x:v>
      </x:c>
      <x:c r="C2528" s="13" t="n">
        <x:v>0</x:v>
      </x:c>
      <x:c r="D2528" s="12" t="n">
        <x:v>0</x:v>
      </x:c>
      <x:c r="E2528" s="12" t="n">
        <x:v>0</x:v>
      </x:c>
      <x:c r="F2528" s="12" t="n">
        <x:f>SUM(B2528,D2528:E2528)</x:f>
        <x:v>139132.706505</x:v>
      </x:c>
      <x:c r="G2528" s="12" t="n">
        <x:f>MAX(G2527,F2528)</x:f>
        <x:v>147338.151385</x:v>
      </x:c>
      <x:c r="H2528" s="14" t="n">
        <x:f>F2528/G2528-1</x:f>
        <x:v>-0.055691243597585705</x:v>
      </x:c>
      <x:c r="I2528" s="14" t="n">
        <x:f>F2528/F2527-1</x:f>
        <x:v>0</x:v>
      </x:c>
      <x:c r="J2528" s="12" t="n">
        <x:v>0</x:v>
      </x:c>
      <x:c r="K2528" s="12" t="n">
        <x:v>0</x:v>
      </x:c>
      <x:c r="L2528" s="12" t="n">
        <x:v>0</x:v>
      </x:c>
      <x:c r="M2528" s="2" t="str">
        <x:v>空仓</x:v>
      </x:c>
    </x:row>
    <x:row r="2529" ht="23" customHeight="1">
      <x:c r="A2529" s="11" t="d">
        <x:v>2025-01-14T00:00:00.000Z</x:v>
      </x:c>
      <x:c r="B2529" s="12" t="n">
        <x:v>139132.706505</x:v>
      </x:c>
      <x:c r="C2529" s="13" t="n">
        <x:v>0</x:v>
      </x:c>
      <x:c r="D2529" s="12" t="n">
        <x:v>0</x:v>
      </x:c>
      <x:c r="E2529" s="12" t="n">
        <x:v>0</x:v>
      </x:c>
      <x:c r="F2529" s="12" t="n">
        <x:f>SUM(B2529,D2529:E2529)</x:f>
        <x:v>139132.706505</x:v>
      </x:c>
      <x:c r="G2529" s="12" t="n">
        <x:f>MAX(G2528,F2529)</x:f>
        <x:v>147338.151385</x:v>
      </x:c>
      <x:c r="H2529" s="14" t="n">
        <x:f>F2529/G2529-1</x:f>
        <x:v>-0.055691243597585705</x:v>
      </x:c>
      <x:c r="I2529" s="14" t="n">
        <x:f>F2529/F2528-1</x:f>
        <x:v>0</x:v>
      </x:c>
      <x:c r="J2529" s="12" t="n">
        <x:v>0</x:v>
      </x:c>
      <x:c r="K2529" s="12" t="n">
        <x:v>0</x:v>
      </x:c>
      <x:c r="L2529" s="12" t="n">
        <x:v>0</x:v>
      </x:c>
      <x:c r="M2529" s="2" t="str">
        <x:v>空仓</x:v>
      </x:c>
    </x:row>
    <x:row r="2530" ht="23" customHeight="1">
      <x:c r="A2530" s="11" t="d">
        <x:v>2025-01-15T00:00:00.000Z</x:v>
      </x:c>
      <x:c r="B2530" s="12" t="n">
        <x:v>139132.706505</x:v>
      </x:c>
      <x:c r="C2530" s="13" t="n">
        <x:v>0</x:v>
      </x:c>
      <x:c r="D2530" s="12" t="n">
        <x:v>0</x:v>
      </x:c>
      <x:c r="E2530" s="12" t="n">
        <x:v>0</x:v>
      </x:c>
      <x:c r="F2530" s="12" t="n">
        <x:f>SUM(B2530,D2530:E2530)</x:f>
        <x:v>139132.706505</x:v>
      </x:c>
      <x:c r="G2530" s="12" t="n">
        <x:f>MAX(G2529,F2530)</x:f>
        <x:v>147338.151385</x:v>
      </x:c>
      <x:c r="H2530" s="14" t="n">
        <x:f>F2530/G2530-1</x:f>
        <x:v>-0.055691243597585705</x:v>
      </x:c>
      <x:c r="I2530" s="14" t="n">
        <x:f>F2530/F2529-1</x:f>
        <x:v>0</x:v>
      </x:c>
      <x:c r="J2530" s="12" t="n">
        <x:v>0</x:v>
      </x:c>
      <x:c r="K2530" s="12" t="n">
        <x:v>0</x:v>
      </x:c>
      <x:c r="L2530" s="12" t="n">
        <x:v>0</x:v>
      </x:c>
      <x:c r="M2530" s="2" t="str">
        <x:v>空仓</x:v>
      </x:c>
    </x:row>
    <x:row r="2531" ht="23" customHeight="1">
      <x:c r="A2531" s="11" t="d">
        <x:v>2025-01-16T00:00:00.000Z</x:v>
      </x:c>
      <x:c r="B2531" s="12" t="n">
        <x:v>139132.706505</x:v>
      </x:c>
      <x:c r="C2531" s="13" t="n">
        <x:v>0</x:v>
      </x:c>
      <x:c r="D2531" s="12" t="n">
        <x:v>0</x:v>
      </x:c>
      <x:c r="E2531" s="12" t="n">
        <x:v>0</x:v>
      </x:c>
      <x:c r="F2531" s="12" t="n">
        <x:f>SUM(B2531,D2531:E2531)</x:f>
        <x:v>139132.706505</x:v>
      </x:c>
      <x:c r="G2531" s="12" t="n">
        <x:f>MAX(G2530,F2531)</x:f>
        <x:v>147338.151385</x:v>
      </x:c>
      <x:c r="H2531" s="14" t="n">
        <x:f>F2531/G2531-1</x:f>
        <x:v>-0.055691243597585705</x:v>
      </x:c>
      <x:c r="I2531" s="14" t="n">
        <x:f>F2531/F2530-1</x:f>
        <x:v>0</x:v>
      </x:c>
      <x:c r="J2531" s="12" t="n">
        <x:v>0</x:v>
      </x:c>
      <x:c r="K2531" s="12" t="n">
        <x:v>0</x:v>
      </x:c>
      <x:c r="L2531" s="12" t="n">
        <x:v>0</x:v>
      </x:c>
      <x:c r="M2531" s="2" t="str">
        <x:v>空仓</x:v>
      </x:c>
    </x:row>
    <x:row r="2532" ht="23" customHeight="1">
      <x:c r="A2532" s="11" t="d">
        <x:v>2025-01-17T00:00:00.000Z</x:v>
      </x:c>
      <x:c r="B2532" s="12" t="n">
        <x:v>139132.706505</x:v>
      </x:c>
      <x:c r="C2532" s="13" t="n">
        <x:v>0</x:v>
      </x:c>
      <x:c r="D2532" s="12" t="n">
        <x:v>0</x:v>
      </x:c>
      <x:c r="E2532" s="12" t="n">
        <x:v>0</x:v>
      </x:c>
      <x:c r="F2532" s="12" t="n">
        <x:f>SUM(B2532,D2532:E2532)</x:f>
        <x:v>139132.706505</x:v>
      </x:c>
      <x:c r="G2532" s="12" t="n">
        <x:f>MAX(G2531,F2532)</x:f>
        <x:v>147338.151385</x:v>
      </x:c>
      <x:c r="H2532" s="14" t="n">
        <x:f>F2532/G2532-1</x:f>
        <x:v>-0.055691243597585705</x:v>
      </x:c>
      <x:c r="I2532" s="14" t="n">
        <x:f>F2532/F2531-1</x:f>
        <x:v>0</x:v>
      </x:c>
      <x:c r="J2532" s="12" t="n">
        <x:v>0</x:v>
      </x:c>
      <x:c r="K2532" s="12" t="n">
        <x:v>0</x:v>
      </x:c>
      <x:c r="L2532" s="12" t="n">
        <x:v>0</x:v>
      </x:c>
      <x:c r="M2532" s="2" t="str">
        <x:v>空仓</x:v>
      </x:c>
    </x:row>
    <x:row r="2533" ht="23" customHeight="1">
      <x:c r="A2533" s="11" t="d">
        <x:v>2025-01-21T00:00:00.000Z</x:v>
      </x:c>
      <x:c r="B2533" s="12" t="n">
        <x:v>239.181735</x:v>
      </x:c>
      <x:c r="C2533" s="13" t="n">
        <x:v>231</x:v>
      </x:c>
      <x:c r="D2533" s="12" t="n">
        <x:v>139304.55</x:v>
      </x:c>
      <x:c r="E2533" s="12" t="n">
        <x:v>0</x:v>
      </x:c>
      <x:c r="F2533" s="12" t="n">
        <x:f>SUM(B2533,D2533:E2533)</x:f>
        <x:v>139543.73173499998</x:v>
      </x:c>
      <x:c r="G2533" s="12" t="n">
        <x:f>MAX(G2532,F2533)</x:f>
        <x:v>147338.151385</x:v>
      </x:c>
      <x:c r="H2533" s="14" t="n">
        <x:f>F2533/G2533-1</x:f>
        <x:v>-0.05290157082012603</x:v>
      </x:c>
      <x:c r="I2533" s="14" t="n">
        <x:f>F2533/F2532-1</x:f>
        <x:v>0.002954195604505161</x:v>
      </x:c>
      <x:c r="J2533" s="12" t="n">
        <x:v>0</x:v>
      </x:c>
      <x:c r="K2533" s="12" t="n">
        <x:v>0</x:v>
      </x:c>
      <x:c r="L2533" s="12" t="n">
        <x:v>231</x:v>
      </x:c>
      <x:c r="M2533" s="2" t="str">
        <x:v>买入</x:v>
      </x:c>
    </x:row>
    <x:row r="2534" ht="23" customHeight="1">
      <x:c r="A2534" s="11" t="d">
        <x:v>2025-01-22T00:00:00.000Z</x:v>
      </x:c>
      <x:c r="B2534" s="12" t="n">
        <x:v>239.181735</x:v>
      </x:c>
      <x:c r="C2534" s="13" t="n">
        <x:v>231</x:v>
      </x:c>
      <x:c r="D2534" s="12" t="n">
        <x:v>140087.64</x:v>
      </x:c>
      <x:c r="E2534" s="12" t="n">
        <x:v>0</x:v>
      </x:c>
      <x:c r="F2534" s="12" t="n">
        <x:f>SUM(B2534,D2534:E2534)</x:f>
        <x:v>140326.821735</x:v>
      </x:c>
      <x:c r="G2534" s="12" t="n">
        <x:f>MAX(G2533,F2534)</x:f>
        <x:v>147338.151385</x:v>
      </x:c>
      <x:c r="H2534" s="14" t="n">
        <x:f>F2534/G2534-1</x:f>
        <x:v>-0.04758665412924268</x:v>
      </x:c>
      <x:c r="I2534" s="14" t="n">
        <x:f>F2534/F2533-1</x:f>
        <x:v>0.0056117891521429986</x:v>
      </x:c>
      <x:c r="J2534" s="12" t="n">
        <x:v>0</x:v>
      </x:c>
      <x:c r="K2534" s="12" t="n">
        <x:v>0</x:v>
      </x:c>
      <x:c r="L2534" s="12" t="n">
        <x:v>0</x:v>
      </x:c>
      <x:c r="M2534" s="2" t="str">
        <x:v>持有</x:v>
      </x:c>
    </x:row>
    <x:row r="2535" ht="23" customHeight="1">
      <x:c r="A2535" s="11" t="d">
        <x:v>2025-01-23T00:00:00.000Z</x:v>
      </x:c>
      <x:c r="B2535" s="12" t="n">
        <x:v>239.181735</x:v>
      </x:c>
      <x:c r="C2535" s="13" t="n">
        <x:v>231</x:v>
      </x:c>
      <x:c r="D2535" s="12" t="n">
        <x:v>140852.25</x:v>
      </x:c>
      <x:c r="E2535" s="12" t="n">
        <x:v>0</x:v>
      </x:c>
      <x:c r="F2535" s="12" t="n">
        <x:f>SUM(B2535,D2535:E2535)</x:f>
        <x:v>141091.431735</x:v>
      </x:c>
      <x:c r="G2535" s="12" t="n">
        <x:f>MAX(G2534,F2535)</x:f>
        <x:v>147338.151385</x:v>
      </x:c>
      <x:c r="H2535" s="14" t="n">
        <x:f>F2535/G2535-1</x:f>
        <x:v>-0.04239716320097642</x:v>
      </x:c>
      <x:c r="I2535" s="14" t="n">
        <x:f>F2535/F2534-1</x:f>
        <x:v>0.0054487801444254025</x:v>
      </x:c>
      <x:c r="J2535" s="12" t="n">
        <x:v>0</x:v>
      </x:c>
      <x:c r="K2535" s="12" t="n">
        <x:v>0</x:v>
      </x:c>
      <x:c r="L2535" s="12" t="n">
        <x:v>0</x:v>
      </x:c>
      <x:c r="M2535" s="2" t="str">
        <x:v>持有</x:v>
      </x:c>
    </x:row>
    <x:row r="2536" ht="23" customHeight="1">
      <x:c r="A2536" s="11" t="d">
        <x:v>2025-01-24T00:00:00.000Z</x:v>
      </x:c>
      <x:c r="B2536" s="12" t="n">
        <x:v>239.181735</x:v>
      </x:c>
      <x:c r="C2536" s="13" t="n">
        <x:v>231</x:v>
      </x:c>
      <x:c r="D2536" s="12" t="n">
        <x:v>140441.07</x:v>
      </x:c>
      <x:c r="E2536" s="12" t="n">
        <x:v>0</x:v>
      </x:c>
      <x:c r="F2536" s="12" t="n">
        <x:f>SUM(B2536,D2536:E2536)</x:f>
        <x:v>140680.251735</x:v>
      </x:c>
      <x:c r="G2536" s="12" t="n">
        <x:f>MAX(G2535,F2536)</x:f>
        <x:v>147338.151385</x:v>
      </x:c>
      <x:c r="H2536" s="14" t="n">
        <x:f>F2536/G2536-1</x:f>
        <x:v>-0.04518788641919813</x:v>
      </x:c>
      <x:c r="I2536" s="14" t="n">
        <x:f>F2536/F2535-1</x:f>
        <x:v>-0.0029142804417229273</x:v>
      </x:c>
      <x:c r="J2536" s="12" t="n">
        <x:v>0</x:v>
      </x:c>
      <x:c r="K2536" s="12" t="n">
        <x:v>0</x:v>
      </x:c>
      <x:c r="L2536" s="12" t="n">
        <x:v>0</x:v>
      </x:c>
      <x:c r="M2536" s="2" t="str">
        <x:v>持有</x:v>
      </x:c>
    </x:row>
    <x:row r="2537" ht="23" customHeight="1">
      <x:c r="A2537" s="11" t="d">
        <x:v>2025-01-27T00:00:00.000Z</x:v>
      </x:c>
      <x:c r="B2537" s="12" t="n">
        <x:v>239.181735</x:v>
      </x:c>
      <x:c r="C2537" s="13" t="n">
        <x:v>231</x:v>
      </x:c>
      <x:c r="D2537" s="12" t="n">
        <x:v>138454.47</x:v>
      </x:c>
      <x:c r="E2537" s="12" t="n">
        <x:v>0</x:v>
      </x:c>
      <x:c r="F2537" s="12" t="n">
        <x:f>SUM(B2537,D2537:E2537)</x:f>
        <x:v>138693.651735</x:v>
      </x:c>
      <x:c r="G2537" s="12" t="n">
        <x:f>MAX(G2536,F2537)</x:f>
        <x:v>147338.151385</x:v>
      </x:c>
      <x:c r="H2537" s="14" t="n">
        <x:f>F2537/G2537-1</x:f>
        <x:v>-0.058671155900494654</x:v>
      </x:c>
      <x:c r="I2537" s="14" t="n">
        <x:f>F2537/F2536-1</x:f>
        <x:v>-0.014121385023835309</x:v>
      </x:c>
      <x:c r="J2537" s="12" t="n">
        <x:v>0</x:v>
      </x:c>
      <x:c r="K2537" s="12" t="n">
        <x:v>0</x:v>
      </x:c>
      <x:c r="L2537" s="12" t="n">
        <x:v>0</x:v>
      </x:c>
      <x:c r="M2537" s="2" t="str">
        <x:v>持有</x:v>
      </x:c>
    </x:row>
    <x:row r="2538" ht="23" customHeight="1">
      <x:c r="A2538" s="11" t="d">
        <x:v>2025-01-28T00:00:00.000Z</x:v>
      </x:c>
      <x:c r="B2538" s="12" t="n">
        <x:v>239.181735</x:v>
      </x:c>
      <x:c r="C2538" s="13" t="n">
        <x:v>231</x:v>
      </x:c>
      <x:c r="D2538" s="12" t="n">
        <x:v>139644.12</x:v>
      </x:c>
      <x:c r="E2538" s="12" t="n">
        <x:v>0</x:v>
      </x:c>
      <x:c r="F2538" s="12" t="n">
        <x:f>SUM(B2538,D2538:E2538)</x:f>
        <x:v>139883.301735</x:v>
      </x:c>
      <x:c r="G2538" s="12" t="n">
        <x:f>MAX(G2537,F2538)</x:f>
        <x:v>147338.151385</x:v>
      </x:c>
      <x:c r="H2538" s="14" t="n">
        <x:f>F2538/G2538-1</x:f>
        <x:v>-0.050596872432043916</x:v>
      </x:c>
      <x:c r="I2538" s="14" t="n">
        <x:f>F2538/F2537-1</x:f>
        <x:v>0.008577537508876354</x:v>
      </x:c>
      <x:c r="J2538" s="12" t="n">
        <x:v>0</x:v>
      </x:c>
      <x:c r="K2538" s="12" t="n">
        <x:v>0</x:v>
      </x:c>
      <x:c r="L2538" s="12" t="n">
        <x:v>0</x:v>
      </x:c>
      <x:c r="M2538" s="2" t="str">
        <x:v>持有</x:v>
      </x:c>
    </x:row>
    <x:row r="2539" ht="23" customHeight="1">
      <x:c r="A2539" s="11" t="d">
        <x:v>2025-01-29T00:00:00.000Z</x:v>
      </x:c>
      <x:c r="B2539" s="12" t="n">
        <x:v>239.181735</x:v>
      </x:c>
      <x:c r="C2539" s="13" t="n">
        <x:v>231</x:v>
      </x:c>
      <x:c r="D2539" s="12" t="n">
        <x:v>139018.11</x:v>
      </x:c>
      <x:c r="E2539" s="12" t="n">
        <x:v>0</x:v>
      </x:c>
      <x:c r="F2539" s="12" t="n">
        <x:f>SUM(B2539,D2539:E2539)</x:f>
        <x:v>139257.29173499998</x:v>
      </x:c>
      <x:c r="G2539" s="12" t="n">
        <x:f>MAX(G2538,F2539)</x:f>
        <x:v>147338.151385</x:v>
      </x:c>
      <x:c r="H2539" s="14" t="n">
        <x:f>F2539/G2539-1</x:f>
        <x:v>-0.05484567014068509</x:v>
      </x:c>
      <x:c r="I2539" s="14" t="n">
        <x:f>F2539/F2538-1</x:f>
        <x:v>-0.004475230368710781</x:v>
      </x:c>
      <x:c r="J2539" s="12" t="n">
        <x:v>0</x:v>
      </x:c>
      <x:c r="K2539" s="12" t="n">
        <x:v>0</x:v>
      </x:c>
      <x:c r="L2539" s="12" t="n">
        <x:v>0</x:v>
      </x:c>
      <x:c r="M2539" s="2" t="str">
        <x:v>持有</x:v>
      </x:c>
    </x:row>
    <x:row r="2540" ht="23" customHeight="1">
      <x:c r="A2540" s="11" t="d">
        <x:v>2025-01-30T00:00:00.000Z</x:v>
      </x:c>
      <x:c r="B2540" s="12" t="n">
        <x:v>239.181735</x:v>
      </x:c>
      <x:c r="C2540" s="13" t="n">
        <x:v>231</x:v>
      </x:c>
      <x:c r="D2540" s="12" t="n">
        <x:v>139764.24</x:v>
      </x:c>
      <x:c r="E2540" s="12" t="n">
        <x:v>0</x:v>
      </x:c>
      <x:c r="F2540" s="12" t="n">
        <x:f>SUM(B2540,D2540:E2540)</x:f>
        <x:v>140003.42173499998</x:v>
      </x:c>
      <x:c r="G2540" s="12" t="n">
        <x:f>MAX(G2539,F2540)</x:f>
        <x:v>147338.151385</x:v>
      </x:c>
      <x:c r="H2540" s="14" t="n">
        <x:f>F2540/G2540-1</x:f>
        <x:v>-0.049781604975035365</x:v>
      </x:c>
      <x:c r="I2540" s="14" t="n">
        <x:f>F2540/F2539-1</x:f>
        <x:v>0.005357924103678968</x:v>
      </x:c>
      <x:c r="J2540" s="12" t="n">
        <x:v>0</x:v>
      </x:c>
      <x:c r="K2540" s="12" t="n">
        <x:v>0</x:v>
      </x:c>
      <x:c r="L2540" s="12" t="n">
        <x:v>0</x:v>
      </x:c>
      <x:c r="M2540" s="2" t="str">
        <x:v>持有</x:v>
      </x:c>
    </x:row>
    <x:row r="2541" ht="23" customHeight="1">
      <x:c r="A2541" s="11" t="d">
        <x:v>2025-01-31T00:00:00.000Z</x:v>
      </x:c>
      <x:c r="B2541" s="12" t="n">
        <x:v>239.181735</x:v>
      </x:c>
      <x:c r="C2541" s="13" t="n">
        <x:v>231</x:v>
      </x:c>
      <x:c r="D2541" s="12" t="n">
        <x:v>139020.42</x:v>
      </x:c>
      <x:c r="E2541" s="12" t="n">
        <x:v>0</x:v>
      </x:c>
      <x:c r="F2541" s="12" t="n">
        <x:f>SUM(B2541,D2541:E2541)</x:f>
        <x:v>139259.601735</x:v>
      </x:c>
      <x:c r="G2541" s="12" t="n">
        <x:f>MAX(G2540,F2541)</x:f>
        <x:v>147338.151385</x:v>
      </x:c>
      <x:c r="H2541" s="14" t="n">
        <x:f>F2541/G2541-1</x:f>
        <x:v>-0.05482999192035776</x:v>
      </x:c>
      <x:c r="I2541" s="14" t="n">
        <x:f>F2541/F2540-1</x:f>
        <x:v>-0.005312870148330262</x:v>
      </x:c>
      <x:c r="J2541" s="12" t="n">
        <x:v>0</x:v>
      </x:c>
      <x:c r="K2541" s="12" t="n">
        <x:v>0</x:v>
      </x:c>
      <x:c r="L2541" s="12" t="n">
        <x:v>0</x:v>
      </x:c>
      <x:c r="M2541" s="2" t="str">
        <x:v>持有</x:v>
      </x:c>
    </x:row>
    <x:row r="2542" ht="23" customHeight="1">
      <x:c r="A2542" s="11" t="d">
        <x:v>2025-02-03T00:00:00.000Z</x:v>
      </x:c>
      <x:c r="B2542" s="12" t="n">
        <x:v>239.181735</x:v>
      </x:c>
      <x:c r="C2542" s="13" t="n">
        <x:v>231</x:v>
      </x:c>
      <x:c r="D2542" s="12" t="n">
        <x:v>138084.87</x:v>
      </x:c>
      <x:c r="E2542" s="12" t="n">
        <x:v>0</x:v>
      </x:c>
      <x:c r="F2542" s="12" t="n">
        <x:f>SUM(B2542,D2542:E2542)</x:f>
        <x:v>138324.051735</x:v>
      </x:c>
      <x:c r="G2542" s="12" t="n">
        <x:f>MAX(G2541,F2542)</x:f>
        <x:v>147338.151385</x:v>
      </x:c>
      <x:c r="H2542" s="14" t="n">
        <x:f>F2542/G2542-1</x:f>
        <x:v>-0.06117967115282885</x:v>
      </x:c>
      <x:c r="I2542" s="14" t="n">
        <x:f>F2542/F2541-1</x:f>
        <x:v>-0.006718028691337863</x:v>
      </x:c>
      <x:c r="J2542" s="12" t="n">
        <x:v>0</x:v>
      </x:c>
      <x:c r="K2542" s="12" t="n">
        <x:v>0</x:v>
      </x:c>
      <x:c r="L2542" s="12" t="n">
        <x:v>0</x:v>
      </x:c>
      <x:c r="M2542" s="2" t="str">
        <x:v>持有</x:v>
      </x:c>
    </x:row>
    <x:row r="2543" ht="23" customHeight="1">
      <x:c r="A2543" s="11" t="d">
        <x:v>2025-02-04T00:00:00.000Z</x:v>
      </x:c>
      <x:c r="B2543" s="12" t="n">
        <x:v>239.181735</x:v>
      </x:c>
      <x:c r="C2543" s="13" t="n">
        <x:v>231</x:v>
      </x:c>
      <x:c r="D2543" s="12" t="n">
        <x:v>139011.18</x:v>
      </x:c>
      <x:c r="E2543" s="12" t="n">
        <x:v>0</x:v>
      </x:c>
      <x:c r="F2543" s="12" t="n">
        <x:f>SUM(B2543,D2543:E2543)</x:f>
        <x:v>139250.36173499998</x:v>
      </x:c>
      <x:c r="G2543" s="12" t="n">
        <x:f>MAX(G2542,F2543)</x:f>
        <x:v>147338.151385</x:v>
      </x:c>
      <x:c r="H2543" s="14" t="n">
        <x:f>F2543/G2543-1</x:f>
        <x:v>-0.0548927048016663</x:v>
      </x:c>
      <x:c r="I2543" s="14" t="n">
        <x:f>F2543/F2542-1</x:f>
        <x:v>0.006696666186258193</x:v>
      </x:c>
      <x:c r="J2543" s="12" t="n">
        <x:v>0</x:v>
      </x:c>
      <x:c r="K2543" s="12" t="n">
        <x:v>0</x:v>
      </x:c>
      <x:c r="L2543" s="12" t="n">
        <x:v>0</x:v>
      </x:c>
      <x:c r="M2543" s="2" t="str">
        <x:v>持有</x:v>
      </x:c>
    </x:row>
    <x:row r="2544" ht="23" customHeight="1">
      <x:c r="A2544" s="11" t="d">
        <x:v>2025-02-05T00:00:00.000Z</x:v>
      </x:c>
      <x:c r="B2544" s="12" t="n">
        <x:v>239.181735</x:v>
      </x:c>
      <x:c r="C2544" s="13" t="n">
        <x:v>231</x:v>
      </x:c>
      <x:c r="D2544" s="12" t="n">
        <x:v>139574.82</x:v>
      </x:c>
      <x:c r="E2544" s="12" t="n">
        <x:v>0</x:v>
      </x:c>
      <x:c r="F2544" s="12" t="n">
        <x:f>SUM(B2544,D2544:E2544)</x:f>
        <x:v>139814.001735</x:v>
      </x:c>
      <x:c r="G2544" s="12" t="n">
        <x:f>MAX(G2543,F2544)</x:f>
        <x:v>147338.151385</x:v>
      </x:c>
      <x:c r="H2544" s="14" t="n">
        <x:f>F2544/G2544-1</x:f>
        <x:v>-0.051067219041856515</x:v>
      </x:c>
      <x:c r="I2544" s="14" t="n">
        <x:f>F2544/F2543-1</x:f>
        <x:v>0.004047673506749394</x:v>
      </x:c>
      <x:c r="J2544" s="12" t="n">
        <x:v>0</x:v>
      </x:c>
      <x:c r="K2544" s="12" t="n">
        <x:v>0</x:v>
      </x:c>
      <x:c r="L2544" s="12" t="n">
        <x:v>0</x:v>
      </x:c>
      <x:c r="M2544" s="2" t="str">
        <x:v>持有</x:v>
      </x:c>
    </x:row>
    <x:row r="2545" ht="23" customHeight="1">
      <x:c r="A2545" s="11" t="d">
        <x:v>2025-02-06T00:00:00.000Z</x:v>
      </x:c>
      <x:c r="B2545" s="12" t="n">
        <x:v>239.181735</x:v>
      </x:c>
      <x:c r="C2545" s="13" t="n">
        <x:v>231</x:v>
      </x:c>
      <x:c r="D2545" s="12" t="n">
        <x:v>140059.92</x:v>
      </x:c>
      <x:c r="E2545" s="12" t="n">
        <x:v>0</x:v>
      </x:c>
      <x:c r="F2545" s="12" t="n">
        <x:f>SUM(B2545,D2545:E2545)</x:f>
        <x:v>140299.101735</x:v>
      </x:c>
      <x:c r="G2545" s="12" t="n">
        <x:f>MAX(G2544,F2545)</x:f>
        <x:v>147338.151385</x:v>
      </x:c>
      <x:c r="H2545" s="14" t="n">
        <x:f>F2545/G2545-1</x:f>
        <x:v>-0.04777479277316776</x:v>
      </x:c>
      <x:c r="I2545" s="14" t="n">
        <x:f>F2545/F2544-1</x:f>
        <x:v>0.003469609581159494</x:v>
      </x:c>
      <x:c r="J2545" s="12" t="n">
        <x:v>0</x:v>
      </x:c>
      <x:c r="K2545" s="12" t="n">
        <x:v>0</x:v>
      </x:c>
      <x:c r="L2545" s="12" t="n">
        <x:v>0</x:v>
      </x:c>
      <x:c r="M2545" s="2" t="str">
        <x:v>持有</x:v>
      </x:c>
    </x:row>
    <x:row r="2546" ht="23" customHeight="1">
      <x:c r="A2546" s="11" t="d">
        <x:v>2025-02-07T00:00:00.000Z</x:v>
      </x:c>
      <x:c r="B2546" s="12" t="n">
        <x:v>239.181735</x:v>
      </x:c>
      <x:c r="C2546" s="13" t="n">
        <x:v>231</x:v>
      </x:c>
      <x:c r="D2546" s="12" t="n">
        <x:v>138777.87</x:v>
      </x:c>
      <x:c r="E2546" s="12" t="n">
        <x:v>0</x:v>
      </x:c>
      <x:c r="F2546" s="12" t="n">
        <x:f>SUM(B2546,D2546:E2546)</x:f>
        <x:v>139017.051735</x:v>
      </x:c>
      <x:c r="G2546" s="12" t="n">
        <x:f>MAX(G2545,F2546)</x:f>
        <x:v>147338.151385</x:v>
      </x:c>
      <x:c r="H2546" s="14" t="n">
        <x:f>F2546/G2546-1</x:f>
        <x:v>-0.05647620505470219</x:v>
      </x:c>
      <x:c r="I2546" s="14" t="n">
        <x:f>F2546/F2545-1</x:f>
        <x:v>-0.00913797725107024</x:v>
      </x:c>
      <x:c r="J2546" s="12" t="n">
        <x:v>0</x:v>
      </x:c>
      <x:c r="K2546" s="12" t="n">
        <x:v>0</x:v>
      </x:c>
      <x:c r="L2546" s="12" t="n">
        <x:v>0</x:v>
      </x:c>
      <x:c r="M2546" s="2" t="str">
        <x:v>持有</x:v>
      </x:c>
    </x:row>
    <x:row r="2547" ht="23" customHeight="1">
      <x:c r="A2547" s="11" t="d">
        <x:v>2025-02-10T00:00:00.000Z</x:v>
      </x:c>
      <x:c r="B2547" s="12" t="n">
        <x:v>239.181735</x:v>
      </x:c>
      <x:c r="C2547" s="13" t="n">
        <x:v>231</x:v>
      </x:c>
      <x:c r="D2547" s="12" t="n">
        <x:v>139720.35</x:v>
      </x:c>
      <x:c r="E2547" s="12" t="n">
        <x:v>0</x:v>
      </x:c>
      <x:c r="F2547" s="12" t="n">
        <x:f>SUM(B2547,D2547:E2547)</x:f>
        <x:v>139959.531735</x:v>
      </x:c>
      <x:c r="G2547" s="12" t="n">
        <x:f>MAX(G2546,F2547)</x:f>
        <x:v>147338.151385</x:v>
      </x:c>
      <x:c r="H2547" s="14" t="n">
        <x:f>F2547/G2547-1</x:f>
        <x:v>-0.05007949116124988</x:v>
      </x:c>
      <x:c r="I2547" s="14" t="n">
        <x:f>F2547/F2546-1</x:f>
        <x:v>0.006779599971639572</x:v>
      </x:c>
      <x:c r="J2547" s="12" t="n">
        <x:v>0</x:v>
      </x:c>
      <x:c r="K2547" s="12" t="n">
        <x:v>0</x:v>
      </x:c>
      <x:c r="L2547" s="12" t="n">
        <x:v>0</x:v>
      </x:c>
      <x:c r="M2547" s="2" t="str">
        <x:v>持有</x:v>
      </x:c>
    </x:row>
    <x:row r="2548" ht="23" customHeight="1">
      <x:c r="A2548" s="11" t="d">
        <x:v>2025-02-11T00:00:00.000Z</x:v>
      </x:c>
      <x:c r="B2548" s="12" t="n">
        <x:v>239.181735</x:v>
      </x:c>
      <x:c r="C2548" s="13" t="n">
        <x:v>231</x:v>
      </x:c>
      <x:c r="D2548" s="12" t="n">
        <x:v>139826.61</x:v>
      </x:c>
      <x:c r="E2548" s="12" t="n">
        <x:v>0</x:v>
      </x:c>
      <x:c r="F2548" s="12" t="n">
        <x:f>SUM(B2548,D2548:E2548)</x:f>
        <x:v>140065.79173499998</x:v>
      </x:c>
      <x:c r="G2548" s="12" t="n">
        <x:f>MAX(G2547,F2548)</x:f>
        <x:v>147338.151385</x:v>
      </x:c>
      <x:c r="H2548" s="14" t="n">
        <x:f>F2548/G2548-1</x:f>
        <x:v>-0.04935829302620398</x:v>
      </x:c>
      <x:c r="I2548" s="14" t="n">
        <x:f>F2548/F2547-1</x:f>
        <x:v>0.000759219459244731</x:v>
      </x:c>
      <x:c r="J2548" s="12" t="n">
        <x:v>0</x:v>
      </x:c>
      <x:c r="K2548" s="12" t="n">
        <x:v>0</x:v>
      </x:c>
      <x:c r="L2548" s="12" t="n">
        <x:v>0</x:v>
      </x:c>
      <x:c r="M2548" s="2" t="str">
        <x:v>持有</x:v>
      </x:c>
    </x:row>
    <x:row r="2549" ht="23" customHeight="1">
      <x:c r="A2549" s="11" t="d">
        <x:v>2025-02-12T00:00:00.000Z</x:v>
      </x:c>
      <x:c r="B2549" s="12" t="n">
        <x:v>239.181735</x:v>
      </x:c>
      <x:c r="C2549" s="13" t="n">
        <x:v>231</x:v>
      </x:c>
      <x:c r="D2549" s="12" t="n">
        <x:v>139376.16</x:v>
      </x:c>
      <x:c r="E2549" s="12" t="n">
        <x:v>0</x:v>
      </x:c>
      <x:c r="F2549" s="12" t="n">
        <x:f>SUM(B2549,D2549:E2549)</x:f>
        <x:v>139615.341735</x:v>
      </x:c>
      <x:c r="G2549" s="12" t="n">
        <x:f>MAX(G2548,F2549)</x:f>
        <x:v>147338.151385</x:v>
      </x:c>
      <x:c r="H2549" s="14" t="n">
        <x:f>F2549/G2549-1</x:f>
        <x:v>-0.0524155459899861</x:v>
      </x:c>
      <x:c r="I2549" s="14" t="n">
        <x:f>F2549/F2548-1</x:f>
        <x:v>-0.003215988675180692</x:v>
      </x:c>
      <x:c r="J2549" s="12" t="n">
        <x:v>0</x:v>
      </x:c>
      <x:c r="K2549" s="12" t="n">
        <x:v>0</x:v>
      </x:c>
      <x:c r="L2549" s="12" t="n">
        <x:v>0</x:v>
      </x:c>
      <x:c r="M2549" s="2" t="str">
        <x:v>持有</x:v>
      </x:c>
    </x:row>
    <x:row r="2550" ht="23" customHeight="1">
      <x:c r="A2550" s="11" t="d">
        <x:v>2025-02-13T00:00:00.000Z</x:v>
      </x:c>
      <x:c r="B2550" s="12" t="n">
        <x:v>239.181735</x:v>
      </x:c>
      <x:c r="C2550" s="13" t="n">
        <x:v>231</x:v>
      </x:c>
      <x:c r="D2550" s="12" t="n">
        <x:v>140847.63</x:v>
      </x:c>
      <x:c r="E2550" s="12" t="n">
        <x:v>0</x:v>
      </x:c>
      <x:c r="F2550" s="12" t="n">
        <x:f>SUM(B2550,D2550:E2550)</x:f>
        <x:v>141086.811735</x:v>
      </x:c>
      <x:c r="G2550" s="12" t="n">
        <x:f>MAX(G2549,F2550)</x:f>
        <x:v>147338.151385</x:v>
      </x:c>
      <x:c r="H2550" s="14" t="n">
        <x:f>F2550/G2550-1</x:f>
        <x:v>-0.042428519641630524</x:v>
      </x:c>
      <x:c r="I2550" s="14" t="n">
        <x:f>F2550/F2549-1</x:f>
        <x:v>0.010539457782461792</x:v>
      </x:c>
      <x:c r="J2550" s="12" t="n">
        <x:v>0</x:v>
      </x:c>
      <x:c r="K2550" s="12" t="n">
        <x:v>0</x:v>
      </x:c>
      <x:c r="L2550" s="12" t="n">
        <x:v>0</x:v>
      </x:c>
      <x:c r="M2550" s="2" t="str">
        <x:v>持有</x:v>
      </x:c>
    </x:row>
    <x:row r="2551" ht="23" customHeight="1">
      <x:c r="A2551" s="11" t="d">
        <x:v>2025-02-14T00:00:00.000Z</x:v>
      </x:c>
      <x:c r="B2551" s="12" t="n">
        <x:v>239.181735</x:v>
      </x:c>
      <x:c r="C2551" s="13" t="n">
        <x:v>231</x:v>
      </x:c>
      <x:c r="D2551" s="12" t="n">
        <x:v>140840.7</x:v>
      </x:c>
      <x:c r="E2551" s="12" t="n">
        <x:v>0</x:v>
      </x:c>
      <x:c r="F2551" s="12" t="n">
        <x:f>SUM(B2551,D2551:E2551)</x:f>
        <x:v>141079.881735</x:v>
      </x:c>
      <x:c r="G2551" s="12" t="n">
        <x:f>MAX(G2550,F2551)</x:f>
        <x:v>147338.151385</x:v>
      </x:c>
      <x:c r="H2551" s="14" t="n">
        <x:f>F2551/G2551-1</x:f>
        <x:v>-0.04247555430261174</x:v>
      </x:c>
      <x:c r="I2551" s="14" t="n">
        <x:f>F2551/F2550-1</x:f>
        <x:v>-0.000049118694474548086</x:v>
      </x:c>
      <x:c r="J2551" s="12" t="n">
        <x:v>0</x:v>
      </x:c>
      <x:c r="K2551" s="12" t="n">
        <x:v>0</x:v>
      </x:c>
      <x:c r="L2551" s="12" t="n">
        <x:v>0</x:v>
      </x:c>
      <x:c r="M2551" s="2" t="str">
        <x:v>持有</x:v>
      </x:c>
    </x:row>
    <x:row r="2552" ht="23" customHeight="1">
      <x:c r="A2552" s="11" t="d">
        <x:v>2025-02-18T00:00:00.000Z</x:v>
      </x:c>
      <x:c r="B2552" s="12" t="n">
        <x:v>239.181735</x:v>
      </x:c>
      <x:c r="C2552" s="13" t="n">
        <x:v>231</x:v>
      </x:c>
      <x:c r="D2552" s="12" t="n">
        <x:v>141254.19</x:v>
      </x:c>
      <x:c r="E2552" s="12" t="n">
        <x:v>0</x:v>
      </x:c>
      <x:c r="F2552" s="12" t="n">
        <x:f>SUM(B2552,D2552:E2552)</x:f>
        <x:v>141493.371735</x:v>
      </x:c>
      <x:c r="G2552" s="12" t="n">
        <x:f>MAX(G2551,F2552)</x:f>
        <x:v>147338.151385</x:v>
      </x:c>
      <x:c r="H2552" s="14" t="n">
        <x:f>F2552/G2552-1</x:f>
        <x:v>-0.03966915286406292</x:v>
      </x:c>
      <x:c r="I2552" s="14" t="n">
        <x:f>F2552/F2551-1</x:f>
        <x:v>0.0029308927319393607</x:v>
      </x:c>
      <x:c r="J2552" s="12" t="n">
        <x:v>0</x:v>
      </x:c>
      <x:c r="K2552" s="12" t="n">
        <x:v>0</x:v>
      </x:c>
      <x:c r="L2552" s="12" t="n">
        <x:v>0</x:v>
      </x:c>
      <x:c r="M2552" s="2" t="str">
        <x:v>持有</x:v>
      </x:c>
    </x:row>
    <x:row r="2553" ht="23" customHeight="1">
      <x:c r="A2553" s="11" t="d">
        <x:v>2025-02-19T00:00:00.000Z</x:v>
      </x:c>
      <x:c r="B2553" s="12" t="n">
        <x:v>239.181735</x:v>
      </x:c>
      <x:c r="C2553" s="13" t="n">
        <x:v>231</x:v>
      </x:c>
      <x:c r="D2553" s="12" t="n">
        <x:v>141586.83</x:v>
      </x:c>
      <x:c r="E2553" s="12" t="n">
        <x:v>0</x:v>
      </x:c>
      <x:c r="F2553" s="12" t="n">
        <x:f>SUM(B2553,D2553:E2553)</x:f>
        <x:v>141826.01173499998</x:v>
      </x:c>
      <x:c r="G2553" s="12" t="n">
        <x:f>MAX(G2552,F2553)</x:f>
        <x:v>147338.151385</x:v>
      </x:c>
      <x:c r="H2553" s="14" t="n">
        <x:f>F2553/G2553-1</x:f>
        <x:v>-0.03741148913696224</x:v>
      </x:c>
      <x:c r="I2553" s="14" t="n">
        <x:f>F2553/F2552-1</x:f>
        <x:v>0.002350922844802872</x:v>
      </x:c>
      <x:c r="J2553" s="12" t="n">
        <x:v>0</x:v>
      </x:c>
      <x:c r="K2553" s="12" t="n">
        <x:v>0</x:v>
      </x:c>
      <x:c r="L2553" s="12" t="n">
        <x:v>0</x:v>
      </x:c>
      <x:c r="M2553" s="2" t="str">
        <x:v>持有</x:v>
      </x:c>
    </x:row>
    <x:row r="2554" ht="23" customHeight="1">
      <x:c r="A2554" s="11" t="d">
        <x:v>2025-02-20T00:00:00.000Z</x:v>
      </x:c>
      <x:c r="B2554" s="12" t="n">
        <x:v>239.181735</x:v>
      </x:c>
      <x:c r="C2554" s="13" t="n">
        <x:v>231</x:v>
      </x:c>
      <x:c r="D2554" s="12" t="n">
        <x:v>140997.78</x:v>
      </x:c>
      <x:c r="E2554" s="12" t="n">
        <x:v>0</x:v>
      </x:c>
      <x:c r="F2554" s="12" t="n">
        <x:f>SUM(B2554,D2554:E2554)</x:f>
        <x:v>141236.961735</x:v>
      </x:c>
      <x:c r="G2554" s="12" t="n">
        <x:f>MAX(G2553,F2554)</x:f>
        <x:v>147338.151385</x:v>
      </x:c>
      <x:c r="H2554" s="14" t="n">
        <x:f>F2554/G2554-1</x:f>
        <x:v>-0.04140943532036978</x:v>
      </x:c>
      <x:c r="I2554" s="14" t="n">
        <x:f>F2554/F2553-1</x:f>
        <x:v>-0.004153328383093902</x:v>
      </x:c>
      <x:c r="J2554" s="12" t="n">
        <x:v>0</x:v>
      </x:c>
      <x:c r="K2554" s="12" t="n">
        <x:v>0</x:v>
      </x:c>
      <x:c r="L2554" s="12" t="n">
        <x:v>0</x:v>
      </x:c>
      <x:c r="M2554" s="2" t="str">
        <x:v>持有</x:v>
      </x:c>
    </x:row>
    <x:row r="2555" ht="23" customHeight="1">
      <x:c r="A2555" s="11" t="d">
        <x:v>2025-02-21T00:00:00.000Z</x:v>
      </x:c>
      <x:c r="B2555" s="12" t="n">
        <x:v>239.181735</x:v>
      </x:c>
      <x:c r="C2555" s="13" t="n">
        <x:v>231</x:v>
      </x:c>
      <x:c r="D2555" s="12" t="n">
        <x:v>138586.14</x:v>
      </x:c>
      <x:c r="E2555" s="12" t="n">
        <x:v>0</x:v>
      </x:c>
      <x:c r="F2555" s="12" t="n">
        <x:f>SUM(B2555,D2555:E2555)</x:f>
        <x:v>138825.321735</x:v>
      </x:c>
      <x:c r="G2555" s="12" t="n">
        <x:f>MAX(G2554,F2555)</x:f>
        <x:v>147338.151385</x:v>
      </x:c>
      <x:c r="H2555" s="14" t="n">
        <x:f>F2555/G2555-1</x:f>
        <x:v>-0.05777749734185045</x:v>
      </x:c>
      <x:c r="I2555" s="14" t="n">
        <x:f>F2555/F2554-1</x:f>
        <x:v>-0.01707513366454949</x:v>
      </x:c>
      <x:c r="J2555" s="12" t="n">
        <x:v>0</x:v>
      </x:c>
      <x:c r="K2555" s="12" t="n">
        <x:v>0</x:v>
      </x:c>
      <x:c r="L2555" s="12" t="n">
        <x:v>0</x:v>
      </x:c>
      <x:c r="M2555" s="2" t="str">
        <x:v>持有</x:v>
      </x:c>
    </x:row>
    <x:row r="2556" ht="23" customHeight="1">
      <x:c r="A2556" s="11" t="d">
        <x:v>2025-02-24T00:00:00.000Z</x:v>
      </x:c>
      <x:c r="B2556" s="12" t="n">
        <x:v>239.181735</x:v>
      </x:c>
      <x:c r="C2556" s="13" t="n">
        <x:v>231</x:v>
      </x:c>
      <x:c r="D2556" s="12" t="n">
        <x:v>137955.51</x:v>
      </x:c>
      <x:c r="E2556" s="12" t="n">
        <x:v>0</x:v>
      </x:c>
      <x:c r="F2556" s="12" t="n">
        <x:f>SUM(B2556,D2556:E2556)</x:f>
        <x:v>138194.691735</x:v>
      </x:c>
      <x:c r="G2556" s="12" t="n">
        <x:f>MAX(G2555,F2556)</x:f>
        <x:v>147338.151385</x:v>
      </x:c>
      <x:c r="H2556" s="14" t="n">
        <x:f>F2556/G2556-1</x:f>
        <x:v>-0.06205765149114573</x:v>
      </x:c>
      <x:c r="I2556" s="14" t="n">
        <x:f>F2556/F2555-1</x:f>
        <x:v>-0.004542615080005308</x:v>
      </x:c>
      <x:c r="J2556" s="12" t="n">
        <x:v>0</x:v>
      </x:c>
      <x:c r="K2556" s="12" t="n">
        <x:v>0</x:v>
      </x:c>
      <x:c r="L2556" s="12" t="n">
        <x:v>0</x:v>
      </x:c>
      <x:c r="M2556" s="2" t="str">
        <x:v>持有</x:v>
      </x:c>
    </x:row>
    <x:row r="2557" ht="23" customHeight="1">
      <x:c r="A2557" s="11" t="d">
        <x:v>2025-02-25T00:00:00.000Z</x:v>
      </x:c>
      <x:c r="B2557" s="12" t="n">
        <x:v>138042.890085</x:v>
      </x:c>
      <x:c r="C2557" s="13" t="n">
        <x:v>0</x:v>
      </x:c>
      <x:c r="D2557" s="12" t="n">
        <x:v>0</x:v>
      </x:c>
      <x:c r="E2557" s="12" t="n">
        <x:v>0</x:v>
      </x:c>
      <x:c r="F2557" s="12" t="n">
        <x:f>SUM(B2557,D2557:E2557)</x:f>
        <x:v>138042.890085</x:v>
      </x:c>
      <x:c r="G2557" s="12" t="n">
        <x:f>MAX(G2556,F2557)</x:f>
        <x:v>147338.151385</x:v>
      </x:c>
      <x:c r="H2557" s="14" t="n">
        <x:f>F2557/G2557-1</x:f>
        <x:v>-0.06308794573994048</x:v>
      </x:c>
      <x:c r="I2557" s="14" t="n">
        <x:f>F2557/F2556-1</x:f>
        <x:v>-0.0010984622353736873</x:v>
      </x:c>
      <x:c r="J2557" s="12" t="n">
        <x:v>0</x:v>
      </x:c>
      <x:c r="K2557" s="12" t="n">
        <x:v>0</x:v>
      </x:c>
      <x:c r="L2557" s="12" t="n">
        <x:v>-231</x:v>
      </x:c>
      <x:c r="M2557" s="2" t="str">
        <x:v>卖出</x:v>
      </x:c>
    </x:row>
    <x:row r="2558" ht="23" customHeight="1">
      <x:c r="A2558" s="11" t="d">
        <x:v>2025-02-26T00:00:00.000Z</x:v>
      </x:c>
      <x:c r="B2558" s="12" t="n">
        <x:v>138042.890085</x:v>
      </x:c>
      <x:c r="C2558" s="13" t="n">
        <x:v>0</x:v>
      </x:c>
      <x:c r="D2558" s="12" t="n">
        <x:v>0</x:v>
      </x:c>
      <x:c r="E2558" s="12" t="n">
        <x:v>0</x:v>
      </x:c>
      <x:c r="F2558" s="12" t="n">
        <x:f>SUM(B2558,D2558:E2558)</x:f>
        <x:v>138042.890085</x:v>
      </x:c>
      <x:c r="G2558" s="12" t="n">
        <x:f>MAX(G2557,F2558)</x:f>
        <x:v>147338.151385</x:v>
      </x:c>
      <x:c r="H2558" s="14" t="n">
        <x:f>F2558/G2558-1</x:f>
        <x:v>-0.06308794573994048</x:v>
      </x:c>
      <x:c r="I2558" s="14" t="n">
        <x:f>F2558/F2557-1</x:f>
        <x:v>0</x:v>
      </x:c>
      <x:c r="J2558" s="12" t="n">
        <x:v>0</x:v>
      </x:c>
      <x:c r="K2558" s="12" t="n">
        <x:v>0</x:v>
      </x:c>
      <x:c r="L2558" s="12" t="n">
        <x:v>0</x:v>
      </x:c>
      <x:c r="M2558" s="2" t="str">
        <x:v>空仓</x:v>
      </x:c>
    </x:row>
    <x:row r="2559" ht="23" customHeight="1">
      <x:c r="A2559" s="11" t="d">
        <x:v>2025-02-27T00:00:00.000Z</x:v>
      </x:c>
      <x:c r="B2559" s="12" t="n">
        <x:v>138042.890085</x:v>
      </x:c>
      <x:c r="C2559" s="13" t="n">
        <x:v>0</x:v>
      </x:c>
      <x:c r="D2559" s="12" t="n">
        <x:v>0</x:v>
      </x:c>
      <x:c r="E2559" s="12" t="n">
        <x:v>0</x:v>
      </x:c>
      <x:c r="F2559" s="12" t="n">
        <x:f>SUM(B2559,D2559:E2559)</x:f>
        <x:v>138042.890085</x:v>
      </x:c>
      <x:c r="G2559" s="12" t="n">
        <x:f>MAX(G2558,F2559)</x:f>
        <x:v>147338.151385</x:v>
      </x:c>
      <x:c r="H2559" s="14" t="n">
        <x:f>F2559/G2559-1</x:f>
        <x:v>-0.06308794573994048</x:v>
      </x:c>
      <x:c r="I2559" s="14" t="n">
        <x:f>F2559/F2558-1</x:f>
        <x:v>0</x:v>
      </x:c>
      <x:c r="J2559" s="12" t="n">
        <x:v>0</x:v>
      </x:c>
      <x:c r="K2559" s="12" t="n">
        <x:v>0</x:v>
      </x:c>
      <x:c r="L2559" s="12" t="n">
        <x:v>0</x:v>
      </x:c>
      <x:c r="M2559" s="2" t="str">
        <x:v>空仓</x:v>
      </x:c>
    </x:row>
    <x:row r="2560" ht="23" customHeight="1">
      <x:c r="A2560" s="11" t="d">
        <x:v>2025-02-28T00:00:00.000Z</x:v>
      </x:c>
      <x:c r="B2560" s="12" t="n">
        <x:v>138042.890085</x:v>
      </x:c>
      <x:c r="C2560" s="13" t="n">
        <x:v>0</x:v>
      </x:c>
      <x:c r="D2560" s="12" t="n">
        <x:v>0</x:v>
      </x:c>
      <x:c r="E2560" s="12" t="n">
        <x:v>0</x:v>
      </x:c>
      <x:c r="F2560" s="12" t="n">
        <x:f>SUM(B2560,D2560:E2560)</x:f>
        <x:v>138042.890085</x:v>
      </x:c>
      <x:c r="G2560" s="12" t="n">
        <x:f>MAX(G2559,F2560)</x:f>
        <x:v>147338.151385</x:v>
      </x:c>
      <x:c r="H2560" s="14" t="n">
        <x:f>F2560/G2560-1</x:f>
        <x:v>-0.06308794573994048</x:v>
      </x:c>
      <x:c r="I2560" s="14" t="n">
        <x:f>F2560/F2559-1</x:f>
        <x:v>0</x:v>
      </x:c>
      <x:c r="J2560" s="12" t="n">
        <x:v>0</x:v>
      </x:c>
      <x:c r="K2560" s="12" t="n">
        <x:v>0</x:v>
      </x:c>
      <x:c r="L2560" s="12" t="n">
        <x:v>0</x:v>
      </x:c>
      <x:c r="M2560" s="2" t="str">
        <x:v>空仓</x:v>
      </x:c>
    </x:row>
    <x:row r="2561" ht="23" customHeight="1">
      <x:c r="A2561" s="11" t="d">
        <x:v>2025-03-03T00:00:00.000Z</x:v>
      </x:c>
      <x:c r="B2561" s="12" t="n">
        <x:v>138042.890085</x:v>
      </x:c>
      <x:c r="C2561" s="13" t="n">
        <x:v>0</x:v>
      </x:c>
      <x:c r="D2561" s="12" t="n">
        <x:v>0</x:v>
      </x:c>
      <x:c r="E2561" s="12" t="n">
        <x:v>0</x:v>
      </x:c>
      <x:c r="F2561" s="12" t="n">
        <x:f>SUM(B2561,D2561:E2561)</x:f>
        <x:v>138042.890085</x:v>
      </x:c>
      <x:c r="G2561" s="12" t="n">
        <x:f>MAX(G2560,F2561)</x:f>
        <x:v>147338.151385</x:v>
      </x:c>
      <x:c r="H2561" s="14" t="n">
        <x:f>F2561/G2561-1</x:f>
        <x:v>-0.06308794573994048</x:v>
      </x:c>
      <x:c r="I2561" s="14" t="n">
        <x:f>F2561/F2560-1</x:f>
        <x:v>0</x:v>
      </x:c>
      <x:c r="J2561" s="12" t="n">
        <x:v>0</x:v>
      </x:c>
      <x:c r="K2561" s="12" t="n">
        <x:v>0</x:v>
      </x:c>
      <x:c r="L2561" s="12" t="n">
        <x:v>0</x:v>
      </x:c>
      <x:c r="M2561" s="2" t="str">
        <x:v>空仓</x:v>
      </x:c>
    </x:row>
    <x:row r="2562" ht="23" customHeight="1">
      <x:c r="A2562" s="11" t="d">
        <x:v>2025-03-04T00:00:00.000Z</x:v>
      </x:c>
      <x:c r="B2562" s="12" t="n">
        <x:v>138042.890085</x:v>
      </x:c>
      <x:c r="C2562" s="13" t="n">
        <x:v>0</x:v>
      </x:c>
      <x:c r="D2562" s="12" t="n">
        <x:v>0</x:v>
      </x:c>
      <x:c r="E2562" s="12" t="n">
        <x:v>0</x:v>
      </x:c>
      <x:c r="F2562" s="12" t="n">
        <x:f>SUM(B2562,D2562:E2562)</x:f>
        <x:v>138042.890085</x:v>
      </x:c>
      <x:c r="G2562" s="12" t="n">
        <x:f>MAX(G2561,F2562)</x:f>
        <x:v>147338.151385</x:v>
      </x:c>
      <x:c r="H2562" s="14" t="n">
        <x:f>F2562/G2562-1</x:f>
        <x:v>-0.06308794573994048</x:v>
      </x:c>
      <x:c r="I2562" s="14" t="n">
        <x:f>F2562/F2561-1</x:f>
        <x:v>0</x:v>
      </x:c>
      <x:c r="J2562" s="12" t="n">
        <x:v>0</x:v>
      </x:c>
      <x:c r="K2562" s="12" t="n">
        <x:v>0</x:v>
      </x:c>
      <x:c r="L2562" s="12" t="n">
        <x:v>0</x:v>
      </x:c>
      <x:c r="M2562" s="2" t="str">
        <x:v>空仓</x:v>
      </x:c>
    </x:row>
    <x:row r="2563" ht="23" customHeight="1">
      <x:c r="A2563" s="11" t="d">
        <x:v>2025-03-05T00:00:00.000Z</x:v>
      </x:c>
      <x:c r="B2563" s="12" t="n">
        <x:v>138042.890085</x:v>
      </x:c>
      <x:c r="C2563" s="13" t="n">
        <x:v>0</x:v>
      </x:c>
      <x:c r="D2563" s="12" t="n">
        <x:v>0</x:v>
      </x:c>
      <x:c r="E2563" s="12" t="n">
        <x:v>0</x:v>
      </x:c>
      <x:c r="F2563" s="12" t="n">
        <x:f>SUM(B2563,D2563:E2563)</x:f>
        <x:v>138042.890085</x:v>
      </x:c>
      <x:c r="G2563" s="12" t="n">
        <x:f>MAX(G2562,F2563)</x:f>
        <x:v>147338.151385</x:v>
      </x:c>
      <x:c r="H2563" s="14" t="n">
        <x:f>F2563/G2563-1</x:f>
        <x:v>-0.06308794573994048</x:v>
      </x:c>
      <x:c r="I2563" s="14" t="n">
        <x:f>F2563/F2562-1</x:f>
        <x:v>0</x:v>
      </x:c>
      <x:c r="J2563" s="12" t="n">
        <x:v>0</x:v>
      </x:c>
      <x:c r="K2563" s="12" t="n">
        <x:v>0</x:v>
      </x:c>
      <x:c r="L2563" s="12" t="n">
        <x:v>0</x:v>
      </x:c>
      <x:c r="M2563" s="2" t="str">
        <x:v>空仓</x:v>
      </x:c>
    </x:row>
    <x:row r="2564" ht="23" customHeight="1">
      <x:c r="A2564" s="11" t="d">
        <x:v>2025-03-06T00:00:00.000Z</x:v>
      </x:c>
      <x:c r="B2564" s="12" t="n">
        <x:v>138042.890085</x:v>
      </x:c>
      <x:c r="C2564" s="13" t="n">
        <x:v>0</x:v>
      </x:c>
      <x:c r="D2564" s="12" t="n">
        <x:v>0</x:v>
      </x:c>
      <x:c r="E2564" s="12" t="n">
        <x:v>0</x:v>
      </x:c>
      <x:c r="F2564" s="12" t="n">
        <x:f>SUM(B2564,D2564:E2564)</x:f>
        <x:v>138042.890085</x:v>
      </x:c>
      <x:c r="G2564" s="12" t="n">
        <x:f>MAX(G2563,F2564)</x:f>
        <x:v>147338.151385</x:v>
      </x:c>
      <x:c r="H2564" s="14" t="n">
        <x:f>F2564/G2564-1</x:f>
        <x:v>-0.06308794573994048</x:v>
      </x:c>
      <x:c r="I2564" s="14" t="n">
        <x:f>F2564/F2563-1</x:f>
        <x:v>0</x:v>
      </x:c>
      <x:c r="J2564" s="12" t="n">
        <x:v>0</x:v>
      </x:c>
      <x:c r="K2564" s="12" t="n">
        <x:v>0</x:v>
      </x:c>
      <x:c r="L2564" s="12" t="n">
        <x:v>0</x:v>
      </x:c>
      <x:c r="M2564" s="2" t="str">
        <x:v>空仓</x:v>
      </x:c>
    </x:row>
    <x:row r="2565" ht="23" customHeight="1">
      <x:c r="A2565" s="11" t="d">
        <x:v>2025-03-07T00:00:00.000Z</x:v>
      </x:c>
      <x:c r="B2565" s="12" t="n">
        <x:v>138042.890085</x:v>
      </x:c>
      <x:c r="C2565" s="13" t="n">
        <x:v>0</x:v>
      </x:c>
      <x:c r="D2565" s="12" t="n">
        <x:v>0</x:v>
      </x:c>
      <x:c r="E2565" s="12" t="n">
        <x:v>0</x:v>
      </x:c>
      <x:c r="F2565" s="12" t="n">
        <x:f>SUM(B2565,D2565:E2565)</x:f>
        <x:v>138042.890085</x:v>
      </x:c>
      <x:c r="G2565" s="12" t="n">
        <x:f>MAX(G2564,F2565)</x:f>
        <x:v>147338.151385</x:v>
      </x:c>
      <x:c r="H2565" s="14" t="n">
        <x:f>F2565/G2565-1</x:f>
        <x:v>-0.06308794573994048</x:v>
      </x:c>
      <x:c r="I2565" s="14" t="n">
        <x:f>F2565/F2564-1</x:f>
        <x:v>0</x:v>
      </x:c>
      <x:c r="J2565" s="12" t="n">
        <x:v>0</x:v>
      </x:c>
      <x:c r="K2565" s="12" t="n">
        <x:v>0</x:v>
      </x:c>
      <x:c r="L2565" s="12" t="n">
        <x:v>0</x:v>
      </x:c>
      <x:c r="M2565" s="2" t="str">
        <x:v>空仓</x:v>
      </x:c>
    </x:row>
    <x:row r="2566" ht="23" customHeight="1">
      <x:c r="A2566" s="11" t="d">
        <x:v>2025-03-10T00:00:00.000Z</x:v>
      </x:c>
      <x:c r="B2566" s="12" t="n">
        <x:v>138042.890085</x:v>
      </x:c>
      <x:c r="C2566" s="13" t="n">
        <x:v>0</x:v>
      </x:c>
      <x:c r="D2566" s="12" t="n">
        <x:v>0</x:v>
      </x:c>
      <x:c r="E2566" s="12" t="n">
        <x:v>0</x:v>
      </x:c>
      <x:c r="F2566" s="12" t="n">
        <x:f>SUM(B2566,D2566:E2566)</x:f>
        <x:v>138042.890085</x:v>
      </x:c>
      <x:c r="G2566" s="12" t="n">
        <x:f>MAX(G2565,F2566)</x:f>
        <x:v>147338.151385</x:v>
      </x:c>
      <x:c r="H2566" s="14" t="n">
        <x:f>F2566/G2566-1</x:f>
        <x:v>-0.06308794573994048</x:v>
      </x:c>
      <x:c r="I2566" s="14" t="n">
        <x:f>F2566/F2565-1</x:f>
        <x:v>0</x:v>
      </x:c>
      <x:c r="J2566" s="12" t="n">
        <x:v>0</x:v>
      </x:c>
      <x:c r="K2566" s="12" t="n">
        <x:v>0</x:v>
      </x:c>
      <x:c r="L2566" s="12" t="n">
        <x:v>0</x:v>
      </x:c>
      <x:c r="M2566" s="2" t="str">
        <x:v>空仓</x:v>
      </x:c>
    </x:row>
    <x:row r="2567" ht="23" customHeight="1">
      <x:c r="A2567" s="11" t="d">
        <x:v>2025-03-11T00:00:00.000Z</x:v>
      </x:c>
      <x:c r="B2567" s="12" t="n">
        <x:v>138042.890085</x:v>
      </x:c>
      <x:c r="C2567" s="13" t="n">
        <x:v>0</x:v>
      </x:c>
      <x:c r="D2567" s="12" t="n">
        <x:v>0</x:v>
      </x:c>
      <x:c r="E2567" s="12" t="n">
        <x:v>0</x:v>
      </x:c>
      <x:c r="F2567" s="12" t="n">
        <x:f>SUM(B2567,D2567:E2567)</x:f>
        <x:v>138042.890085</x:v>
      </x:c>
      <x:c r="G2567" s="12" t="n">
        <x:f>MAX(G2566,F2567)</x:f>
        <x:v>147338.151385</x:v>
      </x:c>
      <x:c r="H2567" s="14" t="n">
        <x:f>F2567/G2567-1</x:f>
        <x:v>-0.06308794573994048</x:v>
      </x:c>
      <x:c r="I2567" s="14" t="n">
        <x:f>F2567/F2566-1</x:f>
        <x:v>0</x:v>
      </x:c>
      <x:c r="J2567" s="12" t="n">
        <x:v>0</x:v>
      </x:c>
      <x:c r="K2567" s="12" t="n">
        <x:v>0</x:v>
      </x:c>
      <x:c r="L2567" s="12" t="n">
        <x:v>0</x:v>
      </x:c>
      <x:c r="M2567" s="2" t="str">
        <x:v>空仓</x:v>
      </x:c>
    </x:row>
    <x:row r="2568" ht="23" customHeight="1">
      <x:c r="A2568" s="11" t="d">
        <x:v>2025-03-12T00:00:00.000Z</x:v>
      </x:c>
      <x:c r="B2568" s="12" t="n">
        <x:v>138042.890085</x:v>
      </x:c>
      <x:c r="C2568" s="13" t="n">
        <x:v>0</x:v>
      </x:c>
      <x:c r="D2568" s="12" t="n">
        <x:v>0</x:v>
      </x:c>
      <x:c r="E2568" s="12" t="n">
        <x:v>0</x:v>
      </x:c>
      <x:c r="F2568" s="12" t="n">
        <x:f>SUM(B2568,D2568:E2568)</x:f>
        <x:v>138042.890085</x:v>
      </x:c>
      <x:c r="G2568" s="12" t="n">
        <x:f>MAX(G2567,F2568)</x:f>
        <x:v>147338.151385</x:v>
      </x:c>
      <x:c r="H2568" s="14" t="n">
        <x:f>F2568/G2568-1</x:f>
        <x:v>-0.06308794573994048</x:v>
      </x:c>
      <x:c r="I2568" s="14" t="n">
        <x:f>F2568/F2567-1</x:f>
        <x:v>0</x:v>
      </x:c>
      <x:c r="J2568" s="12" t="n">
        <x:v>0</x:v>
      </x:c>
      <x:c r="K2568" s="12" t="n">
        <x:v>0</x:v>
      </x:c>
      <x:c r="L2568" s="12" t="n">
        <x:v>0</x:v>
      </x:c>
      <x:c r="M2568" s="2" t="str">
        <x:v>空仓</x:v>
      </x:c>
    </x:row>
    <x:row r="2569" ht="23" customHeight="1">
      <x:c r="A2569" s="11" t="d">
        <x:v>2025-03-13T00:00:00.000Z</x:v>
      </x:c>
      <x:c r="B2569" s="12" t="n">
        <x:v>138042.890085</x:v>
      </x:c>
      <x:c r="C2569" s="13" t="n">
        <x:v>0</x:v>
      </x:c>
      <x:c r="D2569" s="12" t="n">
        <x:v>0</x:v>
      </x:c>
      <x:c r="E2569" s="12" t="n">
        <x:v>0</x:v>
      </x:c>
      <x:c r="F2569" s="12" t="n">
        <x:f>SUM(B2569,D2569:E2569)</x:f>
        <x:v>138042.890085</x:v>
      </x:c>
      <x:c r="G2569" s="12" t="n">
        <x:f>MAX(G2568,F2569)</x:f>
        <x:v>147338.151385</x:v>
      </x:c>
      <x:c r="H2569" s="14" t="n">
        <x:f>F2569/G2569-1</x:f>
        <x:v>-0.06308794573994048</x:v>
      </x:c>
      <x:c r="I2569" s="14" t="n">
        <x:f>F2569/F2568-1</x:f>
        <x:v>0</x:v>
      </x:c>
      <x:c r="J2569" s="12" t="n">
        <x:v>0</x:v>
      </x:c>
      <x:c r="K2569" s="12" t="n">
        <x:v>0</x:v>
      </x:c>
      <x:c r="L2569" s="12" t="n">
        <x:v>0</x:v>
      </x:c>
      <x:c r="M2569" s="2" t="str">
        <x:v>空仓</x:v>
      </x:c>
    </x:row>
    <x:row r="2570" ht="23" customHeight="1">
      <x:c r="A2570" s="11" t="d">
        <x:v>2025-03-14T00:00:00.000Z</x:v>
      </x:c>
      <x:c r="B2570" s="12" t="n">
        <x:v>138042.890085</x:v>
      </x:c>
      <x:c r="C2570" s="13" t="n">
        <x:v>0</x:v>
      </x:c>
      <x:c r="D2570" s="12" t="n">
        <x:v>0</x:v>
      </x:c>
      <x:c r="E2570" s="12" t="n">
        <x:v>0</x:v>
      </x:c>
      <x:c r="F2570" s="12" t="n">
        <x:f>SUM(B2570,D2570:E2570)</x:f>
        <x:v>138042.890085</x:v>
      </x:c>
      <x:c r="G2570" s="12" t="n">
        <x:f>MAX(G2569,F2570)</x:f>
        <x:v>147338.151385</x:v>
      </x:c>
      <x:c r="H2570" s="14" t="n">
        <x:f>F2570/G2570-1</x:f>
        <x:v>-0.06308794573994048</x:v>
      </x:c>
      <x:c r="I2570" s="14" t="n">
        <x:f>F2570/F2569-1</x:f>
        <x:v>0</x:v>
      </x:c>
      <x:c r="J2570" s="12" t="n">
        <x:v>0</x:v>
      </x:c>
      <x:c r="K2570" s="12" t="n">
        <x:v>0</x:v>
      </x:c>
      <x:c r="L2570" s="12" t="n">
        <x:v>0</x:v>
      </x:c>
      <x:c r="M2570" s="2" t="str">
        <x:v>空仓</x:v>
      </x:c>
    </x:row>
    <x:row r="2571" ht="23" customHeight="1">
      <x:c r="A2571" s="11" t="d">
        <x:v>2025-03-17T00:00:00.000Z</x:v>
      </x:c>
      <x:c r="B2571" s="12" t="n">
        <x:v>138042.890085</x:v>
      </x:c>
      <x:c r="C2571" s="13" t="n">
        <x:v>0</x:v>
      </x:c>
      <x:c r="D2571" s="12" t="n">
        <x:v>0</x:v>
      </x:c>
      <x:c r="E2571" s="12" t="n">
        <x:v>0</x:v>
      </x:c>
      <x:c r="F2571" s="12" t="n">
        <x:f>SUM(B2571,D2571:E2571)</x:f>
        <x:v>138042.890085</x:v>
      </x:c>
      <x:c r="G2571" s="12" t="n">
        <x:f>MAX(G2570,F2571)</x:f>
        <x:v>147338.151385</x:v>
      </x:c>
      <x:c r="H2571" s="14" t="n">
        <x:f>F2571/G2571-1</x:f>
        <x:v>-0.06308794573994048</x:v>
      </x:c>
      <x:c r="I2571" s="14" t="n">
        <x:f>F2571/F2570-1</x:f>
        <x:v>0</x:v>
      </x:c>
      <x:c r="J2571" s="12" t="n">
        <x:v>0</x:v>
      </x:c>
      <x:c r="K2571" s="12" t="n">
        <x:v>0</x:v>
      </x:c>
      <x:c r="L2571" s="12" t="n">
        <x:v>0</x:v>
      </x:c>
      <x:c r="M2571" s="2" t="str">
        <x:v>空仓</x:v>
      </x:c>
    </x:row>
    <x:row r="2572" ht="23" customHeight="1">
      <x:c r="A2572" s="11" t="d">
        <x:v>2025-03-18T00:00:00.000Z</x:v>
      </x:c>
      <x:c r="B2572" s="12" t="n">
        <x:v>138042.890085</x:v>
      </x:c>
      <x:c r="C2572" s="13" t="n">
        <x:v>0</x:v>
      </x:c>
      <x:c r="D2572" s="12" t="n">
        <x:v>0</x:v>
      </x:c>
      <x:c r="E2572" s="12" t="n">
        <x:v>0</x:v>
      </x:c>
      <x:c r="F2572" s="12" t="n">
        <x:f>SUM(B2572,D2572:E2572)</x:f>
        <x:v>138042.890085</x:v>
      </x:c>
      <x:c r="G2572" s="12" t="n">
        <x:f>MAX(G2571,F2572)</x:f>
        <x:v>147338.151385</x:v>
      </x:c>
      <x:c r="H2572" s="14" t="n">
        <x:f>F2572/G2572-1</x:f>
        <x:v>-0.06308794573994048</x:v>
      </x:c>
      <x:c r="I2572" s="14" t="n">
        <x:f>F2572/F2571-1</x:f>
        <x:v>0</x:v>
      </x:c>
      <x:c r="J2572" s="12" t="n">
        <x:v>0</x:v>
      </x:c>
      <x:c r="K2572" s="12" t="n">
        <x:v>0</x:v>
      </x:c>
      <x:c r="L2572" s="12" t="n">
        <x:v>0</x:v>
      </x:c>
      <x:c r="M2572" s="2" t="str">
        <x:v>空仓</x:v>
      </x:c>
    </x:row>
    <x:row r="2573" ht="23" customHeight="1">
      <x:c r="A2573" s="11" t="d">
        <x:v>2025-03-19T00:00:00.000Z</x:v>
      </x:c>
      <x:c r="B2573" s="12" t="n">
        <x:v>138042.890085</x:v>
      </x:c>
      <x:c r="C2573" s="13" t="n">
        <x:v>0</x:v>
      </x:c>
      <x:c r="D2573" s="12" t="n">
        <x:v>0</x:v>
      </x:c>
      <x:c r="E2573" s="12" t="n">
        <x:v>0</x:v>
      </x:c>
      <x:c r="F2573" s="12" t="n">
        <x:f>SUM(B2573,D2573:E2573)</x:f>
        <x:v>138042.890085</x:v>
      </x:c>
      <x:c r="G2573" s="12" t="n">
        <x:f>MAX(G2572,F2573)</x:f>
        <x:v>147338.151385</x:v>
      </x:c>
      <x:c r="H2573" s="14" t="n">
        <x:f>F2573/G2573-1</x:f>
        <x:v>-0.06308794573994048</x:v>
      </x:c>
      <x:c r="I2573" s="14" t="n">
        <x:f>F2573/F2572-1</x:f>
        <x:v>0</x:v>
      </x:c>
      <x:c r="J2573" s="12" t="n">
        <x:v>0</x:v>
      </x:c>
      <x:c r="K2573" s="12" t="n">
        <x:v>0</x:v>
      </x:c>
      <x:c r="L2573" s="12" t="n">
        <x:v>0</x:v>
      </x:c>
      <x:c r="M2573" s="2" t="str">
        <x:v>空仓</x:v>
      </x:c>
    </x:row>
    <x:row r="2574" ht="23" customHeight="1">
      <x:c r="A2574" s="11" t="d">
        <x:v>2025-03-20T00:00:00.000Z</x:v>
      </x:c>
      <x:c r="B2574" s="12" t="n">
        <x:v>138042.890085</x:v>
      </x:c>
      <x:c r="C2574" s="13" t="n">
        <x:v>0</x:v>
      </x:c>
      <x:c r="D2574" s="12" t="n">
        <x:v>0</x:v>
      </x:c>
      <x:c r="E2574" s="12" t="n">
        <x:v>0</x:v>
      </x:c>
      <x:c r="F2574" s="12" t="n">
        <x:f>SUM(B2574,D2574:E2574)</x:f>
        <x:v>138042.890085</x:v>
      </x:c>
      <x:c r="G2574" s="12" t="n">
        <x:f>MAX(G2573,F2574)</x:f>
        <x:v>147338.151385</x:v>
      </x:c>
      <x:c r="H2574" s="14" t="n">
        <x:f>F2574/G2574-1</x:f>
        <x:v>-0.06308794573994048</x:v>
      </x:c>
      <x:c r="I2574" s="14" t="n">
        <x:f>F2574/F2573-1</x:f>
        <x:v>0</x:v>
      </x:c>
      <x:c r="J2574" s="12" t="n">
        <x:v>0</x:v>
      </x:c>
      <x:c r="K2574" s="12" t="n">
        <x:v>0</x:v>
      </x:c>
      <x:c r="L2574" s="12" t="n">
        <x:v>0</x:v>
      </x:c>
      <x:c r="M2574" s="2" t="str">
        <x:v>空仓</x:v>
      </x:c>
    </x:row>
    <x:row r="2575" ht="23" customHeight="1">
      <x:c r="A2575" s="11" t="d">
        <x:v>2025-03-21T00:00:00.000Z</x:v>
      </x:c>
      <x:c r="B2575" s="12" t="n">
        <x:v>138042.890085</x:v>
      </x:c>
      <x:c r="C2575" s="13" t="n">
        <x:v>0</x:v>
      </x:c>
      <x:c r="D2575" s="12" t="n">
        <x:v>0</x:v>
      </x:c>
      <x:c r="E2575" s="12" t="n">
        <x:v>0</x:v>
      </x:c>
      <x:c r="F2575" s="12" t="n">
        <x:f>SUM(B2575,D2575:E2575)</x:f>
        <x:v>138042.890085</x:v>
      </x:c>
      <x:c r="G2575" s="12" t="n">
        <x:f>MAX(G2574,F2575)</x:f>
        <x:v>147338.151385</x:v>
      </x:c>
      <x:c r="H2575" s="14" t="n">
        <x:f>F2575/G2575-1</x:f>
        <x:v>-0.06308794573994048</x:v>
      </x:c>
      <x:c r="I2575" s="14" t="n">
        <x:f>F2575/F2574-1</x:f>
        <x:v>0</x:v>
      </x:c>
      <x:c r="J2575" s="12" t="n">
        <x:v>0</x:v>
      </x:c>
      <x:c r="K2575" s="12" t="n">
        <x:v>0</x:v>
      </x:c>
      <x:c r="L2575" s="12" t="n">
        <x:v>0</x:v>
      </x:c>
      <x:c r="M2575" s="2" t="str">
        <x:v>空仓</x:v>
      </x:c>
    </x:row>
    <x:row r="2576" ht="23" customHeight="1">
      <x:c r="A2576" s="11" t="d">
        <x:v>2025-03-24T00:00:00.000Z</x:v>
      </x:c>
      <x:c r="B2576" s="12" t="n">
        <x:v>138042.890085</x:v>
      </x:c>
      <x:c r="C2576" s="13" t="n">
        <x:v>0</x:v>
      </x:c>
      <x:c r="D2576" s="12" t="n">
        <x:v>0</x:v>
      </x:c>
      <x:c r="E2576" s="12" t="n">
        <x:v>0</x:v>
      </x:c>
      <x:c r="F2576" s="12" t="n">
        <x:f>SUM(B2576,D2576:E2576)</x:f>
        <x:v>138042.890085</x:v>
      </x:c>
      <x:c r="G2576" s="12" t="n">
        <x:f>MAX(G2575,F2576)</x:f>
        <x:v>147338.151385</x:v>
      </x:c>
      <x:c r="H2576" s="14" t="n">
        <x:f>F2576/G2576-1</x:f>
        <x:v>-0.06308794573994048</x:v>
      </x:c>
      <x:c r="I2576" s="14" t="n">
        <x:f>F2576/F2575-1</x:f>
        <x:v>0</x:v>
      </x:c>
      <x:c r="J2576" s="12" t="n">
        <x:v>0</x:v>
      </x:c>
      <x:c r="K2576" s="12" t="n">
        <x:v>0</x:v>
      </x:c>
      <x:c r="L2576" s="12" t="n">
        <x:v>0</x:v>
      </x:c>
      <x:c r="M2576" s="2" t="str">
        <x:v>空仓</x:v>
      </x:c>
    </x:row>
    <x:row r="2577" ht="23" customHeight="1">
      <x:c r="A2577" s="11" t="d">
        <x:v>2025-03-25T00:00:00.000Z</x:v>
      </x:c>
      <x:c r="B2577" s="12" t="n">
        <x:v>138042.890085</x:v>
      </x:c>
      <x:c r="C2577" s="13" t="n">
        <x:v>0</x:v>
      </x:c>
      <x:c r="D2577" s="12" t="n">
        <x:v>0</x:v>
      </x:c>
      <x:c r="E2577" s="12" t="n">
        <x:v>0</x:v>
      </x:c>
      <x:c r="F2577" s="12" t="n">
        <x:f>SUM(B2577,D2577:E2577)</x:f>
        <x:v>138042.890085</x:v>
      </x:c>
      <x:c r="G2577" s="12" t="n">
        <x:f>MAX(G2576,F2577)</x:f>
        <x:v>147338.151385</x:v>
      </x:c>
      <x:c r="H2577" s="14" t="n">
        <x:f>F2577/G2577-1</x:f>
        <x:v>-0.06308794573994048</x:v>
      </x:c>
      <x:c r="I2577" s="14" t="n">
        <x:f>F2577/F2576-1</x:f>
        <x:v>0</x:v>
      </x:c>
      <x:c r="J2577" s="12" t="n">
        <x:v>0</x:v>
      </x:c>
      <x:c r="K2577" s="12" t="n">
        <x:v>0</x:v>
      </x:c>
      <x:c r="L2577" s="12" t="n">
        <x:v>0</x:v>
      </x:c>
      <x:c r="M2577" s="2" t="str">
        <x:v>空仓</x:v>
      </x:c>
    </x:row>
    <x:row r="2578" ht="23" customHeight="1">
      <x:c r="A2578" s="11" t="d">
        <x:v>2025-03-26T00:00:00.000Z</x:v>
      </x:c>
      <x:c r="B2578" s="12" t="n">
        <x:v>138042.890085</x:v>
      </x:c>
      <x:c r="C2578" s="13" t="n">
        <x:v>0</x:v>
      </x:c>
      <x:c r="D2578" s="12" t="n">
        <x:v>0</x:v>
      </x:c>
      <x:c r="E2578" s="12" t="n">
        <x:v>0</x:v>
      </x:c>
      <x:c r="F2578" s="12" t="n">
        <x:f>SUM(B2578,D2578:E2578)</x:f>
        <x:v>138042.890085</x:v>
      </x:c>
      <x:c r="G2578" s="12" t="n">
        <x:f>MAX(G2577,F2578)</x:f>
        <x:v>147338.151385</x:v>
      </x:c>
      <x:c r="H2578" s="14" t="n">
        <x:f>F2578/G2578-1</x:f>
        <x:v>-0.06308794573994048</x:v>
      </x:c>
      <x:c r="I2578" s="14" t="n">
        <x:f>F2578/F2577-1</x:f>
        <x:v>0</x:v>
      </x:c>
      <x:c r="J2578" s="12" t="n">
        <x:v>0</x:v>
      </x:c>
      <x:c r="K2578" s="12" t="n">
        <x:v>0</x:v>
      </x:c>
      <x:c r="L2578" s="12" t="n">
        <x:v>0</x:v>
      </x:c>
      <x:c r="M2578" s="2" t="str">
        <x:v>空仓</x:v>
      </x:c>
    </x:row>
    <x:row r="2579" ht="23" customHeight="1">
      <x:c r="A2579" s="11" t="d">
        <x:v>2025-03-27T00:00:00.000Z</x:v>
      </x:c>
      <x:c r="B2579" s="12" t="n">
        <x:v>138042.890085</x:v>
      </x:c>
      <x:c r="C2579" s="13" t="n">
        <x:v>0</x:v>
      </x:c>
      <x:c r="D2579" s="12" t="n">
        <x:v>0</x:v>
      </x:c>
      <x:c r="E2579" s="12" t="n">
        <x:v>0</x:v>
      </x:c>
      <x:c r="F2579" s="12" t="n">
        <x:f>SUM(B2579,D2579:E2579)</x:f>
        <x:v>138042.890085</x:v>
      </x:c>
      <x:c r="G2579" s="12" t="n">
        <x:f>MAX(G2578,F2579)</x:f>
        <x:v>147338.151385</x:v>
      </x:c>
      <x:c r="H2579" s="14" t="n">
        <x:f>F2579/G2579-1</x:f>
        <x:v>-0.06308794573994048</x:v>
      </x:c>
      <x:c r="I2579" s="14" t="n">
        <x:f>F2579/F2578-1</x:f>
        <x:v>0</x:v>
      </x:c>
      <x:c r="J2579" s="12" t="n">
        <x:v>0</x:v>
      </x:c>
      <x:c r="K2579" s="12" t="n">
        <x:v>0</x:v>
      </x:c>
      <x:c r="L2579" s="12" t="n">
        <x:v>0</x:v>
      </x:c>
      <x:c r="M2579" s="2" t="str">
        <x:v>空仓</x:v>
      </x:c>
    </x:row>
    <x:row r="2580" ht="23" customHeight="1">
      <x:c r="A2580" s="11" t="d">
        <x:v>2025-03-28T00:00:00.000Z</x:v>
      </x:c>
      <x:c r="B2580" s="12" t="n">
        <x:v>138042.890085</x:v>
      </x:c>
      <x:c r="C2580" s="13" t="n">
        <x:v>0</x:v>
      </x:c>
      <x:c r="D2580" s="12" t="n">
        <x:v>0</x:v>
      </x:c>
      <x:c r="E2580" s="12" t="n">
        <x:v>0</x:v>
      </x:c>
      <x:c r="F2580" s="12" t="n">
        <x:f>SUM(B2580,D2580:E2580)</x:f>
        <x:v>138042.890085</x:v>
      </x:c>
      <x:c r="G2580" s="12" t="n">
        <x:f>MAX(G2579,F2580)</x:f>
        <x:v>147338.151385</x:v>
      </x:c>
      <x:c r="H2580" s="14" t="n">
        <x:f>F2580/G2580-1</x:f>
        <x:v>-0.06308794573994048</x:v>
      </x:c>
      <x:c r="I2580" s="14" t="n">
        <x:f>F2580/F2579-1</x:f>
        <x:v>0</x:v>
      </x:c>
      <x:c r="J2580" s="12" t="n">
        <x:v>0</x:v>
      </x:c>
      <x:c r="K2580" s="12" t="n">
        <x:v>0</x:v>
      </x:c>
      <x:c r="L2580" s="12" t="n">
        <x:v>0</x:v>
      </x:c>
      <x:c r="M2580" s="2" t="str">
        <x:v>空仓</x:v>
      </x:c>
    </x:row>
    <x:row r="2581" ht="23" customHeight="1">
      <x:c r="A2581" s="11" t="d">
        <x:v>2025-03-31T00:00:00.000Z</x:v>
      </x:c>
      <x:c r="B2581" s="12" t="n">
        <x:v>138042.890085</x:v>
      </x:c>
      <x:c r="C2581" s="13" t="n">
        <x:v>0</x:v>
      </x:c>
      <x:c r="D2581" s="12" t="n">
        <x:v>0</x:v>
      </x:c>
      <x:c r="E2581" s="12" t="n">
        <x:v>0</x:v>
      </x:c>
      <x:c r="F2581" s="12" t="n">
        <x:f>SUM(B2581,D2581:E2581)</x:f>
        <x:v>138042.890085</x:v>
      </x:c>
      <x:c r="G2581" s="12" t="n">
        <x:f>MAX(G2580,F2581)</x:f>
        <x:v>147338.151385</x:v>
      </x:c>
      <x:c r="H2581" s="14" t="n">
        <x:f>F2581/G2581-1</x:f>
        <x:v>-0.06308794573994048</x:v>
      </x:c>
      <x:c r="I2581" s="14" t="n">
        <x:f>F2581/F2580-1</x:f>
        <x:v>0</x:v>
      </x:c>
      <x:c r="J2581" s="12" t="n">
        <x:v>0</x:v>
      </x:c>
      <x:c r="K2581" s="12" t="n">
        <x:v>0</x:v>
      </x:c>
      <x:c r="L2581" s="12" t="n">
        <x:v>0</x:v>
      </x:c>
      <x:c r="M2581" s="2" t="str">
        <x:v>空仓</x:v>
      </x:c>
    </x:row>
    <x:row r="2582" ht="23" customHeight="1">
      <x:c r="A2582" s="11" t="d">
        <x:v>2025-04-01T00:00:00.000Z</x:v>
      </x:c>
      <x:c r="B2582" s="12" t="n">
        <x:v>138042.890085</x:v>
      </x:c>
      <x:c r="C2582" s="13" t="n">
        <x:v>0</x:v>
      </x:c>
      <x:c r="D2582" s="12" t="n">
        <x:v>0</x:v>
      </x:c>
      <x:c r="E2582" s="12" t="n">
        <x:v>0</x:v>
      </x:c>
      <x:c r="F2582" s="12" t="n">
        <x:f>SUM(B2582,D2582:E2582)</x:f>
        <x:v>138042.890085</x:v>
      </x:c>
      <x:c r="G2582" s="12" t="n">
        <x:f>MAX(G2581,F2582)</x:f>
        <x:v>147338.151385</x:v>
      </x:c>
      <x:c r="H2582" s="14" t="n">
        <x:f>F2582/G2582-1</x:f>
        <x:v>-0.06308794573994048</x:v>
      </x:c>
      <x:c r="I2582" s="14" t="n">
        <x:f>F2582/F2581-1</x:f>
        <x:v>0</x:v>
      </x:c>
      <x:c r="J2582" s="12" t="n">
        <x:v>0</x:v>
      </x:c>
      <x:c r="K2582" s="12" t="n">
        <x:v>0</x:v>
      </x:c>
      <x:c r="L2582" s="12" t="n">
        <x:v>0</x:v>
      </x:c>
      <x:c r="M2582" s="2" t="str">
        <x:v>空仓</x:v>
      </x:c>
    </x:row>
    <x:row r="2583" ht="23" customHeight="1">
      <x:c r="A2583" s="11" t="d">
        <x:v>2025-04-02T00:00:00.000Z</x:v>
      </x:c>
      <x:c r="B2583" s="12" t="n">
        <x:v>138042.890085</x:v>
      </x:c>
      <x:c r="C2583" s="13" t="n">
        <x:v>0</x:v>
      </x:c>
      <x:c r="D2583" s="12" t="n">
        <x:v>0</x:v>
      </x:c>
      <x:c r="E2583" s="12" t="n">
        <x:v>0</x:v>
      </x:c>
      <x:c r="F2583" s="12" t="n">
        <x:f>SUM(B2583,D2583:E2583)</x:f>
        <x:v>138042.890085</x:v>
      </x:c>
      <x:c r="G2583" s="12" t="n">
        <x:f>MAX(G2582,F2583)</x:f>
        <x:v>147338.151385</x:v>
      </x:c>
      <x:c r="H2583" s="14" t="n">
        <x:f>F2583/G2583-1</x:f>
        <x:v>-0.06308794573994048</x:v>
      </x:c>
      <x:c r="I2583" s="14" t="n">
        <x:f>F2583/F2582-1</x:f>
        <x:v>0</x:v>
      </x:c>
      <x:c r="J2583" s="12" t="n">
        <x:v>0</x:v>
      </x:c>
      <x:c r="K2583" s="12" t="n">
        <x:v>0</x:v>
      </x:c>
      <x:c r="L2583" s="12" t="n">
        <x:v>0</x:v>
      </x:c>
      <x:c r="M2583" s="2" t="str">
        <x:v>空仓</x:v>
      </x:c>
    </x:row>
    <x:row r="2584" ht="23" customHeight="1">
      <x:c r="A2584" s="11" t="d">
        <x:v>2025-04-03T00:00:00.000Z</x:v>
      </x:c>
      <x:c r="B2584" s="12" t="n">
        <x:v>138042.890085</x:v>
      </x:c>
      <x:c r="C2584" s="13" t="n">
        <x:v>0</x:v>
      </x:c>
      <x:c r="D2584" s="12" t="n">
        <x:v>0</x:v>
      </x:c>
      <x:c r="E2584" s="12" t="n">
        <x:v>0</x:v>
      </x:c>
      <x:c r="F2584" s="12" t="n">
        <x:f>SUM(B2584,D2584:E2584)</x:f>
        <x:v>138042.890085</x:v>
      </x:c>
      <x:c r="G2584" s="12" t="n">
        <x:f>MAX(G2583,F2584)</x:f>
        <x:v>147338.151385</x:v>
      </x:c>
      <x:c r="H2584" s="14" t="n">
        <x:f>F2584/G2584-1</x:f>
        <x:v>-0.06308794573994048</x:v>
      </x:c>
      <x:c r="I2584" s="14" t="n">
        <x:f>F2584/F2583-1</x:f>
        <x:v>0</x:v>
      </x:c>
      <x:c r="J2584" s="12" t="n">
        <x:v>0</x:v>
      </x:c>
      <x:c r="K2584" s="12" t="n">
        <x:v>0</x:v>
      </x:c>
      <x:c r="L2584" s="12" t="n">
        <x:v>0</x:v>
      </x:c>
      <x:c r="M2584" s="2" t="str">
        <x:v>空仓</x:v>
      </x:c>
    </x:row>
    <x:row r="2585" ht="23" customHeight="1">
      <x:c r="A2585" s="11" t="d">
        <x:v>2025-04-04T00:00:00.000Z</x:v>
      </x:c>
      <x:c r="B2585" s="12" t="n">
        <x:v>138042.890085</x:v>
      </x:c>
      <x:c r="C2585" s="13" t="n">
        <x:v>0</x:v>
      </x:c>
      <x:c r="D2585" s="12" t="n">
        <x:v>0</x:v>
      </x:c>
      <x:c r="E2585" s="12" t="n">
        <x:v>0</x:v>
      </x:c>
      <x:c r="F2585" s="12" t="n">
        <x:f>SUM(B2585,D2585:E2585)</x:f>
        <x:v>138042.890085</x:v>
      </x:c>
      <x:c r="G2585" s="12" t="n">
        <x:f>MAX(G2584,F2585)</x:f>
        <x:v>147338.151385</x:v>
      </x:c>
      <x:c r="H2585" s="14" t="n">
        <x:f>F2585/G2585-1</x:f>
        <x:v>-0.06308794573994048</x:v>
      </x:c>
      <x:c r="I2585" s="14" t="n">
        <x:f>F2585/F2584-1</x:f>
        <x:v>0</x:v>
      </x:c>
      <x:c r="J2585" s="12" t="n">
        <x:v>0</x:v>
      </x:c>
      <x:c r="K2585" s="12" t="n">
        <x:v>0</x:v>
      </x:c>
      <x:c r="L2585" s="12" t="n">
        <x:v>0</x:v>
      </x:c>
      <x:c r="M2585" s="2" t="str">
        <x:v>空仓</x:v>
      </x:c>
    </x:row>
    <x:row r="2586" ht="23" customHeight="1">
      <x:c r="A2586" s="11" t="d">
        <x:v>2025-04-07T00:00:00.000Z</x:v>
      </x:c>
      <x:c r="B2586" s="12" t="n">
        <x:v>138042.890085</x:v>
      </x:c>
      <x:c r="C2586" s="13" t="n">
        <x:v>0</x:v>
      </x:c>
      <x:c r="D2586" s="12" t="n">
        <x:v>0</x:v>
      </x:c>
      <x:c r="E2586" s="12" t="n">
        <x:v>0</x:v>
      </x:c>
      <x:c r="F2586" s="12" t="n">
        <x:f>SUM(B2586,D2586:E2586)</x:f>
        <x:v>138042.890085</x:v>
      </x:c>
      <x:c r="G2586" s="12" t="n">
        <x:f>MAX(G2585,F2586)</x:f>
        <x:v>147338.151385</x:v>
      </x:c>
      <x:c r="H2586" s="14" t="n">
        <x:f>F2586/G2586-1</x:f>
        <x:v>-0.06308794573994048</x:v>
      </x:c>
      <x:c r="I2586" s="14" t="n">
        <x:f>F2586/F2585-1</x:f>
        <x:v>0</x:v>
      </x:c>
      <x:c r="J2586" s="12" t="n">
        <x:v>0</x:v>
      </x:c>
      <x:c r="K2586" s="12" t="n">
        <x:v>0</x:v>
      </x:c>
      <x:c r="L2586" s="12" t="n">
        <x:v>0</x:v>
      </x:c>
      <x:c r="M2586" s="2" t="str">
        <x:v>空仓</x:v>
      </x:c>
    </x:row>
    <x:row r="2587" ht="23" customHeight="1">
      <x:c r="A2587" s="11" t="d">
        <x:v>2025-04-08T00:00:00.000Z</x:v>
      </x:c>
      <x:c r="B2587" s="12" t="n">
        <x:v>138042.890085</x:v>
      </x:c>
      <x:c r="C2587" s="13" t="n">
        <x:v>0</x:v>
      </x:c>
      <x:c r="D2587" s="12" t="n">
        <x:v>0</x:v>
      </x:c>
      <x:c r="E2587" s="12" t="n">
        <x:v>0</x:v>
      </x:c>
      <x:c r="F2587" s="12" t="n">
        <x:f>SUM(B2587,D2587:E2587)</x:f>
        <x:v>138042.890085</x:v>
      </x:c>
      <x:c r="G2587" s="12" t="n">
        <x:f>MAX(G2586,F2587)</x:f>
        <x:v>147338.151385</x:v>
      </x:c>
      <x:c r="H2587" s="14" t="n">
        <x:f>F2587/G2587-1</x:f>
        <x:v>-0.06308794573994048</x:v>
      </x:c>
      <x:c r="I2587" s="14" t="n">
        <x:f>F2587/F2586-1</x:f>
        <x:v>0</x:v>
      </x:c>
      <x:c r="J2587" s="12" t="n">
        <x:v>0</x:v>
      </x:c>
      <x:c r="K2587" s="12" t="n">
        <x:v>0</x:v>
      </x:c>
      <x:c r="L2587" s="12" t="n">
        <x:v>0</x:v>
      </x:c>
      <x:c r="M2587" s="2" t="str">
        <x:v>空仓</x:v>
      </x:c>
    </x:row>
    <x:row r="2588" ht="23" customHeight="1">
      <x:c r="A2588" s="11" t="d">
        <x:v>2025-04-09T00:00:00.000Z</x:v>
      </x:c>
      <x:c r="B2588" s="12" t="n">
        <x:v>138042.890085</x:v>
      </x:c>
      <x:c r="C2588" s="13" t="n">
        <x:v>0</x:v>
      </x:c>
      <x:c r="D2588" s="12" t="n">
        <x:v>0</x:v>
      </x:c>
      <x:c r="E2588" s="12" t="n">
        <x:v>0</x:v>
      </x:c>
      <x:c r="F2588" s="12" t="n">
        <x:f>SUM(B2588,D2588:E2588)</x:f>
        <x:v>138042.890085</x:v>
      </x:c>
      <x:c r="G2588" s="12" t="n">
        <x:f>MAX(G2587,F2588)</x:f>
        <x:v>147338.151385</x:v>
      </x:c>
      <x:c r="H2588" s="14" t="n">
        <x:f>F2588/G2588-1</x:f>
        <x:v>-0.06308794573994048</x:v>
      </x:c>
      <x:c r="I2588" s="14" t="n">
        <x:f>F2588/F2587-1</x:f>
        <x:v>0</x:v>
      </x:c>
      <x:c r="J2588" s="12" t="n">
        <x:v>0</x:v>
      </x:c>
      <x:c r="K2588" s="12" t="n">
        <x:v>0</x:v>
      </x:c>
      <x:c r="L2588" s="12" t="n">
        <x:v>0</x:v>
      </x:c>
      <x:c r="M2588" s="2" t="str">
        <x:v>空仓</x:v>
      </x:c>
    </x:row>
    <x:row r="2589" ht="23" customHeight="1">
      <x:c r="A2589" s="11" t="d">
        <x:v>2025-04-10T00:00:00.000Z</x:v>
      </x:c>
      <x:c r="B2589" s="12" t="n">
        <x:v>138042.890085</x:v>
      </x:c>
      <x:c r="C2589" s="13" t="n">
        <x:v>0</x:v>
      </x:c>
      <x:c r="D2589" s="12" t="n">
        <x:v>0</x:v>
      </x:c>
      <x:c r="E2589" s="12" t="n">
        <x:v>0</x:v>
      </x:c>
      <x:c r="F2589" s="12" t="n">
        <x:f>SUM(B2589,D2589:E2589)</x:f>
        <x:v>138042.890085</x:v>
      </x:c>
      <x:c r="G2589" s="12" t="n">
        <x:f>MAX(G2588,F2589)</x:f>
        <x:v>147338.151385</x:v>
      </x:c>
      <x:c r="H2589" s="14" t="n">
        <x:f>F2589/G2589-1</x:f>
        <x:v>-0.06308794573994048</x:v>
      </x:c>
      <x:c r="I2589" s="14" t="n">
        <x:f>F2589/F2588-1</x:f>
        <x:v>0</x:v>
      </x:c>
      <x:c r="J2589" s="12" t="n">
        <x:v>0</x:v>
      </x:c>
      <x:c r="K2589" s="12" t="n">
        <x:v>0</x:v>
      </x:c>
      <x:c r="L2589" s="12" t="n">
        <x:v>0</x:v>
      </x:c>
      <x:c r="M2589" s="2" t="str">
        <x:v>空仓</x:v>
      </x:c>
    </x:row>
    <x:row r="2590" ht="23" customHeight="1">
      <x:c r="A2590" s="11" t="d">
        <x:v>2025-04-11T00:00:00.000Z</x:v>
      </x:c>
      <x:c r="B2590" s="12" t="n">
        <x:v>138042.890085</x:v>
      </x:c>
      <x:c r="C2590" s="13" t="n">
        <x:v>0</x:v>
      </x:c>
      <x:c r="D2590" s="12" t="n">
        <x:v>0</x:v>
      </x:c>
      <x:c r="E2590" s="12" t="n">
        <x:v>0</x:v>
      </x:c>
      <x:c r="F2590" s="12" t="n">
        <x:f>SUM(B2590,D2590:E2590)</x:f>
        <x:v>138042.890085</x:v>
      </x:c>
      <x:c r="G2590" s="12" t="n">
        <x:f>MAX(G2589,F2590)</x:f>
        <x:v>147338.151385</x:v>
      </x:c>
      <x:c r="H2590" s="14" t="n">
        <x:f>F2590/G2590-1</x:f>
        <x:v>-0.06308794573994048</x:v>
      </x:c>
      <x:c r="I2590" s="14" t="n">
        <x:f>F2590/F2589-1</x:f>
        <x:v>0</x:v>
      </x:c>
      <x:c r="J2590" s="12" t="n">
        <x:v>0</x:v>
      </x:c>
      <x:c r="K2590" s="12" t="n">
        <x:v>0</x:v>
      </x:c>
      <x:c r="L2590" s="12" t="n">
        <x:v>0</x:v>
      </x:c>
      <x:c r="M2590" s="2" t="str">
        <x:v>空仓</x:v>
      </x:c>
    </x:row>
    <x:row r="2591" ht="23" customHeight="1">
      <x:c r="A2591" s="11" t="d">
        <x:v>2025-04-14T00:00:00.000Z</x:v>
      </x:c>
      <x:c r="B2591" s="12" t="n">
        <x:v>138042.890085</x:v>
      </x:c>
      <x:c r="C2591" s="13" t="n">
        <x:v>0</x:v>
      </x:c>
      <x:c r="D2591" s="12" t="n">
        <x:v>0</x:v>
      </x:c>
      <x:c r="E2591" s="12" t="n">
        <x:v>0</x:v>
      </x:c>
      <x:c r="F2591" s="12" t="n">
        <x:f>SUM(B2591,D2591:E2591)</x:f>
        <x:v>138042.890085</x:v>
      </x:c>
      <x:c r="G2591" s="12" t="n">
        <x:f>MAX(G2590,F2591)</x:f>
        <x:v>147338.151385</x:v>
      </x:c>
      <x:c r="H2591" s="14" t="n">
        <x:f>F2591/G2591-1</x:f>
        <x:v>-0.06308794573994048</x:v>
      </x:c>
      <x:c r="I2591" s="14" t="n">
        <x:f>F2591/F2590-1</x:f>
        <x:v>0</x:v>
      </x:c>
      <x:c r="J2591" s="12" t="n">
        <x:v>0</x:v>
      </x:c>
      <x:c r="K2591" s="12" t="n">
        <x:v>0</x:v>
      </x:c>
      <x:c r="L2591" s="12" t="n">
        <x:v>0</x:v>
      </x:c>
      <x:c r="M2591" s="2" t="str">
        <x:v>空仓</x:v>
      </x:c>
    </x:row>
    <x:row r="2592" ht="23" customHeight="1">
      <x:c r="A2592" s="11" t="d">
        <x:v>2025-04-15T00:00:00.000Z</x:v>
      </x:c>
      <x:c r="B2592" s="12" t="n">
        <x:v>138042.890085</x:v>
      </x:c>
      <x:c r="C2592" s="13" t="n">
        <x:v>0</x:v>
      </x:c>
      <x:c r="D2592" s="12" t="n">
        <x:v>0</x:v>
      </x:c>
      <x:c r="E2592" s="12" t="n">
        <x:v>0</x:v>
      </x:c>
      <x:c r="F2592" s="12" t="n">
        <x:f>SUM(B2592,D2592:E2592)</x:f>
        <x:v>138042.890085</x:v>
      </x:c>
      <x:c r="G2592" s="12" t="n">
        <x:f>MAX(G2591,F2592)</x:f>
        <x:v>147338.151385</x:v>
      </x:c>
      <x:c r="H2592" s="14" t="n">
        <x:f>F2592/G2592-1</x:f>
        <x:v>-0.06308794573994048</x:v>
      </x:c>
      <x:c r="I2592" s="14" t="n">
        <x:f>F2592/F2591-1</x:f>
        <x:v>0</x:v>
      </x:c>
      <x:c r="J2592" s="12" t="n">
        <x:v>0</x:v>
      </x:c>
      <x:c r="K2592" s="12" t="n">
        <x:v>0</x:v>
      </x:c>
      <x:c r="L2592" s="12" t="n">
        <x:v>0</x:v>
      </x:c>
      <x:c r="M2592" s="2" t="str">
        <x:v>空仓</x:v>
      </x:c>
    </x:row>
    <x:row r="2593" ht="23" customHeight="1">
      <x:c r="A2593" s="11" t="d">
        <x:v>2025-04-16T00:00:00.000Z</x:v>
      </x:c>
      <x:c r="B2593" s="12" t="n">
        <x:v>138042.890085</x:v>
      </x:c>
      <x:c r="C2593" s="13" t="n">
        <x:v>0</x:v>
      </x:c>
      <x:c r="D2593" s="12" t="n">
        <x:v>0</x:v>
      </x:c>
      <x:c r="E2593" s="12" t="n">
        <x:v>0</x:v>
      </x:c>
      <x:c r="F2593" s="12" t="n">
        <x:f>SUM(B2593,D2593:E2593)</x:f>
        <x:v>138042.890085</x:v>
      </x:c>
      <x:c r="G2593" s="12" t="n">
        <x:f>MAX(G2592,F2593)</x:f>
        <x:v>147338.151385</x:v>
      </x:c>
      <x:c r="H2593" s="14" t="n">
        <x:f>F2593/G2593-1</x:f>
        <x:v>-0.06308794573994048</x:v>
      </x:c>
      <x:c r="I2593" s="14" t="n">
        <x:f>F2593/F2592-1</x:f>
        <x:v>0</x:v>
      </x:c>
      <x:c r="J2593" s="12" t="n">
        <x:v>0</x:v>
      </x:c>
      <x:c r="K2593" s="12" t="n">
        <x:v>0</x:v>
      </x:c>
      <x:c r="L2593" s="12" t="n">
        <x:v>0</x:v>
      </x:c>
      <x:c r="M2593" s="2" t="str">
        <x:v>空仓</x:v>
      </x:c>
    </x:row>
    <x:row r="2594" ht="23" customHeight="1">
      <x:c r="A2594" s="11" t="d">
        <x:v>2025-04-17T00:00:00.000Z</x:v>
      </x:c>
      <x:c r="B2594" s="12" t="n">
        <x:v>138042.890085</x:v>
      </x:c>
      <x:c r="C2594" s="13" t="n">
        <x:v>0</x:v>
      </x:c>
      <x:c r="D2594" s="12" t="n">
        <x:v>0</x:v>
      </x:c>
      <x:c r="E2594" s="12" t="n">
        <x:v>0</x:v>
      </x:c>
      <x:c r="F2594" s="12" t="n">
        <x:f>SUM(B2594,D2594:E2594)</x:f>
        <x:v>138042.890085</x:v>
      </x:c>
      <x:c r="G2594" s="12" t="n">
        <x:f>MAX(G2593,F2594)</x:f>
        <x:v>147338.151385</x:v>
      </x:c>
      <x:c r="H2594" s="14" t="n">
        <x:f>F2594/G2594-1</x:f>
        <x:v>-0.06308794573994048</x:v>
      </x:c>
      <x:c r="I2594" s="14" t="n">
        <x:f>F2594/F2593-1</x:f>
        <x:v>0</x:v>
      </x:c>
      <x:c r="J2594" s="12" t="n">
        <x:v>0</x:v>
      </x:c>
      <x:c r="K2594" s="12" t="n">
        <x:v>0</x:v>
      </x:c>
      <x:c r="L2594" s="12" t="n">
        <x:v>0</x:v>
      </x:c>
      <x:c r="M2594" s="2" t="str">
        <x:v>空仓</x:v>
      </x:c>
    </x:row>
    <x:row r="2595" ht="23" customHeight="1">
      <x:c r="A2595" s="11" t="d">
        <x:v>2025-04-21T00:00:00.000Z</x:v>
      </x:c>
      <x:c r="B2595" s="12" t="n">
        <x:v>138042.890085</x:v>
      </x:c>
      <x:c r="C2595" s="13" t="n">
        <x:v>0</x:v>
      </x:c>
      <x:c r="D2595" s="12" t="n">
        <x:v>0</x:v>
      </x:c>
      <x:c r="E2595" s="12" t="n">
        <x:v>0</x:v>
      </x:c>
      <x:c r="F2595" s="12" t="n">
        <x:f>SUM(B2595,D2595:E2595)</x:f>
        <x:v>138042.890085</x:v>
      </x:c>
      <x:c r="G2595" s="12" t="n">
        <x:f>MAX(G2594,F2595)</x:f>
        <x:v>147338.151385</x:v>
      </x:c>
      <x:c r="H2595" s="14" t="n">
        <x:f>F2595/G2595-1</x:f>
        <x:v>-0.06308794573994048</x:v>
      </x:c>
      <x:c r="I2595" s="14" t="n">
        <x:f>F2595/F2594-1</x:f>
        <x:v>0</x:v>
      </x:c>
      <x:c r="J2595" s="12" t="n">
        <x:v>0</x:v>
      </x:c>
      <x:c r="K2595" s="12" t="n">
        <x:v>0</x:v>
      </x:c>
      <x:c r="L2595" s="12" t="n">
        <x:v>0</x:v>
      </x:c>
      <x:c r="M2595" s="2" t="str">
        <x:v>空仓</x:v>
      </x:c>
    </x:row>
    <x:row r="2596" ht="23" customHeight="1">
      <x:c r="A2596" s="11" t="d">
        <x:v>2025-04-22T00:00:00.000Z</x:v>
      </x:c>
      <x:c r="B2596" s="12" t="n">
        <x:v>138042.890085</x:v>
      </x:c>
      <x:c r="C2596" s="13" t="n">
        <x:v>0</x:v>
      </x:c>
      <x:c r="D2596" s="12" t="n">
        <x:v>0</x:v>
      </x:c>
      <x:c r="E2596" s="12" t="n">
        <x:v>0</x:v>
      </x:c>
      <x:c r="F2596" s="12" t="n">
        <x:f>SUM(B2596,D2596:E2596)</x:f>
        <x:v>138042.890085</x:v>
      </x:c>
      <x:c r="G2596" s="12" t="n">
        <x:f>MAX(G2595,F2596)</x:f>
        <x:v>147338.151385</x:v>
      </x:c>
      <x:c r="H2596" s="14" t="n">
        <x:f>F2596/G2596-1</x:f>
        <x:v>-0.06308794573994048</x:v>
      </x:c>
      <x:c r="I2596" s="14" t="n">
        <x:f>F2596/F2595-1</x:f>
        <x:v>0</x:v>
      </x:c>
      <x:c r="J2596" s="12" t="n">
        <x:v>0</x:v>
      </x:c>
      <x:c r="K2596" s="12" t="n">
        <x:v>0</x:v>
      </x:c>
      <x:c r="L2596" s="12" t="n">
        <x:v>0</x:v>
      </x:c>
      <x:c r="M2596" s="2" t="str">
        <x:v>空仓</x:v>
      </x:c>
    </x:row>
    <x:row r="2597" ht="23" customHeight="1">
      <x:c r="A2597" s="11" t="d">
        <x:v>2025-04-23T00:00:00.000Z</x:v>
      </x:c>
      <x:c r="B2597" s="12" t="n">
        <x:v>138042.890085</x:v>
      </x:c>
      <x:c r="C2597" s="13" t="n">
        <x:v>0</x:v>
      </x:c>
      <x:c r="D2597" s="12" t="n">
        <x:v>0</x:v>
      </x:c>
      <x:c r="E2597" s="12" t="n">
        <x:v>0</x:v>
      </x:c>
      <x:c r="F2597" s="12" t="n">
        <x:f>SUM(B2597,D2597:E2597)</x:f>
        <x:v>138042.890085</x:v>
      </x:c>
      <x:c r="G2597" s="12" t="n">
        <x:f>MAX(G2596,F2597)</x:f>
        <x:v>147338.151385</x:v>
      </x:c>
      <x:c r="H2597" s="14" t="n">
        <x:f>F2597/G2597-1</x:f>
        <x:v>-0.06308794573994048</x:v>
      </x:c>
      <x:c r="I2597" s="14" t="n">
        <x:f>F2597/F2596-1</x:f>
        <x:v>0</x:v>
      </x:c>
      <x:c r="J2597" s="12" t="n">
        <x:v>0</x:v>
      </x:c>
      <x:c r="K2597" s="12" t="n">
        <x:v>0</x:v>
      </x:c>
      <x:c r="L2597" s="12" t="n">
        <x:v>0</x:v>
      </x:c>
      <x:c r="M2597" s="2" t="str">
        <x:v>空仓</x:v>
      </x:c>
    </x:row>
    <x:row r="2598" ht="23" customHeight="1">
      <x:c r="A2598" s="11" t="d">
        <x:v>2025-04-24T00:00:00.000Z</x:v>
      </x:c>
      <x:c r="B2598" s="12" t="n">
        <x:v>138042.890085</x:v>
      </x:c>
      <x:c r="C2598" s="13" t="n">
        <x:v>0</x:v>
      </x:c>
      <x:c r="D2598" s="12" t="n">
        <x:v>0</x:v>
      </x:c>
      <x:c r="E2598" s="12" t="n">
        <x:v>0</x:v>
      </x:c>
      <x:c r="F2598" s="12" t="n">
        <x:f>SUM(B2598,D2598:E2598)</x:f>
        <x:v>138042.890085</x:v>
      </x:c>
      <x:c r="G2598" s="12" t="n">
        <x:f>MAX(G2597,F2598)</x:f>
        <x:v>147338.151385</x:v>
      </x:c>
      <x:c r="H2598" s="14" t="n">
        <x:f>F2598/G2598-1</x:f>
        <x:v>-0.06308794573994048</x:v>
      </x:c>
      <x:c r="I2598" s="14" t="n">
        <x:f>F2598/F2597-1</x:f>
        <x:v>0</x:v>
      </x:c>
      <x:c r="J2598" s="12" t="n">
        <x:v>0</x:v>
      </x:c>
      <x:c r="K2598" s="12" t="n">
        <x:v>0</x:v>
      </x:c>
      <x:c r="L2598" s="12" t="n">
        <x:v>0</x:v>
      </x:c>
      <x:c r="M2598" s="2" t="str">
        <x:v>空仓</x:v>
      </x:c>
    </x:row>
    <x:row r="2599" ht="23" customHeight="1">
      <x:c r="A2599" s="11" t="d">
        <x:v>2025-04-25T00:00:00.000Z</x:v>
      </x:c>
      <x:c r="B2599" s="12" t="n">
        <x:v>138042.890085</x:v>
      </x:c>
      <x:c r="C2599" s="13" t="n">
        <x:v>0</x:v>
      </x:c>
      <x:c r="D2599" s="12" t="n">
        <x:v>0</x:v>
      </x:c>
      <x:c r="E2599" s="12" t="n">
        <x:v>0</x:v>
      </x:c>
      <x:c r="F2599" s="12" t="n">
        <x:f>SUM(B2599,D2599:E2599)</x:f>
        <x:v>138042.890085</x:v>
      </x:c>
      <x:c r="G2599" s="12" t="n">
        <x:f>MAX(G2598,F2599)</x:f>
        <x:v>147338.151385</x:v>
      </x:c>
      <x:c r="H2599" s="14" t="n">
        <x:f>F2599/G2599-1</x:f>
        <x:v>-0.06308794573994048</x:v>
      </x:c>
      <x:c r="I2599" s="14" t="n">
        <x:f>F2599/F2598-1</x:f>
        <x:v>0</x:v>
      </x:c>
      <x:c r="J2599" s="12" t="n">
        <x:v>0</x:v>
      </x:c>
      <x:c r="K2599" s="12" t="n">
        <x:v>0</x:v>
      </x:c>
      <x:c r="L2599" s="12" t="n">
        <x:v>0</x:v>
      </x:c>
      <x:c r="M2599" s="2" t="str">
        <x:v>空仓</x:v>
      </x:c>
    </x:row>
    <x:row r="2600" ht="23" customHeight="1">
      <x:c r="A2600" s="11" t="d">
        <x:v>2025-04-28T00:00:00.000Z</x:v>
      </x:c>
      <x:c r="B2600" s="12" t="n">
        <x:v>138042.890085</x:v>
      </x:c>
      <x:c r="C2600" s="13" t="n">
        <x:v>0</x:v>
      </x:c>
      <x:c r="D2600" s="12" t="n">
        <x:v>0</x:v>
      </x:c>
      <x:c r="E2600" s="12" t="n">
        <x:v>0</x:v>
      </x:c>
      <x:c r="F2600" s="12" t="n">
        <x:f>SUM(B2600,D2600:E2600)</x:f>
        <x:v>138042.890085</x:v>
      </x:c>
      <x:c r="G2600" s="12" t="n">
        <x:f>MAX(G2599,F2600)</x:f>
        <x:v>147338.151385</x:v>
      </x:c>
      <x:c r="H2600" s="14" t="n">
        <x:f>F2600/G2600-1</x:f>
        <x:v>-0.06308794573994048</x:v>
      </x:c>
      <x:c r="I2600" s="14" t="n">
        <x:f>F2600/F2599-1</x:f>
        <x:v>0</x:v>
      </x:c>
      <x:c r="J2600" s="12" t="n">
        <x:v>0</x:v>
      </x:c>
      <x:c r="K2600" s="12" t="n">
        <x:v>0</x:v>
      </x:c>
      <x:c r="L2600" s="12" t="n">
        <x:v>0</x:v>
      </x:c>
      <x:c r="M2600" s="2" t="str">
        <x:v>空仓</x:v>
      </x:c>
    </x:row>
    <x:row r="2601" ht="23" customHeight="1">
      <x:c r="A2601" s="11" t="d">
        <x:v>2025-04-29T00:00:00.000Z</x:v>
      </x:c>
      <x:c r="B2601" s="12" t="n">
        <x:v>138042.890085</x:v>
      </x:c>
      <x:c r="C2601" s="13" t="n">
        <x:v>0</x:v>
      </x:c>
      <x:c r="D2601" s="12" t="n">
        <x:v>0</x:v>
      </x:c>
      <x:c r="E2601" s="12" t="n">
        <x:v>0</x:v>
      </x:c>
      <x:c r="F2601" s="12" t="n">
        <x:f>SUM(B2601,D2601:E2601)</x:f>
        <x:v>138042.890085</x:v>
      </x:c>
      <x:c r="G2601" s="12" t="n">
        <x:f>MAX(G2600,F2601)</x:f>
        <x:v>147338.151385</x:v>
      </x:c>
      <x:c r="H2601" s="14" t="n">
        <x:f>F2601/G2601-1</x:f>
        <x:v>-0.06308794573994048</x:v>
      </x:c>
      <x:c r="I2601" s="14" t="n">
        <x:f>F2601/F2600-1</x:f>
        <x:v>0</x:v>
      </x:c>
      <x:c r="J2601" s="12" t="n">
        <x:v>0</x:v>
      </x:c>
      <x:c r="K2601" s="12" t="n">
        <x:v>0</x:v>
      </x:c>
      <x:c r="L2601" s="12" t="n">
        <x:v>0</x:v>
      </x:c>
      <x:c r="M2601" s="2" t="str">
        <x:v>空仓</x:v>
      </x:c>
    </x:row>
    <x:row r="2602" ht="23" customHeight="1">
      <x:c r="A2602" s="11" t="d">
        <x:v>2025-04-30T00:00:00.000Z</x:v>
      </x:c>
      <x:c r="B2602" s="12" t="n">
        <x:v>138042.890085</x:v>
      </x:c>
      <x:c r="C2602" s="13" t="n">
        <x:v>0</x:v>
      </x:c>
      <x:c r="D2602" s="12" t="n">
        <x:v>0</x:v>
      </x:c>
      <x:c r="E2602" s="12" t="n">
        <x:v>0</x:v>
      </x:c>
      <x:c r="F2602" s="12" t="n">
        <x:f>SUM(B2602,D2602:E2602)</x:f>
        <x:v>138042.890085</x:v>
      </x:c>
      <x:c r="G2602" s="12" t="n">
        <x:f>MAX(G2601,F2602)</x:f>
        <x:v>147338.151385</x:v>
      </x:c>
      <x:c r="H2602" s="14" t="n">
        <x:f>F2602/G2602-1</x:f>
        <x:v>-0.06308794573994048</x:v>
      </x:c>
      <x:c r="I2602" s="14" t="n">
        <x:f>F2602/F2601-1</x:f>
        <x:v>0</x:v>
      </x:c>
      <x:c r="J2602" s="12" t="n">
        <x:v>0</x:v>
      </x:c>
      <x:c r="K2602" s="12" t="n">
        <x:v>0</x:v>
      </x:c>
      <x:c r="L2602" s="12" t="n">
        <x:v>0</x:v>
      </x:c>
      <x:c r="M2602" s="2" t="str">
        <x:v>空仓</x:v>
      </x:c>
    </x:row>
    <x:row r="2603" ht="23" customHeight="1">
      <x:c r="A2603" s="11" t="d">
        <x:v>2025-05-01T00:00:00.000Z</x:v>
      </x:c>
      <x:c r="B2603" s="12" t="n">
        <x:v>138042.890085</x:v>
      </x:c>
      <x:c r="C2603" s="13" t="n">
        <x:v>0</x:v>
      </x:c>
      <x:c r="D2603" s="12" t="n">
        <x:v>0</x:v>
      </x:c>
      <x:c r="E2603" s="12" t="n">
        <x:v>0</x:v>
      </x:c>
      <x:c r="F2603" s="12" t="n">
        <x:f>SUM(B2603,D2603:E2603)</x:f>
        <x:v>138042.890085</x:v>
      </x:c>
      <x:c r="G2603" s="12" t="n">
        <x:f>MAX(G2602,F2603)</x:f>
        <x:v>147338.151385</x:v>
      </x:c>
      <x:c r="H2603" s="14" t="n">
        <x:f>F2603/G2603-1</x:f>
        <x:v>-0.06308794573994048</x:v>
      </x:c>
      <x:c r="I2603" s="14" t="n">
        <x:f>F2603/F2602-1</x:f>
        <x:v>0</x:v>
      </x:c>
      <x:c r="J2603" s="12" t="n">
        <x:v>0</x:v>
      </x:c>
      <x:c r="K2603" s="12" t="n">
        <x:v>0</x:v>
      </x:c>
      <x:c r="L2603" s="12" t="n">
        <x:v>0</x:v>
      </x:c>
      <x:c r="M2603" s="2" t="str">
        <x:v>空仓</x:v>
      </x:c>
    </x:row>
    <x:row r="2604" ht="23" customHeight="1">
      <x:c r="A2604" s="11" t="d">
        <x:v>2025-05-02T00:00:00.000Z</x:v>
      </x:c>
      <x:c r="B2604" s="12" t="n">
        <x:v>110.975965</x:v>
      </x:c>
      <x:c r="C2604" s="13" t="n">
        <x:v>244</x:v>
      </x:c>
      <x:c r="D2604" s="12" t="n">
        <x:v>138289.44</x:v>
      </x:c>
      <x:c r="E2604" s="12" t="n">
        <x:v>0</x:v>
      </x:c>
      <x:c r="F2604" s="12" t="n">
        <x:f>SUM(B2604,D2604:E2604)</x:f>
        <x:v>138400.415965</x:v>
      </x:c>
      <x:c r="G2604" s="12" t="n">
        <x:f>MAX(G2603,F2604)</x:f>
        <x:v>147338.151385</x:v>
      </x:c>
      <x:c r="H2604" s="14" t="n">
        <x:f>F2604/G2604-1</x:f>
        <x:v>-0.060661378848478886</x:v>
      </x:c>
      <x:c r="I2604" s="14" t="n">
        <x:f>F2604/F2603-1</x:f>
        <x:v>0.002589962292008252</x:v>
      </x:c>
      <x:c r="J2604" s="12" t="n">
        <x:v>0</x:v>
      </x:c>
      <x:c r="K2604" s="12" t="n">
        <x:v>0</x:v>
      </x:c>
      <x:c r="L2604" s="12" t="n">
        <x:v>244</x:v>
      </x:c>
      <x:c r="M2604" s="2" t="str">
        <x:v>买入</x:v>
      </x:c>
    </x:row>
    <x:row r="2605" ht="23" customHeight="1">
      <x:c r="A2605" s="11" t="d">
        <x:v>2025-05-05T00:00:00.000Z</x:v>
      </x:c>
      <x:c r="B2605" s="12" t="n">
        <x:v>110.975965</x:v>
      </x:c>
      <x:c r="C2605" s="13" t="n">
        <x:v>244</x:v>
      </x:c>
      <x:c r="D2605" s="12" t="n">
        <x:v>137496.44</x:v>
      </x:c>
      <x:c r="E2605" s="12" t="n">
        <x:v>0</x:v>
      </x:c>
      <x:c r="F2605" s="12" t="n">
        <x:f>SUM(B2605,D2605:E2605)</x:f>
        <x:v>137607.415965</x:v>
      </x:c>
      <x:c r="G2605" s="12" t="n">
        <x:f>MAX(G2604,F2605)</x:f>
        <x:v>147338.151385</x:v>
      </x:c>
      <x:c r="H2605" s="14" t="n">
        <x:f>F2605/G2605-1</x:f>
        <x:v>-0.06604355578327603</x:v>
      </x:c>
      <x:c r="I2605" s="14" t="n">
        <x:f>F2605/F2604-1</x:f>
        <x:v>-0.005729751565201502</x:v>
      </x:c>
      <x:c r="J2605" s="12" t="n">
        <x:v>0</x:v>
      </x:c>
      <x:c r="K2605" s="12" t="n">
        <x:v>0</x:v>
      </x:c>
      <x:c r="L2605" s="12" t="n">
        <x:v>0</x:v>
      </x:c>
      <x:c r="M2605" s="2" t="str">
        <x:v>持有</x:v>
      </x:c>
    </x:row>
    <x:row r="2606" ht="23" customHeight="1">
      <x:c r="A2606" s="11" t="d">
        <x:v>2025-05-06T00:00:00.000Z</x:v>
      </x:c>
      <x:c r="B2606" s="12" t="n">
        <x:v>110.975965</x:v>
      </x:c>
      <x:c r="C2606" s="13" t="n">
        <x:v>244</x:v>
      </x:c>
      <x:c r="D2606" s="12" t="n">
        <x:v>136347.19999999998</x:v>
      </x:c>
      <x:c r="E2606" s="12" t="n">
        <x:v>0</x:v>
      </x:c>
      <x:c r="F2606" s="12" t="n">
        <x:f>SUM(B2606,D2606:E2606)</x:f>
        <x:v>136458.17596499997</x:v>
      </x:c>
      <x:c r="G2606" s="12" t="n">
        <x:f>MAX(G2605,F2606)</x:f>
        <x:v>147338.151385</x:v>
      </x:c>
      <x:c r="H2606" s="14" t="n">
        <x:f>F2606/G2606-1</x:f>
        <x:v>-0.07384357220262838</x:v>
      </x:c>
      <x:c r="I2606" s="14" t="n">
        <x:f>F2606/F2605-1</x:f>
        <x:v>-0.00835158477427067</x:v>
      </x:c>
      <x:c r="J2606" s="12" t="n">
        <x:v>0</x:v>
      </x:c>
      <x:c r="K2606" s="12" t="n">
        <x:v>0</x:v>
      </x:c>
      <x:c r="L2606" s="12" t="n">
        <x:v>0</x:v>
      </x:c>
      <x:c r="M2606" s="2" t="str">
        <x:v>持有</x:v>
      </x:c>
    </x:row>
    <x:row r="2607" ht="23" customHeight="1">
      <x:c r="A2607" s="11" t="d">
        <x:v>2025-05-07T00:00:00.000Z</x:v>
      </x:c>
      <x:c r="B2607" s="12" t="n">
        <x:v>110.975965</x:v>
      </x:c>
      <x:c r="C2607" s="13" t="n">
        <x:v>244</x:v>
      </x:c>
      <x:c r="D2607" s="12" t="n">
        <x:v>136920.6</x:v>
      </x:c>
      <x:c r="E2607" s="12" t="n">
        <x:v>0</x:v>
      </x:c>
      <x:c r="F2607" s="12" t="n">
        <x:f>SUM(B2607,D2607:E2607)</x:f>
        <x:v>137031.575965</x:v>
      </x:c>
      <x:c r="G2607" s="12" t="n">
        <x:f>MAX(G2606,F2607)</x:f>
        <x:v>147338.151385</x:v>
      </x:c>
      <x:c r="H2607" s="14" t="n">
        <x:f>F2607/G2607-1</x:f>
        <x:v>-0.06995184426515944</x:v>
      </x:c>
      <x:c r="I2607" s="14" t="n">
        <x:f>F2607/F2606-1</x:f>
        <x:v>0.004202020113086569</x:v>
      </x:c>
      <x:c r="J2607" s="12" t="n">
        <x:v>0</x:v>
      </x:c>
      <x:c r="K2607" s="12" t="n">
        <x:v>0</x:v>
      </x:c>
      <x:c r="L2607" s="12" t="n">
        <x:v>0</x:v>
      </x:c>
      <x:c r="M2607" s="2" t="str">
        <x:v>持有</x:v>
      </x:c>
    </x:row>
    <x:row r="2608" ht="23" customHeight="1">
      <x:c r="A2608" s="11" t="d">
        <x:v>2025-05-08T00:00:00.000Z</x:v>
      </x:c>
      <x:c r="B2608" s="12" t="n">
        <x:v>110.975965</x:v>
      </x:c>
      <x:c r="C2608" s="13" t="n">
        <x:v>244</x:v>
      </x:c>
      <x:c r="D2608" s="12" t="n">
        <x:v>137874.63999999998</x:v>
      </x:c>
      <x:c r="E2608" s="12" t="n">
        <x:v>0</x:v>
      </x:c>
      <x:c r="F2608" s="12" t="n">
        <x:f>SUM(B2608,D2608:E2608)</x:f>
        <x:v>137985.61596499998</x:v>
      </x:c>
      <x:c r="G2608" s="12" t="n">
        <x:f>MAX(G2607,F2608)</x:f>
        <x:v>147338.151385</x:v>
      </x:c>
      <x:c r="H2608" s="14" t="n">
        <x:f>F2608/G2608-1</x:f>
        <x:v>-0.06347667139898827</x:v>
      </x:c>
      <x:c r="I2608" s="14" t="n">
        <x:f>F2608/F2607-1</x:f>
        <x:v>0.006962190964246551</x:v>
      </x:c>
      <x:c r="J2608" s="12" t="n">
        <x:v>0</x:v>
      </x:c>
      <x:c r="K2608" s="12" t="n">
        <x:v>0</x:v>
      </x:c>
      <x:c r="L2608" s="12" t="n">
        <x:v>0</x:v>
      </x:c>
      <x:c r="M2608" s="2" t="str">
        <x:v>持有</x:v>
      </x:c>
    </x:row>
    <x:row r="2609" ht="23" customHeight="1">
      <x:c r="A2609" s="11" t="d">
        <x:v>2025-05-09T00:00:00.000Z</x:v>
      </x:c>
      <x:c r="B2609" s="12" t="n">
        <x:v>110.975965</x:v>
      </x:c>
      <x:c r="C2609" s="13" t="n">
        <x:v>244</x:v>
      </x:c>
      <x:c r="D2609" s="12" t="n">
        <x:v>137698.96000000002</x:v>
      </x:c>
      <x:c r="E2609" s="12" t="n">
        <x:v>0</x:v>
      </x:c>
      <x:c r="F2609" s="12" t="n">
        <x:f>SUM(B2609,D2609:E2609)</x:f>
        <x:v>137809.935965</x:v>
      </x:c>
      <x:c r="G2609" s="12" t="n">
        <x:f>MAX(G2608,F2609)</x:f>
        <x:v>147338.151385</x:v>
      </x:c>
      <x:c r="H2609" s="14" t="n">
        <x:f>F2609/G2609-1</x:f>
        <x:v>-0.0646690305968507</x:v>
      </x:c>
      <x:c r="I2609" s="14" t="n">
        <x:f>F2609/F2608-1</x:f>
        <x:v>-0.0012731761841359157</x:v>
      </x:c>
      <x:c r="J2609" s="12" t="n">
        <x:v>0</x:v>
      </x:c>
      <x:c r="K2609" s="12" t="n">
        <x:v>0</x:v>
      </x:c>
      <x:c r="L2609" s="12" t="n">
        <x:v>0</x:v>
      </x:c>
      <x:c r="M2609" s="2" t="str">
        <x:v>持有</x:v>
      </x:c>
    </x:row>
    <x:row r="2610" ht="23" customHeight="1">
      <x:c r="A2610" s="11" t="d">
        <x:v>2025-05-12T00:00:00.000Z</x:v>
      </x:c>
      <x:c r="B2610" s="12" t="n">
        <x:v>110.975965</x:v>
      </x:c>
      <x:c r="C2610" s="13" t="n">
        <x:v>244</x:v>
      </x:c>
      <x:c r="D2610" s="12" t="n">
        <x:v>142249.56</x:v>
      </x:c>
      <x:c r="E2610" s="12" t="n">
        <x:v>0</x:v>
      </x:c>
      <x:c r="F2610" s="12" t="n">
        <x:f>SUM(B2610,D2610:E2610)</x:f>
        <x:v>142360.535965</x:v>
      </x:c>
      <x:c r="G2610" s="12" t="n">
        <x:f>MAX(G2609,F2610)</x:f>
        <x:v>147338.151385</x:v>
      </x:c>
      <x:c r="H2610" s="14" t="n">
        <x:f>F2610/G2610-1</x:f>
        <x:v>-0.03378361526332252</x:v>
      </x:c>
      <x:c r="I2610" s="14" t="n">
        <x:f>F2610/F2609-1</x:f>
        <x:v>0.033020841118130306</x:v>
      </x:c>
      <x:c r="J2610" s="12" t="n">
        <x:v>0</x:v>
      </x:c>
      <x:c r="K2610" s="12" t="n">
        <x:v>0</x:v>
      </x:c>
      <x:c r="L2610" s="12" t="n">
        <x:v>0</x:v>
      </x:c>
      <x:c r="M2610" s="2" t="str">
        <x:v>持有</x:v>
      </x:c>
    </x:row>
    <x:row r="2611" ht="23" customHeight="1">
      <x:c r="A2611" s="11" t="d">
        <x:v>2025-05-13T00:00:00.000Z</x:v>
      </x:c>
      <x:c r="B2611" s="12" t="n">
        <x:v>110.975965</x:v>
      </x:c>
      <x:c r="C2611" s="13" t="n">
        <x:v>244</x:v>
      </x:c>
      <x:c r="D2611" s="12" t="n">
        <x:v>143188.96000000002</x:v>
      </x:c>
      <x:c r="E2611" s="12" t="n">
        <x:v>0</x:v>
      </x:c>
      <x:c r="F2611" s="12" t="n">
        <x:f>SUM(B2611,D2611:E2611)</x:f>
        <x:v>143299.935965</x:v>
      </x:c>
      <x:c r="G2611" s="12" t="n">
        <x:f>MAX(G2610,F2611)</x:f>
        <x:v>147338.151385</x:v>
      </x:c>
      <x:c r="H2611" s="14" t="n">
        <x:f>F2611/G2611-1</x:f>
        <x:v>-0.02740780566363965</x:v>
      </x:c>
      <x:c r="I2611" s="14" t="n">
        <x:f>F2611/F2610-1</x:f>
        <x:v>0.006598738854361796</x:v>
      </x:c>
      <x:c r="J2611" s="12" t="n">
        <x:v>0</x:v>
      </x:c>
      <x:c r="K2611" s="12" t="n">
        <x:v>0</x:v>
      </x:c>
      <x:c r="L2611" s="12" t="n">
        <x:v>0</x:v>
      </x:c>
      <x:c r="M2611" s="2" t="str">
        <x:v>持有</x:v>
      </x:c>
    </x:row>
    <x:row r="2612" ht="23" customHeight="1">
      <x:c r="A2612" s="11" t="d">
        <x:v>2025-05-14T00:00:00.000Z</x:v>
      </x:c>
      <x:c r="B2612" s="12" t="n">
        <x:v>110.975965</x:v>
      </x:c>
      <x:c r="C2612" s="13" t="n">
        <x:v>244</x:v>
      </x:c>
      <x:c r="D2612" s="12" t="n">
        <x:v>143371.96000000002</x:v>
      </x:c>
      <x:c r="E2612" s="12" t="n">
        <x:v>0</x:v>
      </x:c>
      <x:c r="F2612" s="12" t="n">
        <x:f>SUM(B2612,D2612:E2612)</x:f>
        <x:v>143482.935965</x:v>
      </x:c>
      <x:c r="G2612" s="12" t="n">
        <x:f>MAX(G2611,F2612)</x:f>
        <x:v>147338.151385</x:v>
      </x:c>
      <x:c r="H2612" s="14" t="n">
        <x:f>F2612/G2612-1</x:f>
        <x:v>-0.026165764832532523</x:v>
      </x:c>
      <x:c r="I2612" s="14" t="n">
        <x:f>F2612/F2611-1</x:f>
        <x:v>0.001277041743024121</x:v>
      </x:c>
      <x:c r="J2612" s="12" t="n">
        <x:v>0</x:v>
      </x:c>
      <x:c r="K2612" s="12" t="n">
        <x:v>0</x:v>
      </x:c>
      <x:c r="L2612" s="12" t="n">
        <x:v>0</x:v>
      </x:c>
      <x:c r="M2612" s="2" t="str">
        <x:v>持有</x:v>
      </x:c>
    </x:row>
    <x:row r="2613" ht="23" customHeight="1">
      <x:c r="A2613" s="11" t="d">
        <x:v>2025-05-15T00:00:00.000Z</x:v>
      </x:c>
      <x:c r="B2613" s="12" t="n">
        <x:v>110.975965</x:v>
      </x:c>
      <x:c r="C2613" s="13" t="n">
        <x:v>244</x:v>
      </x:c>
      <x:c r="D2613" s="12" t="n">
        <x:v>144072.24000000002</x:v>
      </x:c>
      <x:c r="E2613" s="12" t="n">
        <x:v>0</x:v>
      </x:c>
      <x:c r="F2613" s="12" t="n">
        <x:f>SUM(B2613,D2613:E2613)</x:f>
        <x:v>144183.215965</x:v>
      </x:c>
      <x:c r="G2613" s="12" t="n">
        <x:f>MAX(G2612,F2613)</x:f>
        <x:v>147338.151385</x:v>
      </x:c>
      <x:c r="H2613" s="14" t="n">
        <x:f>F2613/G2613-1</x:f>
        <x:v>-0.02141288858549628</x:v>
      </x:c>
      <x:c r="I2613" s="14" t="n">
        <x:f>F2613/F2612-1</x:f>
        <x:v>0.004880580365116183</x:v>
      </x:c>
      <x:c r="J2613" s="12" t="n">
        <x:v>0</x:v>
      </x:c>
      <x:c r="K2613" s="12" t="n">
        <x:v>0</x:v>
      </x:c>
      <x:c r="L2613" s="12" t="n">
        <x:v>0</x:v>
      </x:c>
      <x:c r="M2613" s="2" t="str">
        <x:v>持有</x:v>
      </x:c>
    </x:row>
    <x:row r="2614" ht="23" customHeight="1">
      <x:c r="A2614" s="11" t="d">
        <x:v>2025-05-16T00:00:00.000Z</x:v>
      </x:c>
      <x:c r="B2614" s="12" t="n">
        <x:v>110.975965</x:v>
      </x:c>
      <x:c r="C2614" s="13" t="n">
        <x:v>244</x:v>
      </x:c>
      <x:c r="D2614" s="12" t="n">
        <x:v>144984.80000000002</x:v>
      </x:c>
      <x:c r="E2614" s="12" t="n">
        <x:v>0</x:v>
      </x:c>
      <x:c r="F2614" s="12" t="n">
        <x:f>SUM(B2614,D2614:E2614)</x:f>
        <x:v>145095.775965</x:v>
      </x:c>
      <x:c r="G2614" s="12" t="n">
        <x:f>MAX(G2613,F2614)</x:f>
        <x:v>147338.151385</x:v>
      </x:c>
      <x:c r="H2614" s="14" t="n">
        <x:f>F2614/G2614-1</x:f>
        <x:v>-0.015219244974375878</x:v>
      </x:c>
      <x:c r="I2614" s="14" t="n">
        <x:f>F2614/F2613-1</x:f>
        <x:v>0.006329169410547175</x:v>
      </x:c>
      <x:c r="J2614" s="12" t="n">
        <x:v>0</x:v>
      </x:c>
      <x:c r="K2614" s="12" t="n">
        <x:v>0</x:v>
      </x:c>
      <x:c r="L2614" s="12" t="n">
        <x:v>0</x:v>
      </x:c>
      <x:c r="M2614" s="2" t="str">
        <x:v>持有</x:v>
      </x:c>
    </x:row>
    <x:row r="2615" ht="23" customHeight="1">
      <x:c r="A2615" s="11" t="d">
        <x:v>2025-05-19T00:00:00.000Z</x:v>
      </x:c>
      <x:c r="B2615" s="12" t="n">
        <x:v>110.975965</x:v>
      </x:c>
      <x:c r="C2615" s="13" t="n">
        <x:v>244</x:v>
      </x:c>
      <x:c r="D2615" s="12" t="n">
        <x:v>145143.4</x:v>
      </x:c>
      <x:c r="E2615" s="12" t="n">
        <x:v>0</x:v>
      </x:c>
      <x:c r="F2615" s="12" t="n">
        <x:f>SUM(B2615,D2615:E2615)</x:f>
        <x:v>145254.37596499998</x:v>
      </x:c>
      <x:c r="G2615" s="12" t="n">
        <x:f>MAX(G2614,F2615)</x:f>
        <x:v>147338.151385</x:v>
      </x:c>
      <x:c r="H2615" s="14" t="n">
        <x:f>F2615/G2615-1</x:f>
        <x:v>-0.01414280958741665</x:v>
      </x:c>
      <x:c r="I2615" s="14" t="n">
        <x:f>F2615/F2614-1</x:f>
        <x:v>0.0010930711038634744</x:v>
      </x:c>
      <x:c r="J2615" s="12" t="n">
        <x:v>0</x:v>
      </x:c>
      <x:c r="K2615" s="12" t="n">
        <x:v>0</x:v>
      </x:c>
      <x:c r="L2615" s="12" t="n">
        <x:v>0</x:v>
      </x:c>
      <x:c r="M2615" s="2" t="str">
        <x:v>持有</x:v>
      </x:c>
    </x:row>
    <x:row r="2616" ht="23" customHeight="1">
      <x:c r="A2616" s="11" t="d">
        <x:v>2025-05-20T00:00:00.000Z</x:v>
      </x:c>
      <x:c r="B2616" s="12" t="n">
        <x:v>110.975965</x:v>
      </x:c>
      <x:c r="C2616" s="13" t="n">
        <x:v>244</x:v>
      </x:c>
      <x:c r="D2616" s="12" t="n">
        <x:v>144655.4</x:v>
      </x:c>
      <x:c r="E2616" s="12" t="n">
        <x:v>0</x:v>
      </x:c>
      <x:c r="F2616" s="12" t="n">
        <x:f>SUM(B2616,D2616:E2616)</x:f>
        <x:v>144766.37596499998</x:v>
      </x:c>
      <x:c r="G2616" s="12" t="n">
        <x:f>MAX(G2615,F2616)</x:f>
        <x:v>147338.151385</x:v>
      </x:c>
      <x:c r="H2616" s="14" t="n">
        <x:f>F2616/G2616-1</x:f>
        <x:v>-0.01745491847036873</x:v>
      </x:c>
      <x:c r="I2616" s="14" t="n">
        <x:f>F2616/F2615-1</x:f>
        <x:v>-0.0033596233969405143</x:v>
      </x:c>
      <x:c r="J2616" s="12" t="n">
        <x:v>0</x:v>
      </x:c>
      <x:c r="K2616" s="12" t="n">
        <x:v>0</x:v>
      </x:c>
      <x:c r="L2616" s="12" t="n">
        <x:v>0</x:v>
      </x:c>
      <x:c r="M2616" s="2" t="str">
        <x:v>持有</x:v>
      </x:c>
    </x:row>
    <x:row r="2617" ht="23" customHeight="1">
      <x:c r="A2617" s="11" t="d">
        <x:v>2025-05-21T00:00:00.000Z</x:v>
      </x:c>
      <x:c r="B2617" s="12" t="n">
        <x:v>110.975965</x:v>
      </x:c>
      <x:c r="C2617" s="13" t="n">
        <x:v>244</x:v>
      </x:c>
      <x:c r="D2617" s="12" t="n">
        <x:v>142217.84</x:v>
      </x:c>
      <x:c r="E2617" s="12" t="n">
        <x:v>0</x:v>
      </x:c>
      <x:c r="F2617" s="12" t="n">
        <x:f>SUM(B2617,D2617:E2617)</x:f>
        <x:v>142328.815965</x:v>
      </x:c>
      <x:c r="G2617" s="12" t="n">
        <x:f>MAX(G2616,F2617)</x:f>
        <x:v>147338.151385</x:v>
      </x:c>
      <x:c r="H2617" s="14" t="n">
        <x:f>F2617/G2617-1</x:f>
        <x:v>-0.033998902340714454</x:v>
      </x:c>
      <x:c r="I2617" s="14" t="n">
        <x:f>F2617/F2616-1</x:f>
        <x:v>-0.01683788782962503</x:v>
      </x:c>
      <x:c r="J2617" s="12" t="n">
        <x:v>0</x:v>
      </x:c>
      <x:c r="K2617" s="12" t="n">
        <x:v>0</x:v>
      </x:c>
      <x:c r="L2617" s="12" t="n">
        <x:v>0</x:v>
      </x:c>
      <x:c r="M2617" s="2" t="str">
        <x:v>持有</x:v>
      </x:c>
    </x:row>
    <x:row r="2618" ht="23" customHeight="1">
      <x:c r="A2618" s="11" t="d">
        <x:v>2025-05-22T00:00:00.000Z</x:v>
      </x:c>
      <x:c r="B2618" s="12" t="n">
        <x:v>110.975965</x:v>
      </x:c>
      <x:c r="C2618" s="13" t="n">
        <x:v>244</x:v>
      </x:c>
      <x:c r="D2618" s="12" t="n">
        <x:v>142273.96000000002</x:v>
      </x:c>
      <x:c r="E2618" s="12" t="n">
        <x:v>0</x:v>
      </x:c>
      <x:c r="F2618" s="12" t="n">
        <x:f>SUM(B2618,D2618:E2618)</x:f>
        <x:v>142384.935965</x:v>
      </x:c>
      <x:c r="G2618" s="12" t="n">
        <x:f>MAX(G2617,F2618)</x:f>
        <x:v>147338.151385</x:v>
      </x:c>
      <x:c r="H2618" s="14" t="n">
        <x:f>F2618/G2618-1</x:f>
        <x:v>-0.03361800981917484</x:v>
      </x:c>
      <x:c r="I2618" s="14" t="n">
        <x:f>F2618/F2617-1</x:f>
        <x:v>0.0003942982285036756</x:v>
      </x:c>
      <x:c r="J2618" s="12" t="n">
        <x:v>0</x:v>
      </x:c>
      <x:c r="K2618" s="12" t="n">
        <x:v>0</x:v>
      </x:c>
      <x:c r="L2618" s="12" t="n">
        <x:v>0</x:v>
      </x:c>
      <x:c r="M2618" s="2" t="str">
        <x:v>持有</x:v>
      </x:c>
    </x:row>
    <x:row r="2619" ht="23" customHeight="1">
      <x:c r="A2619" s="11" t="d">
        <x:v>2025-05-23T00:00:00.000Z</x:v>
      </x:c>
      <x:c r="B2619" s="12" t="n">
        <x:v>110.975965</x:v>
      </x:c>
      <x:c r="C2619" s="13" t="n">
        <x:v>244</x:v>
      </x:c>
      <x:c r="D2619" s="12" t="n">
        <x:v>141302.84</x:v>
      </x:c>
      <x:c r="E2619" s="12" t="n">
        <x:v>0</x:v>
      </x:c>
      <x:c r="F2619" s="12" t="n">
        <x:f>SUM(B2619,D2619:E2619)</x:f>
        <x:v>141413.815965</x:v>
      </x:c>
      <x:c r="G2619" s="12" t="n">
        <x:f>MAX(G2618,F2619)</x:f>
        <x:v>147338.151385</x:v>
      </x:c>
      <x:c r="H2619" s="14" t="n">
        <x:f>F2619/G2619-1</x:f>
        <x:v>-0.04020910649624965</x:v>
      </x:c>
      <x:c r="I2619" s="14" t="n">
        <x:f>F2619/F2618-1</x:f>
        <x:v>-0.006820384427737025</x:v>
      </x:c>
      <x:c r="J2619" s="12" t="n">
        <x:v>0</x:v>
      </x:c>
      <x:c r="K2619" s="12" t="n">
        <x:v>0</x:v>
      </x:c>
      <x:c r="L2619" s="12" t="n">
        <x:v>0</x:v>
      </x:c>
      <x:c r="M2619" s="2" t="str">
        <x:v>持有</x:v>
      </x:c>
    </x:row>
    <x:row r="2620" ht="23" customHeight="1">
      <x:c r="A2620" s="11" t="d">
        <x:v>2025-05-27T00:00:00.000Z</x:v>
      </x:c>
      <x:c r="B2620" s="12" t="n">
        <x:v>110.975965</x:v>
      </x:c>
      <x:c r="C2620" s="13" t="n">
        <x:v>244</x:v>
      </x:c>
      <x:c r="D2620" s="12" t="n">
        <x:v>144240.6</x:v>
      </x:c>
      <x:c r="E2620" s="12" t="n">
        <x:v>0</x:v>
      </x:c>
      <x:c r="F2620" s="12" t="n">
        <x:f>SUM(B2620,D2620:E2620)</x:f>
        <x:v>144351.575965</x:v>
      </x:c>
      <x:c r="G2620" s="12" t="n">
        <x:f>MAX(G2619,F2620)</x:f>
        <x:v>147338.151385</x:v>
      </x:c>
      <x:c r="H2620" s="14" t="n">
        <x:f>F2620/G2620-1</x:f>
        <x:v>-0.020270211020877893</x:v>
      </x:c>
      <x:c r="I2620" s="14" t="n">
        <x:f>F2620/F2619-1</x:f>
        <x:v>0.02077420780956163</x:v>
      </x:c>
      <x:c r="J2620" s="12" t="n">
        <x:v>0</x:v>
      </x:c>
      <x:c r="K2620" s="12" t="n">
        <x:v>0</x:v>
      </x:c>
      <x:c r="L2620" s="12" t="n">
        <x:v>0</x:v>
      </x:c>
      <x:c r="M2620" s="2" t="str">
        <x:v>持有</x:v>
      </x:c>
    </x:row>
    <x:row r="2621" ht="23" customHeight="1">
      <x:c r="A2621" s="11" t="d">
        <x:v>2025-05-28T00:00:00.000Z</x:v>
      </x:c>
      <x:c r="B2621" s="12" t="n">
        <x:v>110.975965</x:v>
      </x:c>
      <x:c r="C2621" s="13" t="n">
        <x:v>244</x:v>
      </x:c>
      <x:c r="D2621" s="12" t="n">
        <x:v>143406.12</x:v>
      </x:c>
      <x:c r="E2621" s="12" t="n">
        <x:v>0</x:v>
      </x:c>
      <x:c r="F2621" s="12" t="n">
        <x:f>SUM(B2621,D2621:E2621)</x:f>
        <x:v>143517.095965</x:v>
      </x:c>
      <x:c r="G2621" s="12" t="n">
        <x:f>MAX(G2620,F2621)</x:f>
        <x:v>147338.151385</x:v>
      </x:c>
      <x:c r="H2621" s="14" t="n">
        <x:f>F2621/G2621-1</x:f>
        <x:v>-0.025933917210726132</x:v>
      </x:c>
      <x:c r="I2621" s="14" t="n">
        <x:f>F2621/F2620-1</x:f>
        <x:v>-0.005780885968313498</x:v>
      </x:c>
      <x:c r="J2621" s="12" t="n">
        <x:v>0</x:v>
      </x:c>
      <x:c r="K2621" s="12" t="n">
        <x:v>0</x:v>
      </x:c>
      <x:c r="L2621" s="12" t="n">
        <x:v>0</x:v>
      </x:c>
      <x:c r="M2621" s="2" t="str">
        <x:v>持有</x:v>
      </x:c>
    </x:row>
    <x:row r="2622" ht="23" customHeight="1">
      <x:c r="A2622" s="11" t="d">
        <x:v>2025-05-29T00:00:00.000Z</x:v>
      </x:c>
      <x:c r="B2622" s="12" t="n">
        <x:v>110.975965</x:v>
      </x:c>
      <x:c r="C2622" s="13" t="n">
        <x:v>244</x:v>
      </x:c>
      <x:c r="D2622" s="12" t="n">
        <x:v>143972.19999999998</x:v>
      </x:c>
      <x:c r="E2622" s="12" t="n">
        <x:v>0</x:v>
      </x:c>
      <x:c r="F2622" s="12" t="n">
        <x:f>SUM(B2622,D2622:E2622)</x:f>
        <x:v>144083.17596499997</x:v>
      </x:c>
      <x:c r="G2622" s="12" t="n">
        <x:f>MAX(G2621,F2622)</x:f>
        <x:v>147338.151385</x:v>
      </x:c>
      <x:c r="H2622" s="14" t="n">
        <x:f>F2622/G2622-1</x:f>
        <x:v>-0.022091870906501776</x:v>
      </x:c>
      <x:c r="I2622" s="14" t="n">
        <x:f>F2622/F2621-1</x:f>
        <x:v>0.003944338451065343</x:v>
      </x:c>
      <x:c r="J2622" s="12" t="n">
        <x:v>0</x:v>
      </x:c>
      <x:c r="K2622" s="12" t="n">
        <x:v>0</x:v>
      </x:c>
      <x:c r="L2622" s="12" t="n">
        <x:v>0</x:v>
      </x:c>
      <x:c r="M2622" s="2" t="str">
        <x:v>持有</x:v>
      </x:c>
    </x:row>
    <x:row r="2623" ht="23" customHeight="1">
      <x:c r="A2623" s="11" t="d">
        <x:v>2025-05-30T00:00:00.000Z</x:v>
      </x:c>
      <x:c r="B2623" s="12" t="n">
        <x:v>110.975965</x:v>
      </x:c>
      <x:c r="C2623" s="13" t="n">
        <x:v>244</x:v>
      </x:c>
      <x:c r="D2623" s="12" t="n">
        <x:v>143811.16</x:v>
      </x:c>
      <x:c r="E2623" s="12" t="n">
        <x:v>0</x:v>
      </x:c>
      <x:c r="F2623" s="12" t="n">
        <x:f>SUM(B2623,D2623:E2623)</x:f>
        <x:v>143922.135965</x:v>
      </x:c>
      <x:c r="G2623" s="12" t="n">
        <x:f>MAX(G2622,F2623)</x:f>
        <x:v>147338.151385</x:v>
      </x:c>
      <x:c r="H2623" s="14" t="n">
        <x:f>F2623/G2623-1</x:f>
        <x:v>-0.023184866837875795</x:v>
      </x:c>
      <x:c r="I2623" s="14" t="n">
        <x:f>F2623/F2622-1</x:f>
        <x:v>-0.0011176877447447442</x:v>
      </x:c>
      <x:c r="J2623" s="12" t="n">
        <x:v>0</x:v>
      </x:c>
      <x:c r="K2623" s="12" t="n">
        <x:v>0</x:v>
      </x:c>
      <x:c r="L2623" s="12" t="n">
        <x:v>0</x:v>
      </x:c>
      <x:c r="M2623" s="2" t="str">
        <x:v>持有</x:v>
      </x:c>
    </x:row>
    <x:row r="2624" ht="23" customHeight="1">
      <x:c r="A2624" s="11" t="d">
        <x:v>2025-06-02T00:00:00.000Z</x:v>
      </x:c>
      <x:c r="B2624" s="12" t="n">
        <x:v>110.975965</x:v>
      </x:c>
      <x:c r="C2624" s="13" t="n">
        <x:v>244</x:v>
      </x:c>
      <x:c r="D2624" s="12" t="n">
        <x:v>144621.24000000002</x:v>
      </x:c>
      <x:c r="E2624" s="12" t="n">
        <x:v>0</x:v>
      </x:c>
      <x:c r="F2624" s="12" t="n">
        <x:f>SUM(B2624,D2624:E2624)</x:f>
        <x:v>144732.215965</x:v>
      </x:c>
      <x:c r="G2624" s="12" t="n">
        <x:f>MAX(G2623,F2624)</x:f>
        <x:v>147338.151385</x:v>
      </x:c>
      <x:c r="H2624" s="14" t="n">
        <x:f>F2624/G2624-1</x:f>
        <x:v>-0.017686766092175232</x:v>
      </x:c>
      <x:c r="I2624" s="14" t="n">
        <x:f>F2624/F2623-1</x:f>
        <x:v>0.005628599065518491</x:v>
      </x:c>
      <x:c r="J2624" s="12" t="n">
        <x:v>0</x:v>
      </x:c>
      <x:c r="K2624" s="12" t="n">
        <x:v>0</x:v>
      </x:c>
      <x:c r="L2624" s="12" t="n">
        <x:v>0</x:v>
      </x:c>
      <x:c r="M2624" s="2" t="str">
        <x:v>持有</x:v>
      </x:c>
    </x:row>
    <x:row r="2625" ht="23" customHeight="1">
      <x:c r="A2625" s="11" t="d">
        <x:v>2025-06-03T00:00:00.000Z</x:v>
      </x:c>
      <x:c r="B2625" s="12" t="n">
        <x:v>110.975965</x:v>
      </x:c>
      <x:c r="C2625" s="13" t="n">
        <x:v>244</x:v>
      </x:c>
      <x:c r="D2625" s="12" t="n">
        <x:v>145445.96000000002</x:v>
      </x:c>
      <x:c r="E2625" s="12" t="n">
        <x:v>0</x:v>
      </x:c>
      <x:c r="F2625" s="12" t="n">
        <x:f>SUM(B2625,D2625:E2625)</x:f>
        <x:v>145556.935965</x:v>
      </x:c>
      <x:c r="G2625" s="12" t="n">
        <x:f>MAX(G2624,F2625)</x:f>
        <x:v>147338.151385</x:v>
      </x:c>
      <x:c r="H2625" s="14" t="n">
        <x:f>F2625/G2625-1</x:f>
        <x:v>-0.012089302079986153</x:v>
      </x:c>
      <x:c r="I2625" s="14" t="n">
        <x:f>F2625/F2624-1</x:f>
        <x:v>0.005698247584348781</x:v>
      </x:c>
      <x:c r="J2625" s="12" t="n">
        <x:v>0</x:v>
      </x:c>
      <x:c r="K2625" s="12" t="n">
        <x:v>0</x:v>
      </x:c>
      <x:c r="L2625" s="12" t="n">
        <x:v>0</x:v>
      </x:c>
      <x:c r="M2625" s="2" t="str">
        <x:v>持有</x:v>
      </x:c>
    </x:row>
    <x:row r="2626" ht="23" customHeight="1">
      <x:c r="A2626" s="11" t="d">
        <x:v>2025-06-04T00:00:00.000Z</x:v>
      </x:c>
      <x:c r="B2626" s="12" t="n">
        <x:v>110.975965</x:v>
      </x:c>
      <x:c r="C2626" s="13" t="n">
        <x:v>244</x:v>
      </x:c>
      <x:c r="D2626" s="12" t="n">
        <x:v>145406.91999999998</x:v>
      </x:c>
      <x:c r="E2626" s="12" t="n">
        <x:v>0</x:v>
      </x:c>
      <x:c r="F2626" s="12" t="n">
        <x:f>SUM(B2626,D2626:E2626)</x:f>
        <x:v>145517.89596499997</x:v>
      </x:c>
      <x:c r="G2626" s="12" t="n">
        <x:f>MAX(G2625,F2626)</x:f>
        <x:v>147338.151385</x:v>
      </x:c>
      <x:c r="H2626" s="14" t="n">
        <x:f>F2626/G2626-1</x:f>
        <x:v>-0.012354270790622568</x:v>
      </x:c>
      <x:c r="I2626" s="14" t="n">
        <x:f>F2626/F2625-1</x:f>
        <x:v>-0.0002682111968159706</x:v>
      </x:c>
      <x:c r="J2626" s="12" t="n">
        <x:v>0</x:v>
      </x:c>
      <x:c r="K2626" s="12" t="n">
        <x:v>0</x:v>
      </x:c>
      <x:c r="L2626" s="12" t="n">
        <x:v>0</x:v>
      </x:c>
      <x:c r="M2626" s="2" t="str">
        <x:v>持有</x:v>
      </x:c>
    </x:row>
    <x:row r="2627" ht="23" customHeight="1">
      <x:c r="A2627" s="11" t="d">
        <x:v>2025-06-05T00:00:00.000Z</x:v>
      </x:c>
      <x:c r="B2627" s="12" t="n">
        <x:v>110.975965</x:v>
      </x:c>
      <x:c r="C2627" s="13" t="n">
        <x:v>244</x:v>
      </x:c>
      <x:c r="D2627" s="12" t="n">
        <x:v>144704.19999999998</x:v>
      </x:c>
      <x:c r="E2627" s="12" t="n">
        <x:v>0</x:v>
      </x:c>
      <x:c r="F2627" s="12" t="n">
        <x:f>SUM(B2627,D2627:E2627)</x:f>
        <x:v>144815.17596499997</x:v>
      </x:c>
      <x:c r="G2627" s="12" t="n">
        <x:f>MAX(G2626,F2627)</x:f>
        <x:v>147338.151385</x:v>
      </x:c>
      <x:c r="H2627" s="14" t="n">
        <x:f>F2627/G2627-1</x:f>
        <x:v>-0.0171237075820736</x:v>
      </x:c>
      <x:c r="I2627" s="14" t="n">
        <x:f>F2627/F2626-1</x:f>
        <x:v>-0.00482909676050447</x:v>
      </x:c>
      <x:c r="J2627" s="12" t="n">
        <x:v>0</x:v>
      </x:c>
      <x:c r="K2627" s="12" t="n">
        <x:v>0</x:v>
      </x:c>
      <x:c r="L2627" s="12" t="n">
        <x:v>0</x:v>
      </x:c>
      <x:c r="M2627" s="2" t="str">
        <x:v>持有</x:v>
      </x:c>
    </x:row>
    <x:row r="2628" ht="23" customHeight="1">
      <x:c r="A2628" s="11" t="d">
        <x:v>2025-06-06T00:00:00.000Z</x:v>
      </x:c>
      <x:c r="B2628" s="12" t="n">
        <x:v>110.975965</x:v>
      </x:c>
      <x:c r="C2628" s="13" t="n">
        <x:v>244</x:v>
      </x:c>
      <x:c r="D2628" s="12" t="n">
        <x:v>146190.16</x:v>
      </x:c>
      <x:c r="E2628" s="12" t="n">
        <x:v>0</x:v>
      </x:c>
      <x:c r="F2628" s="12" t="n">
        <x:f>SUM(B2628,D2628:E2628)</x:f>
        <x:v>146301.135965</x:v>
      </x:c>
      <x:c r="G2628" s="12" t="n">
        <x:f>MAX(G2627,F2628)</x:f>
        <x:v>147338.151385</x:v>
      </x:c>
      <x:c r="H2628" s="14" t="n">
        <x:f>F2628/G2628-1</x:f>
        <x:v>-0.007038336033484249</x:v>
      </x:c>
      <x:c r="I2628" s="14" t="n">
        <x:f>F2628/F2627-1</x:f>
        <x:v>0.01026107926947617</x:v>
      </x:c>
      <x:c r="J2628" s="12" t="n">
        <x:v>0</x:v>
      </x:c>
      <x:c r="K2628" s="12" t="n">
        <x:v>0</x:v>
      </x:c>
      <x:c r="L2628" s="12" t="n">
        <x:v>0</x:v>
      </x:c>
      <x:c r="M2628" s="2" t="str">
        <x:v>持有</x:v>
      </x:c>
    </x:row>
    <x:row r="2629" ht="23" customHeight="1">
      <x:c r="A2629" s="11" t="d">
        <x:v>2025-06-09T00:00:00.000Z</x:v>
      </x:c>
      <x:c r="B2629" s="12" t="n">
        <x:v>110.975965</x:v>
      </x:c>
      <x:c r="C2629" s="13" t="n">
        <x:v>244</x:v>
      </x:c>
      <x:c r="D2629" s="12" t="n">
        <x:v>146321.91999999998</x:v>
      </x:c>
      <x:c r="E2629" s="12" t="n">
        <x:v>0</x:v>
      </x:c>
      <x:c r="F2629" s="12" t="n">
        <x:f>SUM(B2629,D2629:E2629)</x:f>
        <x:v>146432.89596499997</x:v>
      </x:c>
      <x:c r="G2629" s="12" t="n">
        <x:f>MAX(G2628,F2629)</x:f>
        <x:v>147338.151385</x:v>
      </x:c>
      <x:c r="H2629" s="14" t="n">
        <x:f>F2629/G2629-1</x:f>
        <x:v>-0.006144066635087375</x:v>
      </x:c>
      <x:c r="I2629" s="14" t="n">
        <x:f>F2629/F2628-1</x:f>
        <x:v>0.0009006081814122435</x:v>
      </x:c>
      <x:c r="J2629" s="12" t="n">
        <x:v>0</x:v>
      </x:c>
      <x:c r="K2629" s="12" t="n">
        <x:v>0</x:v>
      </x:c>
      <x:c r="L2629" s="12" t="n">
        <x:v>0</x:v>
      </x:c>
      <x:c r="M2629" s="2" t="str">
        <x:v>持有</x:v>
      </x:c>
    </x:row>
    <x:row r="2630" ht="23" customHeight="1">
      <x:c r="A2630" s="11" t="d">
        <x:v>2025-06-10T00:00:00.000Z</x:v>
      </x:c>
      <x:c r="B2630" s="12" t="n">
        <x:v>110.975965</x:v>
      </x:c>
      <x:c r="C2630" s="13" t="n">
        <x:v>244</x:v>
      </x:c>
      <x:c r="D2630" s="12" t="n">
        <x:v>147151.52000000002</x:v>
      </x:c>
      <x:c r="E2630" s="12" t="n">
        <x:v>0</x:v>
      </x:c>
      <x:c r="F2630" s="12" t="n">
        <x:f>SUM(B2630,D2630:E2630)</x:f>
        <x:v>147262.495965</x:v>
      </x:c>
      <x:c r="G2630" s="12" t="n">
        <x:f>MAX(G2629,F2630)</x:f>
        <x:v>147338.151385</x:v>
      </x:c>
      <x:c r="H2630" s="14" t="n">
        <x:f>F2630/G2630-1</x:f>
        <x:v>-0.000513481534068605</x:v>
      </x:c>
      <x:c r="I2630" s="14" t="n">
        <x:f>F2630/F2629-1</x:f>
        <x:v>0.005665393657162454</x:v>
      </x:c>
      <x:c r="J2630" s="12" t="n">
        <x:v>0</x:v>
      </x:c>
      <x:c r="K2630" s="12" t="n">
        <x:v>0</x:v>
      </x:c>
      <x:c r="L2630" s="12" t="n">
        <x:v>0</x:v>
      </x:c>
      <x:c r="M2630" s="2" t="str">
        <x:v>持有</x:v>
      </x:c>
    </x:row>
    <x:row r="2631" ht="23" customHeight="1">
      <x:c r="A2631" s="11" t="d">
        <x:v>2025-06-11T00:00:00.000Z</x:v>
      </x:c>
      <x:c r="B2631" s="12" t="n">
        <x:v>110.975965</x:v>
      </x:c>
      <x:c r="C2631" s="13" t="n">
        <x:v>244</x:v>
      </x:c>
      <x:c r="D2631" s="12" t="n">
        <x:v>146731.84</x:v>
      </x:c>
      <x:c r="E2631" s="12" t="n">
        <x:v>0</x:v>
      </x:c>
      <x:c r="F2631" s="12" t="n">
        <x:f>SUM(B2631,D2631:E2631)</x:f>
        <x:v>146842.815965</x:v>
      </x:c>
      <x:c r="G2631" s="12" t="n">
        <x:f>MAX(G2630,F2631)</x:f>
        <x:v>147338.151385</x:v>
      </x:c>
      <x:c r="H2631" s="14" t="n">
        <x:f>F2631/G2631-1</x:f>
        <x:v>-0.0033618951734075697</x:v>
      </x:c>
      <x:c r="I2631" s="14" t="n">
        <x:f>F2631/F2630-1</x:f>
        <x:v>-0.0028498769985521033</x:v>
      </x:c>
      <x:c r="J2631" s="12" t="n">
        <x:v>0</x:v>
      </x:c>
      <x:c r="K2631" s="12" t="n">
        <x:v>0</x:v>
      </x:c>
      <x:c r="L2631" s="12" t="n">
        <x:v>0</x:v>
      </x:c>
      <x:c r="M2631" s="2" t="str">
        <x:v>持有</x:v>
      </x:c>
    </x:row>
    <x:row r="2632" ht="23" customHeight="1">
      <x:c r="A2632" s="11" t="d">
        <x:v>2025-06-12T00:00:00.000Z</x:v>
      </x:c>
      <x:c r="B2632" s="12" t="n">
        <x:v>110.975965</x:v>
      </x:c>
      <x:c r="C2632" s="13" t="n">
        <x:v>244</x:v>
      </x:c>
      <x:c r="D2632" s="12" t="n">
        <x:v>147315</x:v>
      </x:c>
      <x:c r="E2632" s="12" t="n">
        <x:v>0</x:v>
      </x:c>
      <x:c r="F2632" s="12" t="n">
        <x:f>SUM(B2632,D2632:E2632)</x:f>
        <x:v>147425.975965</x:v>
      </x:c>
      <x:c r="G2632" s="12" t="n">
        <x:f>MAX(G2631,F2632)</x:f>
        <x:v>147425.975965</x:v>
      </x:c>
      <x:c r="H2632" s="14" t="n">
        <x:f>F2632/G2632-1</x:f>
        <x:v>0</x:v>
      </x:c>
      <x:c r="I2632" s="14" t="n">
        <x:f>F2632/F2631-1</x:f>
        <x:v>0.003971321280974438</x:v>
      </x:c>
      <x:c r="J2632" s="12" t="n">
        <x:v>0</x:v>
      </x:c>
      <x:c r="K2632" s="12" t="n">
        <x:v>0</x:v>
      </x:c>
      <x:c r="L2632" s="12" t="n">
        <x:v>0</x:v>
      </x:c>
      <x:c r="M2632" s="2" t="str">
        <x:v>持有</x:v>
      </x:c>
    </x:row>
    <x:row r="2633" ht="23" customHeight="1">
      <x:c r="A2633" s="11" t="d">
        <x:v>2025-06-13T00:00:00.000Z</x:v>
      </x:c>
      <x:c r="B2633" s="12" t="n">
        <x:v>110.975965</x:v>
      </x:c>
      <x:c r="C2633" s="13" t="n">
        <x:v>244</x:v>
      </x:c>
      <x:c r="D2633" s="12" t="n">
        <x:v>145668</x:v>
      </x:c>
      <x:c r="E2633" s="12" t="n">
        <x:v>0</x:v>
      </x:c>
      <x:c r="F2633" s="12" t="n">
        <x:f>SUM(B2633,D2633:E2633)</x:f>
        <x:v>145778.975965</x:v>
      </x:c>
      <x:c r="G2633" s="12" t="n">
        <x:f>MAX(G2632,F2633)</x:f>
        <x:v>147425.975965</x:v>
      </x:c>
      <x:c r="H2633" s="14" t="n">
        <x:f>F2633/G2633-1</x:f>
        <x:v>-0.011171708304586803</x:v>
      </x:c>
      <x:c r="I2633" s="14" t="n">
        <x:f>F2633/F2632-1</x:f>
        <x:v>-0.011171708304586803</x:v>
      </x:c>
      <x:c r="J2633" s="12" t="n">
        <x:v>0</x:v>
      </x:c>
      <x:c r="K2633" s="12" t="n">
        <x:v>0</x:v>
      </x:c>
      <x:c r="L2633" s="12" t="n">
        <x:v>0</x:v>
      </x:c>
      <x:c r="M2633" s="2" t="str">
        <x:v>持有</x:v>
      </x:c>
    </x:row>
    <x:row r="2634" ht="23" customHeight="1">
      <x:c r="A2634" s="11" t="d">
        <x:v>2025-06-16T00:00:00.000Z</x:v>
      </x:c>
      <x:c r="B2634" s="12" t="n">
        <x:v>110.975965</x:v>
      </x:c>
      <x:c r="C2634" s="13" t="n">
        <x:v>244</x:v>
      </x:c>
      <x:c r="D2634" s="12" t="n">
        <x:v>147053.91999999998</x:v>
      </x:c>
      <x:c r="E2634" s="12" t="n">
        <x:v>0</x:v>
      </x:c>
      <x:c r="F2634" s="12" t="n">
        <x:f>SUM(B2634,D2634:E2634)</x:f>
        <x:v>147164.89596499997</x:v>
      </x:c>
      <x:c r="G2634" s="12" t="n">
        <x:f>MAX(G2633,F2634)</x:f>
        <x:v>147425.975965</x:v>
      </x:c>
      <x:c r="H2634" s="14" t="n">
        <x:f>F2634/G2634-1</x:f>
        <x:v>-0.001770922649764195</x:v>
      </x:c>
      <x:c r="I2634" s="14" t="n">
        <x:f>F2634/F2633-1</x:f>
        <x:v>0.00950699503015251</x:v>
      </x:c>
      <x:c r="J2634" s="12" t="n">
        <x:v>0</x:v>
      </x:c>
      <x:c r="K2634" s="12" t="n">
        <x:v>0</x:v>
      </x:c>
      <x:c r="L2634" s="12" t="n">
        <x:v>0</x:v>
      </x:c>
      <x:c r="M2634" s="2" t="str">
        <x:v>持有</x:v>
      </x:c>
    </x:row>
    <x:row r="2635" ht="23" customHeight="1">
      <x:c r="A2635" s="11" t="d">
        <x:v>2025-06-17T00:00:00.000Z</x:v>
      </x:c>
      <x:c r="B2635" s="12" t="n">
        <x:v>110.975965</x:v>
      </x:c>
      <x:c r="C2635" s="13" t="n">
        <x:v>244</x:v>
      </x:c>
      <x:c r="D2635" s="12" t="n">
        <x:v>145797.32</x:v>
      </x:c>
      <x:c r="E2635" s="12" t="n">
        <x:v>0</x:v>
      </x:c>
      <x:c r="F2635" s="12" t="n">
        <x:f>SUM(B2635,D2635:E2635)</x:f>
        <x:v>145908.295965</x:v>
      </x:c>
      <x:c r="G2635" s="12" t="n">
        <x:f>MAX(G2634,F2635)</x:f>
        <x:v>147425.975965</x:v>
      </x:c>
      <x:c r="H2635" s="14" t="n">
        <x:f>F2635/G2635-1</x:f>
        <x:v>-0.010294522319189592</x:v>
      </x:c>
      <x:c r="I2635" s="14" t="n">
        <x:f>F2635/F2634-1</x:f>
        <x:v>-0.008538721083993006</x:v>
      </x:c>
      <x:c r="J2635" s="12" t="n">
        <x:v>0</x:v>
      </x:c>
      <x:c r="K2635" s="12" t="n">
        <x:v>0</x:v>
      </x:c>
      <x:c r="L2635" s="12" t="n">
        <x:v>0</x:v>
      </x:c>
      <x:c r="M2635" s="2" t="str">
        <x:v>持有</x:v>
      </x:c>
    </x:row>
    <x:row r="2636" ht="23" customHeight="1">
      <x:c r="A2636" s="11" t="d">
        <x:v>2025-06-18T00:00:00.000Z</x:v>
      </x:c>
      <x:c r="B2636" s="12" t="n">
        <x:v>110.975965</x:v>
      </x:c>
      <x:c r="C2636" s="13" t="n">
        <x:v>244</x:v>
      </x:c>
      <x:c r="D2636" s="12" t="n">
        <x:v>145775.36000000002</x:v>
      </x:c>
      <x:c r="E2636" s="12" t="n">
        <x:v>0</x:v>
      </x:c>
      <x:c r="F2636" s="12" t="n">
        <x:f>SUM(B2636,D2636:E2636)</x:f>
        <x:v>145886.335965</x:v>
      </x:c>
      <x:c r="G2636" s="12" t="n">
        <x:f>MAX(G2635,F2636)</x:f>
        <x:v>147425.975965</x:v>
      </x:c>
      <x:c r="H2636" s="14" t="n">
        <x:f>F2636/G2636-1</x:f>
        <x:v>-0.01044347842991733</x:v>
      </x:c>
      <x:c r="I2636" s="14" t="n">
        <x:f>F2636/F2635-1</x:f>
        <x:v>-0.00015050549288342374</x:v>
      </x:c>
      <x:c r="J2636" s="12" t="n">
        <x:v>0</x:v>
      </x:c>
      <x:c r="K2636" s="12" t="n">
        <x:v>0</x:v>
      </x:c>
      <x:c r="L2636" s="12" t="n">
        <x:v>0</x:v>
      </x:c>
      <x:c r="M2636" s="2" t="str">
        <x:v>持有</x:v>
      </x:c>
    </x:row>
    <x:row r="2637" ht="23" customHeight="1">
      <x:c r="A2637" s="11" t="d">
        <x:v>2025-06-20T00:00:00.000Z</x:v>
      </x:c>
      <x:c r="B2637" s="12" t="n">
        <x:v>110.975965</x:v>
      </x:c>
      <x:c r="C2637" s="13" t="n">
        <x:v>244</x:v>
      </x:c>
      <x:c r="D2637" s="12" t="n">
        <x:v>145004.32</x:v>
      </x:c>
      <x:c r="E2637" s="12" t="n">
        <x:v>429.712548</x:v>
      </x:c>
      <x:c r="F2637" s="12" t="n">
        <x:f>SUM(B2637,D2637:E2637)</x:f>
        <x:v>145545.008513</x:v>
      </x:c>
      <x:c r="G2637" s="12" t="n">
        <x:f>MAX(G2636,F2637)</x:f>
        <x:v>147425.975965</x:v>
      </x:c>
      <x:c r="H2637" s="14" t="n">
        <x:f>F2637/G2637-1</x:f>
        <x:v>-0.012758724774842523</x:v>
      </x:c>
      <x:c r="I2637" s="14" t="n">
        <x:f>F2637/F2636-1</x:f>
        <x:v>-0.0023396807503746064</x:v>
      </x:c>
      <x:c r="J2637" s="12" t="n">
        <x:v>429.712548</x:v>
      </x:c>
      <x:c r="K2637" s="12" t="n">
        <x:v>0</x:v>
      </x:c>
      <x:c r="L2637" s="12" t="n">
        <x:v>0</x:v>
      </x:c>
      <x:c r="M2637" s="2" t="str">
        <x:v>持有</x:v>
      </x:c>
    </x:row>
    <x:row r="2638" ht="23" customHeight="1">
      <x:c r="A2638" s="11" t="d">
        <x:v>2025-06-23T00:00:00.000Z</x:v>
      </x:c>
      <x:c r="B2638" s="12" t="n">
        <x:v>110.975965</x:v>
      </x:c>
      <x:c r="C2638" s="13" t="n">
        <x:v>244</x:v>
      </x:c>
      <x:c r="D2638" s="12" t="n">
        <x:v>146436.6</x:v>
      </x:c>
      <x:c r="E2638" s="12" t="n">
        <x:v>429.712548</x:v>
      </x:c>
      <x:c r="F2638" s="12" t="n">
        <x:f>SUM(B2638,D2638:E2638)</x:f>
        <x:v>146977.288513</x:v>
      </x:c>
      <x:c r="G2638" s="12" t="n">
        <x:f>MAX(G2637,F2638)</x:f>
        <x:v>147425.975965</x:v>
      </x:c>
      <x:c r="H2638" s="14" t="n">
        <x:f>F2638/G2638-1</x:f>
        <x:v>-0.003043476219594443</x:v>
      </x:c>
      <x:c r="I2638" s="14" t="n">
        <x:f>F2638/F2637-1</x:f>
        <x:v>0.009840804673642012</x:v>
      </x:c>
      <x:c r="J2638" s="12" t="n">
        <x:v>0</x:v>
      </x:c>
      <x:c r="K2638" s="12" t="n">
        <x:v>0</x:v>
      </x:c>
      <x:c r="L2638" s="12" t="n">
        <x:v>0</x:v>
      </x:c>
      <x:c r="M2638" s="2" t="str">
        <x:v>持有</x:v>
      </x:c>
    </x:row>
    <x:row r="2639" ht="23" customHeight="1">
      <x:c r="A2639" s="11" t="d">
        <x:v>2025-06-24T00:00:00.000Z</x:v>
      </x:c>
      <x:c r="B2639" s="12" t="n">
        <x:v>110.975965</x:v>
      </x:c>
      <x:c r="C2639" s="13" t="n">
        <x:v>244</x:v>
      </x:c>
      <x:c r="D2639" s="12" t="n">
        <x:v>148054.32</x:v>
      </x:c>
      <x:c r="E2639" s="12" t="n">
        <x:v>429.712548</x:v>
      </x:c>
      <x:c r="F2639" s="12" t="n">
        <x:f>SUM(B2639,D2639:E2639)</x:f>
        <x:v>148595.008513</x:v>
      </x:c>
      <x:c r="G2639" s="12" t="n">
        <x:f>MAX(G2638,F2639)</x:f>
        <x:v>148595.008513</x:v>
      </x:c>
      <x:c r="H2639" s="14" t="n">
        <x:f>F2639/G2639-1</x:f>
        <x:v>0</x:v>
      </x:c>
      <x:c r="I2639" s="14" t="n">
        <x:f>F2639/F2638-1</x:f>
        <x:v>0.011006598477675045</x:v>
      </x:c>
      <x:c r="J2639" s="12" t="n">
        <x:v>0</x:v>
      </x:c>
      <x:c r="K2639" s="12" t="n">
        <x:v>0</x:v>
      </x:c>
      <x:c r="L2639" s="12" t="n">
        <x:v>0</x:v>
      </x:c>
      <x:c r="M2639" s="2" t="str">
        <x:v>持有</x:v>
      </x:c>
    </x:row>
    <x:row r="2640" ht="23" customHeight="1">
      <x:c r="A2640" s="11" t="d">
        <x:v>2025-06-25T00:00:00.000Z</x:v>
      </x:c>
      <x:c r="B2640" s="12" t="n">
        <x:v>110.975965</x:v>
      </x:c>
      <x:c r="C2640" s="13" t="n">
        <x:v>244</x:v>
      </x:c>
      <x:c r="D2640" s="12" t="n">
        <x:v>148137.28</x:v>
      </x:c>
      <x:c r="E2640" s="12" t="n">
        <x:v>429.712548</x:v>
      </x:c>
      <x:c r="F2640" s="12" t="n">
        <x:f>SUM(B2640,D2640:E2640)</x:f>
        <x:v>148677.968513</x:v>
      </x:c>
      <x:c r="G2640" s="12" t="n">
        <x:f>MAX(G2639,F2640)</x:f>
        <x:v>148677.968513</x:v>
      </x:c>
      <x:c r="H2640" s="14" t="n">
        <x:f>F2640/G2640-1</x:f>
        <x:v>0</x:v>
      </x:c>
      <x:c r="I2640" s="14" t="n">
        <x:f>F2640/F2639-1</x:f>
        <x:v>0.0005582960075858345</x:v>
      </x:c>
      <x:c r="J2640" s="12" t="n">
        <x:v>0</x:v>
      </x:c>
      <x:c r="K2640" s="12" t="n">
        <x:v>0</x:v>
      </x:c>
      <x:c r="L2640" s="12" t="n">
        <x:v>0</x:v>
      </x:c>
      <x:c r="M2640" s="2" t="str">
        <x:v>持有</x:v>
      </x:c>
    </x:row>
    <x:row r="2641" ht="23" customHeight="1">
      <x:c r="A2641" s="11" t="d">
        <x:v>2025-06-26T00:00:00.000Z</x:v>
      </x:c>
      <x:c r="B2641" s="12" t="n">
        <x:v>110.975965</x:v>
      </x:c>
      <x:c r="C2641" s="13" t="n">
        <x:v>244</x:v>
      </x:c>
      <x:c r="D2641" s="12" t="n">
        <x:v>149296.28</x:v>
      </x:c>
      <x:c r="E2641" s="12" t="n">
        <x:v>429.712548</x:v>
      </x:c>
      <x:c r="F2641" s="12" t="n">
        <x:f>SUM(B2641,D2641:E2641)</x:f>
        <x:v>149836.968513</x:v>
      </x:c>
      <x:c r="G2641" s="12" t="n">
        <x:f>MAX(G2640,F2641)</x:f>
        <x:v>149836.968513</x:v>
      </x:c>
      <x:c r="H2641" s="14" t="n">
        <x:f>F2641/G2641-1</x:f>
        <x:v>0</x:v>
      </x:c>
      <x:c r="I2641" s="14" t="n">
        <x:f>F2641/F2640-1</x:f>
        <x:v>0.0077953715105991694</x:v>
      </x:c>
      <x:c r="J2641" s="12" t="n">
        <x:v>0</x:v>
      </x:c>
      <x:c r="K2641" s="12" t="n">
        <x:v>0</x:v>
      </x:c>
      <x:c r="L2641" s="12" t="n">
        <x:v>0</x:v>
      </x:c>
      <x:c r="M2641" s="2" t="str">
        <x:v>持有</x:v>
      </x:c>
    </x:row>
    <x:row r="2642" ht="23" customHeight="1">
      <x:c r="A2642" s="11" t="d">
        <x:v>2025-06-27T00:00:00.000Z</x:v>
      </x:c>
      <x:c r="B2642" s="12" t="n">
        <x:v>110.975965</x:v>
      </x:c>
      <x:c r="C2642" s="13" t="n">
        <x:v>244</x:v>
      </x:c>
      <x:c r="D2642" s="12" t="n">
        <x:v>150038.03999999998</x:v>
      </x:c>
      <x:c r="E2642" s="12" t="n">
        <x:v>429.712548</x:v>
      </x:c>
      <x:c r="F2642" s="12" t="n">
        <x:f>SUM(B2642,D2642:E2642)</x:f>
        <x:v>150578.72851299998</x:v>
      </x:c>
      <x:c r="G2642" s="12" t="n">
        <x:f>MAX(G2641,F2642)</x:f>
        <x:v>150578.72851299998</x:v>
      </x:c>
      <x:c r="H2642" s="14" t="n">
        <x:f>F2642/G2642-1</x:f>
        <x:v>0</x:v>
      </x:c>
      <x:c r="I2642" s="14" t="n">
        <x:f>F2642/F2641-1</x:f>
        <x:v>0.004950447191779839</x:v>
      </x:c>
      <x:c r="J2642" s="12" t="n">
        <x:v>0</x:v>
      </x:c>
      <x:c r="K2642" s="12" t="n">
        <x:v>0</x:v>
      </x:c>
      <x:c r="L2642" s="12" t="n">
        <x:v>0</x:v>
      </x:c>
      <x:c r="M2642" s="2" t="str">
        <x:v>持有</x:v>
      </x:c>
    </x:row>
    <x:row r="2643" ht="23" customHeight="1">
      <x:c r="A2643" s="11" t="d">
        <x:v>2025-06-30T00:00:00.000Z</x:v>
      </x:c>
      <x:c r="B2643" s="12" t="n">
        <x:v>110.975965</x:v>
      </x:c>
      <x:c r="C2643" s="13" t="n">
        <x:v>244</x:v>
      </x:c>
      <x:c r="D2643" s="12" t="n">
        <x:v>150755.4</x:v>
      </x:c>
      <x:c r="E2643" s="12" t="n">
        <x:v>429.712548</x:v>
      </x:c>
      <x:c r="F2643" s="12" t="n">
        <x:f>SUM(B2643,D2643:E2643)</x:f>
        <x:v>151296.088513</x:v>
      </x:c>
      <x:c r="G2643" s="12" t="n">
        <x:f>MAX(G2642,F2643)</x:f>
        <x:v>151296.088513</x:v>
      </x:c>
      <x:c r="H2643" s="14" t="n">
        <x:f>F2643/G2643-1</x:f>
        <x:v>0</x:v>
      </x:c>
      <x:c r="I2643" s="14" t="n">
        <x:f>F2643/F2642-1</x:f>
        <x:v>0.004764019507164763</x:v>
      </x:c>
      <x:c r="J2643" s="12" t="n">
        <x:v>0</x:v>
      </x:c>
      <x:c r="K2643" s="12" t="n">
        <x:v>0</x:v>
      </x:c>
      <x:c r="L2643" s="12" t="n">
        <x:v>0</x:v>
      </x:c>
      <x:c r="M2643" s="2" t="str">
        <x:v>持有</x:v>
      </x:c>
    </x:row>
    <x:row r="2644" ht="23" customHeight="1">
      <x:c r="A2644" s="11" t="d">
        <x:v>2025-07-01T00:00:00.000Z</x:v>
      </x:c>
      <x:c r="B2644" s="12" t="n">
        <x:v>110.975965</x:v>
      </x:c>
      <x:c r="C2644" s="13" t="n">
        <x:v>244</x:v>
      </x:c>
      <x:c r="D2644" s="12" t="n">
        <x:v>150706.6</x:v>
      </x:c>
      <x:c r="E2644" s="12" t="n">
        <x:v>429.712548</x:v>
      </x:c>
      <x:c r="F2644" s="12" t="n">
        <x:f>SUM(B2644,D2644:E2644)</x:f>
        <x:v>151247.288513</x:v>
      </x:c>
      <x:c r="G2644" s="12" t="n">
        <x:f>MAX(G2643,F2644)</x:f>
        <x:v>151296.088513</x:v>
      </x:c>
      <x:c r="H2644" s="14" t="n">
        <x:f>F2644/G2644-1</x:f>
        <x:v>-0.00032254634260286963</x:v>
      </x:c>
      <x:c r="I2644" s="14" t="n">
        <x:f>F2644/F2643-1</x:f>
        <x:v>-0.00032254634260286963</x:v>
      </x:c>
      <x:c r="J2644" s="12" t="n">
        <x:v>0</x:v>
      </x:c>
      <x:c r="K2644" s="12" t="n">
        <x:v>0</x:v>
      </x:c>
      <x:c r="L2644" s="12" t="n">
        <x:v>0</x:v>
      </x:c>
      <x:c r="M2644" s="2" t="str">
        <x:v>持有</x:v>
      </x:c>
    </x:row>
    <x:row r="2645" ht="23" customHeight="1">
      <x:c r="A2645" s="11" t="d">
        <x:v>2025-07-02T00:00:00.000Z</x:v>
      </x:c>
      <x:c r="B2645" s="12" t="n">
        <x:v>110.975965</x:v>
      </x:c>
      <x:c r="C2645" s="13" t="n">
        <x:v>244</x:v>
      </x:c>
      <x:c r="D2645" s="12" t="n">
        <x:v>151389.80000000002</x:v>
      </x:c>
      <x:c r="E2645" s="12" t="n">
        <x:v>429.712548</x:v>
      </x:c>
      <x:c r="F2645" s="12" t="n">
        <x:f>SUM(B2645,D2645:E2645)</x:f>
        <x:v>151930.48851300002</x:v>
      </x:c>
      <x:c r="G2645" s="12" t="n">
        <x:f>MAX(G2644,F2645)</x:f>
        <x:v>151930.48851300002</x:v>
      </x:c>
      <x:c r="H2645" s="14" t="n">
        <x:f>F2645/G2645-1</x:f>
        <x:v>0</x:v>
      </x:c>
      <x:c r="I2645" s="14" t="n">
        <x:f>F2645/F2644-1</x:f>
        <x:v>0.0045171057723873975</x:v>
      </x:c>
      <x:c r="J2645" s="12" t="n">
        <x:v>0</x:v>
      </x:c>
      <x:c r="K2645" s="12" t="n">
        <x:v>0</x:v>
      </x:c>
      <x:c r="L2645" s="12" t="n">
        <x:v>0</x:v>
      </x:c>
      <x:c r="M2645" s="2" t="str">
        <x:v>持有</x:v>
      </x:c>
    </x:row>
    <x:row r="2646" ht="23" customHeight="1">
      <x:c r="A2646" s="11" t="d">
        <x:v>2025-07-03T00:00:00.000Z</x:v>
      </x:c>
      <x:c r="B2646" s="12" t="n">
        <x:v>110.975965</x:v>
      </x:c>
      <x:c r="C2646" s="13" t="n">
        <x:v>244</x:v>
      </x:c>
      <x:c r="D2646" s="12" t="n">
        <x:v>152582.96000000002</x:v>
      </x:c>
      <x:c r="E2646" s="12" t="n">
        <x:v>429.712548</x:v>
      </x:c>
      <x:c r="F2646" s="12" t="n">
        <x:f>SUM(B2646,D2646:E2646)</x:f>
        <x:v>153123.64851300002</x:v>
      </x:c>
      <x:c r="G2646" s="12" t="n">
        <x:f>MAX(G2645,F2646)</x:f>
        <x:v>153123.64851300002</x:v>
      </x:c>
      <x:c r="H2646" s="14" t="n">
        <x:f>F2646/G2646-1</x:f>
        <x:v>0</x:v>
      </x:c>
      <x:c r="I2646" s="14" t="n">
        <x:f>F2646/F2645-1</x:f>
        <x:v>0.007853328266616444</x:v>
      </x:c>
      <x:c r="J2646" s="12" t="n">
        <x:v>0</x:v>
      </x:c>
      <x:c r="K2646" s="12" t="n">
        <x:v>0</x:v>
      </x:c>
      <x:c r="L2646" s="12" t="n">
        <x:v>0</x:v>
      </x:c>
      <x:c r="M2646" s="2" t="str">
        <x:v>持有</x:v>
      </x:c>
    </x:row>
    <x:row r="2647" ht="23" customHeight="1">
      <x:c r="A2647" s="11" t="d">
        <x:v>2025-07-07T00:00:00.000Z</x:v>
      </x:c>
      <x:c r="B2647" s="12" t="n">
        <x:v>110.975965</x:v>
      </x:c>
      <x:c r="C2647" s="13" t="n">
        <x:v>244</x:v>
      </x:c>
      <x:c r="D2647" s="12" t="n">
        <x:v>151445.91999999998</x:v>
      </x:c>
      <x:c r="E2647" s="12" t="n">
        <x:v>429.712548</x:v>
      </x:c>
      <x:c r="F2647" s="12" t="n">
        <x:f>SUM(B2647,D2647:E2647)</x:f>
        <x:v>151986.60851299998</x:v>
      </x:c>
      <x:c r="G2647" s="12" t="n">
        <x:f>MAX(G2646,F2647)</x:f>
        <x:v>153123.64851300002</x:v>
      </x:c>
      <x:c r="H2647" s="14" t="n">
        <x:f>F2647/G2647-1</x:f>
        <x:v>-0.007425632885853739</x:v>
      </x:c>
      <x:c r="I2647" s="14" t="n">
        <x:f>F2647/F2646-1</x:f>
        <x:v>-0.007425632885853739</x:v>
      </x:c>
      <x:c r="J2647" s="12" t="n">
        <x:v>0</x:v>
      </x:c>
      <x:c r="K2647" s="12" t="n">
        <x:v>0</x:v>
      </x:c>
      <x:c r="L2647" s="12" t="n">
        <x:v>0</x:v>
      </x:c>
      <x:c r="M2647" s="2" t="str">
        <x:v>持有</x:v>
      </x:c>
    </x:row>
    <x:row r="2648" ht="23" customHeight="1">
      <x:c r="A2648" s="11" t="d">
        <x:v>2025-07-08T00:00:00.000Z</x:v>
      </x:c>
      <x:c r="B2648" s="12" t="n">
        <x:v>110.975965</x:v>
      </x:c>
      <x:c r="C2648" s="13" t="n">
        <x:v>244</x:v>
      </x:c>
      <x:c r="D2648" s="12" t="n">
        <x:v>151362.96000000002</x:v>
      </x:c>
      <x:c r="E2648" s="12" t="n">
        <x:v>429.712548</x:v>
      </x:c>
      <x:c r="F2648" s="12" t="n">
        <x:f>SUM(B2648,D2648:E2648)</x:f>
        <x:v>151903.64851300002</x:v>
      </x:c>
      <x:c r="G2648" s="12" t="n">
        <x:f>MAX(G2647,F2648)</x:f>
        <x:v>153123.64851300002</x:v>
      </x:c>
      <x:c r="H2648" s="14" t="n">
        <x:f>F2648/G2648-1</x:f>
        <x:v>-0.007967417259499454</x:v>
      </x:c>
      <x:c r="I2648" s="14" t="n">
        <x:f>F2648/F2647-1</x:f>
        <x:v>-0.0005458375630038592</x:v>
      </x:c>
      <x:c r="J2648" s="12" t="n">
        <x:v>0</x:v>
      </x:c>
      <x:c r="K2648" s="12" t="n">
        <x:v>0</x:v>
      </x:c>
      <x:c r="L2648" s="12" t="n">
        <x:v>0</x:v>
      </x:c>
      <x:c r="M2648" s="2" t="str">
        <x:v>持有</x:v>
      </x:c>
    </x:row>
    <x:row r="2649" ht="23" customHeight="1">
      <x:c r="A2649" s="11" t="d">
        <x:v>2025-07-09T00:00:00.000Z</x:v>
      </x:c>
      <x:c r="B2649" s="12" t="n">
        <x:v>110.975965</x:v>
      </x:c>
      <x:c r="C2649" s="13" t="n">
        <x:v>244</x:v>
      </x:c>
      <x:c r="D2649" s="12" t="n">
        <x:v>152270.63999999998</x:v>
      </x:c>
      <x:c r="E2649" s="12" t="n">
        <x:v>429.712548</x:v>
      </x:c>
      <x:c r="F2649" s="12" t="n">
        <x:f>SUM(B2649,D2649:E2649)</x:f>
        <x:v>152811.328513</x:v>
      </x:c>
      <x:c r="G2649" s="12" t="n">
        <x:f>MAX(G2648,F2649)</x:f>
        <x:v>153123.64851300002</x:v>
      </x:c>
      <x:c r="H2649" s="14" t="n">
        <x:f>F2649/G2649-1</x:f>
        <x:v>-0.002039658818432044</x:v>
      </x:c>
      <x:c r="I2649" s="14" t="n">
        <x:f>F2649/F2648-1</x:f>
        <x:v>0.0059753666806909855</x:v>
      </x:c>
      <x:c r="J2649" s="12" t="n">
        <x:v>0</x:v>
      </x:c>
      <x:c r="K2649" s="12" t="n">
        <x:v>0</x:v>
      </x:c>
      <x:c r="L2649" s="12" t="n">
        <x:v>0</x:v>
      </x:c>
      <x:c r="M2649" s="2" t="str">
        <x:v>持有</x:v>
      </x:c>
    </x:row>
    <x:row r="2650" ht="23" customHeight="1">
      <x:c r="A2650" s="11" t="d">
        <x:v>2025-07-10T00:00:00.000Z</x:v>
      </x:c>
      <x:c r="B2650" s="12" t="n">
        <x:v>110.975965</x:v>
      </x:c>
      <x:c r="C2650" s="13" t="n">
        <x:v>244</x:v>
      </x:c>
      <x:c r="D2650" s="12" t="n">
        <x:v>152700.08000000002</x:v>
      </x:c>
      <x:c r="E2650" s="12" t="n">
        <x:v>429.712548</x:v>
      </x:c>
      <x:c r="F2650" s="12" t="n">
        <x:f>SUM(B2650,D2650:E2650)</x:f>
        <x:v>153240.76851300002</x:v>
      </x:c>
      <x:c r="G2650" s="12" t="n">
        <x:f>MAX(G2649,F2650)</x:f>
        <x:v>153240.76851300002</x:v>
      </x:c>
      <x:c r="H2650" s="14" t="n">
        <x:f>F2650/G2650-1</x:f>
        <x:v>0</x:v>
      </x:c>
      <x:c r="I2650" s="14" t="n">
        <x:f>F2650/F2649-1</x:f>
        <x:v>0.0028102628527537643</x:v>
      </x:c>
      <x:c r="J2650" s="12" t="n">
        <x:v>0</x:v>
      </x:c>
      <x:c r="K2650" s="12" t="n">
        <x:v>0</x:v>
      </x:c>
      <x:c r="L2650" s="12" t="n">
        <x:v>0</x:v>
      </x:c>
      <x:c r="M2650" s="2" t="str">
        <x:v>持有</x:v>
      </x:c>
    </x:row>
    <x:row r="2651" ht="23" customHeight="1">
      <x:c r="A2651" s="11" t="d">
        <x:v>2025-07-11T00:00:00.000Z</x:v>
      </x:c>
      <x:c r="B2651" s="12" t="n">
        <x:v>110.975965</x:v>
      </x:c>
      <x:c r="C2651" s="13" t="n">
        <x:v>244</x:v>
      </x:c>
      <x:c r="D2651" s="12" t="n">
        <x:v>152163.28</x:v>
      </x:c>
      <x:c r="E2651" s="12" t="n">
        <x:v>429.712548</x:v>
      </x:c>
      <x:c r="F2651" s="12" t="n">
        <x:f>SUM(B2651,D2651:E2651)</x:f>
        <x:v>152703.968513</x:v>
      </x:c>
      <x:c r="G2651" s="12" t="n">
        <x:f>MAX(G2650,F2651)</x:f>
        <x:v>153240.76851300002</x:v>
      </x:c>
      <x:c r="H2651" s="14" t="n">
        <x:f>F2651/G2651-1</x:f>
        <x:v>-0.003502984259404096</x:v>
      </x:c>
      <x:c r="I2651" s="14" t="n">
        <x:f>F2651/F2650-1</x:f>
        <x:v>-0.003502984259404096</x:v>
      </x:c>
      <x:c r="J2651" s="12" t="n">
        <x:v>0</x:v>
      </x:c>
      <x:c r="K2651" s="12" t="n">
        <x:v>0</x:v>
      </x:c>
      <x:c r="L2651" s="12" t="n">
        <x:v>0</x:v>
      </x:c>
      <x:c r="M2651" s="2" t="str">
        <x:v>持有</x:v>
      </x:c>
    </x:row>
    <x:row r="2652" ht="23" customHeight="1">
      <x:c r="A2652" s="11" t="d">
        <x:v>2025-07-14T00:00:00.000Z</x:v>
      </x:c>
      <x:c r="B2652" s="12" t="n">
        <x:v>110.975965</x:v>
      </x:c>
      <x:c r="C2652" s="13" t="n">
        <x:v>244</x:v>
      </x:c>
      <x:c r="D2652" s="12" t="n">
        <x:v>152453.63999999998</x:v>
      </x:c>
      <x:c r="E2652" s="12" t="n">
        <x:v>429.712548</x:v>
      </x:c>
      <x:c r="F2652" s="12" t="n">
        <x:f>SUM(B2652,D2652:E2652)</x:f>
        <x:v>152994.328513</x:v>
      </x:c>
      <x:c r="G2652" s="12" t="n">
        <x:f>MAX(G2651,F2652)</x:f>
        <x:v>153240.76851300002</x:v>
      </x:c>
      <x:c r="H2652" s="14" t="n">
        <x:f>F2652/G2652-1</x:f>
        <x:v>-0.0016081882281810955</x:v>
      </x:c>
      <x:c r="I2652" s="14" t="n">
        <x:f>F2652/F2651-1</x:f>
        <x:v>0.0019014568044790625</x:v>
      </x:c>
      <x:c r="J2652" s="12" t="n">
        <x:v>0</x:v>
      </x:c>
      <x:c r="K2652" s="12" t="n">
        <x:v>0</x:v>
      </x:c>
      <x:c r="L2652" s="12" t="n">
        <x:v>0</x:v>
      </x:c>
      <x:c r="M2652" s="2" t="str">
        <x:v>持有</x:v>
      </x:c>
    </x:row>
    <x:row r="2653" ht="23" customHeight="1">
      <x:c r="A2653" s="11" t="d">
        <x:v>2025-07-15T00:00:00.000Z</x:v>
      </x:c>
      <x:c r="B2653" s="12" t="n">
        <x:v>110.975965</x:v>
      </x:c>
      <x:c r="C2653" s="13" t="n">
        <x:v>244</x:v>
      </x:c>
      <x:c r="D2653" s="12" t="n">
        <x:v>151802.16</x:v>
      </x:c>
      <x:c r="E2653" s="12" t="n">
        <x:v>429.712548</x:v>
      </x:c>
      <x:c r="F2653" s="12" t="n">
        <x:f>SUM(B2653,D2653:E2653)</x:f>
        <x:v>152342.848513</x:v>
      </x:c>
      <x:c r="G2653" s="12" t="n">
        <x:f>MAX(G2652,F2653)</x:f>
        <x:v>153240.76851300002</x:v>
      </x:c>
      <x:c r="H2653" s="14" t="n">
        <x:f>F2653/G2653-1</x:f>
        <x:v>-0.005859537306639351</x:v>
      </x:c>
      <x:c r="I2653" s="14" t="n">
        <x:f>F2653/F2652-1</x:f>
        <x:v>-0.004258197060844848</x:v>
      </x:c>
      <x:c r="J2653" s="12" t="n">
        <x:v>0</x:v>
      </x:c>
      <x:c r="K2653" s="12" t="n">
        <x:v>0</x:v>
      </x:c>
      <x:c r="L2653" s="12" t="n">
        <x:v>0</x:v>
      </x:c>
      <x:c r="M2653" s="2" t="str">
        <x:v>持有</x:v>
      </x:c>
    </x:row>
    <x:row r="2654" ht="23" customHeight="1">
      <x:c r="A2654" s="11" t="d">
        <x:v>2025-07-16T00:00:00.000Z</x:v>
      </x:c>
      <x:c r="B2654" s="12" t="n">
        <x:v>110.975965</x:v>
      </x:c>
      <x:c r="C2654" s="13" t="n">
        <x:v>244</x:v>
      </x:c>
      <x:c r="D2654" s="12" t="n">
        <x:v>152309.68</x:v>
      </x:c>
      <x:c r="E2654" s="12" t="n">
        <x:v>429.712548</x:v>
      </x:c>
      <x:c r="F2654" s="12" t="n">
        <x:f>SUM(B2654,D2654:E2654)</x:f>
        <x:v>152850.368513</x:v>
      </x:c>
      <x:c r="G2654" s="12" t="n">
        <x:f>MAX(G2653,F2654)</x:f>
        <x:v>153240.76851300002</x:v>
      </x:c>
      <x:c r="H2654" s="14" t="n">
        <x:f>F2654/G2654-1</x:f>
        <x:v>-0.002547624915930302</x:v>
      </x:c>
      <x:c r="I2654" s="14" t="n">
        <x:f>F2654/F2653-1</x:f>
        <x:v>0.003331433046932064</x:v>
      </x:c>
      <x:c r="J2654" s="12" t="n">
        <x:v>0</x:v>
      </x:c>
      <x:c r="K2654" s="12" t="n">
        <x:v>0</x:v>
      </x:c>
      <x:c r="L2654" s="12" t="n">
        <x:v>0</x:v>
      </x:c>
      <x:c r="M2654" s="2" t="str">
        <x:v>持有</x:v>
      </x:c>
    </x:row>
    <x:row r="2655" ht="23" customHeight="1">
      <x:c r="A2655" s="11" t="d">
        <x:v>2025-07-17T00:00:00.000Z</x:v>
      </x:c>
      <x:c r="B2655" s="12" t="n">
        <x:v>110.975965</x:v>
      </x:c>
      <x:c r="C2655" s="13" t="n">
        <x:v>244</x:v>
      </x:c>
      <x:c r="D2655" s="12" t="n">
        <x:v>153241.75999999998</x:v>
      </x:c>
      <x:c r="E2655" s="12" t="n">
        <x:v>429.712548</x:v>
      </x:c>
      <x:c r="F2655" s="12" t="n">
        <x:f>SUM(B2655,D2655:E2655)</x:f>
        <x:v>153782.44851299998</x:v>
      </x:c>
      <x:c r="G2655" s="12" t="n">
        <x:f>MAX(G2654,F2655)</x:f>
        <x:v>153782.44851299998</x:v>
      </x:c>
      <x:c r="H2655" s="14" t="n">
        <x:f>F2655/G2655-1</x:f>
        <x:v>0</x:v>
      </x:c>
      <x:c r="I2655" s="14" t="n">
        <x:f>F2655/F2654-1</x:f>
        <x:v>0.00609798987773269</x:v>
      </x:c>
      <x:c r="J2655" s="12" t="n">
        <x:v>0</x:v>
      </x:c>
      <x:c r="K2655" s="12" t="n">
        <x:v>0</x:v>
      </x:c>
      <x:c r="L2655" s="12" t="n">
        <x:v>0</x:v>
      </x:c>
      <x:c r="M2655" s="2" t="str">
        <x:v>持有</x:v>
      </x:c>
    </x:row>
    <x:row r="2656" ht="23" customHeight="1">
      <x:c r="A2656" s="11" t="d">
        <x:v>2025-07-18T00:00:00.000Z</x:v>
      </x:c>
      <x:c r="B2656" s="12" t="n">
        <x:v>110.975965</x:v>
      </x:c>
      <x:c r="C2656" s="13" t="n">
        <x:v>244</x:v>
      </x:c>
      <x:c r="D2656" s="12" t="n">
        <x:v>153129.52000000002</x:v>
      </x:c>
      <x:c r="E2656" s="12" t="n">
        <x:v>429.712548</x:v>
      </x:c>
      <x:c r="F2656" s="12" t="n">
        <x:f>SUM(B2656,D2656:E2656)</x:f>
        <x:v>153670.20851300002</x:v>
      </x:c>
      <x:c r="G2656" s="12" t="n">
        <x:f>MAX(G2655,F2656)</x:f>
        <x:v>153782.44851299998</x:v>
      </x:c>
      <x:c r="H2656" s="14" t="n">
        <x:f>F2656/G2656-1</x:f>
        <x:v>-0.0007298622247549069</x:v>
      </x:c>
      <x:c r="I2656" s="14" t="n">
        <x:f>F2656/F2655-1</x:f>
        <x:v>-0.0007298622247549069</x:v>
      </x:c>
      <x:c r="J2656" s="12" t="n">
        <x:v>0</x:v>
      </x:c>
      <x:c r="K2656" s="12" t="n">
        <x:v>0</x:v>
      </x:c>
      <x:c r="L2656" s="12" t="n">
        <x:v>0</x:v>
      </x:c>
      <x:c r="M2656" s="2" t="str">
        <x:v>持有</x:v>
      </x:c>
    </x:row>
    <x:row r="2657" ht="23" customHeight="1">
      <x:c r="A2657" s="11" t="d">
        <x:v>2025-07-21T00:00:00.000Z</x:v>
      </x:c>
      <x:c r="B2657" s="12" t="n">
        <x:v>110.975965</x:v>
      </x:c>
      <x:c r="C2657" s="13" t="n">
        <x:v>244</x:v>
      </x:c>
      <x:c r="D2657" s="12" t="n">
        <x:v>153419.88</x:v>
      </x:c>
      <x:c r="E2657" s="12" t="n">
        <x:v>429.712548</x:v>
      </x:c>
      <x:c r="F2657" s="12" t="n">
        <x:f>SUM(B2657,D2657:E2657)</x:f>
        <x:v>153960.568513</x:v>
      </x:c>
      <x:c r="G2657" s="12" t="n">
        <x:f>MAX(G2656,F2657)</x:f>
        <x:v>153960.568513</x:v>
      </x:c>
      <x:c r="H2657" s="14" t="n">
        <x:f>F2657/G2657-1</x:f>
        <x:v>0</x:v>
      </x:c>
      <x:c r="I2657" s="14" t="n">
        <x:f>F2657/F2656-1</x:f>
        <x:v>0.0018895009176447264</x:v>
      </x:c>
      <x:c r="J2657" s="12" t="n">
        <x:v>0</x:v>
      </x:c>
      <x:c r="K2657" s="12" t="n">
        <x:v>0</x:v>
      </x:c>
      <x:c r="L2657" s="12" t="n">
        <x:v>0</x:v>
      </x:c>
      <x:c r="M2657" s="2" t="str">
        <x:v>持有</x:v>
      </x:c>
    </x:row>
    <x:row r="2658" ht="23" customHeight="1">
      <x:c r="A2658" s="11" t="d">
        <x:v>2025-07-22T00:00:00.000Z</x:v>
      </x:c>
      <x:c r="B2658" s="12" t="n">
        <x:v>110.975965</x:v>
      </x:c>
      <x:c r="C2658" s="13" t="n">
        <x:v>244</x:v>
      </x:c>
      <x:c r="D2658" s="12" t="n">
        <x:v>153441.84</x:v>
      </x:c>
      <x:c r="E2658" s="12" t="n">
        <x:v>429.712548</x:v>
      </x:c>
      <x:c r="F2658" s="12" t="n">
        <x:f>SUM(B2658,D2658:E2658)</x:f>
        <x:v>153982.528513</x:v>
      </x:c>
      <x:c r="G2658" s="12" t="n">
        <x:f>MAX(G2657,F2658)</x:f>
        <x:v>153982.528513</x:v>
      </x:c>
      <x:c r="H2658" s="14" t="n">
        <x:f>F2658/G2658-1</x:f>
        <x:v>0</x:v>
      </x:c>
      <x:c r="I2658" s="14" t="n">
        <x:f>F2658/F2657-1</x:f>
        <x:v>0.00014263392381619333</x:v>
      </x:c>
      <x:c r="J2658" s="12" t="n">
        <x:v>0</x:v>
      </x:c>
      <x:c r="K2658" s="12" t="n">
        <x:v>0</x:v>
      </x:c>
      <x:c r="L2658" s="12" t="n">
        <x:v>0</x:v>
      </x:c>
      <x:c r="M2658" s="2" t="str">
        <x:v>持有</x:v>
      </x:c>
    </x:row>
    <x:row r="2659" ht="23" customHeight="1">
      <x:c r="A2659" s="11" t="d">
        <x:v>2025-07-23T00:00:00.000Z</x:v>
      </x:c>
      <x:c r="B2659" s="12" t="n">
        <x:v>110.975965</x:v>
      </x:c>
      <x:c r="C2659" s="13" t="n">
        <x:v>244</x:v>
      </x:c>
      <x:c r="D2659" s="12" t="n">
        <x:v>154747.24000000002</x:v>
      </x:c>
      <x:c r="E2659" s="12" t="n">
        <x:v>429.712548</x:v>
      </x:c>
      <x:c r="F2659" s="12" t="n">
        <x:f>SUM(B2659,D2659:E2659)</x:f>
        <x:v>155287.92851300002</x:v>
      </x:c>
      <x:c r="G2659" s="12" t="n">
        <x:f>MAX(G2658,F2659)</x:f>
        <x:v>155287.92851300002</x:v>
      </x:c>
      <x:c r="H2659" s="14" t="n">
        <x:f>F2659/G2659-1</x:f>
        <x:v>0</x:v>
      </x:c>
      <x:c r="I2659" s="14" t="n">
        <x:f>F2659/F2658-1</x:f>
        <x:v>0.008477585168955137</x:v>
      </x:c>
      <x:c r="J2659" s="12" t="n">
        <x:v>0</x:v>
      </x:c>
      <x:c r="K2659" s="12" t="n">
        <x:v>0</x:v>
      </x:c>
      <x:c r="L2659" s="12" t="n">
        <x:v>0</x:v>
      </x:c>
      <x:c r="M2659" s="2" t="str">
        <x:v>持有</x:v>
      </x:c>
    </x:row>
    <x:row r="2660" ht="23" customHeight="1">
      <x:c r="A2660" s="11" t="d">
        <x:v>2025-07-24T00:00:00.000Z</x:v>
      </x:c>
      <x:c r="B2660" s="12" t="n">
        <x:v>110.975965</x:v>
      </x:c>
      <x:c r="C2660" s="13" t="n">
        <x:v>244</x:v>
      </x:c>
      <x:c r="D2660" s="12" t="n">
        <x:v>154798.47999999998</x:v>
      </x:c>
      <x:c r="E2660" s="12" t="n">
        <x:v>429.712548</x:v>
      </x:c>
      <x:c r="F2660" s="12" t="n">
        <x:f>SUM(B2660,D2660:E2660)</x:f>
        <x:v>155339.16851299998</x:v>
      </x:c>
      <x:c r="G2660" s="12" t="n">
        <x:f>MAX(G2659,F2660)</x:f>
        <x:v>155339.16851299998</x:v>
      </x:c>
      <x:c r="H2660" s="14" t="n">
        <x:f>F2660/G2660-1</x:f>
        <x:v>0</x:v>
      </x:c>
      <x:c r="I2660" s="14" t="n">
        <x:f>F2660/F2659-1</x:f>
        <x:v>0.00032996769607662735</x:v>
      </x:c>
      <x:c r="J2660" s="12" t="n">
        <x:v>0</x:v>
      </x:c>
      <x:c r="K2660" s="12" t="n">
        <x:v>0</x:v>
      </x:c>
      <x:c r="L2660" s="12" t="n">
        <x:v>0</x:v>
      </x:c>
      <x:c r="M2660" s="2" t="str">
        <x:v>持有</x:v>
      </x:c>
    </x:row>
    <x:row r="2661" ht="23" customHeight="1">
      <x:c r="A2661" s="11" t="d">
        <x:v>2025-07-25T00:00:00.000Z</x:v>
      </x:c>
      <x:c r="B2661" s="12" t="n">
        <x:v>110.975965</x:v>
      </x:c>
      <x:c r="C2661" s="13" t="n">
        <x:v>244</x:v>
      </x:c>
      <x:c r="D2661" s="12" t="n">
        <x:v>155452.4</x:v>
      </x:c>
      <x:c r="E2661" s="12" t="n">
        <x:v>429.712548</x:v>
      </x:c>
      <x:c r="F2661" s="12" t="n">
        <x:f>SUM(B2661,D2661:E2661)</x:f>
        <x:v>155993.088513</x:v>
      </x:c>
      <x:c r="G2661" s="12" t="n">
        <x:f>MAX(G2660,F2661)</x:f>
        <x:v>155993.088513</x:v>
      </x:c>
      <x:c r="H2661" s="14" t="n">
        <x:f>F2661/G2661-1</x:f>
        <x:v>0</x:v>
      </x:c>
      <x:c r="I2661" s="14" t="n">
        <x:f>F2661/F2660-1</x:f>
        <x:v>0.004209627270827632</x:v>
      </x:c>
      <x:c r="J2661" s="12" t="n">
        <x:v>0</x:v>
      </x:c>
      <x:c r="K2661" s="12" t="n">
        <x:v>0</x:v>
      </x:c>
      <x:c r="L2661" s="12" t="n">
        <x:v>0</x:v>
      </x:c>
      <x:c r="M2661" s="2" t="str">
        <x:v>持有</x:v>
      </x:c>
    </x:row>
    <x:row r="2662" ht="23" customHeight="1">
      <x:c r="A2662" s="11" t="d">
        <x:v>2025-07-28T00:00:00.000Z</x:v>
      </x:c>
      <x:c r="B2662" s="12" t="n">
        <x:v>110.975965</x:v>
      </x:c>
      <x:c r="C2662" s="13" t="n">
        <x:v>244</x:v>
      </x:c>
      <x:c r="D2662" s="12" t="n">
        <x:v>155413.36000000002</x:v>
      </x:c>
      <x:c r="E2662" s="12" t="n">
        <x:v>429.712548</x:v>
      </x:c>
      <x:c r="F2662" s="12" t="n">
        <x:f>SUM(B2662,D2662:E2662)</x:f>
        <x:v>155954.04851300002</x:v>
      </x:c>
      <x:c r="G2662" s="12" t="n">
        <x:f>MAX(G2661,F2662)</x:f>
        <x:v>155993.088513</x:v>
      </x:c>
      <x:c r="H2662" s="14" t="n">
        <x:f>F2662/G2662-1</x:f>
        <x:v>-0.0002502674982085562</x:v>
      </x:c>
      <x:c r="I2662" s="14" t="n">
        <x:f>F2662/F2661-1</x:f>
        <x:v>-0.0002502674982085562</x:v>
      </x:c>
      <x:c r="J2662" s="12" t="n">
        <x:v>0</x:v>
      </x:c>
      <x:c r="K2662" s="12" t="n">
        <x:v>0</x:v>
      </x:c>
      <x:c r="L2662" s="12" t="n">
        <x:v>0</x:v>
      </x:c>
      <x:c r="M2662" s="2" t="str">
        <x:v>持有</x:v>
      </x:c>
    </x:row>
    <x:row r="2663" ht="23" customHeight="1">
      <x:c r="A2663" s="11" t="d">
        <x:v>2025-07-29T00:00:00.000Z</x:v>
      </x:c>
      <x:c r="B2663" s="12" t="n">
        <x:v>110.975965</x:v>
      </x:c>
      <x:c r="C2663" s="13" t="n">
        <x:v>244</x:v>
      </x:c>
      <x:c r="D2663" s="12" t="n">
        <x:v>155003.44</x:v>
      </x:c>
      <x:c r="E2663" s="12" t="n">
        <x:v>429.712548</x:v>
      </x:c>
      <x:c r="F2663" s="12" t="n">
        <x:f>SUM(B2663,D2663:E2663)</x:f>
        <x:v>155544.128513</x:v>
      </x:c>
      <x:c r="G2663" s="12" t="n">
        <x:f>MAX(G2662,F2663)</x:f>
        <x:v>155993.088513</x:v>
      </x:c>
      <x:c r="H2663" s="14" t="n">
        <x:f>F2663/G2663-1</x:f>
        <x:v>-0.0028780762294002837</x:v>
      </x:c>
      <x:c r="I2663" s="14" t="n">
        <x:f>F2663/F2662-1</x:f>
        <x:v>-0.002628466550939512</x:v>
      </x:c>
      <x:c r="J2663" s="12" t="n">
        <x:v>0</x:v>
      </x:c>
      <x:c r="K2663" s="12" t="n">
        <x:v>0</x:v>
      </x:c>
      <x:c r="L2663" s="12" t="n">
        <x:v>0</x:v>
      </x:c>
      <x:c r="M2663" s="2" t="str">
        <x:v>持有</x:v>
      </x:c>
    </x:row>
    <x:row r="2664" ht="23" customHeight="1">
      <x:c r="A2664" s="11" t="d">
        <x:v>2025-07-30T00:00:00.000Z</x:v>
      </x:c>
      <x:c r="B2664" s="12" t="n">
        <x:v>110.975965</x:v>
      </x:c>
      <x:c r="C2664" s="13" t="n">
        <x:v>244</x:v>
      </x:c>
      <x:c r="D2664" s="12" t="n">
        <x:v>154808.24000000002</x:v>
      </x:c>
      <x:c r="E2664" s="12" t="n">
        <x:v>429.712548</x:v>
      </x:c>
      <x:c r="F2664" s="12" t="n">
        <x:f>SUM(B2664,D2664:E2664)</x:f>
        <x:v>155348.92851300002</x:v>
      </x:c>
      <x:c r="G2664" s="12" t="n">
        <x:f>MAX(G2663,F2664)</x:f>
        <x:v>155993.088513</x:v>
      </x:c>
      <x:c r="H2664" s="14" t="n">
        <x:f>F2664/G2664-1</x:f>
        <x:v>-0.004129413720443731</x:v>
      </x:c>
      <x:c r="I2664" s="14" t="n">
        <x:f>F2664/F2663-1</x:f>
        <x:v>-0.0012549493308817716</x:v>
      </x:c>
      <x:c r="J2664" s="12" t="n">
        <x:v>0</x:v>
      </x:c>
      <x:c r="K2664" s="12" t="n">
        <x:v>0</x:v>
      </x:c>
      <x:c r="L2664" s="12" t="n">
        <x:v>0</x:v>
      </x:c>
      <x:c r="M2664" s="2" t="str">
        <x:v>持有</x:v>
      </x:c>
    </x:row>
    <x:row r="2665" ht="23" customHeight="1">
      <x:c r="A2665" s="11" t="d">
        <x:v>2025-07-31T00:00:00.000Z</x:v>
      </x:c>
      <x:c r="B2665" s="12" t="n">
        <x:v>540.688513</x:v>
      </x:c>
      <x:c r="C2665" s="13" t="n">
        <x:v>244</x:v>
      </x:c>
      <x:c r="D2665" s="12" t="n">
        <x:v>154227.52000000002</x:v>
      </x:c>
      <x:c r="E2665" s="12" t="n">
        <x:v>0</x:v>
      </x:c>
      <x:c r="F2665" s="12" t="n">
        <x:f>SUM(B2665,D2665:E2665)</x:f>
        <x:v>154768.20851300002</x:v>
      </x:c>
      <x:c r="G2665" s="12" t="n">
        <x:f>MAX(G2664,F2665)</x:f>
        <x:v>155993.088513</x:v>
      </x:c>
      <x:c r="H2665" s="14" t="n">
        <x:f>F2665/G2665-1</x:f>
        <x:v>-0.00785214275629842</x:v>
      </x:c>
      <x:c r="I2665" s="14" t="n">
        <x:f>F2665/F2664-1</x:f>
        <x:v>-0.0037381654676260645</x:v>
      </x:c>
      <x:c r="J2665" s="12" t="n">
        <x:v>0</x:v>
      </x:c>
      <x:c r="K2665" s="12" t="n">
        <x:v>429.712548</x:v>
      </x:c>
      <x:c r="L2665" s="12" t="n">
        <x:v>0</x:v>
      </x:c>
      <x:c r="M2665" s="2" t="str">
        <x:v>持有</x:v>
      </x:c>
    </x:row>
    <x:row r="2666" ht="23" customHeight="1">
      <x:c r="A2666" s="11" t="d">
        <x:v>2025-08-01T00:00:00.000Z</x:v>
      </x:c>
      <x:c r="B2666" s="12" t="n">
        <x:v>540.688513</x:v>
      </x:c>
      <x:c r="C2666" s="13" t="n">
        <x:v>244</x:v>
      </x:c>
      <x:c r="D2666" s="12" t="n">
        <x:v>151699.68</x:v>
      </x:c>
      <x:c r="E2666" s="12" t="n">
        <x:v>0</x:v>
      </x:c>
      <x:c r="F2666" s="12" t="n">
        <x:f>SUM(B2666,D2666:E2666)</x:f>
        <x:v>152240.368513</x:v>
      </x:c>
      <x:c r="G2666" s="12" t="n">
        <x:f>MAX(G2665,F2666)</x:f>
        <x:v>155993.088513</x:v>
      </x:c>
      <x:c r="H2666" s="14" t="n">
        <x:f>F2666/G2666-1</x:f>
        <x:v>-0.024056963265313258</x:v>
      </x:c>
      <x:c r="I2666" s="14" t="n">
        <x:f>F2666/F2665-1</x:f>
        <x:v>-0.016333070107144798</x:v>
      </x:c>
      <x:c r="J2666" s="12" t="n">
        <x:v>0</x:v>
      </x:c>
      <x:c r="K2666" s="12" t="n">
        <x:v>0</x:v>
      </x:c>
      <x:c r="L2666" s="12" t="n">
        <x:v>0</x:v>
      </x:c>
      <x:c r="M2666" s="2" t="str">
        <x:v>持有</x:v>
      </x:c>
    </x:row>
    <x:row r="2667" ht="23" customHeight="1">
      <x:c r="A2667" s="11" t="d">
        <x:v>2025-08-04T00:00:00.000Z</x:v>
      </x:c>
      <x:c r="B2667" s="12" t="n">
        <x:v>540.688513</x:v>
      </x:c>
      <x:c r="C2667" s="13" t="n">
        <x:v>244</x:v>
      </x:c>
      <x:c r="D2667" s="12" t="n">
        <x:v>154005.47999999998</x:v>
      </x:c>
      <x:c r="E2667" s="12" t="n">
        <x:v>0</x:v>
      </x:c>
      <x:c r="F2667" s="12" t="n">
        <x:f>SUM(B2667,D2667:E2667)</x:f>
        <x:v>154546.16851299998</x:v>
      </x:c>
      <x:c r="G2667" s="12" t="n">
        <x:f>MAX(G2666,F2667)</x:f>
        <x:v>155993.088513</x:v>
      </x:c>
      <x:c r="H2667" s="14" t="n">
        <x:f>F2667/G2667-1</x:f>
        <x:v>-0.00927553915236079</x:v>
      </x:c>
      <x:c r="I2667" s="14" t="n">
        <x:f>F2667/F2666-1</x:f>
        <x:v>0.015145785723732708</x:v>
      </x:c>
      <x:c r="J2667" s="12" t="n">
        <x:v>0</x:v>
      </x:c>
      <x:c r="K2667" s="12" t="n">
        <x:v>0</x:v>
      </x:c>
      <x:c r="L2667" s="12" t="n">
        <x:v>0</x:v>
      </x:c>
      <x:c r="M2667" s="2" t="str">
        <x:v>持有</x:v>
      </x:c>
    </x:row>
    <x:row r="2668" ht="23" customHeight="1">
      <x:c r="A2668" s="11" t="d">
        <x:v>2025-08-05T00:00:00.000Z</x:v>
      </x:c>
      <x:c r="B2668" s="12" t="n">
        <x:v>540.688513</x:v>
      </x:c>
      <x:c r="C2668" s="13" t="n">
        <x:v>244</x:v>
      </x:c>
      <x:c r="D2668" s="12" t="n">
        <x:v>153224.68</x:v>
      </x:c>
      <x:c r="E2668" s="12" t="n">
        <x:v>0</x:v>
      </x:c>
      <x:c r="F2668" s="12" t="n">
        <x:f>SUM(B2668,D2668:E2668)</x:f>
        <x:v>153765.368513</x:v>
      </x:c>
      <x:c r="G2668" s="12" t="n">
        <x:f>MAX(G2667,F2668)</x:f>
        <x:v>155993.088513</x:v>
      </x:c>
      <x:c r="H2668" s="14" t="n">
        <x:f>F2668/G2668-1</x:f>
        <x:v>-0.014280889116535134</x:v>
      </x:c>
      <x:c r="I2668" s="14" t="n">
        <x:f>F2668/F2667-1</x:f>
        <x:v>-0.005052211953959329</x:v>
      </x:c>
      <x:c r="J2668" s="12" t="n">
        <x:v>0</x:v>
      </x:c>
      <x:c r="K2668" s="12" t="n">
        <x:v>0</x:v>
      </x:c>
      <x:c r="L2668" s="12" t="n">
        <x:v>0</x:v>
      </x:c>
      <x:c r="M2668" s="2" t="str">
        <x:v>持有</x:v>
      </x:c>
    </x:row>
    <x:row r="2669" ht="23" customHeight="1">
      <x:c r="A2669" s="11" t="d">
        <x:v>2025-08-06T00:00:00.000Z</x:v>
      </x:c>
      <x:c r="B2669" s="12" t="n">
        <x:v>540.688513</x:v>
      </x:c>
      <x:c r="C2669" s="13" t="n">
        <x:v>244</x:v>
      </x:c>
      <x:c r="D2669" s="12" t="n">
        <x:v>154398.32</x:v>
      </x:c>
      <x:c r="E2669" s="12" t="n">
        <x:v>0</x:v>
      </x:c>
      <x:c r="F2669" s="12" t="n">
        <x:f>SUM(B2669,D2669:E2669)</x:f>
        <x:v>154939.008513</x:v>
      </x:c>
      <x:c r="G2669" s="12" t="n">
        <x:f>MAX(G2668,F2669)</x:f>
        <x:v>155993.088513</x:v>
      </x:c>
      <x:c r="H2669" s="14" t="n">
        <x:f>F2669/G2669-1</x:f>
        <x:v>-0.006757222451635347</x:v>
      </x:c>
      <x:c r="I2669" s="14" t="n">
        <x:f>F2669/F2668-1</x:f>
        <x:v>0.007632667949550642</x:v>
      </x:c>
      <x:c r="J2669" s="12" t="n">
        <x:v>0</x:v>
      </x:c>
      <x:c r="K2669" s="12" t="n">
        <x:v>0</x:v>
      </x:c>
      <x:c r="L2669" s="12" t="n">
        <x:v>0</x:v>
      </x:c>
      <x:c r="M2669" s="2" t="str">
        <x:v>持有</x:v>
      </x:c>
    </x:row>
    <x:row r="2670" ht="23" customHeight="1">
      <x:c r="A2670" s="11" t="d">
        <x:v>2025-08-07T00:00:00.000Z</x:v>
      </x:c>
      <x:c r="B2670" s="12" t="n">
        <x:v>540.688513</x:v>
      </x:c>
      <x:c r="C2670" s="13" t="n">
        <x:v>244</x:v>
      </x:c>
      <x:c r="D2670" s="12" t="n">
        <x:v>154269</x:v>
      </x:c>
      <x:c r="E2670" s="12" t="n">
        <x:v>0</x:v>
      </x:c>
      <x:c r="F2670" s="12" t="n">
        <x:f>SUM(B2670,D2670:E2670)</x:f>
        <x:v>154809.688513</x:v>
      </x:c>
      <x:c r="G2670" s="12" t="n">
        <x:f>MAX(G2669,F2670)</x:f>
        <x:v>155993.088513</x:v>
      </x:c>
      <x:c r="H2670" s="14" t="n">
        <x:f>F2670/G2670-1</x:f>
        <x:v>-0.007586233539451759</x:v>
      </x:c>
      <x:c r="I2670" s="14" t="n">
        <x:f>F2670/F2669-1</x:f>
        <x:v>-0.0008346510103629523</x:v>
      </x:c>
      <x:c r="J2670" s="12" t="n">
        <x:v>0</x:v>
      </x:c>
      <x:c r="K2670" s="12" t="n">
        <x:v>0</x:v>
      </x:c>
      <x:c r="L2670" s="12" t="n">
        <x:v>0</x:v>
      </x:c>
      <x:c r="M2670" s="2" t="str">
        <x:v>持有</x:v>
      </x:c>
    </x:row>
    <x:row r="2671" ht="23" customHeight="1">
      <x:c r="A2671" s="11" t="d">
        <x:v>2025-08-08T00:00:00.000Z</x:v>
      </x:c>
      <x:c r="B2671" s="12" t="n">
        <x:v>540.688513</x:v>
      </x:c>
      <x:c r="C2671" s="13" t="n">
        <x:v>244</x:v>
      </x:c>
      <x:c r="D2671" s="12" t="n">
        <x:v>155471.91999999998</x:v>
      </x:c>
      <x:c r="E2671" s="12" t="n">
        <x:v>0</x:v>
      </x:c>
      <x:c r="F2671" s="12" t="n">
        <x:f>SUM(B2671,D2671:E2671)</x:f>
        <x:v>156012.60851299998</x:v>
      </x:c>
      <x:c r="G2671" s="12" t="n">
        <x:f>MAX(G2670,F2671)</x:f>
        <x:v>156012.60851299998</x:v>
      </x:c>
      <x:c r="H2671" s="14" t="n">
        <x:f>F2671/G2671-1</x:f>
        <x:v>0</x:v>
      </x:c>
      <x:c r="I2671" s="14" t="n">
        <x:f>F2671/F2670-1</x:f>
        <x:v>0.007770314710625836</x:v>
      </x:c>
      <x:c r="J2671" s="12" t="n">
        <x:v>0</x:v>
      </x:c>
      <x:c r="K2671" s="12" t="n">
        <x:v>0</x:v>
      </x:c>
      <x:c r="L2671" s="12" t="n">
        <x:v>0</x:v>
      </x:c>
      <x:c r="M2671" s="2" t="str">
        <x:v>持有</x:v>
      </x:c>
    </x:row>
    <x:row r="2672" ht="23" customHeight="1">
      <x:c r="A2672" s="11" t="d">
        <x:v>2025-08-11T00:00:00.000Z</x:v>
      </x:c>
      <x:c r="B2672" s="12" t="n">
        <x:v>540.688513</x:v>
      </x:c>
      <x:c r="C2672" s="13" t="n">
        <x:v>244</x:v>
      </x:c>
      <x:c r="D2672" s="12" t="n">
        <x:v>155164.47999999998</x:v>
      </x:c>
      <x:c r="E2672" s="12" t="n">
        <x:v>0</x:v>
      </x:c>
      <x:c r="F2672" s="12" t="n">
        <x:f>SUM(B2672,D2672:E2672)</x:f>
        <x:v>155705.16851299998</x:v>
      </x:c>
      <x:c r="G2672" s="12" t="n">
        <x:f>MAX(G2671,F2672)</x:f>
        <x:v>156012.60851299998</x:v>
      </x:c>
      <x:c r="H2672" s="14" t="n">
        <x:f>F2672/G2672-1</x:f>
        <x:v>-0.0019706099585815595</x:v>
      </x:c>
      <x:c r="I2672" s="14" t="n">
        <x:f>F2672/F2671-1</x:f>
        <x:v>-0.0019706099585815595</x:v>
      </x:c>
      <x:c r="J2672" s="12" t="n">
        <x:v>0</x:v>
      </x:c>
      <x:c r="K2672" s="12" t="n">
        <x:v>0</x:v>
      </x:c>
      <x:c r="L2672" s="12" t="n">
        <x:v>0</x:v>
      </x:c>
      <x:c r="M2672" s="2" t="str">
        <x:v>持有</x:v>
      </x:c>
    </x:row>
    <x:row r="2673" ht="23" customHeight="1">
      <x:c r="A2673" s="11" t="d">
        <x:v>2025-08-12T00:00:00.000Z</x:v>
      </x:c>
      <x:c r="B2673" s="12" t="n">
        <x:v>540.688513</x:v>
      </x:c>
      <x:c r="C2673" s="13" t="n">
        <x:v>244</x:v>
      </x:c>
      <x:c r="D2673" s="12" t="n">
        <x:v>156816.36000000002</x:v>
      </x:c>
      <x:c r="E2673" s="12" t="n">
        <x:v>0</x:v>
      </x:c>
      <x:c r="F2673" s="12" t="n">
        <x:f>SUM(B2673,D2673:E2673)</x:f>
        <x:v>157357.04851300002</x:v>
      </x:c>
      <x:c r="G2673" s="12" t="n">
        <x:f>MAX(G2672,F2673)</x:f>
        <x:v>157357.04851300002</x:v>
      </x:c>
      <x:c r="H2673" s="14" t="n">
        <x:f>F2673/G2673-1</x:f>
        <x:v>0</x:v>
      </x:c>
      <x:c r="I2673" s="14" t="n">
        <x:f>F2673/F2672-1</x:f>
        <x:v>0.010609024836976566</x:v>
      </x:c>
      <x:c r="J2673" s="12" t="n">
        <x:v>0</x:v>
      </x:c>
      <x:c r="K2673" s="12" t="n">
        <x:v>0</x:v>
      </x:c>
      <x:c r="L2673" s="12" t="n">
        <x:v>0</x:v>
      </x:c>
      <x:c r="M2673" s="2" t="str">
        <x:v>持有</x:v>
      </x:c>
    </x:row>
    <x:row r="2674" ht="23" customHeight="1">
      <x:c r="A2674" s="11" t="d">
        <x:v>2025-08-13T00:00:00.000Z</x:v>
      </x:c>
      <x:c r="B2674" s="12" t="n">
        <x:v>540.688513</x:v>
      </x:c>
      <x:c r="C2674" s="13" t="n">
        <x:v>244</x:v>
      </x:c>
      <x:c r="D2674" s="12" t="n">
        <x:v>157353.16</x:v>
      </x:c>
      <x:c r="E2674" s="12" t="n">
        <x:v>0</x:v>
      </x:c>
      <x:c r="F2674" s="12" t="n">
        <x:f>SUM(B2674,D2674:E2674)</x:f>
        <x:v>157893.848513</x:v>
      </x:c>
      <x:c r="G2674" s="12" t="n">
        <x:f>MAX(G2673,F2674)</x:f>
        <x:v>157893.848513</x:v>
      </x:c>
      <x:c r="H2674" s="14" t="n">
        <x:f>F2674/G2674-1</x:f>
        <x:v>0</x:v>
      </x:c>
      <x:c r="I2674" s="14" t="n">
        <x:f>F2674/F2673-1</x:f>
        <x:v>0.0034113502068873203</x:v>
      </x:c>
      <x:c r="J2674" s="12" t="n">
        <x:v>0</x:v>
      </x:c>
      <x:c r="K2674" s="12" t="n">
        <x:v>0</x:v>
      </x:c>
      <x:c r="L2674" s="12" t="n">
        <x:v>0</x:v>
      </x:c>
      <x:c r="M2674" s="2" t="str">
        <x:v>持有</x:v>
      </x:c>
    </x:row>
    <x:row r="2675" ht="23" customHeight="1">
      <x:c r="A2675" s="11" t="d">
        <x:v>2025-08-14T00:00:00.000Z</x:v>
      </x:c>
      <x:c r="B2675" s="12" t="n">
        <x:v>540.688513</x:v>
      </x:c>
      <x:c r="C2675" s="13" t="n">
        <x:v>244</x:v>
      </x:c>
      <x:c r="D2675" s="12" t="n">
        <x:v>157367.80000000002</x:v>
      </x:c>
      <x:c r="E2675" s="12" t="n">
        <x:v>0</x:v>
      </x:c>
      <x:c r="F2675" s="12" t="n">
        <x:f>SUM(B2675,D2675:E2675)</x:f>
        <x:v>157908.48851300002</x:v>
      </x:c>
      <x:c r="G2675" s="12" t="n">
        <x:f>MAX(G2674,F2675)</x:f>
        <x:v>157908.48851300002</x:v>
      </x:c>
      <x:c r="H2675" s="14" t="n">
        <x:f>F2675/G2675-1</x:f>
        <x:v>0</x:v>
      </x:c>
      <x:c r="I2675" s="14" t="n">
        <x:f>F2675/F2674-1</x:f>
        <x:v>0.0000927205216536553</x:v>
      </x:c>
      <x:c r="J2675" s="12" t="n">
        <x:v>0</x:v>
      </x:c>
      <x:c r="K2675" s="12" t="n">
        <x:v>0</x:v>
      </x:c>
      <x:c r="L2675" s="12" t="n">
        <x:v>0</x:v>
      </x:c>
      <x:c r="M2675" s="2" t="str">
        <x:v>持有</x:v>
      </x:c>
    </x:row>
    <x:row r="2676" ht="23" customHeight="1">
      <x:c r="A2676" s="11" t="d">
        <x:v>2025-08-15T00:00:00.000Z</x:v>
      </x:c>
      <x:c r="B2676" s="12" t="n">
        <x:v>540.688513</x:v>
      </x:c>
      <x:c r="C2676" s="13" t="n">
        <x:v>244</x:v>
      </x:c>
      <x:c r="D2676" s="12" t="n">
        <x:v>156999.36000000002</x:v>
      </x:c>
      <x:c r="E2676" s="12" t="n">
        <x:v>0</x:v>
      </x:c>
      <x:c r="F2676" s="12" t="n">
        <x:f>SUM(B2676,D2676:E2676)</x:f>
        <x:v>157540.04851300002</x:v>
      </x:c>
      <x:c r="G2676" s="12" t="n">
        <x:f>MAX(G2675,F2676)</x:f>
        <x:v>157908.48851300002</x:v>
      </x:c>
      <x:c r="H2676" s="14" t="n">
        <x:f>F2676/G2676-1</x:f>
        <x:v>-0.0023332501214440304</x:v>
      </x:c>
      <x:c r="I2676" s="14" t="n">
        <x:f>F2676/F2675-1</x:f>
        <x:v>-0.0023332501214440304</x:v>
      </x:c>
      <x:c r="J2676" s="12" t="n">
        <x:v>0</x:v>
      </x:c>
      <x:c r="K2676" s="12" t="n">
        <x:v>0</x:v>
      </x:c>
      <x:c r="L2676" s="12" t="n">
        <x:v>0</x:v>
      </x:c>
      <x:c r="M2676" s="2" t="str">
        <x:v>持有</x:v>
      </x:c>
    </x:row>
    <x:row r="2677" ht="23" customHeight="1">
      <x:c r="A2677" s="11" t="d">
        <x:v>2025-08-18T00:00:00.000Z</x:v>
      </x:c>
      <x:c r="B2677" s="12" t="n">
        <x:v>540.688513</x:v>
      </x:c>
      <x:c r="C2677" s="13" t="n">
        <x:v>244</x:v>
      </x:c>
      <x:c r="D2677" s="12" t="n">
        <x:v>156965.19999999998</x:v>
      </x:c>
      <x:c r="E2677" s="12" t="n">
        <x:v>0</x:v>
      </x:c>
      <x:c r="F2677" s="12" t="n">
        <x:f>SUM(B2677,D2677:E2677)</x:f>
        <x:v>157505.88851299998</x:v>
      </x:c>
      <x:c r="G2677" s="12" t="n">
        <x:f>MAX(G2676,F2677)</x:f>
        <x:v>157908.48851300002</x:v>
      </x:c>
      <x:c r="H2677" s="14" t="n">
        <x:f>F2677/G2677-1</x:f>
        <x:v>-0.002549577947273507</x:v>
      </x:c>
      <x:c r="I2677" s="14" t="n">
        <x:f>F2677/F2676-1</x:f>
        <x:v>-0.00021683375321046583</x:v>
      </x:c>
      <x:c r="J2677" s="12" t="n">
        <x:v>0</x:v>
      </x:c>
      <x:c r="K2677" s="12" t="n">
        <x:v>0</x:v>
      </x:c>
      <x:c r="L2677" s="12" t="n">
        <x:v>0</x:v>
      </x:c>
      <x:c r="M2677" s="2" t="str">
        <x:v>持有</x:v>
      </x:c>
    </x:row>
    <x:row r="2678" ht="23" customHeight="1">
      <x:c r="A2678" s="11" t="d">
        <x:v>2025-08-19T00:00:00.000Z</x:v>
      </x:c>
      <x:c r="B2678" s="12" t="n">
        <x:v>540.688513</x:v>
      </x:c>
      <x:c r="C2678" s="13" t="n">
        <x:v>244</x:v>
      </x:c>
      <x:c r="D2678" s="12" t="n">
        <x:v>156113.63999999998</x:v>
      </x:c>
      <x:c r="E2678" s="12" t="n">
        <x:v>0</x:v>
      </x:c>
      <x:c r="F2678" s="12" t="n">
        <x:f>SUM(B2678,D2678:E2678)</x:f>
        <x:v>156654.328513</x:v>
      </x:c>
      <x:c r="G2678" s="12" t="n">
        <x:f>MAX(G2677,F2678)</x:f>
        <x:v>157908.48851300002</x:v>
      </x:c>
      <x:c r="H2678" s="14" t="n">
        <x:f>F2678/G2678-1</x:f>
        <x:v>-0.00794232160544539</x:v>
      </x:c>
      <x:c r="I2678" s="14" t="n">
        <x:f>F2678/F2677-1</x:f>
        <x:v>-0.00540652802279018</x:v>
      </x:c>
      <x:c r="J2678" s="12" t="n">
        <x:v>0</x:v>
      </x:c>
      <x:c r="K2678" s="12" t="n">
        <x:v>0</x:v>
      </x:c>
      <x:c r="L2678" s="12" t="n">
        <x:v>0</x:v>
      </x:c>
      <x:c r="M2678" s="2" t="str">
        <x:v>持有</x:v>
      </x:c>
    </x:row>
    <x:row r="2679" ht="23" customHeight="1">
      <x:c r="A2679" s="11" t="d">
        <x:v>2025-08-20T00:00:00.000Z</x:v>
      </x:c>
      <x:c r="B2679" s="12" t="n">
        <x:v>540.688513</x:v>
      </x:c>
      <x:c r="C2679" s="13" t="n">
        <x:v>244</x:v>
      </x:c>
      <x:c r="D2679" s="12" t="n">
        <x:v>155698.84</x:v>
      </x:c>
      <x:c r="E2679" s="12" t="n">
        <x:v>0</x:v>
      </x:c>
      <x:c r="F2679" s="12" t="n">
        <x:f>SUM(B2679,D2679:E2679)</x:f>
        <x:v>156239.528513</x:v>
      </x:c>
      <x:c r="G2679" s="12" t="n">
        <x:f>MAX(G2678,F2679)</x:f>
        <x:v>157908.48851300002</x:v>
      </x:c>
      <x:c r="H2679" s="14" t="n">
        <x:f>F2679/G2679-1</x:f>
        <x:v>-0.010569159490514846</x:v>
      </x:c>
      <x:c r="I2679" s="14" t="n">
        <x:f>F2679/F2678-1</x:f>
        <x:v>-0.0026478681051290698</x:v>
      </x:c>
      <x:c r="J2679" s="12" t="n">
        <x:v>0</x:v>
      </x:c>
      <x:c r="K2679" s="12" t="n">
        <x:v>0</x:v>
      </x:c>
      <x:c r="L2679" s="12" t="n">
        <x:v>0</x:v>
      </x:c>
      <x:c r="M2679" s="2" t="str">
        <x:v>持有</x:v>
      </x:c>
    </x:row>
    <x:row r="2680" ht="23" customHeight="1">
      <x:c r="A2680" s="11" t="d">
        <x:v>2025-08-21T00:00:00.000Z</x:v>
      </x:c>
      <x:c r="B2680" s="12" t="n">
        <x:v>540.688513</x:v>
      </x:c>
      <x:c r="C2680" s="13" t="n">
        <x:v>244</x:v>
      </x:c>
      <x:c r="D2680" s="12" t="n">
        <x:v>155074.19999999998</x:v>
      </x:c>
      <x:c r="E2680" s="12" t="n">
        <x:v>0</x:v>
      </x:c>
      <x:c r="F2680" s="12" t="n">
        <x:f>SUM(B2680,D2680:E2680)</x:f>
        <x:v>155614.88851299998</x:v>
      </x:c>
      <x:c r="G2680" s="12" t="n">
        <x:f>MAX(G2679,F2680)</x:f>
        <x:v>157908.48851300002</x:v>
      </x:c>
      <x:c r="H2680" s="14" t="n">
        <x:f>F2680/G2680-1</x:f>
        <x:v>-0.014524868305678229</x:v>
      </x:c>
      <x:c r="I2680" s="14" t="n">
        <x:f>F2680/F2679-1</x:f>
        <x:v>-0.003997963933615178</x:v>
      </x:c>
      <x:c r="J2680" s="12" t="n">
        <x:v>0</x:v>
      </x:c>
      <x:c r="K2680" s="12" t="n">
        <x:v>0</x:v>
      </x:c>
      <x:c r="L2680" s="12" t="n">
        <x:v>0</x:v>
      </x:c>
      <x:c r="M2680" s="2" t="str">
        <x:v>持有</x:v>
      </x:c>
    </x:row>
    <x:row r="2681" ht="23" customHeight="1">
      <x:c r="A2681" s="11" t="d">
        <x:v>2025-08-22T00:00:00.000Z</x:v>
      </x:c>
      <x:c r="B2681" s="12" t="n">
        <x:v>540.688513</x:v>
      </x:c>
      <x:c r="C2681" s="13" t="n">
        <x:v>244</x:v>
      </x:c>
      <x:c r="D2681" s="12" t="n">
        <x:v>157455.63999999998</x:v>
      </x:c>
      <x:c r="E2681" s="12" t="n">
        <x:v>0</x:v>
      </x:c>
      <x:c r="F2681" s="12" t="n">
        <x:f>SUM(B2681,D2681:E2681)</x:f>
        <x:v>157996.328513</x:v>
      </x:c>
      <x:c r="G2681" s="12" t="n">
        <x:f>MAX(G2680,F2681)</x:f>
        <x:v>157996.328513</x:v>
      </x:c>
      <x:c r="H2681" s="14" t="n">
        <x:f>F2681/G2681-1</x:f>
        <x:v>0</x:v>
      </x:c>
      <x:c r="I2681" s="14" t="n">
        <x:f>F2681/F2680-1</x:f>
        <x:v>0.015303420018201175</x:v>
      </x:c>
      <x:c r="J2681" s="12" t="n">
        <x:v>0</x:v>
      </x:c>
      <x:c r="K2681" s="12" t="n">
        <x:v>0</x:v>
      </x:c>
      <x:c r="L2681" s="12" t="n">
        <x:v>0</x:v>
      </x:c>
      <x:c r="M2681" s="2" t="str">
        <x:v>持有</x:v>
      </x:c>
    </x:row>
    <x:row r="2682" ht="23" customHeight="1">
      <x:c r="A2682" s="11" t="d">
        <x:v>2025-08-25T00:00:00.000Z</x:v>
      </x:c>
      <x:c r="B2682" s="12" t="n">
        <x:v>540.688513</x:v>
      </x:c>
      <x:c r="C2682" s="13" t="n">
        <x:v>244</x:v>
      </x:c>
      <x:c r="D2682" s="12" t="n">
        <x:v>156762.68</x:v>
      </x:c>
      <x:c r="E2682" s="12" t="n">
        <x:v>0</x:v>
      </x:c>
      <x:c r="F2682" s="12" t="n">
        <x:f>SUM(B2682,D2682:E2682)</x:f>
        <x:v>157303.368513</x:v>
      </x:c>
      <x:c r="G2682" s="12" t="n">
        <x:f>MAX(G2681,F2682)</x:f>
        <x:v>157996.328513</x:v>
      </x:c>
      <x:c r="H2682" s="14" t="n">
        <x:f>F2682/G2682-1</x:f>
        <x:v>-0.0043859247016805325</x:v>
      </x:c>
      <x:c r="I2682" s="14" t="n">
        <x:f>F2682/F2681-1</x:f>
        <x:v>-0.0043859247016805325</x:v>
      </x:c>
      <x:c r="J2682" s="12" t="n">
        <x:v>0</x:v>
      </x:c>
      <x:c r="K2682" s="12" t="n">
        <x:v>0</x:v>
      </x:c>
      <x:c r="L2682" s="12" t="n">
        <x:v>0</x:v>
      </x:c>
      <x:c r="M2682" s="2" t="str">
        <x:v>持有</x:v>
      </x:c>
    </x:row>
    <x:row r="2683" ht="23" customHeight="1">
      <x:c r="A2683" s="11" t="d">
        <x:v>2025-08-26T00:00:00.000Z</x:v>
      </x:c>
      <x:c r="B2683" s="12" t="n">
        <x:v>540.688513</x:v>
      </x:c>
      <x:c r="C2683" s="13" t="n">
        <x:v>244</x:v>
      </x:c>
      <x:c r="D2683" s="12" t="n">
        <x:v>157419.03999999998</x:v>
      </x:c>
      <x:c r="E2683" s="12" t="n">
        <x:v>0</x:v>
      </x:c>
      <x:c r="F2683" s="12" t="n">
        <x:f>SUM(B2683,D2683:E2683)</x:f>
        <x:v>157959.72851299998</x:v>
      </x:c>
      <x:c r="G2683" s="12" t="n">
        <x:f>MAX(G2682,F2683)</x:f>
        <x:v>157996.328513</x:v>
      </x:c>
      <x:c r="H2683" s="14" t="n">
        <x:f>F2683/G2683-1</x:f>
        <x:v>-0.00023165095255361923</x:v>
      </x:c>
      <x:c r="I2683" s="14" t="n">
        <x:f>F2683/F2682-1</x:f>
        <x:v>0.004172574346020808</x:v>
      </x:c>
      <x:c r="J2683" s="12" t="n">
        <x:v>0</x:v>
      </x:c>
      <x:c r="K2683" s="12" t="n">
        <x:v>0</x:v>
      </x:c>
      <x:c r="L2683" s="12" t="n">
        <x:v>0</x:v>
      </x:c>
      <x:c r="M2683" s="2" t="str">
        <x:v>持有</x:v>
      </x:c>
    </x:row>
    <x:row r="2684" ht="23" customHeight="1">
      <x:c r="A2684" s="11" t="d">
        <x:v>2025-08-27T00:00:00.000Z</x:v>
      </x:c>
      <x:c r="B2684" s="12" t="n">
        <x:v>540.688513</x:v>
      </x:c>
      <x:c r="C2684" s="13" t="n">
        <x:v>244</x:v>
      </x:c>
      <x:c r="D2684" s="12" t="n">
        <x:v>157777.72</x:v>
      </x:c>
      <x:c r="E2684" s="12" t="n">
        <x:v>0</x:v>
      </x:c>
      <x:c r="F2684" s="12" t="n">
        <x:f>SUM(B2684,D2684:E2684)</x:f>
        <x:v>158318.408513</x:v>
      </x:c>
      <x:c r="G2684" s="12" t="n">
        <x:f>MAX(G2683,F2684)</x:f>
        <x:v>158318.408513</x:v>
      </x:c>
      <x:c r="H2684" s="14" t="n">
        <x:f>F2684/G2684-1</x:f>
        <x:v>0</x:v>
      </x:c>
      <x:c r="I2684" s="14" t="n">
        <x:f>F2684/F2683-1</x:f>
        <x:v>0.0022707053460813142</x:v>
      </x:c>
      <x:c r="J2684" s="12" t="n">
        <x:v>0</x:v>
      </x:c>
      <x:c r="K2684" s="12" t="n">
        <x:v>0</x:v>
      </x:c>
      <x:c r="L2684" s="12" t="n">
        <x:v>0</x:v>
      </x:c>
      <x:c r="M2684" s="2" t="str">
        <x:v>持有</x:v>
      </x:c>
    </x:row>
    <x:row r="2685" ht="23" customHeight="1">
      <x:c r="A2685" s="11" t="d">
        <x:v>2025-08-28T00:00:00.000Z</x:v>
      </x:c>
      <x:c r="B2685" s="12" t="n">
        <x:v>540.688513</x:v>
      </x:c>
      <x:c r="C2685" s="13" t="n">
        <x:v>244</x:v>
      </x:c>
      <x:c r="D2685" s="12" t="n">
        <x:v>158336.47999999998</x:v>
      </x:c>
      <x:c r="E2685" s="12" t="n">
        <x:v>0</x:v>
      </x:c>
      <x:c r="F2685" s="12" t="n">
        <x:f>SUM(B2685,D2685:E2685)</x:f>
        <x:v>158877.16851299998</x:v>
      </x:c>
      <x:c r="G2685" s="12" t="n">
        <x:f>MAX(G2684,F2685)</x:f>
        <x:v>158877.16851299998</x:v>
      </x:c>
      <x:c r="H2685" s="14" t="n">
        <x:f>F2685/G2685-1</x:f>
        <x:v>0</x:v>
      </x:c>
      <x:c r="I2685" s="14" t="n">
        <x:f>F2685/F2684-1</x:f>
        <x:v>0.003529343209347058</x:v>
      </x:c>
      <x:c r="J2685" s="12" t="n">
        <x:v>0</x:v>
      </x:c>
      <x:c r="K2685" s="12" t="n">
        <x:v>0</x:v>
      </x:c>
      <x:c r="L2685" s="12" t="n">
        <x:v>0</x:v>
      </x:c>
      <x:c r="M2685" s="2" t="str">
        <x:v>持有</x:v>
      </x:c>
    </x:row>
    <x:row r="2686" ht="23" customHeight="1">
      <x:c r="A2686" s="11" t="d">
        <x:v>2025-08-29T00:00:00.000Z</x:v>
      </x:c>
      <x:c r="B2686" s="12" t="n">
        <x:v>540.688513</x:v>
      </x:c>
      <x:c r="C2686" s="13" t="n">
        <x:v>244</x:v>
      </x:c>
      <x:c r="D2686" s="12" t="n">
        <x:v>157392.19999999998</x:v>
      </x:c>
      <x:c r="E2686" s="12" t="n">
        <x:v>0</x:v>
      </x:c>
      <x:c r="F2686" s="12" t="n">
        <x:f>SUM(B2686,D2686:E2686)</x:f>
        <x:v>157932.88851299998</x:v>
      </x:c>
      <x:c r="G2686" s="12" t="n">
        <x:f>MAX(G2685,F2686)</x:f>
        <x:v>158877.16851299998</x:v>
      </x:c>
      <x:c r="H2686" s="14" t="n">
        <x:f>F2686/G2686-1</x:f>
        <x:v>-0.00594345939594676</x:v>
      </x:c>
      <x:c r="I2686" s="14" t="n">
        <x:f>F2686/F2685-1</x:f>
        <x:v>-0.00594345939594676</x:v>
      </x:c>
      <x:c r="J2686" s="12" t="n">
        <x:v>0</x:v>
      </x:c>
      <x:c r="K2686" s="12" t="n">
        <x:v>0</x:v>
      </x:c>
      <x:c r="L2686" s="12" t="n">
        <x:v>0</x:v>
      </x:c>
      <x:c r="M2686" s="2" t="str">
        <x:v>持有</x:v>
      </x:c>
    </x:row>
    <x:row r="2687" ht="23" customHeight="1">
      <x:c r="A2687" s="11" t="d">
        <x:v>2025-09-02T00:00:00.000Z</x:v>
      </x:c>
      <x:c r="B2687" s="12" t="n">
        <x:v>540.688513</x:v>
      </x:c>
      <x:c r="C2687" s="13" t="n">
        <x:v>244</x:v>
      </x:c>
      <x:c r="D2687" s="12" t="n">
        <x:v>156225.88</x:v>
      </x:c>
      <x:c r="E2687" s="12" t="n">
        <x:v>0</x:v>
      </x:c>
      <x:c r="F2687" s="12" t="n">
        <x:f>SUM(B2687,D2687:E2687)</x:f>
        <x:v>156766.568513</x:v>
      </x:c>
      <x:c r="G2687" s="12" t="n">
        <x:f>MAX(G2686,F2687)</x:f>
        <x:v>158877.16851299998</x:v>
      </x:c>
      <x:c r="H2687" s="14" t="n">
        <x:f>F2687/G2687-1</x:f>
        <x:v>-0.013284476427632752</x:v>
      </x:c>
      <x:c r="I2687" s="14" t="n">
        <x:f>F2687/F2686-1</x:f>
        <x:v>-0.007384908938102397</x:v>
      </x:c>
      <x:c r="J2687" s="12" t="n">
        <x:v>0</x:v>
      </x:c>
      <x:c r="K2687" s="12" t="n">
        <x:v>0</x:v>
      </x:c>
      <x:c r="L2687" s="12" t="n">
        <x:v>0</x:v>
      </x:c>
      <x:c r="M2687" s="2" t="str">
        <x:v>持有</x:v>
      </x:c>
    </x:row>
    <x:row r="2688" ht="23" customHeight="1">
      <x:c r="A2688" s="11" t="d">
        <x:v>2025-09-03T00:00:00.000Z</x:v>
      </x:c>
      <x:c r="B2688" s="12" t="n">
        <x:v>540.688513</x:v>
      </x:c>
      <x:c r="C2688" s="13" t="n">
        <x:v>244</x:v>
      </x:c>
      <x:c r="D2688" s="12" t="n">
        <x:v>157072.56</x:v>
      </x:c>
      <x:c r="E2688" s="12" t="n">
        <x:v>0</x:v>
      </x:c>
      <x:c r="F2688" s="12" t="n">
        <x:f>SUM(B2688,D2688:E2688)</x:f>
        <x:v>157613.248513</x:v>
      </x:c>
      <x:c r="G2688" s="12" t="n">
        <x:f>MAX(G2687,F2688)</x:f>
        <x:v>158877.16851299998</x:v>
      </x:c>
      <x:c r="H2688" s="14" t="n">
        <x:f>F2688/G2688-1</x:f>
        <x:v>-0.0079553280803627</x:v>
      </x:c>
      <x:c r="I2688" s="14" t="n">
        <x:f>F2688/F2687-1</x:f>
        <x:v>0.005400896428563451</x:v>
      </x:c>
      <x:c r="J2688" s="12" t="n">
        <x:v>0</x:v>
      </x:c>
      <x:c r="K2688" s="12" t="n">
        <x:v>0</x:v>
      </x:c>
      <x:c r="L2688" s="12" t="n">
        <x:v>0</x:v>
      </x:c>
      <x:c r="M2688" s="2" t="str">
        <x:v>持有</x:v>
      </x:c>
    </x:row>
    <x:row r="2689" ht="23" customHeight="1">
      <x:c r="A2689" s="11" t="d">
        <x:v>2025-09-04T00:00:00.000Z</x:v>
      </x:c>
      <x:c r="B2689" s="12" t="n">
        <x:v>540.688513</x:v>
      </x:c>
      <x:c r="C2689" s="13" t="n">
        <x:v>244</x:v>
      </x:c>
      <x:c r="D2689" s="12" t="n">
        <x:v>158385.28</x:v>
      </x:c>
      <x:c r="E2689" s="12" t="n">
        <x:v>0</x:v>
      </x:c>
      <x:c r="F2689" s="12" t="n">
        <x:f>SUM(B2689,D2689:E2689)</x:f>
        <x:v>158925.968513</x:v>
      </x:c>
      <x:c r="G2689" s="12" t="n">
        <x:f>MAX(G2688,F2689)</x:f>
        <x:v>158925.968513</x:v>
      </x:c>
      <x:c r="H2689" s="14" t="n">
        <x:f>F2689/G2689-1</x:f>
        <x:v>0</x:v>
      </x:c>
      <x:c r="I2689" s="14" t="n">
        <x:f>F2689/F2688-1</x:f>
        <x:v>0.008328741475636336</x:v>
      </x:c>
      <x:c r="J2689" s="12" t="n">
        <x:v>0</x:v>
      </x:c>
      <x:c r="K2689" s="12" t="n">
        <x:v>0</x:v>
      </x:c>
      <x:c r="L2689" s="12" t="n">
        <x:v>0</x:v>
      </x:c>
      <x:c r="M2689" s="2" t="str">
        <x:v>持有</x:v>
      </x:c>
    </x:row>
    <x:row r="2690" ht="23" customHeight="1">
      <x:c r="A2690" s="11" t="d">
        <x:v>2025-09-05T00:00:00.000Z</x:v>
      </x:c>
      <x:c r="B2690" s="12" t="n">
        <x:v>540.688513</x:v>
      </x:c>
      <x:c r="C2690" s="13" t="n">
        <x:v>244</x:v>
      </x:c>
      <x:c r="D2690" s="12" t="n">
        <x:v>157926.56</x:v>
      </x:c>
      <x:c r="E2690" s="12" t="n">
        <x:v>0</x:v>
      </x:c>
      <x:c r="F2690" s="12" t="n">
        <x:f>SUM(B2690,D2690:E2690)</x:f>
        <x:v>158467.248513</x:v>
      </x:c>
      <x:c r="G2690" s="12" t="n">
        <x:f>MAX(G2689,F2690)</x:f>
        <x:v>158925.968513</x:v>
      </x:c>
      <x:c r="H2690" s="14" t="n">
        <x:f>F2690/G2690-1</x:f>
        <x:v>-0.002886375362642357</x:v>
      </x:c>
      <x:c r="I2690" s="14" t="n">
        <x:f>F2690/F2689-1</x:f>
        <x:v>-0.002886375362642357</x:v>
      </x:c>
      <x:c r="J2690" s="12" t="n">
        <x:v>0</x:v>
      </x:c>
      <x:c r="K2690" s="12" t="n">
        <x:v>0</x:v>
      </x:c>
      <x:c r="L2690" s="12" t="n">
        <x:v>0</x:v>
      </x:c>
      <x:c r="M2690" s="2" t="str">
        <x:v>持有</x:v>
      </x:c>
    </x:row>
    <x:row r="2691" ht="23" customHeight="1">
      <x:c r="A2691" s="11" t="d">
        <x:v>2025-09-08T00:00:00.000Z</x:v>
      </x:c>
      <x:c r="B2691" s="12" t="n">
        <x:v>540.688513</x:v>
      </x:c>
      <x:c r="C2691" s="13" t="n">
        <x:v>244</x:v>
      </x:c>
      <x:c r="D2691" s="12" t="n">
        <x:v>158314.52000000002</x:v>
      </x:c>
      <x:c r="E2691" s="12" t="n">
        <x:v>0</x:v>
      </x:c>
      <x:c r="F2691" s="12" t="n">
        <x:f>SUM(B2691,D2691:E2691)</x:f>
        <x:v>158855.20851300002</x:v>
      </x:c>
      <x:c r="G2691" s="12" t="n">
        <x:f>MAX(G2690,F2691)</x:f>
        <x:v>158925.968513</x:v>
      </x:c>
      <x:c r="H2691" s="14" t="n">
        <x:f>F2691/G2691-1</x:f>
        <x:v>-0.000445238752747934</x:v>
      </x:c>
      <x:c r="I2691" s="14" t="n">
        <x:f>F2691/F2690-1</x:f>
        <x:v>0.0024482030428401025</x:v>
      </x:c>
      <x:c r="J2691" s="12" t="n">
        <x:v>0</x:v>
      </x:c>
      <x:c r="K2691" s="12" t="n">
        <x:v>0</x:v>
      </x:c>
      <x:c r="L2691" s="12" t="n">
        <x:v>0</x:v>
      </x:c>
      <x:c r="M2691" s="2" t="str">
        <x:v>持有</x:v>
      </x:c>
    </x:row>
    <x:row r="2692" ht="23" customHeight="1">
      <x:c r="A2692" s="11" t="d">
        <x:v>2025-09-09T00:00:00.000Z</x:v>
      </x:c>
      <x:c r="B2692" s="12" t="n">
        <x:v>540.688513</x:v>
      </x:c>
      <x:c r="C2692" s="13" t="n">
        <x:v>244</x:v>
      </x:c>
      <x:c r="D2692" s="12" t="n">
        <x:v>158680.52000000002</x:v>
      </x:c>
      <x:c r="E2692" s="12" t="n">
        <x:v>0</x:v>
      </x:c>
      <x:c r="F2692" s="12" t="n">
        <x:f>SUM(B2692,D2692:E2692)</x:f>
        <x:v>159221.20851300002</x:v>
      </x:c>
      <x:c r="G2692" s="12" t="n">
        <x:f>MAX(G2691,F2692)</x:f>
        <x:v>159221.20851300002</x:v>
      </x:c>
      <x:c r="H2692" s="14" t="n">
        <x:f>F2692/G2692-1</x:f>
        <x:v>0</x:v>
      </x:c>
      <x:c r="I2692" s="14" t="n">
        <x:f>F2692/F2691-1</x:f>
        <x:v>0.0023039848892965065</x:v>
      </x:c>
      <x:c r="J2692" s="12" t="n">
        <x:v>0</x:v>
      </x:c>
      <x:c r="K2692" s="12" t="n">
        <x:v>0</x:v>
      </x:c>
      <x:c r="L2692" s="12" t="n">
        <x:v>0</x:v>
      </x:c>
      <x:c r="M2692" s="2" t="str">
        <x:v>持有</x:v>
      </x:c>
    </x:row>
    <x:row r="2693" ht="23" customHeight="1">
      <x:c r="A2693" s="11" t="d">
        <x:v>2025-09-10T00:00:00.000Z</x:v>
      </x:c>
      <x:c r="B2693" s="12" t="n">
        <x:v>540.688513</x:v>
      </x:c>
      <x:c r="C2693" s="13" t="n">
        <x:v>244</x:v>
      </x:c>
      <x:c r="D2693" s="12" t="n">
        <x:v>159139.24000000002</x:v>
      </x:c>
      <x:c r="E2693" s="12" t="n">
        <x:v>0</x:v>
      </x:c>
      <x:c r="F2693" s="12" t="n">
        <x:f>SUM(B2693,D2693:E2693)</x:f>
        <x:v>159679.92851300002</x:v>
      </x:c>
      <x:c r="G2693" s="12" t="n">
        <x:f>MAX(G2692,F2693)</x:f>
        <x:v>159679.92851300002</x:v>
      </x:c>
      <x:c r="H2693" s="14" t="n">
        <x:f>F2693/G2693-1</x:f>
        <x:v>0</x:v>
      </x:c>
      <x:c r="I2693" s="14" t="n">
        <x:f>F2693/F2692-1</x:f>
        <x:v>0.0028810232272702407</x:v>
      </x:c>
      <x:c r="J2693" s="12" t="n">
        <x:v>0</x:v>
      </x:c>
      <x:c r="K2693" s="12" t="n">
        <x:v>0</x:v>
      </x:c>
      <x:c r="L2693" s="12" t="n">
        <x:v>0</x:v>
      </x:c>
      <x:c r="M2693" s="2" t="str">
        <x:v>持有</x:v>
      </x:c>
    </x:row>
    <x:row r="2694" ht="23" customHeight="1">
      <x:c r="A2694" s="11" t="d">
        <x:v>2025-09-11T00:00:00.000Z</x:v>
      </x:c>
      <x:c r="B2694" s="12" t="n">
        <x:v>540.688513</x:v>
      </x:c>
      <x:c r="C2694" s="13" t="n">
        <x:v>244</x:v>
      </x:c>
      <x:c r="D2694" s="12" t="n">
        <x:v>160461.72</x:v>
      </x:c>
      <x:c r="E2694" s="12" t="n">
        <x:v>0</x:v>
      </x:c>
      <x:c r="F2694" s="12" t="n">
        <x:f>SUM(B2694,D2694:E2694)</x:f>
        <x:v>161002.408513</x:v>
      </x:c>
      <x:c r="G2694" s="12" t="n">
        <x:f>MAX(G2693,F2694)</x:f>
        <x:v>161002.408513</x:v>
      </x:c>
      <x:c r="H2694" s="14" t="n">
        <x:f>F2694/G2694-1</x:f>
        <x:v>0</x:v>
      </x:c>
      <x:c r="I2694" s="14" t="n">
        <x:f>F2694/F2693-1</x:f>
        <x:v>0.008282067836048235</x:v>
      </x:c>
      <x:c r="J2694" s="12" t="n">
        <x:v>0</x:v>
      </x:c>
      <x:c r="K2694" s="12" t="n">
        <x:v>0</x:v>
      </x:c>
      <x:c r="L2694" s="12" t="n">
        <x:v>0</x:v>
      </x:c>
      <x:c r="M2694" s="2" t="str">
        <x:v>持有</x:v>
      </x:c>
    </x:row>
    <x:row r="2695" ht="23" customHeight="1">
      <x:c r="A2695" s="11" t="d">
        <x:v>2025-09-12T00:00:00.000Z</x:v>
      </x:c>
      <x:c r="B2695" s="12" t="n">
        <x:v>540.688513</x:v>
      </x:c>
      <x:c r="C2695" s="13" t="n">
        <x:v>244</x:v>
      </x:c>
      <x:c r="D2695" s="12" t="n">
        <x:v>160408.03999999998</x:v>
      </x:c>
      <x:c r="E2695" s="12" t="n">
        <x:v>0</x:v>
      </x:c>
      <x:c r="F2695" s="12" t="n">
        <x:f>SUM(B2695,D2695:E2695)</x:f>
        <x:v>160948.72851299998</x:v>
      </x:c>
      <x:c r="G2695" s="12" t="n">
        <x:f>MAX(G2694,F2695)</x:f>
        <x:v>161002.408513</x:v>
      </x:c>
      <x:c r="H2695" s="14" t="n">
        <x:f>F2695/G2695-1</x:f>
        <x:v>-0.00033341116133478454</x:v>
      </x:c>
      <x:c r="I2695" s="14" t="n">
        <x:f>F2695/F2694-1</x:f>
        <x:v>-0.00033341116133478454</x:v>
      </x:c>
      <x:c r="J2695" s="12" t="n">
        <x:v>0</x:v>
      </x:c>
      <x:c r="K2695" s="12" t="n">
        <x:v>0</x:v>
      </x:c>
      <x:c r="L2695" s="12" t="n">
        <x:v>0</x:v>
      </x:c>
      <x:c r="M2695" s="2" t="str">
        <x:v>持有</x:v>
      </x:c>
    </x:row>
    <x:row r="2696" ht="23" customHeight="1">
      <x:c r="A2696" s="11" t="d">
        <x:v>2025-09-15T00:00:00.000Z</x:v>
      </x:c>
      <x:c r="B2696" s="12" t="n">
        <x:v>540.688513</x:v>
      </x:c>
      <x:c r="C2696" s="13" t="n">
        <x:v>244</x:v>
      </x:c>
      <x:c r="D2696" s="12" t="n">
        <x:v>161262.03999999998</x:v>
      </x:c>
      <x:c r="E2696" s="12" t="n">
        <x:v>0</x:v>
      </x:c>
      <x:c r="F2696" s="12" t="n">
        <x:f>SUM(B2696,D2696:E2696)</x:f>
        <x:v>161802.72851299998</x:v>
      </x:c>
      <x:c r="G2696" s="12" t="n">
        <x:f>MAX(G2695,F2696)</x:f>
        <x:v>161802.72851299998</x:v>
      </x:c>
      <x:c r="H2696" s="14" t="n">
        <x:f>F2696/G2696-1</x:f>
        <x:v>0</x:v>
      </x:c>
      <x:c r="I2696" s="14" t="n">
        <x:f>F2696/F2695-1</x:f>
        <x:v>0.00530603756792658</x:v>
      </x:c>
      <x:c r="J2696" s="12" t="n">
        <x:v>0</x:v>
      </x:c>
      <x:c r="K2696" s="12" t="n">
        <x:v>0</x:v>
      </x:c>
      <x:c r="L2696" s="12" t="n">
        <x:v>0</x:v>
      </x:c>
      <x:c r="M2696" s="2" t="str">
        <x:v>持有</x:v>
      </x:c>
    </x:row>
    <x:row r="2697" ht="23" customHeight="1">
      <x:c r="A2697" s="11" t="d">
        <x:v>2025-09-16T00:00:00.000Z</x:v>
      </x:c>
      <x:c r="B2697" s="12" t="n">
        <x:v>540.688513</x:v>
      </x:c>
      <x:c r="C2697" s="13" t="n">
        <x:v>244</x:v>
      </x:c>
      <x:c r="D2697" s="12" t="n">
        <x:v>161040</x:v>
      </x:c>
      <x:c r="E2697" s="12" t="n">
        <x:v>0</x:v>
      </x:c>
      <x:c r="F2697" s="12" t="n">
        <x:f>SUM(B2697,D2697:E2697)</x:f>
        <x:v>161580.688513</x:v>
      </x:c>
      <x:c r="G2697" s="12" t="n">
        <x:f>MAX(G2696,F2697)</x:f>
        <x:v>161802.72851299998</x:v>
      </x:c>
      <x:c r="H2697" s="14" t="n">
        <x:f>F2697/G2697-1</x:f>
        <x:v>-0.0013722883540998598</x:v>
      </x:c>
      <x:c r="I2697" s="14" t="n">
        <x:f>F2697/F2696-1</x:f>
        <x:v>-0.0013722883540998598</x:v>
      </x:c>
      <x:c r="J2697" s="12" t="n">
        <x:v>0</x:v>
      </x:c>
      <x:c r="K2697" s="12" t="n">
        <x:v>0</x:v>
      </x:c>
      <x:c r="L2697" s="12" t="n">
        <x:v>0</x:v>
      </x:c>
      <x:c r="M2697" s="2" t="str">
        <x:v>持有</x:v>
      </x:c>
    </x:row>
    <x:row r="2698" ht="23" customHeight="1">
      <x:c r="A2698" s="11" t="d">
        <x:v>2025-09-17T00:00:00.000Z</x:v>
      </x:c>
      <x:c r="B2698" s="12" t="n">
        <x:v>540.688513</x:v>
      </x:c>
      <x:c r="C2698" s="13" t="n">
        <x:v>244</x:v>
      </x:c>
      <x:c r="D2698" s="12" t="n">
        <x:v>160839.91999999998</x:v>
      </x:c>
      <x:c r="E2698" s="12" t="n">
        <x:v>0</x:v>
      </x:c>
      <x:c r="F2698" s="12" t="n">
        <x:f>SUM(B2698,D2698:E2698)</x:f>
        <x:v>161380.60851299998</x:v>
      </x:c>
      <x:c r="G2698" s="12" t="n">
        <x:f>MAX(G2697,F2698)</x:f>
        <x:v>161802.72851299998</x:v>
      </x:c>
      <x:c r="H2698" s="14" t="n">
        <x:f>F2698/G2698-1</x:f>
        <x:v>-0.002608855881970351</x:v>
      </x:c>
      <x:c r="I2698" s="14" t="n">
        <x:f>F2698/F2697-1</x:f>
        <x:v>-0.0012382667869614838</x:v>
      </x:c>
      <x:c r="J2698" s="12" t="n">
        <x:v>0</x:v>
      </x:c>
      <x:c r="K2698" s="12" t="n">
        <x:v>0</x:v>
      </x:c>
      <x:c r="L2698" s="12" t="n">
        <x:v>0</x:v>
      </x:c>
      <x:c r="M2698" s="2" t="str">
        <x:v>持有</x:v>
      </x:c>
    </x:row>
    <x:row r="2699" ht="23" customHeight="1">
      <x:c r="A2699" s="11" t="d">
        <x:v>2025-09-18T00:00:00.000Z</x:v>
      </x:c>
      <x:c r="B2699" s="12" t="n">
        <x:v>540.688513</x:v>
      </x:c>
      <x:c r="C2699" s="13" t="n">
        <x:v>244</x:v>
      </x:c>
      <x:c r="D2699" s="12" t="n">
        <x:v>161591.44</x:v>
      </x:c>
      <x:c r="E2699" s="12" t="n">
        <x:v>0</x:v>
      </x:c>
      <x:c r="F2699" s="12" t="n">
        <x:f>SUM(B2699,D2699:E2699)</x:f>
        <x:v>162132.128513</x:v>
      </x:c>
      <x:c r="G2699" s="12" t="n">
        <x:f>MAX(G2698,F2699)</x:f>
        <x:v>162132.128513</x:v>
      </x:c>
      <x:c r="H2699" s="14" t="n">
        <x:f>F2699/G2699-1</x:f>
        <x:v>0</x:v>
      </x:c>
      <x:c r="I2699" s="14" t="n">
        <x:f>F2699/F2698-1</x:f>
        <x:v>0.004656817240464628</x:v>
      </x:c>
      <x:c r="J2699" s="12" t="n">
        <x:v>0</x:v>
      </x:c>
      <x:c r="K2699" s="12" t="n">
        <x:v>0</x:v>
      </x:c>
      <x:c r="L2699" s="12" t="n">
        <x:v>0</x:v>
      </x:c>
      <x:c r="M2699" s="2" t="str">
        <x:v>持有</x:v>
      </x:c>
    </x:row>
    <x:row r="2700" ht="23" customHeight="1">
      <x:c r="A2700" s="11" t="d">
        <x:v>2025-09-19T00:00:00.000Z</x:v>
      </x:c>
      <x:c r="B2700" s="12" t="n">
        <x:v>540.688513</x:v>
      </x:c>
      <x:c r="C2700" s="13" t="n">
        <x:v>244</x:v>
      </x:c>
      <x:c r="D2700" s="12" t="n">
        <x:v>161942.80000000002</x:v>
      </x:c>
      <x:c r="E2700" s="12" t="n">
        <x:v>446.791816</x:v>
      </x:c>
      <x:c r="F2700" s="12" t="n">
        <x:f>SUM(B2700,D2700:E2700)</x:f>
        <x:v>162930.28032900003</x:v>
      </x:c>
      <x:c r="G2700" s="12" t="n">
        <x:f>MAX(G2699,F2700)</x:f>
        <x:v>162930.28032900003</x:v>
      </x:c>
      <x:c r="H2700" s="14" t="n">
        <x:f>F2700/G2700-1</x:f>
        <x:v>0</x:v>
      </x:c>
      <x:c r="I2700" s="14" t="n">
        <x:f>F2700/F2699-1</x:f>
        <x:v>0.004922847947043563</x:v>
      </x:c>
      <x:c r="J2700" s="12" t="n">
        <x:v>446.791816</x:v>
      </x:c>
      <x:c r="K2700" s="12" t="n">
        <x:v>0</x:v>
      </x:c>
      <x:c r="L2700" s="12" t="n">
        <x:v>0</x:v>
      </x:c>
      <x:c r="M2700" s="2" t="str">
        <x:v>持有</x:v>
      </x:c>
    </x:row>
    <x:row r="2701" ht="23" customHeight="1">
      <x:c r="A2701" s="11" t="d">
        <x:v>2025-09-22T00:00:00.000Z</x:v>
      </x:c>
      <x:c r="B2701" s="12" t="n">
        <x:v>540.688513</x:v>
      </x:c>
      <x:c r="C2701" s="13" t="n">
        <x:v>244</x:v>
      </x:c>
      <x:c r="D2701" s="12" t="n">
        <x:v>162708.96000000002</x:v>
      </x:c>
      <x:c r="E2701" s="12" t="n">
        <x:v>446.791816</x:v>
      </x:c>
      <x:c r="F2701" s="12" t="n">
        <x:f>SUM(B2701,D2701:E2701)</x:f>
        <x:v>163696.44032900003</x:v>
      </x:c>
      <x:c r="G2701" s="12" t="n">
        <x:f>MAX(G2700,F2701)</x:f>
        <x:v>163696.44032900003</x:v>
      </x:c>
      <x:c r="H2701" s="14" t="n">
        <x:f>F2701/G2701-1</x:f>
        <x:v>0</x:v>
      </x:c>
      <x:c r="I2701" s="14" t="n">
        <x:f>F2701/F2700-1</x:f>
        <x:v>0.004702379437713677</x:v>
      </x:c>
      <x:c r="J2701" s="12" t="n">
        <x:v>0</x:v>
      </x:c>
      <x:c r="K2701" s="12" t="n">
        <x:v>0</x:v>
      </x:c>
      <x:c r="L2701" s="12" t="n">
        <x:v>0</x:v>
      </x:c>
      <x:c r="M2701" s="2" t="str">
        <x:v>持有</x:v>
      </x:c>
    </x:row>
    <x:row r="2702" ht="23" customHeight="1">
      <x:c r="A2702" s="11" t="d">
        <x:v>2025-09-23T00:00:00.000Z</x:v>
      </x:c>
      <x:c r="B2702" s="12" t="n">
        <x:v>540.688513</x:v>
      </x:c>
      <x:c r="C2702" s="13" t="n">
        <x:v>244</x:v>
      </x:c>
      <x:c r="D2702" s="12" t="n">
        <x:v>161823.24000000002</x:v>
      </x:c>
      <x:c r="E2702" s="12" t="n">
        <x:v>446.791816</x:v>
      </x:c>
      <x:c r="F2702" s="12" t="n">
        <x:f>SUM(B2702,D2702:E2702)</x:f>
        <x:v>162810.72032900003</x:v>
      </x:c>
      <x:c r="G2702" s="12" t="n">
        <x:f>MAX(G2701,F2702)</x:f>
        <x:v>163696.44032900003</x:v>
      </x:c>
      <x:c r="H2702" s="14" t="n">
        <x:f>F2702/G2702-1</x:f>
        <x:v>-0.00541074685692533</x:v>
      </x:c>
      <x:c r="I2702" s="14" t="n">
        <x:f>F2702/F2701-1</x:f>
        <x:v>-0.00541074685692533</x:v>
      </x:c>
      <x:c r="J2702" s="12" t="n">
        <x:v>0</x:v>
      </x:c>
      <x:c r="K2702" s="12" t="n">
        <x:v>0</x:v>
      </x:c>
      <x:c r="L2702" s="12" t="n">
        <x:v>0</x:v>
      </x:c>
      <x:c r="M2702" s="2" t="str">
        <x:v>持有</x:v>
      </x:c>
    </x:row>
    <x:row r="2703" ht="23" customHeight="1">
      <x:c r="A2703" s="11" t="d">
        <x:v>2025-09-24T00:00:00.000Z</x:v>
      </x:c>
      <x:c r="B2703" s="12" t="n">
        <x:v>540.688513</x:v>
      </x:c>
      <x:c r="C2703" s="13" t="n">
        <x:v>244</x:v>
      </x:c>
      <x:c r="D2703" s="12" t="n">
        <x:v>161308.4</x:v>
      </x:c>
      <x:c r="E2703" s="12" t="n">
        <x:v>446.791816</x:v>
      </x:c>
      <x:c r="F2703" s="12" t="n">
        <x:f>SUM(B2703,D2703:E2703)</x:f>
        <x:v>162295.880329</x:v>
      </x:c>
      <x:c r="G2703" s="12" t="n">
        <x:f>MAX(G2702,F2703)</x:f>
        <x:v>163696.44032900003</x:v>
      </x:c>
      <x:c r="H2703" s="14" t="n">
        <x:f>F2703/G2703-1</x:f>
        <x:v>-0.008555836627755387</x:v>
      </x:c>
      <x:c r="I2703" s="14" t="n">
        <x:f>F2703/F2702-1</x:f>
        <x:v>-0.00316219963255282</x:v>
      </x:c>
      <x:c r="J2703" s="12" t="n">
        <x:v>0</x:v>
      </x:c>
      <x:c r="K2703" s="12" t="n">
        <x:v>0</x:v>
      </x:c>
      <x:c r="L2703" s="12" t="n">
        <x:v>0</x:v>
      </x:c>
      <x:c r="M2703" s="2" t="str">
        <x:v>持有</x:v>
      </x:c>
    </x:row>
    <x:row r="2704" ht="23" customHeight="1">
      <x:c r="A2704" s="11" t="d">
        <x:v>2025-09-25T00:00:00.000Z</x:v>
      </x:c>
      <x:c r="B2704" s="12" t="n">
        <x:v>540.688513</x:v>
      </x:c>
      <x:c r="C2704" s="13" t="n">
        <x:v>244</x:v>
      </x:c>
      <x:c r="D2704" s="12" t="n">
        <x:v>160564.19999999998</x:v>
      </x:c>
      <x:c r="E2704" s="12" t="n">
        <x:v>446.791816</x:v>
      </x:c>
      <x:c r="F2704" s="12" t="n">
        <x:f>SUM(B2704,D2704:E2704)</x:f>
        <x:v>161551.680329</x:v>
      </x:c>
      <x:c r="G2704" s="12" t="n">
        <x:f>MAX(G2703,F2704)</x:f>
        <x:v>163696.44032900003</x:v>
      </x:c>
      <x:c r="H2704" s="14" t="n">
        <x:f>F2704/G2704-1</x:f>
        <x:v>-0.013102056438670684</x:v>
      </x:c>
      <x:c r="I2704" s="14" t="n">
        <x:f>F2704/F2703-1</x:f>
        <x:v>-0.004585452190723482</x:v>
      </x:c>
      <x:c r="J2704" s="12" t="n">
        <x:v>0</x:v>
      </x:c>
      <x:c r="K2704" s="12" t="n">
        <x:v>0</x:v>
      </x:c>
      <x:c r="L2704" s="12" t="n">
        <x:v>0</x:v>
      </x:c>
      <x:c r="M2704" s="2" t="str">
        <x:v>持有</x:v>
      </x:c>
    </x:row>
    <x:row r="2705" ht="23" customHeight="1">
      <x:c r="A2705" s="11" t="d">
        <x:v>2025-09-26T00:00:00.000Z</x:v>
      </x:c>
      <x:c r="B2705" s="12" t="n">
        <x:v>540.688513</x:v>
      </x:c>
      <x:c r="C2705" s="13" t="n">
        <x:v>244</x:v>
      </x:c>
      <x:c r="D2705" s="12" t="n">
        <x:v>161484.08000000002</x:v>
      </x:c>
      <x:c r="E2705" s="12" t="n">
        <x:v>446.791816</x:v>
      </x:c>
      <x:c r="F2705" s="12" t="n">
        <x:f>SUM(B2705,D2705:E2705)</x:f>
        <x:v>162471.56032900003</x:v>
      </x:c>
      <x:c r="G2705" s="12" t="n">
        <x:f>MAX(G2704,F2705)</x:f>
        <x:v>163696.44032900003</x:v>
      </x:c>
      <x:c r="H2705" s="14" t="n">
        <x:f>F2705/G2705-1</x:f>
        <x:v>-0.007482630639604748</x:v>
      </x:c>
      <x:c r="I2705" s="14" t="n">
        <x:f>F2705/F2704-1</x:f>
        <x:v>0.005694029292215852</x:v>
      </x:c>
      <x:c r="J2705" s="12" t="n">
        <x:v>0</x:v>
      </x:c>
      <x:c r="K2705" s="12" t="n">
        <x:v>0</x:v>
      </x:c>
      <x:c r="L2705" s="12" t="n">
        <x:v>0</x:v>
      </x:c>
      <x:c r="M2705" s="2" t="str">
        <x:v>持有</x:v>
      </x:c>
    </x:row>
    <x:row r="2706" ht="23" customHeight="1">
      <x:c r="A2706" s="11" t="d">
        <x:v>2025-09-29T00:00:00.000Z</x:v>
      </x:c>
      <x:c r="B2706" s="12" t="n">
        <x:v>540.688513</x:v>
      </x:c>
      <x:c r="C2706" s="13" t="n">
        <x:v>244</x:v>
      </x:c>
      <x:c r="D2706" s="12" t="n">
        <x:v>161937.91999999998</x:v>
      </x:c>
      <x:c r="E2706" s="12" t="n">
        <x:v>446.791816</x:v>
      </x:c>
      <x:c r="F2706" s="12" t="n">
        <x:f>SUM(B2706,D2706:E2706)</x:f>
        <x:v>162925.400329</x:v>
      </x:c>
      <x:c r="G2706" s="12" t="n">
        <x:f>MAX(G2705,F2706)</x:f>
        <x:v>163696.44032900003</x:v>
      </x:c>
      <x:c r="H2706" s="14" t="n">
        <x:f>F2706/G2706-1</x:f>
        <x:v>-0.004710181836882876</x:v>
      </x:c>
      <x:c r="I2706" s="14" t="n">
        <x:f>F2706/F2705-1</x:f>
        <x:v>0.002793350412102713</x:v>
      </x:c>
      <x:c r="J2706" s="12" t="n">
        <x:v>0</x:v>
      </x:c>
      <x:c r="K2706" s="12" t="n">
        <x:v>0</x:v>
      </x:c>
      <x:c r="L2706" s="12" t="n">
        <x:v>0</x:v>
      </x:c>
      <x:c r="M2706" s="2" t="str">
        <x:v>持有</x:v>
      </x:c>
    </x:row>
    <x:row r="2707" ht="23" customHeight="1">
      <x:c r="A2707" s="11" t="d">
        <x:v>2025-09-30T00:00:00.000Z</x:v>
      </x:c>
      <x:c r="B2707" s="12" t="n">
        <x:v>540.688513</x:v>
      </x:c>
      <x:c r="C2707" s="13" t="n">
        <x:v>244</x:v>
      </x:c>
      <x:c r="D2707" s="12" t="n">
        <x:v>162547.91999999998</x:v>
      </x:c>
      <x:c r="E2707" s="12" t="n">
        <x:v>446.791816</x:v>
      </x:c>
      <x:c r="F2707" s="12" t="n">
        <x:f>SUM(B2707,D2707:E2707)</x:f>
        <x:v>163535.400329</x:v>
      </x:c>
      <x:c r="G2707" s="12" t="n">
        <x:f>MAX(G2706,F2707)</x:f>
        <x:v>163696.44032900003</x:v>
      </x:c>
      <x:c r="H2707" s="14" t="n">
        <x:f>F2707/G2707-1</x:f>
        <x:v>-0.0009837721558048074</x:v>
      </x:c>
      <x:c r="I2707" s="14" t="n">
        <x:f>F2707/F2706-1</x:f>
        <x:v>0.0037440448129524295</x:v>
      </x:c>
      <x:c r="J2707" s="12" t="n">
        <x:v>0</x:v>
      </x:c>
      <x:c r="K2707" s="12" t="n">
        <x:v>0</x:v>
      </x:c>
      <x:c r="L2707" s="12" t="n">
        <x:v>0</x:v>
      </x:c>
      <x:c r="M2707" s="2" t="str">
        <x:v>持有</x:v>
      </x:c>
    </x:row>
    <x:row r="2708" ht="23" customHeight="1">
      <x:c r="A2708" s="11" t="d">
        <x:v>2025-10-01T00:00:00.000Z</x:v>
      </x:c>
      <x:c r="B2708" s="12" t="n">
        <x:v>540.688513</x:v>
      </x:c>
      <x:c r="C2708" s="13" t="n">
        <x:v>244</x:v>
      </x:c>
      <x:c r="D2708" s="12" t="n">
        <x:v>163101.80000000002</x:v>
      </x:c>
      <x:c r="E2708" s="12" t="n">
        <x:v>446.791816</x:v>
      </x:c>
      <x:c r="F2708" s="12" t="n">
        <x:f>SUM(B2708,D2708:E2708)</x:f>
        <x:v>164089.28032900003</x:v>
      </x:c>
      <x:c r="G2708" s="12" t="n">
        <x:f>MAX(G2707,F2708)</x:f>
        <x:v>164089.28032900003</x:v>
      </x:c>
      <x:c r="H2708" s="14" t="n">
        <x:f>F2708/G2708-1</x:f>
        <x:v>0</x:v>
      </x:c>
      <x:c r="I2708" s="14" t="n">
        <x:f>F2708/F2707-1</x:f>
        <x:v>0.0033869119400797842</x:v>
      </x:c>
      <x:c r="J2708" s="12" t="n">
        <x:v>0</x:v>
      </x:c>
      <x:c r="K2708" s="12" t="n">
        <x:v>0</x:v>
      </x:c>
      <x:c r="L2708" s="12" t="n">
        <x:v>0</x:v>
      </x:c>
      <x:c r="M2708" s="2" t="str">
        <x:v>持有</x:v>
      </x:c>
    </x:row>
    <x:row r="2709" ht="23" customHeight="1">
      <x:c r="A2709" s="11" t="d">
        <x:v>2025-10-02T00:00:00.000Z</x:v>
      </x:c>
      <x:c r="B2709" s="12" t="n">
        <x:v>540.688513</x:v>
      </x:c>
      <x:c r="C2709" s="13" t="n">
        <x:v>244</x:v>
      </x:c>
      <x:c r="D2709" s="12" t="n">
        <x:v>163289.68</x:v>
      </x:c>
      <x:c r="E2709" s="12" t="n">
        <x:v>446.791816</x:v>
      </x:c>
      <x:c r="F2709" s="12" t="n">
        <x:f>SUM(B2709,D2709:E2709)</x:f>
        <x:v>164277.160329</x:v>
      </x:c>
      <x:c r="G2709" s="12" t="n">
        <x:f>MAX(G2708,F2709)</x:f>
        <x:v>164277.160329</x:v>
      </x:c>
      <x:c r="H2709" s="14" t="n">
        <x:f>F2709/G2709-1</x:f>
        <x:v>0</x:v>
      </x:c>
      <x:c r="I2709" s="14" t="n">
        <x:f>F2709/F2708-1</x:f>
        <x:v>0.0011449864343562322</x:v>
      </x:c>
      <x:c r="J2709" s="12" t="n">
        <x:v>0</x:v>
      </x:c>
      <x:c r="K2709" s="12" t="n">
        <x:v>0</x:v>
      </x:c>
      <x:c r="L2709" s="12" t="n">
        <x:v>0</x:v>
      </x:c>
      <x:c r="M2709" s="2" t="str">
        <x:v>持有</x:v>
      </x:c>
    </x:row>
    <x:row r="2710" ht="23" customHeight="1">
      <x:c r="A2710" s="11" t="d">
        <x:v>2025-10-03T00:00:00.000Z</x:v>
      </x:c>
      <x:c r="B2710" s="12" t="n">
        <x:v>540.688513</x:v>
      </x:c>
      <x:c r="C2710" s="13" t="n">
        <x:v>244</x:v>
      </x:c>
      <x:c r="D2710" s="12" t="n">
        <x:v>163287.24000000002</x:v>
      </x:c>
      <x:c r="E2710" s="12" t="n">
        <x:v>446.791816</x:v>
      </x:c>
      <x:c r="F2710" s="12" t="n">
        <x:f>SUM(B2710,D2710:E2710)</x:f>
        <x:v>164274.72032900003</x:v>
      </x:c>
      <x:c r="G2710" s="12" t="n">
        <x:f>MAX(G2709,F2710)</x:f>
        <x:v>164277.160329</x:v>
      </x:c>
      <x:c r="H2710" s="14" t="n">
        <x:f>F2710/G2710-1</x:f>
        <x:v>-0.000014852947269661243</x:v>
      </x:c>
      <x:c r="I2710" s="14" t="n">
        <x:f>F2710/F2709-1</x:f>
        <x:v>-0.000014852947269661243</x:v>
      </x:c>
      <x:c r="J2710" s="12" t="n">
        <x:v>0</x:v>
      </x:c>
      <x:c r="K2710" s="12" t="n">
        <x:v>0</x:v>
      </x:c>
      <x:c r="L2710" s="12" t="n">
        <x:v>0</x:v>
      </x:c>
      <x:c r="M2710" s="2" t="str">
        <x:v>持有</x:v>
      </x:c>
    </x:row>
    <x:row r="2711" ht="23" customHeight="1">
      <x:c r="A2711" s="11" t="d">
        <x:v>2025-10-06T00:00:00.000Z</x:v>
      </x:c>
      <x:c r="B2711" s="12" t="n">
        <x:v>540.688513</x:v>
      </x:c>
      <x:c r="C2711" s="13" t="n">
        <x:v>244</x:v>
      </x:c>
      <x:c r="D2711" s="12" t="n">
        <x:v>163872.84</x:v>
      </x:c>
      <x:c r="E2711" s="12" t="n">
        <x:v>446.791816</x:v>
      </x:c>
      <x:c r="F2711" s="12" t="n">
        <x:f>SUM(B2711,D2711:E2711)</x:f>
        <x:v>164860.320329</x:v>
      </x:c>
      <x:c r="G2711" s="12" t="n">
        <x:f>MAX(G2710,F2711)</x:f>
        <x:v>164860.320329</x:v>
      </x:c>
      <x:c r="H2711" s="14" t="n">
        <x:f>F2711/G2711-1</x:f>
        <x:v>0</x:v>
      </x:c>
      <x:c r="I2711" s="14" t="n">
        <x:f>F2711/F2710-1</x:f>
        <x:v>0.0035647602919497423</x:v>
      </x:c>
      <x:c r="J2711" s="12" t="n">
        <x:v>0</x:v>
      </x:c>
      <x:c r="K2711" s="12" t="n">
        <x:v>0</x:v>
      </x:c>
      <x:c r="L2711" s="12" t="n">
        <x:v>0</x:v>
      </x:c>
      <x:c r="M2711" s="2" t="str">
        <x:v>持有</x:v>
      </x:c>
    </x:row>
    <x:row r="2712" ht="23" customHeight="1">
      <x:c r="A2712" s="11" t="d">
        <x:v>2025-10-07T00:00:00.000Z</x:v>
      </x:c>
      <x:c r="B2712" s="12" t="n">
        <x:v>540.688513</x:v>
      </x:c>
      <x:c r="C2712" s="13" t="n">
        <x:v>244</x:v>
      </x:c>
      <x:c r="D2712" s="12" t="n">
        <x:v>163265.28</x:v>
      </x:c>
      <x:c r="E2712" s="12" t="n">
        <x:v>446.791816</x:v>
      </x:c>
      <x:c r="F2712" s="12" t="n">
        <x:f>SUM(B2712,D2712:E2712)</x:f>
        <x:v>164252.760329</x:v>
      </x:c>
      <x:c r="G2712" s="12" t="n">
        <x:f>MAX(G2711,F2712)</x:f>
        <x:v>164860.320329</x:v>
      </x:c>
      <x:c r="H2712" s="14" t="n">
        <x:f>F2712/G2712-1</x:f>
        <x:v>-0.0036853015861398886</x:v>
      </x:c>
      <x:c r="I2712" s="14" t="n">
        <x:f>F2712/F2711-1</x:f>
        <x:v>-0.0036853015861398886</x:v>
      </x:c>
      <x:c r="J2712" s="12" t="n">
        <x:v>0</x:v>
      </x:c>
      <x:c r="K2712" s="12" t="n">
        <x:v>0</x:v>
      </x:c>
      <x:c r="L2712" s="12" t="n">
        <x:v>0</x:v>
      </x:c>
      <x:c r="M2712" s="2" t="str">
        <x:v>持有</x:v>
      </x:c>
    </x:row>
    <x:row r="2713" ht="23" customHeight="1">
      <x:c r="A2713" s="11" t="d">
        <x:v>2025-10-08T00:00:00.000Z</x:v>
      </x:c>
      <x:c r="B2713" s="12" t="n">
        <x:v>540.688513</x:v>
      </x:c>
      <x:c r="C2713" s="13" t="n">
        <x:v>244</x:v>
      </x:c>
      <x:c r="D2713" s="12" t="n">
        <x:v>164238.84</x:v>
      </x:c>
      <x:c r="E2713" s="12" t="n">
        <x:v>446.791816</x:v>
      </x:c>
      <x:c r="F2713" s="12" t="n">
        <x:f>SUM(B2713,D2713:E2713)</x:f>
        <x:v>165226.320329</x:v>
      </x:c>
      <x:c r="G2713" s="12" t="n">
        <x:f>MAX(G2712,F2713)</x:f>
        <x:v>165226.320329</x:v>
      </x:c>
      <x:c r="H2713" s="14" t="n">
        <x:f>F2713/G2713-1</x:f>
        <x:v>0</x:v>
      </x:c>
      <x:c r="I2713" s="14" t="n">
        <x:f>F2713/F2712-1</x:f>
        <x:v>0.0059272063254824925</x:v>
      </x:c>
      <x:c r="J2713" s="12" t="n">
        <x:v>0</x:v>
      </x:c>
      <x:c r="K2713" s="12" t="n">
        <x:v>0</x:v>
      </x:c>
      <x:c r="L2713" s="12" t="n">
        <x:v>0</x:v>
      </x:c>
      <x:c r="M2713" s="2" t="str">
        <x:v>持有</x:v>
      </x:c>
    </x:row>
    <x:row r="2714" ht="23" customHeight="1">
      <x:c r="A2714" s="11" t="d">
        <x:v>2025-10-09T00:00:00.000Z</x:v>
      </x:c>
      <x:c r="B2714" s="12" t="n">
        <x:v>540.688513</x:v>
      </x:c>
      <x:c r="C2714" s="13" t="n">
        <x:v>244</x:v>
      </x:c>
      <x:c r="D2714" s="12" t="n">
        <x:v>163763.03999999998</x:v>
      </x:c>
      <x:c r="E2714" s="12" t="n">
        <x:v>446.791816</x:v>
      </x:c>
      <x:c r="F2714" s="12" t="n">
        <x:f>SUM(B2714,D2714:E2714)</x:f>
        <x:v>164750.520329</x:v>
      </x:c>
      <x:c r="G2714" s="12" t="n">
        <x:f>MAX(G2713,F2714)</x:f>
        <x:v>165226.320329</x:v>
      </x:c>
      <x:c r="H2714" s="14" t="n">
        <x:f>F2714/G2714-1</x:f>
        <x:v>-0.0028796864752093088</x:v>
      </x:c>
      <x:c r="I2714" s="14" t="n">
        <x:f>F2714/F2713-1</x:f>
        <x:v>-0.0028796864752093088</x:v>
      </x:c>
      <x:c r="J2714" s="12" t="n">
        <x:v>0</x:v>
      </x:c>
      <x:c r="K2714" s="12" t="n">
        <x:v>0</x:v>
      </x:c>
      <x:c r="L2714" s="12" t="n">
        <x:v>0</x:v>
      </x:c>
      <x:c r="M2714" s="2" t="str">
        <x:v>持有</x:v>
      </x:c>
    </x:row>
    <x:row r="2715" ht="23" customHeight="1">
      <x:c r="A2715" s="11" t="d">
        <x:v>2025-10-10T00:00:00.000Z</x:v>
      </x:c>
      <x:c r="B2715" s="12" t="n">
        <x:v>540.688513</x:v>
      </x:c>
      <x:c r="C2715" s="13" t="n">
        <x:v>244</x:v>
      </x:c>
      <x:c r="D2715" s="12" t="n">
        <x:v>159336.88</x:v>
      </x:c>
      <x:c r="E2715" s="12" t="n">
        <x:v>446.791816</x:v>
      </x:c>
      <x:c r="F2715" s="12" t="n">
        <x:f>SUM(B2715,D2715:E2715)</x:f>
        <x:v>160324.36032900002</x:v>
      </x:c>
      <x:c r="G2715" s="12" t="n">
        <x:f>MAX(G2714,F2715)</x:f>
        <x:v>165226.320329</x:v>
      </x:c>
      <x:c r="H2715" s="14" t="n">
        <x:f>F2715/G2715-1</x:f>
        <x:v>-0.029668154506129363</x:v>
      </x:c>
      <x:c r="I2715" s="14" t="n">
        <x:f>F2715/F2714-1</x:f>
        <x:v>-0.02686583320745284</x:v>
      </x:c>
      <x:c r="J2715" s="12" t="n">
        <x:v>0</x:v>
      </x:c>
      <x:c r="K2715" s="12" t="n">
        <x:v>0</x:v>
      </x:c>
      <x:c r="L2715" s="12" t="n">
        <x:v>0</x:v>
      </x:c>
      <x:c r="M2715" s="2" t="str">
        <x:v>持有</x:v>
      </x:c>
    </x:row>
    <x:row r="2716" ht="23" customHeight="1">
      <x:c r="A2716" s="11" t="d">
        <x:v>2025-10-13T00:00:00.000Z</x:v>
      </x:c>
      <x:c r="B2716" s="12" t="n">
        <x:v>540.688513</x:v>
      </x:c>
      <x:c r="C2716" s="13" t="n">
        <x:v>244</x:v>
      </x:c>
      <x:c r="D2716" s="12" t="n">
        <x:v>161781.75999999998</x:v>
      </x:c>
      <x:c r="E2716" s="12" t="n">
        <x:v>446.791816</x:v>
      </x:c>
      <x:c r="F2716" s="12" t="n">
        <x:f>SUM(B2716,D2716:E2716)</x:f>
        <x:v>162769.240329</x:v>
      </x:c>
      <x:c r="G2716" s="12" t="n">
        <x:f>MAX(G2715,F2716)</x:f>
        <x:v>165226.320329</x:v>
      </x:c>
      <x:c r="H2716" s="14" t="n">
        <x:f>F2716/G2716-1</x:f>
        <x:v>-0.01487099631043931</x:v>
      </x:c>
      <x:c r="I2716" s="14" t="n">
        <x:f>F2716/F2715-1</x:f>
        <x:v>0.01524958524695097</x:v>
      </x:c>
      <x:c r="J2716" s="12" t="n">
        <x:v>0</x:v>
      </x:c>
      <x:c r="K2716" s="12" t="n">
        <x:v>0</x:v>
      </x:c>
      <x:c r="L2716" s="12" t="n">
        <x:v>0</x:v>
      </x:c>
      <x:c r="M2716" s="2" t="str">
        <x:v>持有</x:v>
      </x:c>
    </x:row>
    <x:row r="2717" ht="23" customHeight="1">
      <x:c r="A2717" s="11" t="d">
        <x:v>2025-10-14T00:00:00.000Z</x:v>
      </x:c>
      <x:c r="B2717" s="12" t="n">
        <x:v>540.688513</x:v>
      </x:c>
      <x:c r="C2717" s="13" t="n">
        <x:v>244</x:v>
      </x:c>
      <x:c r="D2717" s="12" t="n">
        <x:v>161584.12</x:v>
      </x:c>
      <x:c r="E2717" s="12" t="n">
        <x:v>446.791816</x:v>
      </x:c>
      <x:c r="F2717" s="12" t="n">
        <x:f>SUM(B2717,D2717:E2717)</x:f>
        <x:v>162571.600329</x:v>
      </x:c>
      <x:c r="G2717" s="12" t="n">
        <x:f>MAX(G2716,F2717)</x:f>
        <x:v>165226.320329</x:v>
      </x:c>
      <x:c r="H2717" s="14" t="n">
        <x:f>F2717/G2717-1</x:f>
        <x:v>-0.016067173769372167</x:v>
      </x:c>
      <x:c r="I2717" s="14" t="n">
        <x:f>F2717/F2716-1</x:f>
        <x:v>-0.0012142343332223193</x:v>
      </x:c>
      <x:c r="J2717" s="12" t="n">
        <x:v>0</x:v>
      </x:c>
      <x:c r="K2717" s="12" t="n">
        <x:v>0</x:v>
      </x:c>
      <x:c r="L2717" s="12" t="n">
        <x:v>0</x:v>
      </x:c>
      <x:c r="M2717" s="2" t="str">
        <x:v>持有</x:v>
      </x:c>
    </x:row>
    <x:row r="2718" ht="23" customHeight="1">
      <x:c r="A2718" s="11" t="d">
        <x:v>2025-10-15T00:00:00.000Z</x:v>
      </x:c>
      <x:c r="B2718" s="12" t="n">
        <x:v>540.688513</x:v>
      </x:c>
      <x:c r="C2718" s="13" t="n">
        <x:v>244</x:v>
      </x:c>
      <x:c r="D2718" s="12" t="n">
        <x:v>162301.47999999998</x:v>
      </x:c>
      <x:c r="E2718" s="12" t="n">
        <x:v>446.791816</x:v>
      </x:c>
      <x:c r="F2718" s="12" t="n">
        <x:f>SUM(B2718,D2718:E2718)</x:f>
        <x:v>163288.960329</x:v>
      </x:c>
      <x:c r="G2718" s="12" t="n">
        <x:f>MAX(G2717,F2718)</x:f>
        <x:v>165226.320329</x:v>
      </x:c>
      <x:c r="H2718" s="14" t="n">
        <x:f>F2718/G2718-1</x:f>
        <x:v>-0.011725492622133848</x:v>
      </x:c>
      <x:c r="I2718" s="14" t="n">
        <x:f>F2718/F2717-1</x:f>
        <x:v>0.004412578817876156</x:v>
      </x:c>
      <x:c r="J2718" s="12" t="n">
        <x:v>0</x:v>
      </x:c>
      <x:c r="K2718" s="12" t="n">
        <x:v>0</x:v>
      </x:c>
      <x:c r="L2718" s="12" t="n">
        <x:v>0</x:v>
      </x:c>
      <x:c r="M2718" s="2" t="str">
        <x:v>持有</x:v>
      </x:c>
    </x:row>
    <x:row r="2719" ht="23" customHeight="1">
      <x:c r="A2719" s="11" t="d">
        <x:v>2025-10-16T00:00:00.000Z</x:v>
      </x:c>
      <x:c r="B2719" s="12" t="n">
        <x:v>540.688513</x:v>
      </x:c>
      <x:c r="C2719" s="13" t="n">
        <x:v>244</x:v>
      </x:c>
      <x:c r="D2719" s="12" t="n">
        <x:v>161196.16</x:v>
      </x:c>
      <x:c r="E2719" s="12" t="n">
        <x:v>446.791816</x:v>
      </x:c>
      <x:c r="F2719" s="12" t="n">
        <x:f>SUM(B2719,D2719:E2719)</x:f>
        <x:v>162183.64032900002</x:v>
      </x:c>
      <x:c r="G2719" s="12" t="n">
        <x:f>MAX(G2718,F2719)</x:f>
        <x:v>165226.320329</x:v>
      </x:c>
      <x:c r="H2719" s="14" t="n">
        <x:f>F2719/G2719-1</x:f>
        <x:v>-0.018415225818388836</x:v>
      </x:c>
      <x:c r="I2719" s="14" t="n">
        <x:f>F2719/F2718-1</x:f>
        <x:v>-0.00676910427853139</x:v>
      </x:c>
      <x:c r="J2719" s="12" t="n">
        <x:v>0</x:v>
      </x:c>
      <x:c r="K2719" s="12" t="n">
        <x:v>0</x:v>
      </x:c>
      <x:c r="L2719" s="12" t="n">
        <x:v>0</x:v>
      </x:c>
      <x:c r="M2719" s="2" t="str">
        <x:v>持有</x:v>
      </x:c>
    </x:row>
    <x:row r="2720" ht="23" customHeight="1">
      <x:c r="A2720" s="11" t="d">
        <x:v>2025-10-17T00:00:00.000Z</x:v>
      </x:c>
      <x:c r="B2720" s="12" t="n">
        <x:v>540.688513</x:v>
      </x:c>
      <x:c r="C2720" s="13" t="n">
        <x:v>244</x:v>
      </x:c>
      <x:c r="D2720" s="12" t="n">
        <x:v>162111.16</x:v>
      </x:c>
      <x:c r="E2720" s="12" t="n">
        <x:v>446.791816</x:v>
      </x:c>
      <x:c r="F2720" s="12" t="n">
        <x:f>SUM(B2720,D2720:E2720)</x:f>
        <x:v>163098.64032900002</x:v>
      </x:c>
      <x:c r="G2720" s="12" t="n">
        <x:f>MAX(G2719,F2720)</x:f>
        <x:v>165226.320329</x:v>
      </x:c>
      <x:c r="H2720" s="14" t="n">
        <x:f>F2720/G2720-1</x:f>
        <x:v>-0.012877367212217439</x:v>
      </x:c>
      <x:c r="I2720" s="14" t="n">
        <x:f>F2720/F2719-1</x:f>
        <x:v>0.005641752757207019</x:v>
      </x:c>
      <x:c r="J2720" s="12" t="n">
        <x:v>0</x:v>
      </x:c>
      <x:c r="K2720" s="12" t="n">
        <x:v>0</x:v>
      </x:c>
      <x:c r="L2720" s="12" t="n">
        <x:v>0</x:v>
      </x:c>
      <x:c r="M2720" s="2" t="str">
        <x:v>持有</x:v>
      </x:c>
    </x:row>
    <x:row r="2721" ht="23" customHeight="1">
      <x:c r="A2721" s="11" t="d">
        <x:v>2025-10-20T00:00:00.000Z</x:v>
      </x:c>
      <x:c r="B2721" s="12" t="n">
        <x:v>540.688513</x:v>
      </x:c>
      <x:c r="C2721" s="13" t="n">
        <x:v>244</x:v>
      </x:c>
      <x:c r="D2721" s="12" t="n">
        <x:v>163797.19999999998</x:v>
      </x:c>
      <x:c r="E2721" s="12" t="n">
        <x:v>446.791816</x:v>
      </x:c>
      <x:c r="F2721" s="12" t="n">
        <x:f>SUM(B2721,D2721:E2721)</x:f>
        <x:v>164784.680329</x:v>
      </x:c>
      <x:c r="G2721" s="12" t="n">
        <x:f>MAX(G2720,F2721)</x:f>
        <x:v>165226.320329</x:v>
      </x:c>
      <x:c r="H2721" s="14" t="n">
        <x:f>F2721/G2721-1</x:f>
        <x:v>-0.0026729397539121402</x:v>
      </x:c>
      <x:c r="I2721" s="14" t="n">
        <x:f>F2721/F2720-1</x:f>
        <x:v>0.010337547858148444</x:v>
      </x:c>
      <x:c r="J2721" s="12" t="n">
        <x:v>0</x:v>
      </x:c>
      <x:c r="K2721" s="12" t="n">
        <x:v>0</x:v>
      </x:c>
      <x:c r="L2721" s="12" t="n">
        <x:v>0</x:v>
      </x:c>
      <x:c r="M2721" s="2" t="str">
        <x:v>持有</x:v>
      </x:c>
    </x:row>
    <x:row r="2722" ht="23" customHeight="1">
      <x:c r="A2722" s="11" t="d">
        <x:v>2025-10-21T00:00:00.000Z</x:v>
      </x:c>
      <x:c r="B2722" s="12" t="n">
        <x:v>540.688513</x:v>
      </x:c>
      <x:c r="C2722" s="13" t="n">
        <x:v>244</x:v>
      </x:c>
      <x:c r="D2722" s="12" t="n">
        <x:v>163794.75999999998</x:v>
      </x:c>
      <x:c r="E2722" s="12" t="n">
        <x:v>446.791816</x:v>
      </x:c>
      <x:c r="F2722" s="12" t="n">
        <x:f>SUM(B2722,D2722:E2722)</x:f>
        <x:v>164782.240329</x:v>
      </x:c>
      <x:c r="G2722" s="12" t="n">
        <x:f>MAX(G2721,F2722)</x:f>
        <x:v>165226.320329</x:v>
      </x:c>
      <x:c r="H2722" s="14" t="n">
        <x:f>F2722/G2722-1</x:f>
        <x:v>-0.0026877073768619697</x:v>
      </x:c>
      <x:c r="I2722" s="14" t="n">
        <x:f>F2722/F2721-1</x:f>
        <x:v>-0.000014807201707878193</x:v>
      </x:c>
      <x:c r="J2722" s="12" t="n">
        <x:v>0</x:v>
      </x:c>
      <x:c r="K2722" s="12" t="n">
        <x:v>0</x:v>
      </x:c>
      <x:c r="L2722" s="12" t="n">
        <x:v>0</x:v>
      </x:c>
      <x:c r="M2722" s="2" t="str">
        <x:v>持有</x:v>
      </x:c>
    </x:row>
    <x:row r="2723" ht="23" customHeight="1">
      <x:c r="A2723" s="11" t="d">
        <x:v>2025-10-22T00:00:00.000Z</x:v>
      </x:c>
      <x:c r="B2723" s="12" t="n">
        <x:v>540.688513</x:v>
      </x:c>
      <x:c r="C2723" s="13" t="n">
        <x:v>244</x:v>
      </x:c>
      <x:c r="D2723" s="12" t="n">
        <x:v>162943.19999999998</x:v>
      </x:c>
      <x:c r="E2723" s="12" t="n">
        <x:v>446.791816</x:v>
      </x:c>
      <x:c r="F2723" s="12" t="n">
        <x:f>SUM(B2723,D2723:E2723)</x:f>
        <x:v>163930.680329</x:v>
      </x:c>
      <x:c r="G2723" s="12" t="n">
        <x:f>MAX(G2722,F2723)</x:f>
        <x:v>165226.320329</x:v>
      </x:c>
      <x:c r="H2723" s="14" t="n">
        <x:f>F2723/G2723-1</x:f>
        <x:v>-0.007841607786338911</x:v>
      </x:c>
      <x:c r="I2723" s="14" t="n">
        <x:f>F2723/F2722-1</x:f>
        <x:v>-0.005167789916557752</x:v>
      </x:c>
      <x:c r="J2723" s="12" t="n">
        <x:v>0</x:v>
      </x:c>
      <x:c r="K2723" s="12" t="n">
        <x:v>0</x:v>
      </x:c>
      <x:c r="L2723" s="12" t="n">
        <x:v>0</x:v>
      </x:c>
      <x:c r="M2723" s="2" t="str">
        <x:v>持有</x:v>
      </x:c>
    </x:row>
    <x:row r="2724" ht="23" customHeight="1">
      <x:c r="A2724" s="11" t="d">
        <x:v>2025-10-23T00:00:00.000Z</x:v>
      </x:c>
      <x:c r="B2724" s="12" t="n">
        <x:v>540.688513</x:v>
      </x:c>
      <x:c r="C2724" s="13" t="n">
        <x:v>244</x:v>
      </x:c>
      <x:c r="D2724" s="12" t="n">
        <x:v>163909.44</x:v>
      </x:c>
      <x:c r="E2724" s="12" t="n">
        <x:v>446.791816</x:v>
      </x:c>
      <x:c r="F2724" s="12" t="n">
        <x:f>SUM(B2724,D2724:E2724)</x:f>
        <x:v>164896.92032900002</x:v>
      </x:c>
      <x:c r="G2724" s="12" t="n">
        <x:f>MAX(G2723,F2724)</x:f>
        <x:v>165226.320329</x:v>
      </x:c>
      <x:c r="H2724" s="14" t="n">
        <x:f>F2724/G2724-1</x:f>
        <x:v>-0.00199362909822165</x:v>
      </x:c>
      <x:c r="I2724" s="14" t="n">
        <x:f>F2724/F2723-1</x:f>
        <x:v>0.005894198682399265</x:v>
      </x:c>
      <x:c r="J2724" s="12" t="n">
        <x:v>0</x:v>
      </x:c>
      <x:c r="K2724" s="12" t="n">
        <x:v>0</x:v>
      </x:c>
      <x:c r="L2724" s="12" t="n">
        <x:v>0</x:v>
      </x:c>
      <x:c r="M2724" s="2" t="str">
        <x:v>持有</x:v>
      </x:c>
    </x:row>
    <x:row r="2725" ht="23" customHeight="1">
      <x:c r="A2725" s="11" t="d">
        <x:v>2025-10-24T00:00:00.000Z</x:v>
      </x:c>
      <x:c r="B2725" s="12" t="n">
        <x:v>540.688513</x:v>
      </x:c>
      <x:c r="C2725" s="13" t="n">
        <x:v>244</x:v>
      </x:c>
      <x:c r="D2725" s="12" t="n">
        <x:v>165249</x:v>
      </x:c>
      <x:c r="E2725" s="12" t="n">
        <x:v>446.791816</x:v>
      </x:c>
      <x:c r="F2725" s="12" t="n">
        <x:f>SUM(B2725,D2725:E2725)</x:f>
        <x:v>166236.480329</x:v>
      </x:c>
      <x:c r="G2725" s="12" t="n">
        <x:f>MAX(G2724,F2725)</x:f>
        <x:v>166236.480329</x:v>
      </x:c>
      <x:c r="H2725" s="14" t="n">
        <x:f>F2725/G2725-1</x:f>
        <x:v>0</x:v>
      </x:c>
      <x:c r="I2725" s="14" t="n">
        <x:f>F2725/F2724-1</x:f>
        <x:v>0.0081236204856181</x:v>
      </x:c>
      <x:c r="J2725" s="12" t="n">
        <x:v>0</x:v>
      </x:c>
      <x:c r="K2725" s="12" t="n">
        <x:v>0</x:v>
      </x:c>
      <x:c r="L2725" s="12" t="n">
        <x:v>0</x:v>
      </x:c>
      <x:c r="M2725" s="2" t="str">
        <x:v>持有</x:v>
      </x:c>
    </x:row>
    <x:row r="2726" ht="23" customHeight="1">
      <x:c r="A2726" s="11" t="d">
        <x:v>2025-10-27T00:00:00.000Z</x:v>
      </x:c>
      <x:c r="B2726" s="12" t="n">
        <x:v>540.688513</x:v>
      </x:c>
      <x:c r="C2726" s="13" t="n">
        <x:v>244</x:v>
      </x:c>
      <x:c r="D2726" s="12" t="n">
        <x:v>167198.56</x:v>
      </x:c>
      <x:c r="E2726" s="12" t="n">
        <x:v>446.791816</x:v>
      </x:c>
      <x:c r="F2726" s="12" t="n">
        <x:f>SUM(B2726,D2726:E2726)</x:f>
        <x:v>168186.040329</x:v>
      </x:c>
      <x:c r="G2726" s="12" t="n">
        <x:f>MAX(G2725,F2726)</x:f>
        <x:v>168186.040329</x:v>
      </x:c>
      <x:c r="H2726" s="14" t="n">
        <x:f>F2726/G2726-1</x:f>
        <x:v>0</x:v>
      </x:c>
      <x:c r="I2726" s="14" t="n">
        <x:f>F2726/F2725-1</x:f>
        <x:v>0.011727630398222999</x:v>
      </x:c>
      <x:c r="J2726" s="12" t="n">
        <x:v>0</x:v>
      </x:c>
      <x:c r="K2726" s="12" t="n">
        <x:v>0</x:v>
      </x:c>
      <x:c r="L2726" s="12" t="n">
        <x:v>0</x:v>
      </x:c>
      <x:c r="M2726" s="2" t="str">
        <x:v>持有</x:v>
      </x:c>
    </x:row>
    <x:row r="2727" ht="23" customHeight="1">
      <x:c r="A2727" s="11" t="d">
        <x:v>2025-10-28T00:00:00.000Z</x:v>
      </x:c>
      <x:c r="B2727" s="12" t="n">
        <x:v>540.688513</x:v>
      </x:c>
      <x:c r="C2727" s="13" t="n">
        <x:v>244</x:v>
      </x:c>
      <x:c r="D2727" s="12" t="n">
        <x:v>167642.63999999998</x:v>
      </x:c>
      <x:c r="E2727" s="12" t="n">
        <x:v>446.791816</x:v>
      </x:c>
      <x:c r="F2727" s="12" t="n">
        <x:f>SUM(B2727,D2727:E2727)</x:f>
        <x:v>168630.120329</x:v>
      </x:c>
      <x:c r="G2727" s="12" t="n">
        <x:f>MAX(G2726,F2727)</x:f>
        <x:v>168630.120329</x:v>
      </x:c>
      <x:c r="H2727" s="14" t="n">
        <x:f>F2727/G2727-1</x:f>
        <x:v>0</x:v>
      </x:c>
      <x:c r="I2727" s="14" t="n">
        <x:f>F2727/F2726-1</x:f>
        <x:v>0.002640409389098375</x:v>
      </x:c>
      <x:c r="J2727" s="12" t="n">
        <x:v>0</x:v>
      </x:c>
      <x:c r="K2727" s="12" t="n">
        <x:v>0</x:v>
      </x:c>
      <x:c r="L2727" s="12" t="n">
        <x:v>0</x:v>
      </x:c>
      <x:c r="M2727" s="2" t="str">
        <x:v>持有</x:v>
      </x:c>
    </x:row>
    <x:row r="2728" ht="23" customHeight="1">
      <x:c r="A2728" s="11" t="d">
        <x:v>2025-10-29T00:00:00.000Z</x:v>
      </x:c>
      <x:c r="B2728" s="12" t="n">
        <x:v>540.688513</x:v>
      </x:c>
      <x:c r="C2728" s="13" t="n">
        <x:v>244</x:v>
      </x:c>
      <x:c r="D2728" s="12" t="n">
        <x:v>167723.16</x:v>
      </x:c>
      <x:c r="E2728" s="12" t="n">
        <x:v>446.791816</x:v>
      </x:c>
      <x:c r="F2728" s="12" t="n">
        <x:f>SUM(B2728,D2728:E2728)</x:f>
        <x:v>168710.64032900002</x:v>
      </x:c>
      <x:c r="G2728" s="12" t="n">
        <x:f>MAX(G2727,F2728)</x:f>
        <x:v>168710.64032900002</x:v>
      </x:c>
      <x:c r="H2728" s="14" t="n">
        <x:f>F2728/G2728-1</x:f>
        <x:v>0</x:v>
      </x:c>
      <x:c r="I2728" s="14" t="n">
        <x:f>F2728/F2727-1</x:f>
        <x:v>0.0004774947669070606</x:v>
      </x:c>
      <x:c r="J2728" s="12" t="n">
        <x:v>0</x:v>
      </x:c>
      <x:c r="K2728" s="12" t="n">
        <x:v>0</x:v>
      </x:c>
      <x:c r="L2728" s="12" t="n">
        <x:v>0</x:v>
      </x:c>
      <x:c r="M2728" s="2" t="str">
        <x:v>持有</x:v>
      </x:c>
    </x:row>
    <x:row r="2729" ht="23" customHeight="1">
      <x:c r="A2729" s="11" t="d">
        <x:v>2025-10-30T00:00:00.000Z</x:v>
      </x:c>
      <x:c r="B2729" s="12" t="n">
        <x:v>540.688513</x:v>
      </x:c>
      <x:c r="C2729" s="13" t="n">
        <x:v>244</x:v>
      </x:c>
      <x:c r="D2729" s="12" t="n">
        <x:v>165878.52000000002</x:v>
      </x:c>
      <x:c r="E2729" s="12" t="n">
        <x:v>446.791816</x:v>
      </x:c>
      <x:c r="F2729" s="12" t="n">
        <x:f>SUM(B2729,D2729:E2729)</x:f>
        <x:v>166866.00032900003</x:v>
      </x:c>
      <x:c r="G2729" s="12" t="n">
        <x:f>MAX(G2728,F2729)</x:f>
        <x:v>168710.64032900002</x:v>
      </x:c>
      <x:c r="H2729" s="14" t="n">
        <x:f>F2729/G2729-1</x:f>
        <x:v>-0.010933750215177729</x:v>
      </x:c>
      <x:c r="I2729" s="14" t="n">
        <x:f>F2729/F2728-1</x:f>
        <x:v>-0.010933750215177729</x:v>
      </x:c>
      <x:c r="J2729" s="12" t="n">
        <x:v>0</x:v>
      </x:c>
      <x:c r="K2729" s="12" t="n">
        <x:v>0</x:v>
      </x:c>
      <x:c r="L2729" s="12" t="n">
        <x:v>0</x:v>
      </x:c>
      <x:c r="M2729" s="2" t="str">
        <x:v>持有</x:v>
      </x:c>
    </x:row>
    <x:row r="2730" ht="23" customHeight="1">
      <x:c r="A2730" s="11" t="d">
        <x:v>2025-10-31T00:00:00.000Z</x:v>
      </x:c>
      <x:c r="B2730" s="12" t="n">
        <x:v>987.480329</x:v>
      </x:c>
      <x:c r="C2730" s="13" t="n">
        <x:v>244</x:v>
      </x:c>
      <x:c r="D2730" s="12" t="n">
        <x:v>166422.63999999998</x:v>
      </x:c>
      <x:c r="E2730" s="12" t="n">
        <x:v>0</x:v>
      </x:c>
      <x:c r="F2730" s="12" t="n">
        <x:f>SUM(B2730,D2730:E2730)</x:f>
        <x:v>167410.120329</x:v>
      </x:c>
      <x:c r="G2730" s="12" t="n">
        <x:f>MAX(G2729,F2730)</x:f>
        <x:v>168710.64032900002</x:v>
      </x:c>
      <x:c r="H2730" s="14" t="n">
        <x:f>F2730/G2730-1</x:f>
        <x:v>-0.007708583154351745</x:v>
      </x:c>
      <x:c r="I2730" s="14" t="n">
        <x:f>F2730/F2729-1</x:f>
        <x:v>0.0032608200527797226</x:v>
      </x:c>
      <x:c r="J2730" s="12" t="n">
        <x:v>0</x:v>
      </x:c>
      <x:c r="K2730" s="12" t="n">
        <x:v>446.791816</x:v>
      </x:c>
      <x:c r="L2730" s="12" t="n">
        <x:v>0</x:v>
      </x:c>
      <x:c r="M2730" s="2" t="str">
        <x:v>持有</x:v>
      </x:c>
    </x:row>
    <x:row r="2731" ht="23" customHeight="1">
      <x:c r="A2731" s="11" t="d">
        <x:v>2025-11-03T00:00:00.000Z</x:v>
      </x:c>
      <x:c r="B2731" s="12" t="n">
        <x:v>987.480329</x:v>
      </x:c>
      <x:c r="C2731" s="13" t="n">
        <x:v>244</x:v>
      </x:c>
      <x:c r="D2731" s="12" t="n">
        <x:v>166734.96000000002</x:v>
      </x:c>
      <x:c r="E2731" s="12" t="n">
        <x:v>0</x:v>
      </x:c>
      <x:c r="F2731" s="12" t="n">
        <x:f>SUM(B2731,D2731:E2731)</x:f>
        <x:v>167722.44032900003</x:v>
      </x:c>
      <x:c r="G2731" s="12" t="n">
        <x:f>MAX(G2730,F2731)</x:f>
        <x:v>168710.64032900002</x:v>
      </x:c>
      <x:c r="H2731" s="14" t="n">
        <x:f>F2731/G2731-1</x:f>
        <x:v>-0.005857366186702295</x:v>
      </x:c>
      <x:c r="I2731" s="14" t="n">
        <x:f>F2731/F2730-1</x:f>
        <x:v>0.001865598085625031</x:v>
      </x:c>
      <x:c r="J2731" s="12" t="n">
        <x:v>0</x:v>
      </x:c>
      <x:c r="K2731" s="12" t="n">
        <x:v>0</x:v>
      </x:c>
      <x:c r="L2731" s="12" t="n">
        <x:v>0</x:v>
      </x:c>
      <x:c r="M2731" s="2" t="str">
        <x:v>持有</x:v>
      </x:c>
    </x:row>
    <x:row r="2732" ht="23" customHeight="1">
      <x:c r="A2732" s="11" t="d">
        <x:v>2025-11-04T00:00:00.000Z</x:v>
      </x:c>
      <x:c r="B2732" s="12" t="n">
        <x:v>987.480329</x:v>
      </x:c>
      <x:c r="C2732" s="13" t="n">
        <x:v>244</x:v>
      </x:c>
      <x:c r="D2732" s="12" t="n">
        <x:v>164758.56</x:v>
      </x:c>
      <x:c r="E2732" s="12" t="n">
        <x:v>0</x:v>
      </x:c>
      <x:c r="F2732" s="12" t="n">
        <x:f>SUM(B2732,D2732:E2732)</x:f>
        <x:v>165746.040329</x:v>
      </x:c>
      <x:c r="G2732" s="12" t="n">
        <x:f>MAX(G2731,F2732)</x:f>
        <x:v>168710.64032900002</x:v>
      </x:c>
      <x:c r="H2732" s="14" t="n">
        <x:f>F2732/G2732-1</x:f>
        <x:v>-0.01757209856010733</x:v>
      </x:c>
      <x:c r="I2732" s="14" t="n">
        <x:f>F2732/F2731-1</x:f>
        <x:v>-0.011783754136436175</x:v>
      </x:c>
      <x:c r="J2732" s="12" t="n">
        <x:v>0</x:v>
      </x:c>
      <x:c r="K2732" s="12" t="n">
        <x:v>0</x:v>
      </x:c>
      <x:c r="L2732" s="12" t="n">
        <x:v>0</x:v>
      </x:c>
      <x:c r="M2732" s="2" t="str">
        <x:v>持有</x:v>
      </x:c>
    </x:row>
    <x:row r="2733" ht="23" customHeight="1">
      <x:c r="A2733" s="11" t="d">
        <x:v>2025-11-05T00:00:00.000Z</x:v>
      </x:c>
      <x:c r="B2733" s="12" t="n">
        <x:v>987.480329</x:v>
      </x:c>
      <x:c r="C2733" s="13" t="n">
        <x:v>244</x:v>
      </x:c>
      <x:c r="D2733" s="12" t="n">
        <x:v>165329.52000000002</x:v>
      </x:c>
      <x:c r="E2733" s="12" t="n">
        <x:v>0</x:v>
      </x:c>
      <x:c r="F2733" s="12" t="n">
        <x:f>SUM(B2733,D2733:E2733)</x:f>
        <x:v>166317.00032900003</x:v>
      </x:c>
      <x:c r="G2733" s="12" t="n">
        <x:f>MAX(G2732,F2733)</x:f>
        <x:v>168710.64032900002</x:v>
      </x:c>
      <x:c r="H2733" s="14" t="n">
        <x:f>F2733/G2733-1</x:f>
        <x:v>-0.014187842541123596</x:v>
      </x:c>
      <x:c r="I2733" s="14" t="n">
        <x:f>F2733/F2732-1</x:f>
        <x:v>0.003444788176337088</x:v>
      </x:c>
      <x:c r="J2733" s="12" t="n">
        <x:v>0</x:v>
      </x:c>
      <x:c r="K2733" s="12" t="n">
        <x:v>0</x:v>
      </x:c>
      <x:c r="L2733" s="12" t="n">
        <x:v>0</x:v>
      </x:c>
      <x:c r="M2733" s="2" t="str">
        <x:v>持有</x:v>
      </x:c>
    </x:row>
    <x:row r="2734" ht="23" customHeight="1">
      <x:c r="A2734" s="11" t="d">
        <x:v>2025-11-06T00:00:00.000Z</x:v>
      </x:c>
      <x:c r="B2734" s="12" t="n">
        <x:v>987.480329</x:v>
      </x:c>
      <x:c r="C2734" s="13" t="n">
        <x:v>244</x:v>
      </x:c>
      <x:c r="D2734" s="12" t="n">
        <x:v>163555.63999999998</x:v>
      </x:c>
      <x:c r="E2734" s="12" t="n">
        <x:v>0</x:v>
      </x:c>
      <x:c r="F2734" s="12" t="n">
        <x:f>SUM(B2734,D2734:E2734)</x:f>
        <x:v>164543.120329</x:v>
      </x:c>
      <x:c r="G2734" s="12" t="n">
        <x:f>MAX(G2733,F2734)</x:f>
        <x:v>168710.64032900002</x:v>
      </x:c>
      <x:c r="H2734" s="14" t="n">
        <x:f>F2734/G2734-1</x:f>
        <x:v>-0.02470217641206862</x:v>
      </x:c>
      <x:c r="I2734" s="14" t="n">
        <x:f>F2734/F2733-1</x:f>
        <x:v>-0.01066565652633844</x:v>
      </x:c>
      <x:c r="J2734" s="12" t="n">
        <x:v>0</x:v>
      </x:c>
      <x:c r="K2734" s="12" t="n">
        <x:v>0</x:v>
      </x:c>
      <x:c r="L2734" s="12" t="n">
        <x:v>0</x:v>
      </x:c>
      <x:c r="M2734" s="2" t="str">
        <x:v>持有</x:v>
      </x:c>
    </x:row>
    <x:row r="2735" ht="23" customHeight="1">
      <x:c r="A2735" s="11" t="d">
        <x:v>2025-11-07T00:00:00.000Z</x:v>
      </x:c>
      <x:c r="B2735" s="12" t="n">
        <x:v>987.480329</x:v>
      </x:c>
      <x:c r="C2735" s="13" t="n">
        <x:v>244</x:v>
      </x:c>
      <x:c r="D2735" s="12" t="n">
        <x:v>163716.68</x:v>
      </x:c>
      <x:c r="E2735" s="12" t="n">
        <x:v>0</x:v>
      </x:c>
      <x:c r="F2735" s="12" t="n">
        <x:f>SUM(B2735,D2735:E2735)</x:f>
        <x:v>164704.160329</x:v>
      </x:c>
      <x:c r="G2735" s="12" t="n">
        <x:f>MAX(G2734,F2735)</x:f>
        <x:v>168710.64032900002</x:v>
      </x:c>
      <x:c r="H2735" s="14" t="n">
        <x:f>F2735/G2735-1</x:f>
        <x:v>-0.023747642663124457</x:v>
      </x:c>
      <x:c r="I2735" s="14" t="n">
        <x:f>F2735/F2734-1</x:f>
        <x:v>0.000978710016426243</x:v>
      </x:c>
      <x:c r="J2735" s="12" t="n">
        <x:v>0</x:v>
      </x:c>
      <x:c r="K2735" s="12" t="n">
        <x:v>0</x:v>
      </x:c>
      <x:c r="L2735" s="12" t="n">
        <x:v>0</x:v>
      </x:c>
      <x:c r="M2735" s="2" t="str">
        <x:v>持有</x:v>
      </x:c>
    </x:row>
    <x:row r="2736" ht="23" customHeight="1">
      <x:c r="A2736" s="11" t="d">
        <x:v>2025-11-10T00:00:00.000Z</x:v>
      </x:c>
      <x:c r="B2736" s="12" t="n">
        <x:v>987.480329</x:v>
      </x:c>
      <x:c r="C2736" s="13" t="n">
        <x:v>244</x:v>
      </x:c>
      <x:c r="D2736" s="12" t="n">
        <x:v>166271.36000000002</x:v>
      </x:c>
      <x:c r="E2736" s="12" t="n">
        <x:v>0</x:v>
      </x:c>
      <x:c r="F2736" s="12" t="n">
        <x:f>SUM(B2736,D2736:E2736)</x:f>
        <x:v>167258.84032900003</x:v>
      </x:c>
      <x:c r="G2736" s="12" t="n">
        <x:f>MAX(G2735,F2736)</x:f>
        <x:v>168710.64032900002</x:v>
      </x:c>
      <x:c r="H2736" s="14" t="n">
        <x:f>F2736/G2736-1</x:f>
        <x:v>-0.008605266373056586</x:v>
      </x:c>
      <x:c r="I2736" s="14" t="n">
        <x:f>F2736/F2735-1</x:f>
        <x:v>0.015510719309682175</x:v>
      </x:c>
      <x:c r="J2736" s="12" t="n">
        <x:v>0</x:v>
      </x:c>
      <x:c r="K2736" s="12" t="n">
        <x:v>0</x:v>
      </x:c>
      <x:c r="L2736" s="12" t="n">
        <x:v>0</x:v>
      </x:c>
      <x:c r="M2736" s="2" t="str">
        <x:v>持有</x:v>
      </x:c>
    </x:row>
    <x:row r="2737" ht="23" customHeight="1">
      <x:c r="A2737" s="11" t="d">
        <x:v>2025-11-11T00:00:00.000Z</x:v>
      </x:c>
      <x:c r="B2737" s="12" t="n">
        <x:v>987.480329</x:v>
      </x:c>
      <x:c r="C2737" s="13" t="n">
        <x:v>244</x:v>
      </x:c>
      <x:c r="D2737" s="12" t="n">
        <x:v>166652</x:v>
      </x:c>
      <x:c r="E2737" s="12" t="n">
        <x:v>0</x:v>
      </x:c>
      <x:c r="F2737" s="12" t="n">
        <x:f>SUM(B2737,D2737:E2737)</x:f>
        <x:v>167639.480329</x:v>
      </x:c>
      <x:c r="G2737" s="12" t="n">
        <x:f>MAX(G2736,F2737)</x:f>
        <x:v>168710.64032900002</x:v>
      </x:c>
      <x:c r="H2737" s="14" t="n">
        <x:f>F2737/G2737-1</x:f>
        <x:v>-0.006349095693734208</x:v>
      </x:c>
      <x:c r="I2737" s="14" t="n">
        <x:f>F2737/F2736-1</x:f>
        <x:v>0.0022757541499824896</x:v>
      </x:c>
      <x:c r="J2737" s="12" t="n">
        <x:v>0</x:v>
      </x:c>
      <x:c r="K2737" s="12" t="n">
        <x:v>0</x:v>
      </x:c>
      <x:c r="L2737" s="12" t="n">
        <x:v>0</x:v>
      </x:c>
      <x:c r="M2737" s="2" t="str">
        <x:v>持有</x:v>
      </x:c>
    </x:row>
    <x:row r="2738" ht="23" customHeight="1">
      <x:c r="A2738" s="11" t="d">
        <x:v>2025-11-12T00:00:00.000Z</x:v>
      </x:c>
      <x:c r="B2738" s="12" t="n">
        <x:v>987.480329</x:v>
      </x:c>
      <x:c r="C2738" s="13" t="n">
        <x:v>244</x:v>
      </x:c>
      <x:c r="D2738" s="12" t="n">
        <x:v>166744.72</x:v>
      </x:c>
      <x:c r="E2738" s="12" t="n">
        <x:v>0</x:v>
      </x:c>
      <x:c r="F2738" s="12" t="n">
        <x:f>SUM(B2738,D2738:E2738)</x:f>
        <x:v>167732.200329</x:v>
      </x:c>
      <x:c r="G2738" s="12" t="n">
        <x:f>MAX(G2737,F2738)</x:f>
        <x:v>168710.64032900002</x:v>
      </x:c>
      <x:c r="H2738" s="14" t="n">
        <x:f>F2738/G2738-1</x:f>
        <x:v>-0.0057995156564634165</x:v>
      </x:c>
      <x:c r="I2738" s="14" t="n">
        <x:f>F2738/F2737-1</x:f>
        <x:v>0.0005530916692060295</x:v>
      </x:c>
      <x:c r="J2738" s="12" t="n">
        <x:v>0</x:v>
      </x:c>
      <x:c r="K2738" s="12" t="n">
        <x:v>0</x:v>
      </x:c>
      <x:c r="L2738" s="12" t="n">
        <x:v>0</x:v>
      </x:c>
      <x:c r="M2738" s="2" t="str">
        <x:v>持有</x:v>
      </x:c>
    </x:row>
    <x:row r="2739" ht="23" customHeight="1">
      <x:c r="A2739" s="11" t="d">
        <x:v>2025-11-13T00:00:00.000Z</x:v>
      </x:c>
      <x:c r="B2739" s="12" t="n">
        <x:v>987.480329</x:v>
      </x:c>
      <x:c r="C2739" s="13" t="n">
        <x:v>244</x:v>
      </x:c>
      <x:c r="D2739" s="12" t="n">
        <x:v>163977.75999999998</x:v>
      </x:c>
      <x:c r="E2739" s="12" t="n">
        <x:v>0</x:v>
      </x:c>
      <x:c r="F2739" s="12" t="n">
        <x:f>SUM(B2739,D2739:E2739)</x:f>
        <x:v>164965.240329</x:v>
      </x:c>
      <x:c r="G2739" s="12" t="n">
        <x:f>MAX(G2738,F2739)</x:f>
        <x:v>168710.64032900002</x:v>
      </x:c>
      <x:c r="H2739" s="14" t="n">
        <x:f>F2739/G2739-1</x:f>
        <x:v>-0.022200140979230287</x:v>
      </x:c>
      <x:c r="I2739" s="14" t="n">
        <x:f>F2739/F2738-1</x:f>
        <x:v>-0.016496295848815734</x:v>
      </x:c>
      <x:c r="J2739" s="12" t="n">
        <x:v>0</x:v>
      </x:c>
      <x:c r="K2739" s="12" t="n">
        <x:v>0</x:v>
      </x:c>
      <x:c r="L2739" s="12" t="n">
        <x:v>0</x:v>
      </x:c>
      <x:c r="M2739" s="2" t="str">
        <x:v>持有</x:v>
      </x:c>
    </x:row>
    <x:row r="2740" ht="23" customHeight="1">
      <x:c r="A2740" s="11" t="d">
        <x:v>2025-11-14T00:00:00.000Z</x:v>
      </x:c>
      <x:c r="B2740" s="12" t="n">
        <x:v>987.480329</x:v>
      </x:c>
      <x:c r="C2740" s="13" t="n">
        <x:v>244</x:v>
      </x:c>
      <x:c r="D2740" s="12" t="n">
        <x:v>163950.91999999998</x:v>
      </x:c>
      <x:c r="E2740" s="12" t="n">
        <x:v>0</x:v>
      </x:c>
      <x:c r="F2740" s="12" t="n">
        <x:f>SUM(B2740,D2740:E2740)</x:f>
        <x:v>164938.400329</x:v>
      </x:c>
      <x:c r="G2740" s="12" t="n">
        <x:f>MAX(G2739,F2740)</x:f>
        <x:v>168710.64032900002</x:v>
      </x:c>
      <x:c r="H2740" s="14" t="n">
        <x:f>F2740/G2740-1</x:f>
        <x:v>-0.022359229937387703</x:v>
      </x:c>
      <x:c r="I2740" s="14" t="n">
        <x:f>F2740/F2739-1</x:f>
        <x:v>-0.0001627009420073211</x:v>
      </x:c>
      <x:c r="J2740" s="12" t="n">
        <x:v>0</x:v>
      </x:c>
      <x:c r="K2740" s="12" t="n">
        <x:v>0</x:v>
      </x:c>
      <x:c r="L2740" s="12" t="n">
        <x:v>0</x:v>
      </x:c>
      <x:c r="M2740" s="2" t="str">
        <x:v>持有</x:v>
      </x:c>
    </x:row>
    <x:row r="2741" ht="23" customHeight="1">
      <x:c r="A2741" s="11" t="d">
        <x:v>2025-11-17T00:00:00.000Z</x:v>
      </x:c>
      <x:c r="B2741" s="12" t="n">
        <x:v>987.480329</x:v>
      </x:c>
      <x:c r="C2741" s="13" t="n">
        <x:v>244</x:v>
      </x:c>
      <x:c r="D2741" s="12" t="n">
        <x:v>162423.47999999998</x:v>
      </x:c>
      <x:c r="E2741" s="12" t="n">
        <x:v>0</x:v>
      </x:c>
      <x:c r="F2741" s="12" t="n">
        <x:f>SUM(B2741,D2741:E2741)</x:f>
        <x:v>163410.960329</x:v>
      </x:c>
      <x:c r="G2741" s="12" t="n">
        <x:f>MAX(G2740,F2741)</x:f>
        <x:v>168710.64032900002</x:v>
      </x:c>
      <x:c r="H2741" s="14" t="n">
        <x:f>F2741/G2741-1</x:f>
        <x:v>-0.03141283791979688</x:v>
      </x:c>
      <x:c r="I2741" s="14" t="n">
        <x:f>F2741/F2740-1</x:f>
        <x:v>-0.009260669419330125</x:v>
      </x:c>
      <x:c r="J2741" s="12" t="n">
        <x:v>0</x:v>
      </x:c>
      <x:c r="K2741" s="12" t="n">
        <x:v>0</x:v>
      </x:c>
      <x:c r="L2741" s="12" t="n">
        <x:v>0</x:v>
      </x:c>
      <x:c r="M2741" s="2" t="str">
        <x:v>持有</x:v>
      </x:c>
    </x:row>
    <x:row r="2742" ht="23" customHeight="1">
      <x:c r="A2742" s="11" t="d">
        <x:v>2025-11-18T00:00:00.000Z</x:v>
      </x:c>
      <x:c r="B2742" s="12" t="n">
        <x:v>162378.327929</x:v>
      </x:c>
      <x:c r="C2742" s="13" t="n">
        <x:v>0</x:v>
      </x:c>
      <x:c r="D2742" s="12" t="n">
        <x:v>0</x:v>
      </x:c>
      <x:c r="E2742" s="12" t="n">
        <x:v>0</x:v>
      </x:c>
      <x:c r="F2742" s="12" t="n">
        <x:f>SUM(B2742,D2742:E2742)</x:f>
        <x:v>162378.327929</x:v>
      </x:c>
      <x:c r="G2742" s="12" t="n">
        <x:f>MAX(G2741,F2742)</x:f>
        <x:v>168710.64032900002</x:v>
      </x:c>
      <x:c r="H2742" s="14" t="n">
        <x:f>F2742/G2742-1</x:f>
        <x:v>-0.037533568645412574</x:v>
      </x:c>
      <x:c r="I2742" s="14" t="n">
        <x:f>F2742/F2741-1</x:f>
        <x:v>-0.0063192358573804785</x:v>
      </x:c>
      <x:c r="J2742" s="12" t="n">
        <x:v>0</x:v>
      </x:c>
      <x:c r="K2742" s="12" t="n">
        <x:v>0</x:v>
      </x:c>
      <x:c r="L2742" s="12" t="n">
        <x:v>-244</x:v>
      </x:c>
      <x:c r="M2742" s="2" t="str">
        <x:v>卖出</x:v>
      </x:c>
    </x:row>
    <x:row r="2743" ht="23" customHeight="1">
      <x:c r="A2743" s="11" t="d">
        <x:v>2025-11-19T00:00:00.000Z</x:v>
      </x:c>
      <x:c r="B2743" s="12" t="n">
        <x:v>162378.327929</x:v>
      </x:c>
      <x:c r="C2743" s="13" t="n">
        <x:v>0</x:v>
      </x:c>
      <x:c r="D2743" s="12" t="n">
        <x:v>0</x:v>
      </x:c>
      <x:c r="E2743" s="12" t="n">
        <x:v>0</x:v>
      </x:c>
      <x:c r="F2743" s="12" t="n">
        <x:f>SUM(B2743,D2743:E2743)</x:f>
        <x:v>162378.327929</x:v>
      </x:c>
      <x:c r="G2743" s="12" t="n">
        <x:f>MAX(G2742,F2743)</x:f>
        <x:v>168710.64032900002</x:v>
      </x:c>
      <x:c r="H2743" s="14" t="n">
        <x:f>F2743/G2743-1</x:f>
        <x:v>-0.037533568645412574</x:v>
      </x:c>
      <x:c r="I2743" s="14" t="n">
        <x:f>F2743/F2742-1</x:f>
        <x:v>0</x:v>
      </x:c>
      <x:c r="J2743" s="12" t="n">
        <x:v>0</x:v>
      </x:c>
      <x:c r="K2743" s="12" t="n">
        <x:v>0</x:v>
      </x:c>
      <x:c r="L2743" s="12" t="n">
        <x:v>0</x:v>
      </x:c>
      <x:c r="M2743" s="2" t="str">
        <x:v>空仓</x:v>
      </x:c>
    </x:row>
    <x:row r="2744" ht="23" customHeight="1">
      <x:c r="A2744" s="11" t="d">
        <x:v>2025-11-20T00:00:00.000Z</x:v>
      </x:c>
      <x:c r="B2744" s="12" t="n">
        <x:v>162378.327929</x:v>
      </x:c>
      <x:c r="C2744" s="13" t="n">
        <x:v>0</x:v>
      </x:c>
      <x:c r="D2744" s="12" t="n">
        <x:v>0</x:v>
      </x:c>
      <x:c r="E2744" s="12" t="n">
        <x:v>0</x:v>
      </x:c>
      <x:c r="F2744" s="12" t="n">
        <x:f>SUM(B2744,D2744:E2744)</x:f>
        <x:v>162378.327929</x:v>
      </x:c>
      <x:c r="G2744" s="12" t="n">
        <x:f>MAX(G2743,F2744)</x:f>
        <x:v>168710.64032900002</x:v>
      </x:c>
      <x:c r="H2744" s="14" t="n">
        <x:f>F2744/G2744-1</x:f>
        <x:v>-0.037533568645412574</x:v>
      </x:c>
      <x:c r="I2744" s="14" t="n">
        <x:f>F2744/F2743-1</x:f>
        <x:v>0</x:v>
      </x:c>
      <x:c r="J2744" s="12" t="n">
        <x:v>0</x:v>
      </x:c>
      <x:c r="K2744" s="12" t="n">
        <x:v>0</x:v>
      </x:c>
      <x:c r="L2744" s="12" t="n">
        <x:v>0</x:v>
      </x:c>
      <x:c r="M2744" s="2" t="str">
        <x:v>空仓</x:v>
      </x:c>
    </x:row>
    <x:row r="2745" ht="23" customHeight="1">
      <x:c r="A2745" s="11" t="d">
        <x:v>2025-11-21T00:00:00.000Z</x:v>
      </x:c>
      <x:c r="B2745" s="12" t="n">
        <x:v>162378.327929</x:v>
      </x:c>
      <x:c r="C2745" s="13" t="n">
        <x:v>0</x:v>
      </x:c>
      <x:c r="D2745" s="12" t="n">
        <x:v>0</x:v>
      </x:c>
      <x:c r="E2745" s="12" t="n">
        <x:v>0</x:v>
      </x:c>
      <x:c r="F2745" s="12" t="n">
        <x:f>SUM(B2745,D2745:E2745)</x:f>
        <x:v>162378.327929</x:v>
      </x:c>
      <x:c r="G2745" s="12" t="n">
        <x:f>MAX(G2744,F2745)</x:f>
        <x:v>168710.64032900002</x:v>
      </x:c>
      <x:c r="H2745" s="14" t="n">
        <x:f>F2745/G2745-1</x:f>
        <x:v>-0.037533568645412574</x:v>
      </x:c>
      <x:c r="I2745" s="14" t="n">
        <x:f>F2745/F2744-1</x:f>
        <x:v>0</x:v>
      </x:c>
      <x:c r="J2745" s="12" t="n">
        <x:v>0</x:v>
      </x:c>
      <x:c r="K2745" s="12" t="n">
        <x:v>0</x:v>
      </x:c>
      <x:c r="L2745" s="12" t="n">
        <x:v>0</x:v>
      </x:c>
      <x:c r="M2745" s="2" t="str">
        <x:v>空仓</x:v>
      </x:c>
    </x:row>
    <x:row r="2746" ht="23" customHeight="1">
      <x:c r="A2746" s="11" t="d">
        <x:v>2025-11-24T00:00:00.000Z</x:v>
      </x:c>
      <x:c r="B2746" s="12" t="n">
        <x:v>162378.327929</x:v>
      </x:c>
      <x:c r="C2746" s="13" t="n">
        <x:v>0</x:v>
      </x:c>
      <x:c r="D2746" s="12" t="n">
        <x:v>0</x:v>
      </x:c>
      <x:c r="E2746" s="12" t="n">
        <x:v>0</x:v>
      </x:c>
      <x:c r="F2746" s="12" t="n">
        <x:f>SUM(B2746,D2746:E2746)</x:f>
        <x:v>162378.327929</x:v>
      </x:c>
      <x:c r="G2746" s="12" t="n">
        <x:f>MAX(G2745,F2746)</x:f>
        <x:v>168710.64032900002</x:v>
      </x:c>
      <x:c r="H2746" s="14" t="n">
        <x:f>F2746/G2746-1</x:f>
        <x:v>-0.037533568645412574</x:v>
      </x:c>
      <x:c r="I2746" s="14" t="n">
        <x:f>F2746/F2745-1</x:f>
        <x:v>0</x:v>
      </x:c>
      <x:c r="J2746" s="12" t="n">
        <x:v>0</x:v>
      </x:c>
      <x:c r="K2746" s="12" t="n">
        <x:v>0</x:v>
      </x:c>
      <x:c r="L2746" s="12" t="n">
        <x:v>0</x:v>
      </x:c>
      <x:c r="M2746" s="2" t="str">
        <x:v>空仓</x:v>
      </x:c>
    </x:row>
    <x:row r="2747" ht="23" customHeight="1">
      <x:c r="A2747" s="11" t="d">
        <x:v>2025-11-25T00:00:00.000Z</x:v>
      </x:c>
      <x:c r="B2747" s="12" t="n">
        <x:v>162378.327929</x:v>
      </x:c>
      <x:c r="C2747" s="13" t="n">
        <x:v>0</x:v>
      </x:c>
      <x:c r="D2747" s="12" t="n">
        <x:v>0</x:v>
      </x:c>
      <x:c r="E2747" s="12" t="n">
        <x:v>0</x:v>
      </x:c>
      <x:c r="F2747" s="12" t="n">
        <x:f>SUM(B2747,D2747:E2747)</x:f>
        <x:v>162378.327929</x:v>
      </x:c>
      <x:c r="G2747" s="12" t="n">
        <x:f>MAX(G2746,F2747)</x:f>
        <x:v>168710.64032900002</x:v>
      </x:c>
      <x:c r="H2747" s="14" t="n">
        <x:f>F2747/G2747-1</x:f>
        <x:v>-0.037533568645412574</x:v>
      </x:c>
      <x:c r="I2747" s="14" t="n">
        <x:f>F2747/F2746-1</x:f>
        <x:v>0</x:v>
      </x:c>
      <x:c r="J2747" s="12" t="n">
        <x:v>0</x:v>
      </x:c>
      <x:c r="K2747" s="12" t="n">
        <x:v>0</x:v>
      </x:c>
      <x:c r="L2747" s="12" t="n">
        <x:v>0</x:v>
      </x:c>
      <x:c r="M2747" s="2" t="str">
        <x:v>空仓</x:v>
      </x:c>
    </x:row>
    <x:row r="2748" ht="23" customHeight="1">
      <x:c r="A2748" s="11" t="d">
        <x:v>2025-11-26T00:00:00.000Z</x:v>
      </x:c>
      <x:c r="B2748" s="12" t="n">
        <x:v>262.804359</x:v>
      </x:c>
      <x:c r="C2748" s="13" t="n">
        <x:v>239</x:v>
      </x:c>
      <x:c r="D2748" s="12" t="n">
        <x:v>162443.52</x:v>
      </x:c>
      <x:c r="E2748" s="12" t="n">
        <x:v>0</x:v>
      </x:c>
      <x:c r="F2748" s="12" t="n">
        <x:f>SUM(B2748,D2748:E2748)</x:f>
        <x:v>162706.324359</x:v>
      </x:c>
      <x:c r="G2748" s="12" t="n">
        <x:f>MAX(G2747,F2748)</x:f>
        <x:v>168710.64032900002</x:v>
      </x:c>
      <x:c r="H2748" s="14" t="n">
        <x:f>F2748/G2748-1</x:f>
        <x:v>-0.03558943264213277</x:v>
      </x:c>
      <x:c r="I2748" s="14" t="n">
        <x:f>F2748/F2747-1</x:f>
        <x:v>0.0020199520107351265</x:v>
      </x:c>
      <x:c r="J2748" s="12" t="n">
        <x:v>0</x:v>
      </x:c>
      <x:c r="K2748" s="12" t="n">
        <x:v>0</x:v>
      </x:c>
      <x:c r="L2748" s="12" t="n">
        <x:v>239</x:v>
      </x:c>
      <x:c r="M2748" s="2" t="str">
        <x:v>买入</x:v>
      </x:c>
    </x:row>
    <x:row r="2749" ht="23" customHeight="1">
      <x:c r="A2749" s="11" t="d">
        <x:v>2025-11-28T00:00:00.000Z</x:v>
      </x:c>
      <x:c r="B2749" s="12" t="n">
        <x:v>262.804359</x:v>
      </x:c>
      <x:c r="C2749" s="13" t="n">
        <x:v>239</x:v>
      </x:c>
      <x:c r="D2749" s="12" t="n">
        <x:v>163330.21</x:v>
      </x:c>
      <x:c r="E2749" s="12" t="n">
        <x:v>0</x:v>
      </x:c>
      <x:c r="F2749" s="12" t="n">
        <x:f>SUM(B2749,D2749:E2749)</x:f>
        <x:v>163593.014359</x:v>
      </x:c>
      <x:c r="G2749" s="12" t="n">
        <x:f>MAX(G2748,F2749)</x:f>
        <x:v>168710.64032900002</x:v>
      </x:c>
      <x:c r="H2749" s="14" t="n">
        <x:f>F2749/G2749-1</x:f>
        <x:v>-0.03033374753376683</x:v>
      </x:c>
      <x:c r="I2749" s="14" t="n">
        <x:f>F2749/F2748-1</x:f>
        <x:v>0.005449634508635226</x:v>
      </x:c>
      <x:c r="J2749" s="12" t="n">
        <x:v>0</x:v>
      </x:c>
      <x:c r="K2749" s="12" t="n">
        <x:v>0</x:v>
      </x:c>
      <x:c r="L2749" s="12" t="n">
        <x:v>0</x:v>
      </x:c>
      <x:c r="M2749" s="2" t="str">
        <x:v>持有</x:v>
      </x:c>
    </x:row>
    <x:row r="2750" ht="23" customHeight="1">
      <x:c r="A2750" s="11" t="d">
        <x:v>2025-12-01T00:00:00.000Z</x:v>
      </x:c>
      <x:c r="B2750" s="12" t="n">
        <x:v>262.804359</x:v>
      </x:c>
      <x:c r="C2750" s="13" t="n">
        <x:v>239</x:v>
      </x:c>
      <x:c r="D2750" s="12" t="n">
        <x:v>162584.53</x:v>
      </x:c>
      <x:c r="E2750" s="12" t="n">
        <x:v>0</x:v>
      </x:c>
      <x:c r="F2750" s="12" t="n">
        <x:f>SUM(B2750,D2750:E2750)</x:f>
        <x:v>162847.334359</x:v>
      </x:c>
      <x:c r="G2750" s="12" t="n">
        <x:f>MAX(G2749,F2750)</x:f>
        <x:v>168710.64032900002</x:v>
      </x:c>
      <x:c r="H2750" s="14" t="n">
        <x:f>F2750/G2750-1</x:f>
        <x:v>-0.03475362288096395</x:v>
      </x:c>
      <x:c r="I2750" s="14" t="n">
        <x:f>F2750/F2749-1</x:f>
        <x:v>-0.004558140840681735</x:v>
      </x:c>
      <x:c r="J2750" s="12" t="n">
        <x:v>0</x:v>
      </x:c>
      <x:c r="K2750" s="12" t="n">
        <x:v>0</x:v>
      </x:c>
      <x:c r="L2750" s="12" t="n">
        <x:v>0</x:v>
      </x:c>
      <x:c r="M2750" s="2" t="str">
        <x:v>持有</x:v>
      </x:c>
    </x:row>
    <x:row r="2751" ht="23" customHeight="1">
      <x:c r="A2751" s="11" t="d">
        <x:v>2025-12-02T00:00:00.000Z</x:v>
      </x:c>
      <x:c r="B2751" s="12" t="n">
        <x:v>262.804359</x:v>
      </x:c>
      <x:c r="C2751" s="13" t="n">
        <x:v>239</x:v>
      </x:c>
      <x:c r="D2751" s="12" t="n">
        <x:v>162885.66999999998</x:v>
      </x:c>
      <x:c r="E2751" s="12" t="n">
        <x:v>0</x:v>
      </x:c>
      <x:c r="F2751" s="12" t="n">
        <x:f>SUM(B2751,D2751:E2751)</x:f>
        <x:v>163148.47435899999</x:v>
      </x:c>
      <x:c r="G2751" s="12" t="n">
        <x:f>MAX(G2750,F2751)</x:f>
        <x:v>168710.64032900002</x:v>
      </x:c>
      <x:c r="H2751" s="14" t="n">
        <x:f>F2751/G2751-1</x:f>
        <x:v>-0.032968673221518974</x:v>
      </x:c>
      <x:c r="I2751" s="14" t="n">
        <x:f>F2751/F2750-1</x:f>
        <x:v>0.0018492166370749352</x:v>
      </x:c>
      <x:c r="J2751" s="12" t="n">
        <x:v>0</x:v>
      </x:c>
      <x:c r="K2751" s="12" t="n">
        <x:v>0</x:v>
      </x:c>
      <x:c r="L2751" s="12" t="n">
        <x:v>0</x:v>
      </x:c>
      <x:c r="M2751" s="2" t="str">
        <x:v>持有</x:v>
      </x:c>
    </x:row>
    <x:row r="2752" ht="23" customHeight="1">
      <x:c r="A2752" s="11" t="d">
        <x:v>2025-12-03T00:00:00.000Z</x:v>
      </x:c>
      <x:c r="B2752" s="12" t="n">
        <x:v>262.804359</x:v>
      </x:c>
      <x:c r="C2752" s="13" t="n">
        <x:v>239</x:v>
      </x:c>
      <x:c r="D2752" s="12" t="n">
        <x:v>163449.71</x:v>
      </x:c>
      <x:c r="E2752" s="12" t="n">
        <x:v>0</x:v>
      </x:c>
      <x:c r="F2752" s="12" t="n">
        <x:f>SUM(B2752,D2752:E2752)</x:f>
        <x:v>163712.514359</x:v>
      </x:c>
      <x:c r="G2752" s="12" t="n">
        <x:f>MAX(G2751,F2752)</x:f>
        <x:v>168710.64032900002</x:v>
      </x:c>
      <x:c r="H2752" s="14" t="n">
        <x:f>F2752/G2752-1</x:f>
        <x:v>-0.029625434176844156</x:v>
      </x:c>
      <x:c r="I2752" s="14" t="n">
        <x:f>F2752/F2751-1</x:f>
        <x:v>0.0034572189670549758</x:v>
      </x:c>
      <x:c r="J2752" s="12" t="n">
        <x:v>0</x:v>
      </x:c>
      <x:c r="K2752" s="12" t="n">
        <x:v>0</x:v>
      </x:c>
      <x:c r="L2752" s="12" t="n">
        <x:v>0</x:v>
      </x:c>
      <x:c r="M2752" s="2" t="str">
        <x:v>持有</x:v>
      </x:c>
    </x:row>
    <x:row r="2753" ht="23" customHeight="1">
      <x:c r="A2753" s="11" t="d">
        <x:v>2025-12-04T00:00:00.000Z</x:v>
      </x:c>
      <x:c r="B2753" s="12" t="n">
        <x:v>262.804359</x:v>
      </x:c>
      <x:c r="C2753" s="13" t="n">
        <x:v>239</x:v>
      </x:c>
      <x:c r="D2753" s="12" t="n">
        <x:v>163569.21</x:v>
      </x:c>
      <x:c r="E2753" s="12" t="n">
        <x:v>0</x:v>
      </x:c>
      <x:c r="F2753" s="12" t="n">
        <x:f>SUM(B2753,D2753:E2753)</x:f>
        <x:v>163832.014359</x:v>
      </x:c>
      <x:c r="G2753" s="12" t="n">
        <x:f>MAX(G2752,F2753)</x:f>
        <x:v>168710.64032900002</x:v>
      </x:c>
      <x:c r="H2753" s="14" t="n">
        <x:f>F2753/G2753-1</x:f>
        <x:v>-0.028917120819921593</x:v>
      </x:c>
      <x:c r="I2753" s="14" t="n">
        <x:f>F2753/F2752-1</x:f>
        <x:v>0.0007299380897538565</x:v>
      </x:c>
      <x:c r="J2753" s="12" t="n">
        <x:v>0</x:v>
      </x:c>
      <x:c r="K2753" s="12" t="n">
        <x:v>0</x:v>
      </x:c>
      <x:c r="L2753" s="12" t="n">
        <x:v>0</x:v>
      </x:c>
      <x:c r="M2753" s="2" t="str">
        <x:v>持有</x:v>
      </x:c>
    </x:row>
    <x:row r="2754" ht="23" customHeight="1">
      <x:c r="A2754" s="11" t="d">
        <x:v>2025-12-05T00:00:00.000Z</x:v>
      </x:c>
      <x:c r="B2754" s="12" t="n">
        <x:v>262.804359</x:v>
      </x:c>
      <x:c r="C2754" s="13" t="n">
        <x:v>239</x:v>
      </x:c>
      <x:c r="D2754" s="12" t="n">
        <x:v>163879.91</x:v>
      </x:c>
      <x:c r="E2754" s="12" t="n">
        <x:v>0</x:v>
      </x:c>
      <x:c r="F2754" s="12" t="n">
        <x:f>SUM(B2754,D2754:E2754)</x:f>
        <x:v>164142.714359</x:v>
      </x:c>
      <x:c r="G2754" s="12" t="n">
        <x:f>MAX(G2753,F2754)</x:f>
        <x:v>168710.64032900002</x:v>
      </x:c>
      <x:c r="H2754" s="14" t="n">
        <x:f>F2754/G2754-1</x:f>
        <x:v>-0.027075506091922663</x:v>
      </x:c>
      <x:c r="I2754" s="14" t="n">
        <x:f>F2754/F2753-1</x:f>
        <x:v>0.0018964547388105046</x:v>
      </x:c>
      <x:c r="J2754" s="12" t="n">
        <x:v>0</x:v>
      </x:c>
      <x:c r="K2754" s="12" t="n">
        <x:v>0</x:v>
      </x:c>
      <x:c r="L2754" s="12" t="n">
        <x:v>0</x:v>
      </x:c>
      <x:c r="M2754" s="2" t="str">
        <x:v>持有</x:v>
      </x:c>
    </x:row>
    <x:row r="2755" ht="23" customHeight="1">
      <x:c r="A2755" s="11" t="d">
        <x:v>2025-12-08T00:00:00.000Z</x:v>
      </x:c>
      <x:c r="B2755" s="12" t="n">
        <x:v>262.804359</x:v>
      </x:c>
      <x:c r="C2755" s="13" t="n">
        <x:v>239</x:v>
      </x:c>
      <x:c r="D2755" s="12" t="n">
        <x:v>163387.57</x:v>
      </x:c>
      <x:c r="E2755" s="12" t="n">
        <x:v>0</x:v>
      </x:c>
      <x:c r="F2755" s="12" t="n">
        <x:f>SUM(B2755,D2755:E2755)</x:f>
        <x:v>163650.374359</x:v>
      </x:c>
      <x:c r="G2755" s="12" t="n">
        <x:f>MAX(G2754,F2755)</x:f>
        <x:v>168710.64032900002</x:v>
      </x:c>
      <x:c r="H2755" s="14" t="n">
        <x:f>F2755/G2755-1</x:f>
        <x:v>-0.029993757122443898</x:v>
      </x:c>
      <x:c r="I2755" s="14" t="n">
        <x:f>F2755/F2754-1</x:f>
        <x:v>-0.002999463009507597</x:v>
      </x:c>
      <x:c r="J2755" s="12" t="n">
        <x:v>0</x:v>
      </x:c>
      <x:c r="K2755" s="12" t="n">
        <x:v>0</x:v>
      </x:c>
      <x:c r="L2755" s="12" t="n">
        <x:v>0</x:v>
      </x:c>
      <x:c r="M2755" s="2" t="str">
        <x:v>持有</x:v>
      </x:c>
    </x:row>
    <x:row r="2756" ht="23" customHeight="1">
      <x:c r="A2756" s="11" t="d">
        <x:v>2025-12-09T00:00:00.000Z</x:v>
      </x:c>
      <x:c r="B2756" s="12" t="n">
        <x:v>262.804359</x:v>
      </x:c>
      <x:c r="C2756" s="13" t="n">
        <x:v>239</x:v>
      </x:c>
      <x:c r="D2756" s="12" t="n">
        <x:v>163246.56</x:v>
      </x:c>
      <x:c r="E2756" s="12" t="n">
        <x:v>0</x:v>
      </x:c>
      <x:c r="F2756" s="12" t="n">
        <x:f>SUM(B2756,D2756:E2756)</x:f>
        <x:v>163509.364359</x:v>
      </x:c>
      <x:c r="G2756" s="12" t="n">
        <x:f>MAX(G2755,F2756)</x:f>
        <x:v>168710.64032900002</x:v>
      </x:c>
      <x:c r="H2756" s="14" t="n">
        <x:f>F2756/G2756-1</x:f>
        <x:v>-0.030829566883612602</x:v>
      </x:c>
      <x:c r="I2756" s="14" t="n">
        <x:f>F2756/F2755-1</x:f>
        <x:v>-0.0008616540020291996</x:v>
      </x:c>
      <x:c r="J2756" s="12" t="n">
        <x:v>0</x:v>
      </x:c>
      <x:c r="K2756" s="12" t="n">
        <x:v>0</x:v>
      </x:c>
      <x:c r="L2756" s="12" t="n">
        <x:v>0</x:v>
      </x:c>
      <x:c r="M2756" s="2" t="str">
        <x:v>持有</x:v>
      </x:c>
    </x:row>
    <x:row r="2757" ht="23" customHeight="1">
      <x:c r="A2757" s="11" t="d">
        <x:v>2025-12-10T00:00:00.000Z</x:v>
      </x:c>
      <x:c r="B2757" s="12" t="n">
        <x:v>262.804359</x:v>
      </x:c>
      <x:c r="C2757" s="13" t="n">
        <x:v>239</x:v>
      </x:c>
      <x:c r="D2757" s="12" t="n">
        <x:v>164329.23</x:v>
      </x:c>
      <x:c r="E2757" s="12" t="n">
        <x:v>0</x:v>
      </x:c>
      <x:c r="F2757" s="12" t="n">
        <x:f>SUM(B2757,D2757:E2757)</x:f>
        <x:v>164592.034359</x:v>
      </x:c>
      <x:c r="G2757" s="12" t="n">
        <x:f>MAX(G2756,F2757)</x:f>
        <x:v>168710.64032900002</x:v>
      </x:c>
      <x:c r="H2757" s="14" t="n">
        <x:f>F2757/G2757-1</x:f>
        <x:v>-0.02441224786989349</x:v>
      </x:c>
      <x:c r="I2757" s="14" t="n">
        <x:f>F2757/F2756-1</x:f>
        <x:v>0.006621455622706218</x:v>
      </x:c>
      <x:c r="J2757" s="12" t="n">
        <x:v>0</x:v>
      </x:c>
      <x:c r="K2757" s="12" t="n">
        <x:v>0</x:v>
      </x:c>
      <x:c r="L2757" s="12" t="n">
        <x:v>0</x:v>
      </x:c>
      <x:c r="M2757" s="2" t="str">
        <x:v>持有</x:v>
      </x:c>
    </x:row>
    <x:row r="2758" ht="23" customHeight="1">
      <x:c r="A2758" s="11" t="d">
        <x:v>2025-12-11T00:00:00.000Z</x:v>
      </x:c>
      <x:c r="B2758" s="12" t="n">
        <x:v>262.804359</x:v>
      </x:c>
      <x:c r="C2758" s="13" t="n">
        <x:v>239</x:v>
      </x:c>
      <x:c r="D2758" s="12" t="n">
        <x:v>164711.63</x:v>
      </x:c>
      <x:c r="E2758" s="12" t="n">
        <x:v>0</x:v>
      </x:c>
      <x:c r="F2758" s="12" t="n">
        <x:f>SUM(B2758,D2758:E2758)</x:f>
        <x:v>164974.434359</x:v>
      </x:c>
      <x:c r="G2758" s="12" t="n">
        <x:f>MAX(G2757,F2758)</x:f>
        <x:v>168710.64032900002</x:v>
      </x:c>
      <x:c r="H2758" s="14" t="n">
        <x:f>F2758/G2758-1</x:f>
        <x:v>-0.022145645127741198</x:v>
      </x:c>
      <x:c r="I2758" s="14" t="n">
        <x:f>F2758/F2757-1</x:f>
        <x:v>0.002323320211025104</x:v>
      </x:c>
      <x:c r="J2758" s="12" t="n">
        <x:v>0</x:v>
      </x:c>
      <x:c r="K2758" s="12" t="n">
        <x:v>0</x:v>
      </x:c>
      <x:c r="L2758" s="12" t="n">
        <x:v>0</x:v>
      </x:c>
      <x:c r="M2758" s="2" t="str">
        <x:v>持有</x:v>
      </x:c>
    </x:row>
    <x:row r="2759" ht="23" customHeight="1">
      <x:c r="A2759" s="11" t="d">
        <x:v>2025-12-12T00:00:00.000Z</x:v>
      </x:c>
      <x:c r="B2759" s="12" t="n">
        <x:v>262.804359</x:v>
      </x:c>
      <x:c r="C2759" s="13" t="n">
        <x:v>239</x:v>
      </x:c>
      <x:c r="D2759" s="12" t="n">
        <x:v>162940.63999999998</x:v>
      </x:c>
      <x:c r="E2759" s="12" t="n">
        <x:v>0</x:v>
      </x:c>
      <x:c r="F2759" s="12" t="n">
        <x:f>SUM(B2759,D2759:E2759)</x:f>
        <x:v>163203.444359</x:v>
      </x:c>
      <x:c r="G2759" s="12" t="n">
        <x:f>MAX(G2758,F2759)</x:f>
        <x:v>168710.64032900002</x:v>
      </x:c>
      <x:c r="H2759" s="14" t="n">
        <x:f>F2759/G2759-1</x:f>
        <x:v>-0.03264284907733461</x:v>
      </x:c>
      <x:c r="I2759" s="14" t="n">
        <x:f>F2759/F2758-1</x:f>
        <x:v>-0.01073493603345943</x:v>
      </x:c>
      <x:c r="J2759" s="12" t="n">
        <x:v>0</x:v>
      </x:c>
      <x:c r="K2759" s="12" t="n">
        <x:v>0</x:v>
      </x:c>
      <x:c r="L2759" s="12" t="n">
        <x:v>0</x:v>
      </x:c>
      <x:c r="M2759" s="2" t="str">
        <x:v>持有</x:v>
      </x:c>
    </x:row>
    <x:row r="2760" ht="23" customHeight="1">
      <x:c r="A2760" s="11" t="d">
        <x:v>2025-12-15T00:00:00.000Z</x:v>
      </x:c>
      <x:c r="B2760" s="12" t="n">
        <x:v>262.804359</x:v>
      </x:c>
      <x:c r="C2760" s="13" t="n">
        <x:v>239</x:v>
      </x:c>
      <x:c r="D2760" s="12" t="n">
        <x:v>162694.47</x:v>
      </x:c>
      <x:c r="E2760" s="12" t="n">
        <x:v>0</x:v>
      </x:c>
      <x:c r="F2760" s="12" t="n">
        <x:f>SUM(B2760,D2760:E2760)</x:f>
        <x:v>162957.274359</x:v>
      </x:c>
      <x:c r="G2760" s="12" t="n">
        <x:f>MAX(G2759,F2760)</x:f>
        <x:v>168710.64032900002</x:v>
      </x:c>
      <x:c r="H2760" s="14" t="n">
        <x:f>F2760/G2760-1</x:f>
        <x:v>-0.03410197459259512</x:v>
      </x:c>
      <x:c r="I2760" s="14" t="n">
        <x:f>F2760/F2759-1</x:f>
        <x:v>-0.0015083627736340866</x:v>
      </x:c>
      <x:c r="J2760" s="12" t="n">
        <x:v>0</x:v>
      </x:c>
      <x:c r="K2760" s="12" t="n">
        <x:v>0</x:v>
      </x:c>
      <x:c r="L2760" s="12" t="n">
        <x:v>0</x:v>
      </x:c>
      <x:c r="M2760" s="2" t="str">
        <x:v>持有</x:v>
      </x:c>
    </x:row>
    <x:row r="2761" ht="23" customHeight="1">
      <x:c r="A2761" s="11" t="d">
        <x:v>2025-12-16T00:00:00.000Z</x:v>
      </x:c>
      <x:c r="B2761" s="12" t="n">
        <x:v>262.804359</x:v>
      </x:c>
      <x:c r="C2761" s="13" t="n">
        <x:v>239</x:v>
      </x:c>
      <x:c r="D2761" s="12" t="n">
        <x:v>162249.93</x:v>
      </x:c>
      <x:c r="E2761" s="12" t="n">
        <x:v>0</x:v>
      </x:c>
      <x:c r="F2761" s="12" t="n">
        <x:f>SUM(B2761,D2761:E2761)</x:f>
        <x:v>162512.734359</x:v>
      </x:c>
      <x:c r="G2761" s="12" t="n">
        <x:f>MAX(G2760,F2761)</x:f>
        <x:v>168710.64032900002</x:v>
      </x:c>
      <x:c r="H2761" s="14" t="n">
        <x:f>F2761/G2761-1</x:f>
        <x:v>-0.03673690028034737</x:v>
      </x:c>
      <x:c r="I2761" s="14" t="n">
        <x:f>F2761/F2760-1</x:f>
        <x:v>-0.002727954316544823</x:v>
      </x:c>
      <x:c r="J2761" s="12" t="n">
        <x:v>0</x:v>
      </x:c>
      <x:c r="K2761" s="12" t="n">
        <x:v>0</x:v>
      </x:c>
      <x:c r="L2761" s="12" t="n">
        <x:v>0</x:v>
      </x:c>
      <x:c r="M2761" s="2" t="str">
        <x:v>持有</x:v>
      </x:c>
    </x:row>
    <x:row r="2762" ht="23" customHeight="1">
      <x:c r="A2762" s="11" t="d">
        <x:v>2025-12-17T00:00:00.000Z</x:v>
      </x:c>
      <x:c r="B2762" s="12" t="n">
        <x:v>262.804359</x:v>
      </x:c>
      <x:c r="C2762" s="13" t="n">
        <x:v>239</x:v>
      </x:c>
      <x:c r="D2762" s="12" t="n">
        <x:v>160464.6</x:v>
      </x:c>
      <x:c r="E2762" s="12" t="n">
        <x:v>0</x:v>
      </x:c>
      <x:c r="F2762" s="12" t="n">
        <x:f>SUM(B2762,D2762:E2762)</x:f>
        <x:v>160727.404359</x:v>
      </x:c>
      <x:c r="G2762" s="12" t="n">
        <x:f>MAX(G2761,F2762)</x:f>
        <x:v>168710.64032900002</x:v>
      </x:c>
      <x:c r="H2762" s="14" t="n">
        <x:f>F2762/G2762-1</x:f>
        <x:v>-0.047319101832771326</x:v>
      </x:c>
      <x:c r="I2762" s="14" t="n">
        <x:f>F2762/F2761-1</x:f>
        <x:v>-0.010985785249641333</x:v>
      </x:c>
      <x:c r="J2762" s="12" t="n">
        <x:v>0</x:v>
      </x:c>
      <x:c r="K2762" s="12" t="n">
        <x:v>0</x:v>
      </x:c>
      <x:c r="L2762" s="12" t="n">
        <x:v>0</x:v>
      </x:c>
      <x:c r="M2762" s="2" t="str">
        <x:v>持有</x:v>
      </x:c>
    </x:row>
    <x:row r="2763" ht="23" customHeight="1">
      <x:c r="A2763" s="11" t="d">
        <x:v>2025-12-18T00:00:00.000Z</x:v>
      </x:c>
      <x:c r="B2763" s="12" t="n">
        <x:v>162047.257959</x:v>
      </x:c>
      <x:c r="C2763" s="13" t="n">
        <x:v>0</x:v>
      </x:c>
      <x:c r="D2763" s="12" t="n">
        <x:v>0</x:v>
      </x:c>
      <x:c r="E2763" s="12" t="n">
        <x:v>0</x:v>
      </x:c>
      <x:c r="F2763" s="12" t="n">
        <x:f>SUM(B2763,D2763:E2763)</x:f>
        <x:v>162047.257959</x:v>
      </x:c>
      <x:c r="G2763" s="12" t="n">
        <x:f>MAX(G2762,F2763)</x:f>
        <x:v>168710.64032900002</x:v>
      </x:c>
      <x:c r="H2763" s="14" t="n">
        <x:f>F2763/G2763-1</x:f>
        <x:v>-0.0394959224682323</x:v>
      </x:c>
      <x:c r="I2763" s="14" t="n">
        <x:f>F2763/F2762-1</x:f>
        <x:v>0.00821175209830427</x:v>
      </x:c>
      <x:c r="J2763" s="12" t="n">
        <x:v>0</x:v>
      </x:c>
      <x:c r="K2763" s="12" t="n">
        <x:v>0</x:v>
      </x:c>
      <x:c r="L2763" s="12" t="n">
        <x:v>-239</x:v>
      </x:c>
      <x:c r="M2763" s="2" t="str">
        <x:v>卖出</x:v>
      </x:c>
    </x:row>
    <x:row r="2764" ht="23" customHeight="1">
      <x:c r="A2764" s="11" t="d">
        <x:v>2025-12-19T00:00:00.000Z</x:v>
      </x:c>
      <x:c r="B2764" s="12" t="n">
        <x:v>180.542949</x:v>
      </x:c>
      <x:c r="C2764" s="13" t="n">
        <x:v>239</x:v>
      </x:c>
      <x:c r="D2764" s="12" t="n">
        <x:v>162661.01</x:v>
      </x:c>
      <x:c r="E2764" s="12" t="n">
        <x:v>0</x:v>
      </x:c>
      <x:c r="F2764" s="12" t="n">
        <x:f>SUM(B2764,D2764:E2764)</x:f>
        <x:v>162841.552949</x:v>
      </x:c>
      <x:c r="G2764" s="12" t="n">
        <x:f>MAX(G2763,F2764)</x:f>
        <x:v>168710.64032900002</x:v>
      </x:c>
      <x:c r="H2764" s="14" t="n">
        <x:f>F2764/G2764-1</x:f>
        <x:v>-0.03478789108117186</x:v>
      </x:c>
      <x:c r="I2764" s="14" t="n">
        <x:f>F2764/F2763-1</x:f>
        <x:v>0.004901625612208527</x:v>
      </x:c>
      <x:c r="J2764" s="12" t="n">
        <x:v>0</x:v>
      </x:c>
      <x:c r="K2764" s="12" t="n">
        <x:v>0</x:v>
      </x:c>
      <x:c r="L2764" s="12" t="n">
        <x:v>239</x:v>
      </x:c>
      <x:c r="M2764" s="2" t="str">
        <x:v>买入</x:v>
      </x:c>
    </x:row>
    <x:row r="2765" ht="23" customHeight="1">
      <x:c r="A2765" s="11" t="d">
        <x:v>2025-12-22T00:00:00.000Z</x:v>
      </x:c>
      <x:c r="B2765" s="12" t="n">
        <x:v>180.542949</x:v>
      </x:c>
      <x:c r="C2765" s="13" t="n">
        <x:v>239</x:v>
      </x:c>
      <x:c r="D2765" s="12" t="n">
        <x:v>163674.37</x:v>
      </x:c>
      <x:c r="E2765" s="12" t="n">
        <x:v>0</x:v>
      </x:c>
      <x:c r="F2765" s="12" t="n">
        <x:f>SUM(B2765,D2765:E2765)</x:f>
        <x:v>163854.912949</x:v>
      </x:c>
      <x:c r="G2765" s="12" t="n">
        <x:f>MAX(G2764,F2765)</x:f>
        <x:v>168710.64032900002</x:v>
      </x:c>
      <x:c r="H2765" s="14" t="n">
        <x:f>F2765/G2765-1</x:f>
        <x:v>-0.028781393814468093</x:v>
      </x:c>
      <x:c r="I2765" s="14" t="n">
        <x:f>F2765/F2764-1</x:f>
        <x:v>0.006222981675428674</x:v>
      </x:c>
      <x:c r="J2765" s="12" t="n">
        <x:v>0</x:v>
      </x:c>
      <x:c r="K2765" s="12" t="n">
        <x:v>0</x:v>
      </x:c>
      <x:c r="L2765" s="12" t="n">
        <x:v>0</x:v>
      </x:c>
      <x:c r="M2765" s="2" t="str">
        <x:v>持有</x:v>
      </x:c>
    </x:row>
    <x:row r="2766" ht="23" customHeight="1">
      <x:c r="A2766" s="11" t="d">
        <x:v>2025-12-23T00:00:00.000Z</x:v>
      </x:c>
      <x:c r="B2766" s="12" t="n">
        <x:v>180.542949</x:v>
      </x:c>
      <x:c r="C2766" s="13" t="n">
        <x:v>239</x:v>
      </x:c>
      <x:c r="D2766" s="12" t="n">
        <x:v>164422.44</x:v>
      </x:c>
      <x:c r="E2766" s="12" t="n">
        <x:v>0</x:v>
      </x:c>
      <x:c r="F2766" s="12" t="n">
        <x:f>SUM(B2766,D2766:E2766)</x:f>
        <x:v>164602.982949</x:v>
      </x:c>
      <x:c r="G2766" s="12" t="n">
        <x:f>MAX(G2765,F2766)</x:f>
        <x:v>168710.64032900002</x:v>
      </x:c>
      <x:c r="H2766" s="14" t="n">
        <x:f>F2766/G2766-1</x:f>
        <x:v>-0.0243473522001324</x:v>
      </x:c>
      <x:c r="I2766" s="14" t="n">
        <x:f>F2766/F2765-1</x:f>
        <x:v>0.004565441380649071</x:v>
      </x:c>
      <x:c r="J2766" s="12" t="n">
        <x:v>0</x:v>
      </x:c>
      <x:c r="K2766" s="12" t="n">
        <x:v>0</x:v>
      </x:c>
      <x:c r="L2766" s="12" t="n">
        <x:v>0</x:v>
      </x:c>
      <x:c r="M2766" s="2" t="str">
        <x:v>持有</x:v>
      </x:c>
    </x:row>
    <x:row r="2767" ht="23" customHeight="1">
      <x:c r="A2767" s="11" t="d">
        <x:v>2025-12-24T00:00:00.000Z</x:v>
      </x:c>
      <x:c r="B2767" s="12" t="n">
        <x:v>180.542949</x:v>
      </x:c>
      <x:c r="C2767" s="13" t="n">
        <x:v>239</x:v>
      </x:c>
      <x:c r="D2767" s="12" t="n">
        <x:v>165000.82</x:v>
      </x:c>
      <x:c r="E2767" s="12" t="n">
        <x:v>0</x:v>
      </x:c>
      <x:c r="F2767" s="12" t="n">
        <x:f>SUM(B2767,D2767:E2767)</x:f>
        <x:v>165181.362949</x:v>
      </x:c>
      <x:c r="G2767" s="12" t="n">
        <x:f>MAX(G2766,F2767)</x:f>
        <x:v>168710.64032900002</x:v>
      </x:c>
      <x:c r="H2767" s="14" t="n">
        <x:f>F2767/G2767-1</x:f>
        <x:v>-0.02091911555262682</x:v>
      </x:c>
      <x:c r="I2767" s="14" t="n">
        <x:f>F2767/F2766-1</x:f>
        <x:v>0.0035137880835318658</x:v>
      </x:c>
      <x:c r="J2767" s="12" t="n">
        <x:v>0</x:v>
      </x:c>
      <x:c r="K2767" s="12" t="n">
        <x:v>0</x:v>
      </x:c>
      <x:c r="L2767" s="12" t="n">
        <x:v>0</x:v>
      </x:c>
      <x:c r="M2767" s="2" t="str">
        <x:v>持有</x:v>
      </x:c>
    </x:row>
    <x:row r="2768" ht="23" customHeight="1">
      <x:c r="A2768" s="11" t="d">
        <x:v>2025-12-26T00:00:00.000Z</x:v>
      </x:c>
      <x:c r="B2768" s="12" t="n">
        <x:v>180.542949</x:v>
      </x:c>
      <x:c r="C2768" s="13" t="n">
        <x:v>239</x:v>
      </x:c>
      <x:c r="D2768" s="12" t="n">
        <x:v>164984.09</x:v>
      </x:c>
      <x:c r="E2768" s="12" t="n">
        <x:v>0</x:v>
      </x:c>
      <x:c r="F2768" s="12" t="n">
        <x:f>SUM(B2768,D2768:E2768)</x:f>
        <x:v>165164.632949</x:v>
      </x:c>
      <x:c r="G2768" s="12" t="n">
        <x:f>MAX(G2767,F2768)</x:f>
        <x:v>168710.64032900002</x:v>
      </x:c>
      <x:c r="H2768" s="14" t="n">
        <x:f>F2768/G2768-1</x:f>
        <x:v>-0.021018279422596042</x:v>
      </x:c>
      <x:c r="I2768" s="14" t="n">
        <x:f>F2768/F2767-1</x:f>
        <x:v>-0.00010128261264663596</x:v>
      </x:c>
      <x:c r="J2768" s="12" t="n">
        <x:v>0</x:v>
      </x:c>
      <x:c r="K2768" s="12" t="n">
        <x:v>0</x:v>
      </x:c>
      <x:c r="L2768" s="12" t="n">
        <x:v>0</x:v>
      </x:c>
      <x:c r="M2768" s="2" t="str">
        <x:v>持有</x:v>
      </x:c>
    </x:row>
    <x:row r="2769" ht="23" customHeight="1">
      <x:c r="A2769" s="11" t="d">
        <x:v>2025-12-29T00:00:00.000Z</x:v>
      </x:c>
      <x:c r="B2769" s="12" t="n">
        <x:v>180.542949</x:v>
      </x:c>
      <x:c r="C2769" s="13" t="n">
        <x:v>239</x:v>
      </x:c>
      <x:c r="D2769" s="12" t="n">
        <x:v>164396.15</x:v>
      </x:c>
      <x:c r="E2769" s="12" t="n">
        <x:v>0</x:v>
      </x:c>
      <x:c r="F2769" s="12" t="n">
        <x:f>SUM(B2769,D2769:E2769)</x:f>
        <x:v>164576.692949</x:v>
      </x:c>
      <x:c r="G2769" s="12" t="n">
        <x:f>MAX(G2768,F2769)</x:f>
        <x:v>168710.64032900002</x:v>
      </x:c>
      <x:c r="H2769" s="14" t="n">
        <x:f>F2769/G2769-1</x:f>
        <x:v>-0.02450318113865535</x:v>
      </x:c>
      <x:c r="I2769" s="14" t="n">
        <x:f>F2769/F2768-1</x:f>
        <x:v>-0.0035597209251302386</x:v>
      </x:c>
      <x:c r="J2769" s="12" t="n">
        <x:v>0</x:v>
      </x:c>
      <x:c r="K2769" s="12" t="n">
        <x:v>0</x:v>
      </x:c>
      <x:c r="L2769" s="12" t="n">
        <x:v>0</x:v>
      </x:c>
      <x:c r="M2769" s="2" t="str">
        <x:v>持有</x:v>
      </x:c>
    </x:row>
    <x:row r="2770" ht="23" customHeight="1">
      <x:c r="A2770" s="11" t="d">
        <x:v>2025-12-30T00:00:00.000Z</x:v>
      </x:c>
      <x:c r="B2770" s="12" t="n">
        <x:v>180.542949</x:v>
      </x:c>
      <x:c r="C2770" s="13" t="n">
        <x:v>239</x:v>
      </x:c>
      <x:c r="D2770" s="12" t="n">
        <x:v>164195.38999999998</x:v>
      </x:c>
      <x:c r="E2770" s="12" t="n">
        <x:v>0</x:v>
      </x:c>
      <x:c r="F2770" s="12" t="n">
        <x:f>SUM(B2770,D2770:E2770)</x:f>
        <x:v>164375.93294899998</x:v>
      </x:c>
      <x:c r="G2770" s="12" t="n">
        <x:f>MAX(G2769,F2770)</x:f>
        <x:v>168710.64032900002</x:v>
      </x:c>
      <x:c r="H2770" s="14" t="n">
        <x:f>F2770/G2770-1</x:f>
        <x:v>-0.025693147578285447</x:v>
      </x:c>
      <x:c r="I2770" s="14" t="n">
        <x:f>F2770/F2769-1</x:f>
        <x:v>-0.0012198568120591613</x:v>
      </x:c>
      <x:c r="J2770" s="12" t="n">
        <x:v>0</x:v>
      </x:c>
      <x:c r="K2770" s="12" t="n">
        <x:v>0</x:v>
      </x:c>
      <x:c r="L2770" s="12" t="n">
        <x:v>0</x:v>
      </x:c>
      <x:c r="M2770" s="2" t="str">
        <x:v>持有</x:v>
      </x:c>
    </x:row>
    <x:row r="2771" ht="23" customHeight="1">
      <x:c r="A2771" s="11" t="d">
        <x:v>2025-12-31T00:00:00.000Z</x:v>
      </x:c>
      <x:c r="B2771" s="12" t="n">
        <x:v>180.542949</x:v>
      </x:c>
      <x:c r="C2771" s="13" t="n">
        <x:v>239</x:v>
      </x:c>
      <x:c r="D2771" s="12" t="n">
        <x:v>162978.88</x:v>
      </x:c>
      <x:c r="E2771" s="12" t="n">
        <x:v>0</x:v>
      </x:c>
      <x:c r="F2771" s="12" t="n">
        <x:f>SUM(B2771,D2771:E2771)</x:f>
        <x:v>163159.422949</x:v>
      </x:c>
      <x:c r="G2771" s="12" t="n">
        <x:f>MAX(G2770,F2771)</x:f>
        <x:v>168710.64032900002</x:v>
      </x:c>
      <x:c r="H2771" s="14" t="n">
        <x:f>F2771/G2771-1</x:f>
        <x:v>-0.03290377755175766</x:v>
      </x:c>
      <x:c r="I2771" s="14" t="n">
        <x:f>F2771/F2770-1</x:f>
        <x:v>-0.00740077928791083</x:v>
      </x:c>
      <x:c r="J2771" s="12" t="n">
        <x:v>0</x:v>
      </x:c>
      <x:c r="K2771" s="12" t="n">
        <x:v>0</x:v>
      </x:c>
      <x:c r="L2771" s="12" t="n">
        <x:v>0</x:v>
      </x:c>
      <x:c r="M2771" s="2" t="str">
        <x:v>持有</x:v>
      </x:c>
    </x:row>
    <x:row r="2772" ht="23" customHeight="1">
      <x:c r="A2772" s="2"/>
      <x:c r="B2772" s="2"/>
      <x:c r="C2772" s="2"/>
      <x:c r="D2772" s="2"/>
      <x:c r="E2772" s="2"/>
      <x:c r="F2772" s="2"/>
      <x:c r="G2772" s="2"/>
      <x:c r="H2772" s="2"/>
      <x:c r="I2772" s="2"/>
      <x:c r="J2772" s="2"/>
      <x:c r="K2772" s="2"/>
      <x:c r="L2772" s="2"/>
      <x:c r="M277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4" t="str">
        <x:v>SPY教学案例 基准日权益 2015–2025年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5" t="str">
        <x:v>单位美元。市场价值为运行结果输入，权益与回撤为公式。原始行情由复现脚本另行获取。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10" t="str">
        <x:v>日期</x:v>
      </x:c>
      <x:c r="B5" s="10" t="str">
        <x:v>现金</x:v>
      </x:c>
      <x:c r="C5" s="10" t="str">
        <x:v>份额</x:v>
      </x:c>
      <x:c r="D5" s="10" t="str">
        <x:v>持仓市值</x:v>
      </x:c>
      <x:c r="E5" s="10" t="str">
        <x:v>应收分红</x:v>
      </x:c>
      <x:c r="F5" s="10" t="str">
        <x:v>权益</x:v>
      </x:c>
      <x:c r="G5" s="10" t="str">
        <x:v>累计高点</x:v>
      </x:c>
      <x:c r="H5" s="10" t="str">
        <x:v>回撤</x:v>
      </x:c>
      <x:c r="I5" s="10" t="str">
        <x:v>日收益率</x:v>
      </x:c>
      <x:c r="J5" s="10" t="str">
        <x:v>除息应收增加</x:v>
      </x:c>
      <x:c r="K5" s="10" t="str">
        <x:v>分红到账</x:v>
      </x:c>
      <x:c r="L5" s="10" t="str">
        <x:v>成交份额变化</x:v>
      </x:c>
      <x:c r="M5" s="10" t="str">
        <x:v>执行状态</x:v>
      </x:c>
    </x:row>
    <x:row r="6" ht="23" customHeight="1">
      <x:c r="A6" s="11" t="d">
        <x:v>2015-01-02T00:00:00.000Z</x:v>
      </x:c>
      <x:c r="B6" s="12" t="n">
        <x:v>12.19208</x:v>
      </x:c>
      <x:c r="C6" s="13" t="n">
        <x:v>484</x:v>
      </x:c>
      <x:c r="D6" s="12" t="n">
        <x:v>99428.12000000001</x:v>
      </x:c>
      <x:c r="E6" s="12" t="n">
        <x:v>0</x:v>
      </x:c>
      <x:c r="F6" s="12" t="n">
        <x:f>SUM(B6,D6:E6)</x:f>
        <x:v>99440.31208</x:v>
      </x:c>
      <x:c r="G6" s="12" t="n">
        <x:f>MAX(100000,F6)</x:f>
        <x:v>100000</x:v>
      </x:c>
      <x:c r="H6" s="14" t="n">
        <x:f>F6/G6-1</x:f>
        <x:v>-0.00559687919999996</x:v>
      </x:c>
      <x:c r="I6" s="14" t="n">
        <x:f>F6/100000-1</x:f>
        <x:v>-0.00559687919999996</x:v>
      </x:c>
      <x:c r="J6" s="12" t="n">
        <x:v>0</x:v>
      </x:c>
      <x:c r="K6" s="12" t="n">
        <x:v>0</x:v>
      </x:c>
      <x:c r="L6" s="12" t="n">
        <x:v>484</x:v>
      </x:c>
      <x:c r="M6" s="2" t="str">
        <x:v>买入</x:v>
      </x:c>
    </x:row>
    <x:row r="7" ht="23" customHeight="1">
      <x:c r="A7" s="11" t="d">
        <x:v>2015-01-05T00:00:00.000Z</x:v>
      </x:c>
      <x:c r="B7" s="12" t="n">
        <x:v>12.19208</x:v>
      </x:c>
      <x:c r="C7" s="13" t="n">
        <x:v>484</x:v>
      </x:c>
      <x:c r="D7" s="12" t="n">
        <x:v>97632.48</x:v>
      </x:c>
      <x:c r="E7" s="12" t="n">
        <x:v>0</x:v>
      </x:c>
      <x:c r="F7" s="12" t="n">
        <x:f>SUM(B7,D7:E7)</x:f>
        <x:v>97644.67207999999</x:v>
      </x:c>
      <x:c r="G7" s="12" t="n">
        <x:f>MAX(G6,F7)</x:f>
        <x:v>100000</x:v>
      </x:c>
      <x:c r="H7" s="14" t="n">
        <x:f>F7/G7-1</x:f>
        <x:v>-0.023553279200000055</x:v>
      </x:c>
      <x:c r="I7" s="14" t="n">
        <x:f>F7/F6-1</x:f>
        <x:v>-0.018057465452797627</x:v>
      </x:c>
      <x:c r="J7" s="12" t="n">
        <x:v>0</x:v>
      </x:c>
      <x:c r="K7" s="12" t="n">
        <x:v>0</x:v>
      </x:c>
      <x:c r="L7" s="12" t="n">
        <x:v>0</x:v>
      </x:c>
      <x:c r="M7" s="2" t="str">
        <x:v>持有</x:v>
      </x:c>
    </x:row>
    <x:row r="8" ht="23" customHeight="1">
      <x:c r="A8" s="11" t="d">
        <x:v>2015-01-06T00:00:00.000Z</x:v>
      </x:c>
      <x:c r="B8" s="12" t="n">
        <x:v>12.19208</x:v>
      </x:c>
      <x:c r="C8" s="13" t="n">
        <x:v>484</x:v>
      </x:c>
      <x:c r="D8" s="12" t="n">
        <x:v>96712.87999999999</x:v>
      </x:c>
      <x:c r="E8" s="12" t="n">
        <x:v>0</x:v>
      </x:c>
      <x:c r="F8" s="12" t="n">
        <x:f>SUM(B8,D8:E8)</x:f>
        <x:v>96725.07207999998</x:v>
      </x:c>
      <x:c r="G8" s="12" t="n">
        <x:f>MAX(G7,F8)</x:f>
        <x:v>100000</x:v>
      </x:c>
      <x:c r="H8" s="14" t="n">
        <x:f>F8/G8-1</x:f>
        <x:v>-0.03274927920000015</x:v>
      </x:c>
      <x:c r="I8" s="14" t="n">
        <x:f>F8/F7-1</x:f>
        <x:v>-0.009417820557035439</x:v>
      </x:c>
      <x:c r="J8" s="12" t="n">
        <x:v>0</x:v>
      </x:c>
      <x:c r="K8" s="12" t="n">
        <x:v>0</x:v>
      </x:c>
      <x:c r="L8" s="12" t="n">
        <x:v>0</x:v>
      </x:c>
      <x:c r="M8" s="2" t="str">
        <x:v>持有</x:v>
      </x:c>
    </x:row>
    <x:row r="9" ht="23" customHeight="1">
      <x:c r="A9" s="11" t="d">
        <x:v>2015-01-07T00:00:00.000Z</x:v>
      </x:c>
      <x:c r="B9" s="12" t="n">
        <x:v>12.19208</x:v>
      </x:c>
      <x:c r="C9" s="13" t="n">
        <x:v>484</x:v>
      </x:c>
      <x:c r="D9" s="12" t="n">
        <x:v>97918.04000000001</x:v>
      </x:c>
      <x:c r="E9" s="12" t="n">
        <x:v>0</x:v>
      </x:c>
      <x:c r="F9" s="12" t="n">
        <x:f>SUM(B9,D9:E9)</x:f>
        <x:v>97930.23208</x:v>
      </x:c>
      <x:c r="G9" s="12" t="n">
        <x:f>MAX(G8,F9)</x:f>
        <x:v>100000</x:v>
      </x:c>
      <x:c r="H9" s="14" t="n">
        <x:f>F9/G9-1</x:f>
        <x:v>-0.020697679199999985</x:v>
      </x:c>
      <x:c r="I9" s="14" t="n">
        <x:f>F9/F8-1</x:f>
        <x:v>0.012459644372280643</x:v>
      </x:c>
      <x:c r="J9" s="12" t="n">
        <x:v>0</x:v>
      </x:c>
      <x:c r="K9" s="12" t="n">
        <x:v>0</x:v>
      </x:c>
      <x:c r="L9" s="12" t="n">
        <x:v>0</x:v>
      </x:c>
      <x:c r="M9" s="2" t="str">
        <x:v>持有</x:v>
      </x:c>
    </x:row>
    <x:row r="10" ht="23" customHeight="1">
      <x:c r="A10" s="11" t="d">
        <x:v>2015-01-08T00:00:00.000Z</x:v>
      </x:c>
      <x:c r="B10" s="12" t="n">
        <x:v>12.19208</x:v>
      </x:c>
      <x:c r="C10" s="13" t="n">
        <x:v>484</x:v>
      </x:c>
      <x:c r="D10" s="12" t="n">
        <x:v>99655.6</x:v>
      </x:c>
      <x:c r="E10" s="12" t="n">
        <x:v>0</x:v>
      </x:c>
      <x:c r="F10" s="12" t="n">
        <x:f>SUM(B10,D10:E10)</x:f>
        <x:v>99667.79208</x:v>
      </x:c>
      <x:c r="G10" s="12" t="n">
        <x:f>MAX(G9,F10)</x:f>
        <x:v>100000</x:v>
      </x:c>
      <x:c r="H10" s="14" t="n">
        <x:f>F10/G10-1</x:f>
        <x:v>-0.00332207920000005</x:v>
      </x:c>
      <x:c r="I10" s="14" t="n">
        <x:f>F10/F9-1</x:f>
        <x:v>0.017742835517642552</x:v>
      </x:c>
      <x:c r="J10" s="12" t="n">
        <x:v>0</x:v>
      </x:c>
      <x:c r="K10" s="12" t="n">
        <x:v>0</x:v>
      </x:c>
      <x:c r="L10" s="12" t="n">
        <x:v>0</x:v>
      </x:c>
      <x:c r="M10" s="2" t="str">
        <x:v>持有</x:v>
      </x:c>
    </x:row>
    <x:row r="11" ht="23" customHeight="1">
      <x:c r="A11" s="11" t="d">
        <x:v>2015-01-09T00:00:00.000Z</x:v>
      </x:c>
      <x:c r="B11" s="12" t="n">
        <x:v>12.19208</x:v>
      </x:c>
      <x:c r="C11" s="13" t="n">
        <x:v>484</x:v>
      </x:c>
      <x:c r="D11" s="12" t="n">
        <x:v>98857</x:v>
      </x:c>
      <x:c r="E11" s="12" t="n">
        <x:v>0</x:v>
      </x:c>
      <x:c r="F11" s="12" t="n">
        <x:f>SUM(B11,D11:E11)</x:f>
        <x:v>98869.19208</x:v>
      </x:c>
      <x:c r="G11" s="12" t="n">
        <x:f>MAX(G10,F11)</x:f>
        <x:v>100000</x:v>
      </x:c>
      <x:c r="H11" s="14" t="n">
        <x:f>F11/G11-1</x:f>
        <x:v>-0.011308079200000098</x:v>
      </x:c>
      <x:c r="I11" s="14" t="n">
        <x:f>F11/F10-1</x:f>
        <x:v>-0.008012618553433937</x:v>
      </x:c>
      <x:c r="J11" s="12" t="n">
        <x:v>0</x:v>
      </x:c>
      <x:c r="K11" s="12" t="n">
        <x:v>0</x:v>
      </x:c>
      <x:c r="L11" s="12" t="n">
        <x:v>0</x:v>
      </x:c>
      <x:c r="M11" s="2" t="str">
        <x:v>持有</x:v>
      </x:c>
    </x:row>
    <x:row r="12" ht="23" customHeight="1">
      <x:c r="A12" s="11" t="d">
        <x:v>2015-01-12T00:00:00.000Z</x:v>
      </x:c>
      <x:c r="B12" s="12" t="n">
        <x:v>12.19208</x:v>
      </x:c>
      <x:c r="C12" s="13" t="n">
        <x:v>484</x:v>
      </x:c>
      <x:c r="D12" s="12" t="n">
        <x:v>98082.6</x:v>
      </x:c>
      <x:c r="E12" s="12" t="n">
        <x:v>0</x:v>
      </x:c>
      <x:c r="F12" s="12" t="n">
        <x:f>SUM(B12,D12:E12)</x:f>
        <x:v>98094.79208</x:v>
      </x:c>
      <x:c r="G12" s="12" t="n">
        <x:f>MAX(G11,F12)</x:f>
        <x:v>100000</x:v>
      </x:c>
      <x:c r="H12" s="14" t="n">
        <x:f>F12/G12-1</x:f>
        <x:v>-0.01905207919999996</x:v>
      </x:c>
      <x:c r="I12" s="14" t="n">
        <x:f>F12/F11-1</x:f>
        <x:v>-0.007832571337018646</x:v>
      </x:c>
      <x:c r="J12" s="12" t="n">
        <x:v>0</x:v>
      </x:c>
      <x:c r="K12" s="12" t="n">
        <x:v>0</x:v>
      </x:c>
      <x:c r="L12" s="12" t="n">
        <x:v>0</x:v>
      </x:c>
      <x:c r="M12" s="2" t="str">
        <x:v>持有</x:v>
      </x:c>
    </x:row>
    <x:row r="13" ht="23" customHeight="1">
      <x:c r="A13" s="11" t="d">
        <x:v>2015-01-13T00:00:00.000Z</x:v>
      </x:c>
      <x:c r="B13" s="12" t="n">
        <x:v>12.19208</x:v>
      </x:c>
      <x:c r="C13" s="13" t="n">
        <x:v>484</x:v>
      </x:c>
      <x:c r="D13" s="12" t="n">
        <x:v>97806.72</x:v>
      </x:c>
      <x:c r="E13" s="12" t="n">
        <x:v>0</x:v>
      </x:c>
      <x:c r="F13" s="12" t="n">
        <x:f>SUM(B13,D13:E13)</x:f>
        <x:v>97818.91208</x:v>
      </x:c>
      <x:c r="G13" s="12" t="n">
        <x:f>MAX(G12,F13)</x:f>
        <x:v>100000</x:v>
      </x:c>
      <x:c r="H13" s="14" t="n">
        <x:f>F13/G13-1</x:f>
        <x:v>-0.021810879200000022</x:v>
      </x:c>
      <x:c r="I13" s="14" t="n">
        <x:f>F13/F12-1</x:f>
        <x:v>-0.0028123817192559075</x:v>
      </x:c>
      <x:c r="J13" s="12" t="n">
        <x:v>0</x:v>
      </x:c>
      <x:c r="K13" s="12" t="n">
        <x:v>0</x:v>
      </x:c>
      <x:c r="L13" s="12" t="n">
        <x:v>0</x:v>
      </x:c>
      <x:c r="M13" s="2" t="str">
        <x:v>持有</x:v>
      </x:c>
    </x:row>
    <x:row r="14" ht="23" customHeight="1">
      <x:c r="A14" s="11" t="d">
        <x:v>2015-01-14T00:00:00.000Z</x:v>
      </x:c>
      <x:c r="B14" s="12" t="n">
        <x:v>12.19208</x:v>
      </x:c>
      <x:c r="C14" s="13" t="n">
        <x:v>484</x:v>
      </x:c>
      <x:c r="D14" s="12" t="n">
        <x:v>97216.24</x:v>
      </x:c>
      <x:c r="E14" s="12" t="n">
        <x:v>0</x:v>
      </x:c>
      <x:c r="F14" s="12" t="n">
        <x:f>SUM(B14,D14:E14)</x:f>
        <x:v>97228.43208</x:v>
      </x:c>
      <x:c r="G14" s="12" t="n">
        <x:f>MAX(G13,F14)</x:f>
        <x:v>100000</x:v>
      </x:c>
      <x:c r="H14" s="14" t="n">
        <x:f>F14/G14-1</x:f>
        <x:v>-0.027715679200000065</x:v>
      </x:c>
      <x:c r="I14" s="14" t="n">
        <x:f>F14/F13-1</x:f>
        <x:v>-0.0060364605110009295</x:v>
      </x:c>
      <x:c r="J14" s="12" t="n">
        <x:v>0</x:v>
      </x:c>
      <x:c r="K14" s="12" t="n">
        <x:v>0</x:v>
      </x:c>
      <x:c r="L14" s="12" t="n">
        <x:v>0</x:v>
      </x:c>
      <x:c r="M14" s="2" t="str">
        <x:v>持有</x:v>
      </x:c>
    </x:row>
    <x:row r="15" ht="23" customHeight="1">
      <x:c r="A15" s="11" t="d">
        <x:v>2015-01-15T00:00:00.000Z</x:v>
      </x:c>
      <x:c r="B15" s="12" t="n">
        <x:v>12.19208</x:v>
      </x:c>
      <x:c r="C15" s="13" t="n">
        <x:v>484</x:v>
      </x:c>
      <x:c r="D15" s="12" t="n">
        <x:v>96325.68000000001</x:v>
      </x:c>
      <x:c r="E15" s="12" t="n">
        <x:v>0</x:v>
      </x:c>
      <x:c r="F15" s="12" t="n">
        <x:f>SUM(B15,D15:E15)</x:f>
        <x:v>96337.87208</x:v>
      </x:c>
      <x:c r="G15" s="12" t="n">
        <x:f>MAX(G14,F15)</x:f>
        <x:v>100000</x:v>
      </x:c>
      <x:c r="H15" s="14" t="n">
        <x:f>F15/G15-1</x:f>
        <x:v>-0.03662127920000002</x:v>
      </x:c>
      <x:c r="I15" s="14" t="n">
        <x:f>F15/F14-1</x:f>
        <x:v>-0.009159460673676567</x:v>
      </x:c>
      <x:c r="J15" s="12" t="n">
        <x:v>0</x:v>
      </x:c>
      <x:c r="K15" s="12" t="n">
        <x:v>0</x:v>
      </x:c>
      <x:c r="L15" s="12" t="n">
        <x:v>0</x:v>
      </x:c>
      <x:c r="M15" s="2" t="str">
        <x:v>持有</x:v>
      </x:c>
    </x:row>
    <x:row r="16" ht="23" customHeight="1">
      <x:c r="A16" s="11" t="d">
        <x:v>2015-01-16T00:00:00.000Z</x:v>
      </x:c>
      <x:c r="B16" s="12" t="n">
        <x:v>12.19208</x:v>
      </x:c>
      <x:c r="C16" s="13" t="n">
        <x:v>484</x:v>
      </x:c>
      <x:c r="D16" s="12" t="n">
        <x:v>97588.92</x:v>
      </x:c>
      <x:c r="E16" s="12" t="n">
        <x:v>0</x:v>
      </x:c>
      <x:c r="F16" s="12" t="n">
        <x:f>SUM(B16,D16:E16)</x:f>
        <x:v>97601.11207999999</x:v>
      </x:c>
      <x:c r="G16" s="12" t="n">
        <x:f>MAX(G15,F16)</x:f>
        <x:v>100000</x:v>
      </x:c>
      <x:c r="H16" s="14" t="n">
        <x:f>F16/G16-1</x:f>
        <x:v>-0.023988879200000035</x:v>
      </x:c>
      <x:c r="I16" s="14" t="n">
        <x:f>F16/F15-1</x:f>
        <x:v>0.013112600192694446</x:v>
      </x:c>
      <x:c r="J16" s="12" t="n">
        <x:v>0</x:v>
      </x:c>
      <x:c r="K16" s="12" t="n">
        <x:v>0</x:v>
      </x:c>
      <x:c r="L16" s="12" t="n">
        <x:v>0</x:v>
      </x:c>
      <x:c r="M16" s="2" t="str">
        <x:v>持有</x:v>
      </x:c>
    </x:row>
    <x:row r="17" ht="23" customHeight="1">
      <x:c r="A17" s="11" t="d">
        <x:v>2015-01-20T00:00:00.000Z</x:v>
      </x:c>
      <x:c r="B17" s="12" t="n">
        <x:v>12.19208</x:v>
      </x:c>
      <x:c r="C17" s="13" t="n">
        <x:v>484</x:v>
      </x:c>
      <x:c r="D17" s="12" t="n">
        <x:v>97797.04000000001</x:v>
      </x:c>
      <x:c r="E17" s="12" t="n">
        <x:v>0</x:v>
      </x:c>
      <x:c r="F17" s="12" t="n">
        <x:f>SUM(B17,D17:E17)</x:f>
        <x:v>97809.23208</x:v>
      </x:c>
      <x:c r="G17" s="12" t="n">
        <x:f>MAX(G16,F17)</x:f>
        <x:v>100000</x:v>
      </x:c>
      <x:c r="H17" s="14" t="n">
        <x:f>F17/G17-1</x:f>
        <x:v>-0.02190767920000003</x:v>
      </x:c>
      <x:c r="I17" s="14" t="n">
        <x:f>F17/F16-1</x:f>
        <x:v>0.0021323527525938246</x:v>
      </x:c>
      <x:c r="J17" s="12" t="n">
        <x:v>0</x:v>
      </x:c>
      <x:c r="K17" s="12" t="n">
        <x:v>0</x:v>
      </x:c>
      <x:c r="L17" s="12" t="n">
        <x:v>0</x:v>
      </x:c>
      <x:c r="M17" s="2" t="str">
        <x:v>持有</x:v>
      </x:c>
    </x:row>
    <x:row r="18" ht="23" customHeight="1">
      <x:c r="A18" s="11" t="d">
        <x:v>2015-01-21T00:00:00.000Z</x:v>
      </x:c>
      <x:c r="B18" s="12" t="n">
        <x:v>12.19208</x:v>
      </x:c>
      <x:c r="C18" s="13" t="n">
        <x:v>484</x:v>
      </x:c>
      <x:c r="D18" s="12" t="n">
        <x:v>98290.72</x:v>
      </x:c>
      <x:c r="E18" s="12" t="n">
        <x:v>0</x:v>
      </x:c>
      <x:c r="F18" s="12" t="n">
        <x:f>SUM(B18,D18:E18)</x:f>
        <x:v>98302.91208</x:v>
      </x:c>
      <x:c r="G18" s="12" t="n">
        <x:f>MAX(G17,F18)</x:f>
        <x:v>100000</x:v>
      </x:c>
      <x:c r="H18" s="14" t="n">
        <x:f>F18/G18-1</x:f>
        <x:v>-0.016970879200000066</x:v>
      </x:c>
      <x:c r="I18" s="14" t="n">
        <x:f>F18/F17-1</x:f>
        <x:v>0.005047376300799433</x:v>
      </x:c>
      <x:c r="J18" s="12" t="n">
        <x:v>0</x:v>
      </x:c>
      <x:c r="K18" s="12" t="n">
        <x:v>0</x:v>
      </x:c>
      <x:c r="L18" s="12" t="n">
        <x:v>0</x:v>
      </x:c>
      <x:c r="M18" s="2" t="str">
        <x:v>持有</x:v>
      </x:c>
    </x:row>
    <x:row r="19" ht="23" customHeight="1">
      <x:c r="A19" s="11" t="d">
        <x:v>2015-01-22T00:00:00.000Z</x:v>
      </x:c>
      <x:c r="B19" s="12" t="n">
        <x:v>12.19208</x:v>
      </x:c>
      <x:c r="C19" s="13" t="n">
        <x:v>484</x:v>
      </x:c>
      <x:c r="D19" s="12" t="n">
        <x:v>99752.4</x:v>
      </x:c>
      <x:c r="E19" s="12" t="n">
        <x:v>0</x:v>
      </x:c>
      <x:c r="F19" s="12" t="n">
        <x:f>SUM(B19,D19:E19)</x:f>
        <x:v>99764.59207999999</x:v>
      </x:c>
      <x:c r="G19" s="12" t="n">
        <x:f>MAX(G18,F19)</x:f>
        <x:v>100000</x:v>
      </x:c>
      <x:c r="H19" s="14" t="n">
        <x:f>F19/G19-1</x:f>
        <x:v>-0.002354079200000081</x:v>
      </x:c>
      <x:c r="I19" s="14" t="n">
        <x:f>F19/F18-1</x:f>
        <x:v>0.014869142419814185</x:v>
      </x:c>
      <x:c r="J19" s="12" t="n">
        <x:v>0</x:v>
      </x:c>
      <x:c r="K19" s="12" t="n">
        <x:v>0</x:v>
      </x:c>
      <x:c r="L19" s="12" t="n">
        <x:v>0</x:v>
      </x:c>
      <x:c r="M19" s="2" t="str">
        <x:v>持有</x:v>
      </x:c>
    </x:row>
    <x:row r="20" ht="23" customHeight="1">
      <x:c r="A20" s="11" t="d">
        <x:v>2015-01-23T00:00:00.000Z</x:v>
      </x:c>
      <x:c r="B20" s="12" t="n">
        <x:v>12.19208</x:v>
      </x:c>
      <x:c r="C20" s="13" t="n">
        <x:v>484</x:v>
      </x:c>
      <x:c r="D20" s="12" t="n">
        <x:v>99205.48</x:v>
      </x:c>
      <x:c r="E20" s="12" t="n">
        <x:v>0</x:v>
      </x:c>
      <x:c r="F20" s="12" t="n">
        <x:f>SUM(B20,D20:E20)</x:f>
        <x:v>99217.67207999999</x:v>
      </x:c>
      <x:c r="G20" s="12" t="n">
        <x:f>MAX(G19,F20)</x:f>
        <x:v>100000</x:v>
      </x:c>
      <x:c r="H20" s="14" t="n">
        <x:f>F20/G20-1</x:f>
        <x:v>-0.007823279200000144</x:v>
      </x:c>
      <x:c r="I20" s="14" t="n">
        <x:f>F20/F19-1</x:f>
        <x:v>-0.005482105310082641</x:v>
      </x:c>
      <x:c r="J20" s="12" t="n">
        <x:v>0</x:v>
      </x:c>
      <x:c r="K20" s="12" t="n">
        <x:v>0</x:v>
      </x:c>
      <x:c r="L20" s="12" t="n">
        <x:v>0</x:v>
      </x:c>
      <x:c r="M20" s="2" t="str">
        <x:v>持有</x:v>
      </x:c>
    </x:row>
    <x:row r="21" ht="23" customHeight="1">
      <x:c r="A21" s="11" t="d">
        <x:v>2015-01-26T00:00:00.000Z</x:v>
      </x:c>
      <x:c r="B21" s="12" t="n">
        <x:v>12.19208</x:v>
      </x:c>
      <x:c r="C21" s="13" t="n">
        <x:v>484</x:v>
      </x:c>
      <x:c r="D21" s="12" t="n">
        <x:v>99437.79999999999</x:v>
      </x:c>
      <x:c r="E21" s="12" t="n">
        <x:v>0</x:v>
      </x:c>
      <x:c r="F21" s="12" t="n">
        <x:f>SUM(B21,D21:E21)</x:f>
        <x:v>99449.99207999998</x:v>
      </x:c>
      <x:c r="G21" s="12" t="n">
        <x:f>MAX(G20,F21)</x:f>
        <x:v>100000</x:v>
      </x:c>
      <x:c r="H21" s="14" t="n">
        <x:f>F21/G21-1</x:f>
        <x:v>-0.005500079200000174</x:v>
      </x:c>
      <x:c r="I21" s="14" t="n">
        <x:f>F21/F20-1</x:f>
        <x:v>0.0023415183518180616</x:v>
      </x:c>
      <x:c r="J21" s="12" t="n">
        <x:v>0</x:v>
      </x:c>
      <x:c r="K21" s="12" t="n">
        <x:v>0</x:v>
      </x:c>
      <x:c r="L21" s="12" t="n">
        <x:v>0</x:v>
      </x:c>
      <x:c r="M21" s="2" t="str">
        <x:v>持有</x:v>
      </x:c>
    </x:row>
    <x:row r="22" ht="23" customHeight="1">
      <x:c r="A22" s="11" t="d">
        <x:v>2015-01-27T00:00:00.000Z</x:v>
      </x:c>
      <x:c r="B22" s="12" t="n">
        <x:v>12.19208</x:v>
      </x:c>
      <x:c r="C22" s="13" t="n">
        <x:v>484</x:v>
      </x:c>
      <x:c r="D22" s="12" t="n">
        <x:v>98126.16</x:v>
      </x:c>
      <x:c r="E22" s="12" t="n">
        <x:v>0</x:v>
      </x:c>
      <x:c r="F22" s="12" t="n">
        <x:f>SUM(B22,D22:E22)</x:f>
        <x:v>98138.35208</x:v>
      </x:c>
      <x:c r="G22" s="12" t="n">
        <x:f>MAX(G21,F22)</x:f>
        <x:v>100000</x:v>
      </x:c>
      <x:c r="H22" s="14" t="n">
        <x:f>F22/G22-1</x:f>
        <x:v>-0.01861647919999998</x:v>
      </x:c>
      <x:c r="I22" s="14" t="n">
        <x:f>F22/F21-1</x:f>
        <x:v>-0.013188940215750566</x:v>
      </x:c>
      <x:c r="J22" s="12" t="n">
        <x:v>0</x:v>
      </x:c>
      <x:c r="K22" s="12" t="n">
        <x:v>0</x:v>
      </x:c>
      <x:c r="L22" s="12" t="n">
        <x:v>0</x:v>
      </x:c>
      <x:c r="M22" s="2" t="str">
        <x:v>持有</x:v>
      </x:c>
    </x:row>
    <x:row r="23" ht="23" customHeight="1">
      <x:c r="A23" s="11" t="d">
        <x:v>2015-01-28T00:00:00.000Z</x:v>
      </x:c>
      <x:c r="B23" s="12" t="n">
        <x:v>12.19208</x:v>
      </x:c>
      <x:c r="C23" s="13" t="n">
        <x:v>484</x:v>
      </x:c>
      <x:c r="D23" s="12" t="n">
        <x:v>96867.76</x:v>
      </x:c>
      <x:c r="E23" s="12" t="n">
        <x:v>0</x:v>
      </x:c>
      <x:c r="F23" s="12" t="n">
        <x:f>SUM(B23,D23:E23)</x:f>
        <x:v>96879.95207999999</x:v>
      </x:c>
      <x:c r="G23" s="12" t="n">
        <x:f>MAX(G22,F23)</x:f>
        <x:v>100000</x:v>
      </x:c>
      <x:c r="H23" s="14" t="n">
        <x:f>F23/G23-1</x:f>
        <x:v>-0.03120047920000013</x:v>
      </x:c>
      <x:c r="I23" s="14" t="n">
        <x:f>F23/F22-1</x:f>
        <x:v>-0.012822713784455986</x:v>
      </x:c>
      <x:c r="J23" s="12" t="n">
        <x:v>0</x:v>
      </x:c>
      <x:c r="K23" s="12" t="n">
        <x:v>0</x:v>
      </x:c>
      <x:c r="L23" s="12" t="n">
        <x:v>0</x:v>
      </x:c>
      <x:c r="M23" s="2" t="str">
        <x:v>持有</x:v>
      </x:c>
    </x:row>
    <x:row r="24" ht="23" customHeight="1">
      <x:c r="A24" s="11" t="d">
        <x:v>2015-01-29T00:00:00.000Z</x:v>
      </x:c>
      <x:c r="B24" s="12" t="n">
        <x:v>12.19208</x:v>
      </x:c>
      <x:c r="C24" s="13" t="n">
        <x:v>484</x:v>
      </x:c>
      <x:c r="D24" s="12" t="n">
        <x:v>97763.16</x:v>
      </x:c>
      <x:c r="E24" s="12" t="n">
        <x:v>0</x:v>
      </x:c>
      <x:c r="F24" s="12" t="n">
        <x:f>SUM(B24,D24:E24)</x:f>
        <x:v>97775.35208</x:v>
      </x:c>
      <x:c r="G24" s="12" t="n">
        <x:f>MAX(G23,F24)</x:f>
        <x:v>100000</x:v>
      </x:c>
      <x:c r="H24" s="14" t="n">
        <x:f>F24/G24-1</x:f>
        <x:v>-0.022246479200000002</x:v>
      </x:c>
      <x:c r="I24" s="14" t="n">
        <x:f>F24/F23-1</x:f>
        <x:v>0.009242366256133394</x:v>
      </x:c>
      <x:c r="J24" s="12" t="n">
        <x:v>0</x:v>
      </x:c>
      <x:c r="K24" s="12" t="n">
        <x:v>0</x:v>
      </x:c>
      <x:c r="L24" s="12" t="n">
        <x:v>0</x:v>
      </x:c>
      <x:c r="M24" s="2" t="str">
        <x:v>持有</x:v>
      </x:c>
    </x:row>
    <x:row r="25" ht="23" customHeight="1">
      <x:c r="A25" s="11" t="d">
        <x:v>2015-01-30T00:00:00.000Z</x:v>
      </x:c>
      <x:c r="B25" s="12" t="n">
        <x:v>12.19208</x:v>
      </x:c>
      <x:c r="C25" s="13" t="n">
        <x:v>484</x:v>
      </x:c>
      <x:c r="D25" s="12" t="n">
        <x:v>96533.79999999999</x:v>
      </x:c>
      <x:c r="E25" s="12" t="n">
        <x:v>0</x:v>
      </x:c>
      <x:c r="F25" s="12" t="n">
        <x:f>SUM(B25,D25:E25)</x:f>
        <x:v>96545.99207999998</x:v>
      </x:c>
      <x:c r="G25" s="12" t="n">
        <x:f>MAX(G24,F25)</x:f>
        <x:v>100000</x:v>
      </x:c>
      <x:c r="H25" s="14" t="n">
        <x:f>F25/G25-1</x:f>
        <x:v>-0.03454007920000013</x:v>
      </x:c>
      <x:c r="I25" s="14" t="n">
        <x:f>F25/F24-1</x:f>
        <x:v>-0.012573311922151387</x:v>
      </x:c>
      <x:c r="J25" s="12" t="n">
        <x:v>0</x:v>
      </x:c>
      <x:c r="K25" s="12" t="n">
        <x:v>0</x:v>
      </x:c>
      <x:c r="L25" s="12" t="n">
        <x:v>0</x:v>
      </x:c>
      <x:c r="M25" s="2" t="str">
        <x:v>持有</x:v>
      </x:c>
    </x:row>
    <x:row r="26" ht="23" customHeight="1">
      <x:c r="A26" s="11" t="d">
        <x:v>2015-02-02T00:00:00.000Z</x:v>
      </x:c>
      <x:c r="B26" s="12" t="n">
        <x:v>12.19208</x:v>
      </x:c>
      <x:c r="C26" s="13" t="n">
        <x:v>484</x:v>
      </x:c>
      <x:c r="D26" s="12" t="n">
        <x:v>97729.28</x:v>
      </x:c>
      <x:c r="E26" s="12" t="n">
        <x:v>0</x:v>
      </x:c>
      <x:c r="F26" s="12" t="n">
        <x:f>SUM(B26,D26:E26)</x:f>
        <x:v>97741.47207999999</x:v>
      </x:c>
      <x:c r="G26" s="12" t="n">
        <x:f>MAX(G25,F26)</x:f>
        <x:v>100000</x:v>
      </x:c>
      <x:c r="H26" s="14" t="n">
        <x:f>F26/G26-1</x:f>
        <x:v>-0.022585279200000086</x:v>
      </x:c>
      <x:c r="I26" s="14" t="n">
        <x:f>F26/F25-1</x:f>
        <x:v>0.012382492263473877</x:v>
      </x:c>
      <x:c r="J26" s="12" t="n">
        <x:v>0</x:v>
      </x:c>
      <x:c r="K26" s="12" t="n">
        <x:v>0</x:v>
      </x:c>
      <x:c r="L26" s="12" t="n">
        <x:v>0</x:v>
      </x:c>
      <x:c r="M26" s="2" t="str">
        <x:v>持有</x:v>
      </x:c>
    </x:row>
    <x:row r="27" ht="23" customHeight="1">
      <x:c r="A27" s="11" t="d">
        <x:v>2015-02-03T00:00:00.000Z</x:v>
      </x:c>
      <x:c r="B27" s="12" t="n">
        <x:v>12.19208</x:v>
      </x:c>
      <x:c r="C27" s="13" t="n">
        <x:v>484</x:v>
      </x:c>
      <x:c r="D27" s="12" t="n">
        <x:v>99142.56</x:v>
      </x:c>
      <x:c r="E27" s="12" t="n">
        <x:v>0</x:v>
      </x:c>
      <x:c r="F27" s="12" t="n">
        <x:f>SUM(B27,D27:E27)</x:f>
        <x:v>99154.75207999999</x:v>
      </x:c>
      <x:c r="G27" s="12" t="n">
        <x:f>MAX(G26,F27)</x:f>
        <x:v>100000</x:v>
      </x:c>
      <x:c r="H27" s="14" t="n">
        <x:f>F27/G27-1</x:f>
        <x:v>-0.00845247920000014</x:v>
      </x:c>
      <x:c r="I27" s="14" t="n">
        <x:f>F27/F26-1</x:f>
        <x:v>0.014459368883284807</x:v>
      </x:c>
      <x:c r="J27" s="12" t="n">
        <x:v>0</x:v>
      </x:c>
      <x:c r="K27" s="12" t="n">
        <x:v>0</x:v>
      </x:c>
      <x:c r="L27" s="12" t="n">
        <x:v>0</x:v>
      </x:c>
      <x:c r="M27" s="2" t="str">
        <x:v>持有</x:v>
      </x:c>
    </x:row>
    <x:row r="28" ht="23" customHeight="1">
      <x:c r="A28" s="11" t="d">
        <x:v>2015-02-04T00:00:00.000Z</x:v>
      </x:c>
      <x:c r="B28" s="12" t="n">
        <x:v>12.19208</x:v>
      </x:c>
      <x:c r="C28" s="13" t="n">
        <x:v>484</x:v>
      </x:c>
      <x:c r="D28" s="12" t="n">
        <x:v>98765.04000000001</x:v>
      </x:c>
      <x:c r="E28" s="12" t="n">
        <x:v>0</x:v>
      </x:c>
      <x:c r="F28" s="12" t="n">
        <x:f>SUM(B28,D28:E28)</x:f>
        <x:v>98777.23208</x:v>
      </x:c>
      <x:c r="G28" s="12" t="n">
        <x:f>MAX(G27,F28)</x:f>
        <x:v>100000</x:v>
      </x:c>
      <x:c r="H28" s="14" t="n">
        <x:f>F28/G28-1</x:f>
        <x:v>-0.012227679200000008</x:v>
      </x:c>
      <x:c r="I28" s="14" t="n">
        <x:f>F28/F27-1</x:f>
        <x:v>-0.003807381815602695</x:v>
      </x:c>
      <x:c r="J28" s="12" t="n">
        <x:v>0</x:v>
      </x:c>
      <x:c r="K28" s="12" t="n">
        <x:v>0</x:v>
      </x:c>
      <x:c r="L28" s="12" t="n">
        <x:v>0</x:v>
      </x:c>
      <x:c r="M28" s="2" t="str">
        <x:v>持有</x:v>
      </x:c>
    </x:row>
    <x:row r="29" ht="23" customHeight="1">
      <x:c r="A29" s="11" t="d">
        <x:v>2015-02-05T00:00:00.000Z</x:v>
      </x:c>
      <x:c r="B29" s="12" t="n">
        <x:v>12.19208</x:v>
      </x:c>
      <x:c r="C29" s="13" t="n">
        <x:v>484</x:v>
      </x:c>
      <x:c r="D29" s="12" t="n">
        <x:v>99762.08</x:v>
      </x:c>
      <x:c r="E29" s="12" t="n">
        <x:v>0</x:v>
      </x:c>
      <x:c r="F29" s="12" t="n">
        <x:f>SUM(B29,D29:E29)</x:f>
        <x:v>99774.27208</x:v>
      </x:c>
      <x:c r="G29" s="12" t="n">
        <x:f>MAX(G28,F29)</x:f>
        <x:v>100000</x:v>
      </x:c>
      <x:c r="H29" s="14" t="n">
        <x:f>F29/G29-1</x:f>
        <x:v>-0.002257279200000073</x:v>
      </x:c>
      <x:c r="I29" s="14" t="n">
        <x:f>F29/F28-1</x:f>
        <x:v>0.010093824042290311</x:v>
      </x:c>
      <x:c r="J29" s="12" t="n">
        <x:v>0</x:v>
      </x:c>
      <x:c r="K29" s="12" t="n">
        <x:v>0</x:v>
      </x:c>
      <x:c r="L29" s="12" t="n">
        <x:v>0</x:v>
      </x:c>
      <x:c r="M29" s="2" t="str">
        <x:v>持有</x:v>
      </x:c>
    </x:row>
    <x:row r="30" ht="23" customHeight="1">
      <x:c r="A30" s="11" t="d">
        <x:v>2015-02-06T00:00:00.000Z</x:v>
      </x:c>
      <x:c r="B30" s="12" t="n">
        <x:v>12.19208</x:v>
      </x:c>
      <x:c r="C30" s="13" t="n">
        <x:v>484</x:v>
      </x:c>
      <x:c r="D30" s="12" t="n">
        <x:v>99486.20000000001</x:v>
      </x:c>
      <x:c r="E30" s="12" t="n">
        <x:v>0</x:v>
      </x:c>
      <x:c r="F30" s="12" t="n">
        <x:f>SUM(B30,D30:E30)</x:f>
        <x:v>99498.39208</x:v>
      </x:c>
      <x:c r="G30" s="12" t="n">
        <x:f>MAX(G29,F30)</x:f>
        <x:v>100000</x:v>
      </x:c>
      <x:c r="H30" s="14" t="n">
        <x:f>F30/G30-1</x:f>
        <x:v>-0.005016079199999912</x:v>
      </x:c>
      <x:c r="I30" s="14" t="n">
        <x:f>F30/F29-1</x:f>
        <x:v>-0.0027650414705986393</x:v>
      </x:c>
      <x:c r="J30" s="12" t="n">
        <x:v>0</x:v>
      </x:c>
      <x:c r="K30" s="12" t="n">
        <x:v>0</x:v>
      </x:c>
      <x:c r="L30" s="12" t="n">
        <x:v>0</x:v>
      </x:c>
      <x:c r="M30" s="2" t="str">
        <x:v>持有</x:v>
      </x:c>
    </x:row>
    <x:row r="31" ht="23" customHeight="1">
      <x:c r="A31" s="11" t="d">
        <x:v>2015-02-09T00:00:00.000Z</x:v>
      </x:c>
      <x:c r="B31" s="12" t="n">
        <x:v>12.19208</x:v>
      </x:c>
      <x:c r="C31" s="13" t="n">
        <x:v>484</x:v>
      </x:c>
      <x:c r="D31" s="12" t="n">
        <x:v>99040.92</x:v>
      </x:c>
      <x:c r="E31" s="12" t="n">
        <x:v>0</x:v>
      </x:c>
      <x:c r="F31" s="12" t="n">
        <x:f>SUM(B31,D31:E31)</x:f>
        <x:v>99053.11207999999</x:v>
      </x:c>
      <x:c r="G31" s="12" t="n">
        <x:f>MAX(G30,F31)</x:f>
        <x:v>100000</x:v>
      </x:c>
      <x:c r="H31" s="14" t="n">
        <x:f>F31/G31-1</x:f>
        <x:v>-0.009468879200000058</x:v>
      </x:c>
      <x:c r="I31" s="14" t="n">
        <x:f>F31/F30-1</x:f>
        <x:v>-0.004475248199408033</x:v>
      </x:c>
      <x:c r="J31" s="12" t="n">
        <x:v>0</x:v>
      </x:c>
      <x:c r="K31" s="12" t="n">
        <x:v>0</x:v>
      </x:c>
      <x:c r="L31" s="12" t="n">
        <x:v>0</x:v>
      </x:c>
      <x:c r="M31" s="2" t="str">
        <x:v>持有</x:v>
      </x:c>
    </x:row>
    <x:row r="32" ht="23" customHeight="1">
      <x:c r="A32" s="11" t="d">
        <x:v>2015-02-10T00:00:00.000Z</x:v>
      </x:c>
      <x:c r="B32" s="12" t="n">
        <x:v>12.19208</x:v>
      </x:c>
      <x:c r="C32" s="13" t="n">
        <x:v>484</x:v>
      </x:c>
      <x:c r="D32" s="12" t="n">
        <x:v>100096.04000000001</x:v>
      </x:c>
      <x:c r="E32" s="12" t="n">
        <x:v>0</x:v>
      </x:c>
      <x:c r="F32" s="12" t="n">
        <x:f>SUM(B32,D32:E32)</x:f>
        <x:v>100108.23208</x:v>
      </x:c>
      <x:c r="G32" s="12" t="n">
        <x:f>MAX(G31,F32)</x:f>
        <x:v>100108.23208</x:v>
      </x:c>
      <x:c r="H32" s="14" t="n">
        <x:f>F32/G32-1</x:f>
        <x:v>0</x:v>
      </x:c>
      <x:c r="I32" s="14" t="n">
        <x:f>F32/F31-1</x:f>
        <x:v>0.010652063098712583</x:v>
      </x:c>
      <x:c r="J32" s="12" t="n">
        <x:v>0</x:v>
      </x:c>
      <x:c r="K32" s="12" t="n">
        <x:v>0</x:v>
      </x:c>
      <x:c r="L32" s="12" t="n">
        <x:v>0</x:v>
      </x:c>
      <x:c r="M32" s="2" t="str">
        <x:v>持有</x:v>
      </x:c>
    </x:row>
    <x:row r="33" ht="23" customHeight="1">
      <x:c r="A33" s="11" t="d">
        <x:v>2015-02-11T00:00:00.000Z</x:v>
      </x:c>
      <x:c r="B33" s="12" t="n">
        <x:v>12.19208</x:v>
      </x:c>
      <x:c r="C33" s="13" t="n">
        <x:v>484</x:v>
      </x:c>
      <x:c r="D33" s="12" t="n">
        <x:v>100154.12000000001</x:v>
      </x:c>
      <x:c r="E33" s="12" t="n">
        <x:v>0</x:v>
      </x:c>
      <x:c r="F33" s="12" t="n">
        <x:f>SUM(B33,D33:E33)</x:f>
        <x:v>100166.31208</x:v>
      </x:c>
      <x:c r="G33" s="12" t="n">
        <x:f>MAX(G32,F33)</x:f>
        <x:v>100166.31208</x:v>
      </x:c>
      <x:c r="H33" s="14" t="n">
        <x:f>F33/G33-1</x:f>
        <x:v>0</x:v>
      </x:c>
      <x:c r="I33" s="14" t="n">
        <x:f>F33/F32-1</x:f>
        <x:v>0.0005801720677036659</x:v>
      </x:c>
      <x:c r="J33" s="12" t="n">
        <x:v>0</x:v>
      </x:c>
      <x:c r="K33" s="12" t="n">
        <x:v>0</x:v>
      </x:c>
      <x:c r="L33" s="12" t="n">
        <x:v>0</x:v>
      </x:c>
      <x:c r="M33" s="2" t="str">
        <x:v>持有</x:v>
      </x:c>
    </x:row>
    <x:row r="34" ht="23" customHeight="1">
      <x:c r="A34" s="11" t="d">
        <x:v>2015-02-12T00:00:00.000Z</x:v>
      </x:c>
      <x:c r="B34" s="12" t="n">
        <x:v>12.19208</x:v>
      </x:c>
      <x:c r="C34" s="13" t="n">
        <x:v>484</x:v>
      </x:c>
      <x:c r="D34" s="12" t="n">
        <x:v>101117.28</x:v>
      </x:c>
      <x:c r="E34" s="12" t="n">
        <x:v>0</x:v>
      </x:c>
      <x:c r="F34" s="12" t="n">
        <x:f>SUM(B34,D34:E34)</x:f>
        <x:v>101129.47207999999</x:v>
      </x:c>
      <x:c r="G34" s="12" t="n">
        <x:f>MAX(G33,F34)</x:f>
        <x:v>101129.47207999999</x:v>
      </x:c>
      <x:c r="H34" s="14" t="n">
        <x:f>F34/G34-1</x:f>
        <x:v>0</x:v>
      </x:c>
      <x:c r="I34" s="14" t="n">
        <x:f>F34/F33-1</x:f>
        <x:v>0.009615608082193638</x:v>
      </x:c>
      <x:c r="J34" s="12" t="n">
        <x:v>0</x:v>
      </x:c>
      <x:c r="K34" s="12" t="n">
        <x:v>0</x:v>
      </x:c>
      <x:c r="L34" s="12" t="n">
        <x:v>0</x:v>
      </x:c>
      <x:c r="M34" s="2" t="str">
        <x:v>持有</x:v>
      </x:c>
    </x:row>
    <x:row r="35" ht="23" customHeight="1">
      <x:c r="A35" s="11" t="d">
        <x:v>2015-02-13T00:00:00.000Z</x:v>
      </x:c>
      <x:c r="B35" s="12" t="n">
        <x:v>12.19208</x:v>
      </x:c>
      <x:c r="C35" s="13" t="n">
        <x:v>484</x:v>
      </x:c>
      <x:c r="D35" s="12" t="n">
        <x:v>101533.52</x:v>
      </x:c>
      <x:c r="E35" s="12" t="n">
        <x:v>0</x:v>
      </x:c>
      <x:c r="F35" s="12" t="n">
        <x:f>SUM(B35,D35:E35)</x:f>
        <x:v>101545.71208</x:v>
      </x:c>
      <x:c r="G35" s="12" t="n">
        <x:f>MAX(G34,F35)</x:f>
        <x:v>101545.71208</x:v>
      </x:c>
      <x:c r="H35" s="14" t="n">
        <x:f>F35/G35-1</x:f>
        <x:v>0</x:v>
      </x:c>
      <x:c r="I35" s="14" t="n">
        <x:f>F35/F34-1</x:f>
        <x:v>0.004115911923981308</x:v>
      </x:c>
      <x:c r="J35" s="12" t="n">
        <x:v>0</x:v>
      </x:c>
      <x:c r="K35" s="12" t="n">
        <x:v>0</x:v>
      </x:c>
      <x:c r="L35" s="12" t="n">
        <x:v>0</x:v>
      </x:c>
      <x:c r="M35" s="2" t="str">
        <x:v>持有</x:v>
      </x:c>
    </x:row>
    <x:row r="36" ht="23" customHeight="1">
      <x:c r="A36" s="11" t="d">
        <x:v>2015-02-17T00:00:00.000Z</x:v>
      </x:c>
      <x:c r="B36" s="12" t="n">
        <x:v>12.19208</x:v>
      </x:c>
      <x:c r="C36" s="13" t="n">
        <x:v>484</x:v>
      </x:c>
      <x:c r="D36" s="12" t="n">
        <x:v>101693.24</x:v>
      </x:c>
      <x:c r="E36" s="12" t="n">
        <x:v>0</x:v>
      </x:c>
      <x:c r="F36" s="12" t="n">
        <x:f>SUM(B36,D36:E36)</x:f>
        <x:v>101705.43208</x:v>
      </x:c>
      <x:c r="G36" s="12" t="n">
        <x:f>MAX(G35,F36)</x:f>
        <x:v>101705.43208</x:v>
      </x:c>
      <x:c r="H36" s="14" t="n">
        <x:f>F36/G36-1</x:f>
        <x:v>0</x:v>
      </x:c>
      <x:c r="I36" s="14" t="n">
        <x:f>F36/F35-1</x:f>
        <x:v>0.001572887685047375</x:v>
      </x:c>
      <x:c r="J36" s="12" t="n">
        <x:v>0</x:v>
      </x:c>
      <x:c r="K36" s="12" t="n">
        <x:v>0</x:v>
      </x:c>
      <x:c r="L36" s="12" t="n">
        <x:v>0</x:v>
      </x:c>
      <x:c r="M36" s="2" t="str">
        <x:v>持有</x:v>
      </x:c>
    </x:row>
    <x:row r="37" ht="23" customHeight="1">
      <x:c r="A37" s="11" t="d">
        <x:v>2015-02-18T00:00:00.000Z</x:v>
      </x:c>
      <x:c r="B37" s="12" t="n">
        <x:v>12.19208</x:v>
      </x:c>
      <x:c r="C37" s="13" t="n">
        <x:v>484</x:v>
      </x:c>
      <x:c r="D37" s="12" t="n">
        <x:v>101702.92</x:v>
      </x:c>
      <x:c r="E37" s="12" t="n">
        <x:v>0</x:v>
      </x:c>
      <x:c r="F37" s="12" t="n">
        <x:f>SUM(B37,D37:E37)</x:f>
        <x:v>101715.11207999999</x:v>
      </x:c>
      <x:c r="G37" s="12" t="n">
        <x:f>MAX(G36,F37)</x:f>
        <x:v>101715.11207999999</x:v>
      </x:c>
      <x:c r="H37" s="14" t="n">
        <x:f>F37/G37-1</x:f>
        <x:v>0</x:v>
      </x:c>
      <x:c r="I37" s="14" t="n">
        <x:f>F37/F36-1</x:f>
        <x:v>0.00009517682391213533</x:v>
      </x:c>
      <x:c r="J37" s="12" t="n">
        <x:v>0</x:v>
      </x:c>
      <x:c r="K37" s="12" t="n">
        <x:v>0</x:v>
      </x:c>
      <x:c r="L37" s="12" t="n">
        <x:v>0</x:v>
      </x:c>
      <x:c r="M37" s="2" t="str">
        <x:v>持有</x:v>
      </x:c>
    </x:row>
    <x:row r="38" ht="23" customHeight="1">
      <x:c r="A38" s="11" t="d">
        <x:v>2015-02-19T00:00:00.000Z</x:v>
      </x:c>
      <x:c r="B38" s="12" t="n">
        <x:v>12.19208</x:v>
      </x:c>
      <x:c r="C38" s="13" t="n">
        <x:v>484</x:v>
      </x:c>
      <x:c r="D38" s="12" t="n">
        <x:v>101630.31999999999</x:v>
      </x:c>
      <x:c r="E38" s="12" t="n">
        <x:v>0</x:v>
      </x:c>
      <x:c r="F38" s="12" t="n">
        <x:f>SUM(B38,D38:E38)</x:f>
        <x:v>101642.51207999999</x:v>
      </x:c>
      <x:c r="G38" s="12" t="n">
        <x:f>MAX(G37,F38)</x:f>
        <x:v>101715.11207999999</x:v>
      </x:c>
      <x:c r="H38" s="14" t="n">
        <x:f>F38/G38-1</x:f>
        <x:v>-0.0007137582460992054</x:v>
      </x:c>
      <x:c r="I38" s="14" t="n">
        <x:f>F38/F37-1</x:f>
        <x:v>-0.0007137582460992054</x:v>
      </x:c>
      <x:c r="J38" s="12" t="n">
        <x:v>0</x:v>
      </x:c>
      <x:c r="K38" s="12" t="n">
        <x:v>0</x:v>
      </x:c>
      <x:c r="L38" s="12" t="n">
        <x:v>0</x:v>
      </x:c>
      <x:c r="M38" s="2" t="str">
        <x:v>持有</x:v>
      </x:c>
    </x:row>
    <x:row r="39" ht="23" customHeight="1">
      <x:c r="A39" s="11" t="d">
        <x:v>2015-02-20T00:00:00.000Z</x:v>
      </x:c>
      <x:c r="B39" s="12" t="n">
        <x:v>12.19208</x:v>
      </x:c>
      <x:c r="C39" s="13" t="n">
        <x:v>484</x:v>
      </x:c>
      <x:c r="D39" s="12" t="n">
        <x:v>102240.16</x:v>
      </x:c>
      <x:c r="E39" s="12" t="n">
        <x:v>0</x:v>
      </x:c>
      <x:c r="F39" s="12" t="n">
        <x:f>SUM(B39,D39:E39)</x:f>
        <x:v>102252.35208</x:v>
      </x:c>
      <x:c r="G39" s="12" t="n">
        <x:f>MAX(G38,F39)</x:f>
        <x:v>102252.35208</x:v>
      </x:c>
      <x:c r="H39" s="14" t="n">
        <x:f>F39/G39-1</x:f>
        <x:v>0</x:v>
      </x:c>
      <x:c r="I39" s="14" t="n">
        <x:f>F39/F38-1</x:f>
        <x:v>0.005999851710867032</x:v>
      </x:c>
      <x:c r="J39" s="12" t="n">
        <x:v>0</x:v>
      </x:c>
      <x:c r="K39" s="12" t="n">
        <x:v>0</x:v>
      </x:c>
      <x:c r="L39" s="12" t="n">
        <x:v>0</x:v>
      </x:c>
      <x:c r="M39" s="2" t="str">
        <x:v>持有</x:v>
      </x:c>
    </x:row>
    <x:row r="40" ht="23" customHeight="1">
      <x:c r="A40" s="11" t="d">
        <x:v>2015-02-23T00:00:00.000Z</x:v>
      </x:c>
      <x:c r="B40" s="12" t="n">
        <x:v>12.19208</x:v>
      </x:c>
      <x:c r="C40" s="13" t="n">
        <x:v>484</x:v>
      </x:c>
      <x:c r="D40" s="12" t="n">
        <x:v>102225.64</x:v>
      </x:c>
      <x:c r="E40" s="12" t="n">
        <x:v>0</x:v>
      </x:c>
      <x:c r="F40" s="12" t="n">
        <x:f>SUM(B40,D40:E40)</x:f>
        <x:v>102237.83208</x:v>
      </x:c>
      <x:c r="G40" s="12" t="n">
        <x:f>MAX(G39,F40)</x:f>
        <x:v>102252.35208</x:v>
      </x:c>
      <x:c r="H40" s="14" t="n">
        <x:f>F40/G40-1</x:f>
        <x:v>-0.00014200162347999257</x:v>
      </x:c>
      <x:c r="I40" s="14" t="n">
        <x:f>F40/F39-1</x:f>
        <x:v>-0.00014200162347999257</x:v>
      </x:c>
      <x:c r="J40" s="12" t="n">
        <x:v>0</x:v>
      </x:c>
      <x:c r="K40" s="12" t="n">
        <x:v>0</x:v>
      </x:c>
      <x:c r="L40" s="12" t="n">
        <x:v>0</x:v>
      </x:c>
      <x:c r="M40" s="2" t="str">
        <x:v>持有</x:v>
      </x:c>
    </x:row>
    <x:row r="41" ht="23" customHeight="1">
      <x:c r="A41" s="11" t="d">
        <x:v>2015-02-24T00:00:00.000Z</x:v>
      </x:c>
      <x:c r="B41" s="12" t="n">
        <x:v>12.19208</x:v>
      </x:c>
      <x:c r="C41" s="13" t="n">
        <x:v>484</x:v>
      </x:c>
      <x:c r="D41" s="12" t="n">
        <x:v>102516.04000000001</x:v>
      </x:c>
      <x:c r="E41" s="12" t="n">
        <x:v>0</x:v>
      </x:c>
      <x:c r="F41" s="12" t="n">
        <x:f>SUM(B41,D41:E41)</x:f>
        <x:v>102528.23208</x:v>
      </x:c>
      <x:c r="G41" s="12" t="n">
        <x:f>MAX(G40,F41)</x:f>
        <x:v>102528.23208</x:v>
      </x:c>
      <x:c r="H41" s="14" t="n">
        <x:f>F41/G41-1</x:f>
        <x:v>0</x:v>
      </x:c>
      <x:c r="I41" s="14" t="n">
        <x:f>F41/F40-1</x:f>
        <x:v>0.00284043581609561</x:v>
      </x:c>
      <x:c r="J41" s="12" t="n">
        <x:v>0</x:v>
      </x:c>
      <x:c r="K41" s="12" t="n">
        <x:v>0</x:v>
      </x:c>
      <x:c r="L41" s="12" t="n">
        <x:v>0</x:v>
      </x:c>
      <x:c r="M41" s="2" t="str">
        <x:v>持有</x:v>
      </x:c>
    </x:row>
    <x:row r="42" ht="23" customHeight="1">
      <x:c r="A42" s="11" t="d">
        <x:v>2015-02-25T00:00:00.000Z</x:v>
      </x:c>
      <x:c r="B42" s="12" t="n">
        <x:v>12.19208</x:v>
      </x:c>
      <x:c r="C42" s="13" t="n">
        <x:v>484</x:v>
      </x:c>
      <x:c r="D42" s="12" t="n">
        <x:v>102428.92</x:v>
      </x:c>
      <x:c r="E42" s="12" t="n">
        <x:v>0</x:v>
      </x:c>
      <x:c r="F42" s="12" t="n">
        <x:f>SUM(B42,D42:E42)</x:f>
        <x:v>102441.11207999999</x:v>
      </x:c>
      <x:c r="G42" s="12" t="n">
        <x:f>MAX(G41,F42)</x:f>
        <x:v>102528.23208</x:v>
      </x:c>
      <x:c r="H42" s="14" t="n">
        <x:f>F42/G42-1</x:f>
        <x:v>-0.0008497171777236412</x:v>
      </x:c>
      <x:c r="I42" s="14" t="n">
        <x:f>F42/F41-1</x:f>
        <x:v>-0.0008497171777236412</x:v>
      </x:c>
      <x:c r="J42" s="12" t="n">
        <x:v>0</x:v>
      </x:c>
      <x:c r="K42" s="12" t="n">
        <x:v>0</x:v>
      </x:c>
      <x:c r="L42" s="12" t="n">
        <x:v>0</x:v>
      </x:c>
      <x:c r="M42" s="2" t="str">
        <x:v>持有</x:v>
      </x:c>
    </x:row>
    <x:row r="43" ht="23" customHeight="1">
      <x:c r="A43" s="11" t="d">
        <x:v>2015-02-26T00:00:00.000Z</x:v>
      </x:c>
      <x:c r="B43" s="12" t="n">
        <x:v>12.19208</x:v>
      </x:c>
      <x:c r="C43" s="13" t="n">
        <x:v>484</x:v>
      </x:c>
      <x:c r="D43" s="12" t="n">
        <x:v>102307.92</x:v>
      </x:c>
      <x:c r="E43" s="12" t="n">
        <x:v>0</x:v>
      </x:c>
      <x:c r="F43" s="12" t="n">
        <x:f>SUM(B43,D43:E43)</x:f>
        <x:v>102320.11207999999</x:v>
      </x:c>
      <x:c r="G43" s="12" t="n">
        <x:f>MAX(G42,F43)</x:f>
        <x:v>102528.23208</x:v>
      </x:c>
      <x:c r="H43" s="14" t="n">
        <x:f>F43/G43-1</x:f>
        <x:v>-0.002029879924561828</x:v>
      </x:c>
      <x:c r="I43" s="14" t="n">
        <x:f>F43/F42-1</x:f>
        <x:v>-0.001181166404221612</x:v>
      </x:c>
      <x:c r="J43" s="12" t="n">
        <x:v>0</x:v>
      </x:c>
      <x:c r="K43" s="12" t="n">
        <x:v>0</x:v>
      </x:c>
      <x:c r="L43" s="12" t="n">
        <x:v>0</x:v>
      </x:c>
      <x:c r="M43" s="2" t="str">
        <x:v>持有</x:v>
      </x:c>
    </x:row>
    <x:row r="44" ht="23" customHeight="1">
      <x:c r="A44" s="11" t="d">
        <x:v>2015-02-27T00:00:00.000Z</x:v>
      </x:c>
      <x:c r="B44" s="12" t="n">
        <x:v>12.19208</x:v>
      </x:c>
      <x:c r="C44" s="13" t="n">
        <x:v>484</x:v>
      </x:c>
      <x:c r="D44" s="12" t="n">
        <x:v>101959.44</x:v>
      </x:c>
      <x:c r="E44" s="12" t="n">
        <x:v>0</x:v>
      </x:c>
      <x:c r="F44" s="12" t="n">
        <x:f>SUM(B44,D44:E44)</x:f>
        <x:v>101971.63208</x:v>
      </x:c>
      <x:c r="G44" s="12" t="n">
        <x:f>MAX(G43,F44)</x:f>
        <x:v>102528.23208</x:v>
      </x:c>
      <x:c r="H44" s="14" t="n">
        <x:f>F44/G44-1</x:f>
        <x:v>-0.005428748635455949</x:v>
      </x:c>
      <x:c r="I44" s="14" t="n">
        <x:f>F44/F43-1</x:f>
        <x:v>-0.003405782039483385</x:v>
      </x:c>
      <x:c r="J44" s="12" t="n">
        <x:v>0</x:v>
      </x:c>
      <x:c r="K44" s="12" t="n">
        <x:v>0</x:v>
      </x:c>
      <x:c r="L44" s="12" t="n">
        <x:v>0</x:v>
      </x:c>
      <x:c r="M44" s="2" t="str">
        <x:v>持有</x:v>
      </x:c>
    </x:row>
    <x:row r="45" ht="23" customHeight="1">
      <x:c r="A45" s="11" t="d">
        <x:v>2015-03-02T00:00:00.000Z</x:v>
      </x:c>
      <x:c r="B45" s="12" t="n">
        <x:v>12.19208</x:v>
      </x:c>
      <x:c r="C45" s="13" t="n">
        <x:v>484</x:v>
      </x:c>
      <x:c r="D45" s="12" t="n">
        <x:v>102603.16</x:v>
      </x:c>
      <x:c r="E45" s="12" t="n">
        <x:v>0</x:v>
      </x:c>
      <x:c r="F45" s="12" t="n">
        <x:f>SUM(B45,D45:E45)</x:f>
        <x:v>102615.35208</x:v>
      </x:c>
      <x:c r="G45" s="12" t="n">
        <x:f>MAX(G44,F45)</x:f>
        <x:v>102615.35208</x:v>
      </x:c>
      <x:c r="H45" s="14" t="n">
        <x:f>F45/G45-1</x:f>
        <x:v>0</x:v>
      </x:c>
      <x:c r="I45" s="14" t="n">
        <x:f>F45/F44-1</x:f>
        <x:v>0.006312736070508196</x:v>
      </x:c>
      <x:c r="J45" s="12" t="n">
        <x:v>0</x:v>
      </x:c>
      <x:c r="K45" s="12" t="n">
        <x:v>0</x:v>
      </x:c>
      <x:c r="L45" s="12" t="n">
        <x:v>0</x:v>
      </x:c>
      <x:c r="M45" s="2" t="str">
        <x:v>持有</x:v>
      </x:c>
    </x:row>
    <x:row r="46" ht="23" customHeight="1">
      <x:c r="A46" s="11" t="d">
        <x:v>2015-03-03T00:00:00.000Z</x:v>
      </x:c>
      <x:c r="B46" s="12" t="n">
        <x:v>12.19208</x:v>
      </x:c>
      <x:c r="C46" s="13" t="n">
        <x:v>484</x:v>
      </x:c>
      <x:c r="D46" s="12" t="n">
        <x:v>102182.08</x:v>
      </x:c>
      <x:c r="E46" s="12" t="n">
        <x:v>0</x:v>
      </x:c>
      <x:c r="F46" s="12" t="n">
        <x:f>SUM(B46,D46:E46)</x:f>
        <x:v>102194.27208</x:v>
      </x:c>
      <x:c r="G46" s="12" t="n">
        <x:f>MAX(G45,F46)</x:f>
        <x:v>102615.35208</x:v>
      </x:c>
      <x:c r="H46" s="14" t="n">
        <x:f>F46/G46-1</x:f>
        <x:v>-0.0041034795619248055</x:v>
      </x:c>
      <x:c r="I46" s="14" t="n">
        <x:f>F46/F45-1</x:f>
        <x:v>-0.0041034795619248055</x:v>
      </x:c>
      <x:c r="J46" s="12" t="n">
        <x:v>0</x:v>
      </x:c>
      <x:c r="K46" s="12" t="n">
        <x:v>0</x:v>
      </x:c>
      <x:c r="L46" s="12" t="n">
        <x:v>0</x:v>
      </x:c>
      <x:c r="M46" s="2" t="str">
        <x:v>持有</x:v>
      </x:c>
    </x:row>
    <x:row r="47" ht="23" customHeight="1">
      <x:c r="A47" s="11" t="d">
        <x:v>2015-03-04T00:00:00.000Z</x:v>
      </x:c>
      <x:c r="B47" s="12" t="n">
        <x:v>12.19208</x:v>
      </x:c>
      <x:c r="C47" s="13" t="n">
        <x:v>484</x:v>
      </x:c>
      <x:c r="D47" s="12" t="n">
        <x:v>101751.31999999999</x:v>
      </x:c>
      <x:c r="E47" s="12" t="n">
        <x:v>0</x:v>
      </x:c>
      <x:c r="F47" s="12" t="n">
        <x:f>SUM(B47,D47:E47)</x:f>
        <x:v>101763.51207999999</x:v>
      </x:c>
      <x:c r="G47" s="12" t="n">
        <x:f>MAX(G46,F47)</x:f>
        <x:v>102615.35208</x:v>
      </x:c>
      <x:c r="H47" s="14" t="n">
        <x:f>F47/G47-1</x:f>
        <x:v>-0.008301291987342307</x:v>
      </x:c>
      <x:c r="I47" s="14" t="n">
        <x:f>F47/F46-1</x:f>
        <x:v>-0.0042151090392110735</x:v>
      </x:c>
      <x:c r="J47" s="12" t="n">
        <x:v>0</x:v>
      </x:c>
      <x:c r="K47" s="12" t="n">
        <x:v>0</x:v>
      </x:c>
      <x:c r="L47" s="12" t="n">
        <x:v>0</x:v>
      </x:c>
      <x:c r="M47" s="2" t="str">
        <x:v>持有</x:v>
      </x:c>
    </x:row>
    <x:row r="48" ht="23" customHeight="1">
      <x:c r="A48" s="11" t="d">
        <x:v>2015-03-05T00:00:00.000Z</x:v>
      </x:c>
      <x:c r="B48" s="12" t="n">
        <x:v>12.19208</x:v>
      </x:c>
      <x:c r="C48" s="13" t="n">
        <x:v>484</x:v>
      </x:c>
      <x:c r="D48" s="12" t="n">
        <x:v>101862.64</x:v>
      </x:c>
      <x:c r="E48" s="12" t="n">
        <x:v>0</x:v>
      </x:c>
      <x:c r="F48" s="12" t="n">
        <x:f>SUM(B48,D48:E48)</x:f>
        <x:v>101874.83208</x:v>
      </x:c>
      <x:c r="G48" s="12" t="n">
        <x:f>MAX(G47,F48)</x:f>
        <x:v>102615.35208</x:v>
      </x:c>
      <x:c r="H48" s="14" t="n">
        <x:f>F48/G48-1</x:f>
        <x:v>-0.007216464057178129</x:v>
      </x:c>
      <x:c r="I48" s="14" t="n">
        <x:f>F48/F47-1</x:f>
        <x:v>0.0010939087864076935</x:v>
      </x:c>
      <x:c r="J48" s="12" t="n">
        <x:v>0</x:v>
      </x:c>
      <x:c r="K48" s="12" t="n">
        <x:v>0</x:v>
      </x:c>
      <x:c r="L48" s="12" t="n">
        <x:v>0</x:v>
      </x:c>
      <x:c r="M48" s="2" t="str">
        <x:v>持有</x:v>
      </x:c>
    </x:row>
    <x:row r="49" ht="23" customHeight="1">
      <x:c r="A49" s="11" t="d">
        <x:v>2015-03-06T00:00:00.000Z</x:v>
      </x:c>
      <x:c r="B49" s="12" t="n">
        <x:v>12.19208</x:v>
      </x:c>
      <x:c r="C49" s="13" t="n">
        <x:v>484</x:v>
      </x:c>
      <x:c r="D49" s="12" t="n">
        <x:v>100430</x:v>
      </x:c>
      <x:c r="E49" s="12" t="n">
        <x:v>0</x:v>
      </x:c>
      <x:c r="F49" s="12" t="n">
        <x:f>SUM(B49,D49:E49)</x:f>
        <x:v>100442.19208</x:v>
      </x:c>
      <x:c r="G49" s="12" t="n">
        <x:f>MAX(G48,F49)</x:f>
        <x:v>102615.35208</x:v>
      </x:c>
      <x:c r="H49" s="14" t="n">
        <x:f>F49/G49-1</x:f>
        <x:v>-0.021177727854071793</x:v>
      </x:c>
      <x:c r="I49" s="14" t="n">
        <x:f>F49/F48-1</x:f>
        <x:v>-0.014062747105928808</x:v>
      </x:c>
      <x:c r="J49" s="12" t="n">
        <x:v>0</x:v>
      </x:c>
      <x:c r="K49" s="12" t="n">
        <x:v>0</x:v>
      </x:c>
      <x:c r="L49" s="12" t="n">
        <x:v>0</x:v>
      </x:c>
      <x:c r="M49" s="2" t="str">
        <x:v>持有</x:v>
      </x:c>
    </x:row>
    <x:row r="50" ht="23" customHeight="1">
      <x:c r="A50" s="11" t="d">
        <x:v>2015-03-09T00:00:00.000Z</x:v>
      </x:c>
      <x:c r="B50" s="12" t="n">
        <x:v>12.19208</x:v>
      </x:c>
      <x:c r="C50" s="13" t="n">
        <x:v>484</x:v>
      </x:c>
      <x:c r="D50" s="12" t="n">
        <x:v>100846.24</x:v>
      </x:c>
      <x:c r="E50" s="12" t="n">
        <x:v>0</x:v>
      </x:c>
      <x:c r="F50" s="12" t="n">
        <x:f>SUM(B50,D50:E50)</x:f>
        <x:v>100858.43208</x:v>
      </x:c>
      <x:c r="G50" s="12" t="n">
        <x:f>MAX(G49,F50)</x:f>
        <x:v>102615.35208</x:v>
      </x:c>
      <x:c r="H50" s="14" t="n">
        <x:f>F50/G50-1</x:f>
        <x:v>-0.01712141472389317</x:v>
      </x:c>
      <x:c r="I50" s="14" t="n">
        <x:f>F50/F49-1</x:f>
        <x:v>0.004144075227554556</x:v>
      </x:c>
      <x:c r="J50" s="12" t="n">
        <x:v>0</x:v>
      </x:c>
      <x:c r="K50" s="12" t="n">
        <x:v>0</x:v>
      </x:c>
      <x:c r="L50" s="12" t="n">
        <x:v>0</x:v>
      </x:c>
      <x:c r="M50" s="2" t="str">
        <x:v>持有</x:v>
      </x:c>
    </x:row>
    <x:row r="51" ht="23" customHeight="1">
      <x:c r="A51" s="11" t="d">
        <x:v>2015-03-10T00:00:00.000Z</x:v>
      </x:c>
      <x:c r="B51" s="12" t="n">
        <x:v>12.19208</x:v>
      </x:c>
      <x:c r="C51" s="13" t="n">
        <x:v>484</x:v>
      </x:c>
      <x:c r="D51" s="12" t="n">
        <x:v>99210.31999999999</x:v>
      </x:c>
      <x:c r="E51" s="12" t="n">
        <x:v>0</x:v>
      </x:c>
      <x:c r="F51" s="12" t="n">
        <x:f>SUM(B51,D51:E51)</x:f>
        <x:v>99222.51207999999</x:v>
      </x:c>
      <x:c r="G51" s="12" t="n">
        <x:f>MAX(G50,F51)</x:f>
        <x:v>102615.35208</x:v>
      </x:c>
      <x:c r="H51" s="14" t="n">
        <x:f>F51/G51-1</x:f>
        <x:v>-0.03306366865413002</x:v>
      </x:c>
      <x:c r="I51" s="14" t="n">
        <x:f>F51/F50-1</x:f>
        <x:v>-0.016219962637357033</x:v>
      </x:c>
      <x:c r="J51" s="12" t="n">
        <x:v>0</x:v>
      </x:c>
      <x:c r="K51" s="12" t="n">
        <x:v>0</x:v>
      </x:c>
      <x:c r="L51" s="12" t="n">
        <x:v>0</x:v>
      </x:c>
      <x:c r="M51" s="2" t="str">
        <x:v>持有</x:v>
      </x:c>
    </x:row>
    <x:row r="52" ht="23" customHeight="1">
      <x:c r="A52" s="11" t="d">
        <x:v>2015-03-11T00:00:00.000Z</x:v>
      </x:c>
      <x:c r="B52" s="12" t="n">
        <x:v>12.19208</x:v>
      </x:c>
      <x:c r="C52" s="13" t="n">
        <x:v>484</x:v>
      </x:c>
      <x:c r="D52" s="12" t="n">
        <x:v>98978</x:v>
      </x:c>
      <x:c r="E52" s="12" t="n">
        <x:v>0</x:v>
      </x:c>
      <x:c r="F52" s="12" t="n">
        <x:f>SUM(B52,D52:E52)</x:f>
        <x:v>98990.19208</x:v>
      </x:c>
      <x:c r="G52" s="12" t="n">
        <x:f>MAX(G51,F52)</x:f>
        <x:v>102615.35208</x:v>
      </x:c>
      <x:c r="H52" s="14" t="n">
        <x:f>F52/G52-1</x:f>
        <x:v>-0.035327657377950517</x:v>
      </x:c>
      <x:c r="I52" s="14" t="n">
        <x:f>F52/F51-1</x:f>
        <x:v>-0.002341404134302505</x:v>
      </x:c>
      <x:c r="J52" s="12" t="n">
        <x:v>0</x:v>
      </x:c>
      <x:c r="K52" s="12" t="n">
        <x:v>0</x:v>
      </x:c>
      <x:c r="L52" s="12" t="n">
        <x:v>0</x:v>
      </x:c>
      <x:c r="M52" s="2" t="str">
        <x:v>持有</x:v>
      </x:c>
    </x:row>
    <x:row r="53" ht="23" customHeight="1">
      <x:c r="A53" s="11" t="d">
        <x:v>2015-03-12T00:00:00.000Z</x:v>
      </x:c>
      <x:c r="B53" s="12" t="n">
        <x:v>12.19208</x:v>
      </x:c>
      <x:c r="C53" s="13" t="n">
        <x:v>484</x:v>
      </x:c>
      <x:c r="D53" s="12" t="n">
        <x:v>100236.4</x:v>
      </x:c>
      <x:c r="E53" s="12" t="n">
        <x:v>0</x:v>
      </x:c>
      <x:c r="F53" s="12" t="n">
        <x:f>SUM(B53,D53:E53)</x:f>
        <x:v>100248.59207999999</x:v>
      </x:c>
      <x:c r="G53" s="12" t="n">
        <x:f>MAX(G52,F53)</x:f>
        <x:v>102615.35208</x:v>
      </x:c>
      <x:c r="H53" s="14" t="n">
        <x:f>F53/G53-1</x:f>
        <x:v>-0.023064385123922393</x:v>
      </x:c>
      <x:c r="I53" s="14" t="n">
        <x:f>F53/F52-1</x:f>
        <x:v>0.012712370524374794</x:v>
      </x:c>
      <x:c r="J53" s="12" t="n">
        <x:v>0</x:v>
      </x:c>
      <x:c r="K53" s="12" t="n">
        <x:v>0</x:v>
      </x:c>
      <x:c r="L53" s="12" t="n">
        <x:v>0</x:v>
      </x:c>
      <x:c r="M53" s="2" t="str">
        <x:v>持有</x:v>
      </x:c>
    </x:row>
    <x:row r="54" ht="23" customHeight="1">
      <x:c r="A54" s="11" t="d">
        <x:v>2015-03-13T00:00:00.000Z</x:v>
      </x:c>
      <x:c r="B54" s="12" t="n">
        <x:v>12.19208</x:v>
      </x:c>
      <x:c r="C54" s="13" t="n">
        <x:v>484</x:v>
      </x:c>
      <x:c r="D54" s="12" t="n">
        <x:v>99621.72</x:v>
      </x:c>
      <x:c r="E54" s="12" t="n">
        <x:v>0</x:v>
      </x:c>
      <x:c r="F54" s="12" t="n">
        <x:f>SUM(B54,D54:E54)</x:f>
        <x:v>99633.91208</x:v>
      </x:c>
      <x:c r="G54" s="12" t="n">
        <x:f>MAX(G53,F54)</x:f>
        <x:v>102615.35208</x:v>
      </x:c>
      <x:c r="H54" s="14" t="n">
        <x:f>F54/G54-1</x:f>
        <x:v>-0.029054521955697576</x:v>
      </x:c>
      <x:c r="I54" s="14" t="n">
        <x:f>F54/F53-1</x:f>
        <x:v>-0.006131557433838752</x:v>
      </x:c>
      <x:c r="J54" s="12" t="n">
        <x:v>0</x:v>
      </x:c>
      <x:c r="K54" s="12" t="n">
        <x:v>0</x:v>
      </x:c>
      <x:c r="L54" s="12" t="n">
        <x:v>0</x:v>
      </x:c>
      <x:c r="M54" s="2" t="str">
        <x:v>持有</x:v>
      </x:c>
    </x:row>
    <x:row r="55" ht="23" customHeight="1">
      <x:c r="A55" s="11" t="d">
        <x:v>2015-03-16T00:00:00.000Z</x:v>
      </x:c>
      <x:c r="B55" s="12" t="n">
        <x:v>12.19208</x:v>
      </x:c>
      <x:c r="C55" s="13" t="n">
        <x:v>484</x:v>
      </x:c>
      <x:c r="D55" s="12" t="n">
        <x:v>100952.72</x:v>
      </x:c>
      <x:c r="E55" s="12" t="n">
        <x:v>0</x:v>
      </x:c>
      <x:c r="F55" s="12" t="n">
        <x:f>SUM(B55,D55:E55)</x:f>
        <x:v>100964.91208</x:v>
      </x:c>
      <x:c r="G55" s="12" t="n">
        <x:f>MAX(G54,F55)</x:f>
        <x:v>102615.35208</x:v>
      </x:c>
      <x:c r="H55" s="14" t="n">
        <x:f>F55/G55-1</x:f>
        <x:v>-0.016083753225475506</x:v>
      </x:c>
      <x:c r="I55" s="14" t="n">
        <x:f>F55/F54-1</x:f>
        <x:v>0.013358905338689109</x:v>
      </x:c>
      <x:c r="J55" s="12" t="n">
        <x:v>0</x:v>
      </x:c>
      <x:c r="K55" s="12" t="n">
        <x:v>0</x:v>
      </x:c>
      <x:c r="L55" s="12" t="n">
        <x:v>0</x:v>
      </x:c>
      <x:c r="M55" s="2" t="str">
        <x:v>持有</x:v>
      </x:c>
    </x:row>
    <x:row r="56" ht="23" customHeight="1">
      <x:c r="A56" s="11" t="d">
        <x:v>2015-03-17T00:00:00.000Z</x:v>
      </x:c>
      <x:c r="B56" s="12" t="n">
        <x:v>12.19208</x:v>
      </x:c>
      <x:c r="C56" s="13" t="n">
        <x:v>484</x:v>
      </x:c>
      <x:c r="D56" s="12" t="n">
        <x:v>100652.64</x:v>
      </x:c>
      <x:c r="E56" s="12" t="n">
        <x:v>0</x:v>
      </x:c>
      <x:c r="F56" s="12" t="n">
        <x:f>SUM(B56,D56:E56)</x:f>
        <x:v>100664.83208</x:v>
      </x:c>
      <x:c r="G56" s="12" t="n">
        <x:f>MAX(G55,F56)</x:f>
        <x:v>102615.35208</x:v>
      </x:c>
      <x:c r="H56" s="14" t="n">
        <x:f>F56/G56-1</x:f>
        <x:v>-0.01900807199374377</x:v>
      </x:c>
      <x:c r="I56" s="14" t="n">
        <x:f>F56/F55-1</x:f>
        <x:v>-0.0029721216392704086</x:v>
      </x:c>
      <x:c r="J56" s="12" t="n">
        <x:v>0</x:v>
      </x:c>
      <x:c r="K56" s="12" t="n">
        <x:v>0</x:v>
      </x:c>
      <x:c r="L56" s="12" t="n">
        <x:v>0</x:v>
      </x:c>
      <x:c r="M56" s="2" t="str">
        <x:v>持有</x:v>
      </x:c>
    </x:row>
    <x:row r="57" ht="23" customHeight="1">
      <x:c r="A57" s="11" t="d">
        <x:v>2015-03-18T00:00:00.000Z</x:v>
      </x:c>
      <x:c r="B57" s="12" t="n">
        <x:v>12.19208</x:v>
      </x:c>
      <x:c r="C57" s="13" t="n">
        <x:v>484</x:v>
      </x:c>
      <x:c r="D57" s="12" t="n">
        <x:v>101862.64</x:v>
      </x:c>
      <x:c r="E57" s="12" t="n">
        <x:v>0</x:v>
      </x:c>
      <x:c r="F57" s="12" t="n">
        <x:f>SUM(B57,D57:E57)</x:f>
        <x:v>101874.83208</x:v>
      </x:c>
      <x:c r="G57" s="12" t="n">
        <x:f>MAX(G56,F57)</x:f>
        <x:v>102615.35208</x:v>
      </x:c>
      <x:c r="H57" s="14" t="n">
        <x:f>F57/G57-1</x:f>
        <x:v>-0.007216464057178129</x:v>
      </x:c>
      <x:c r="I57" s="14" t="n">
        <x:f>F57/F56-1</x:f>
        <x:v>0.012020086608184988</x:v>
      </x:c>
      <x:c r="J57" s="12" t="n">
        <x:v>0</x:v>
      </x:c>
      <x:c r="K57" s="12" t="n">
        <x:v>0</x:v>
      </x:c>
      <x:c r="L57" s="12" t="n">
        <x:v>0</x:v>
      </x:c>
      <x:c r="M57" s="2" t="str">
        <x:v>持有</x:v>
      </x:c>
    </x:row>
    <x:row r="58" ht="23" customHeight="1">
      <x:c r="A58" s="11" t="d">
        <x:v>2015-03-19T00:00:00.000Z</x:v>
      </x:c>
      <x:c r="B58" s="12" t="n">
        <x:v>12.19208</x:v>
      </x:c>
      <x:c r="C58" s="13" t="n">
        <x:v>484</x:v>
      </x:c>
      <x:c r="D58" s="12" t="n">
        <x:v>101398</x:v>
      </x:c>
      <x:c r="E58" s="12" t="n">
        <x:v>0</x:v>
      </x:c>
      <x:c r="F58" s="12" t="n">
        <x:f>SUM(B58,D58:E58)</x:f>
        <x:v>101410.19208</x:v>
      </x:c>
      <x:c r="G58" s="12" t="n">
        <x:f>MAX(G57,F58)</x:f>
        <x:v>102615.35208</x:v>
      </x:c>
      <x:c r="H58" s="14" t="n">
        <x:f>F58/G58-1</x:f>
        <x:v>-0.011744441504819347</x:v>
      </x:c>
      <x:c r="I58" s="14" t="n">
        <x:f>F58/F57-1</x:f>
        <x:v>-0.004560890953274166</x:v>
      </x:c>
      <x:c r="J58" s="12" t="n">
        <x:v>0</x:v>
      </x:c>
      <x:c r="K58" s="12" t="n">
        <x:v>0</x:v>
      </x:c>
      <x:c r="L58" s="12" t="n">
        <x:v>0</x:v>
      </x:c>
      <x:c r="M58" s="2" t="str">
        <x:v>持有</x:v>
      </x:c>
    </x:row>
    <x:row r="59" ht="23" customHeight="1">
      <x:c r="A59" s="11" t="d">
        <x:v>2015-03-20T00:00:00.000Z</x:v>
      </x:c>
      <x:c r="B59" s="12" t="n">
        <x:v>12.19208</x:v>
      </x:c>
      <x:c r="C59" s="13" t="n">
        <x:v>484</x:v>
      </x:c>
      <x:c r="D59" s="12" t="n">
        <x:v>101838.44</x:v>
      </x:c>
      <x:c r="E59" s="12" t="n">
        <x:v>450.51204</x:v>
      </x:c>
      <x:c r="F59" s="12" t="n">
        <x:f>SUM(B59,D59:E59)</x:f>
        <x:v>102301.14412</x:v>
      </x:c>
      <x:c r="G59" s="12" t="n">
        <x:f>MAX(G58,F59)</x:f>
        <x:v>102615.35208</x:v>
      </x:c>
      <x:c r="H59" s="14" t="n">
        <x:f>F59/G59-1</x:f>
        <x:v>-0.0030619975825355583</x:v>
      </x:c>
      <x:c r="I59" s="14" t="n">
        <x:f>F59/F58-1</x:f>
        <x:v>0.008785626195216611</x:v>
      </x:c>
      <x:c r="J59" s="12" t="n">
        <x:v>450.51204</x:v>
      </x:c>
      <x:c r="K59" s="12" t="n">
        <x:v>0</x:v>
      </x:c>
      <x:c r="L59" s="12" t="n">
        <x:v>0</x:v>
      </x:c>
      <x:c r="M59" s="2" t="str">
        <x:v>持有</x:v>
      </x:c>
    </x:row>
    <x:row r="60" ht="23" customHeight="1">
      <x:c r="A60" s="11" t="d">
        <x:v>2015-03-23T00:00:00.000Z</x:v>
      </x:c>
      <x:c r="B60" s="12" t="n">
        <x:v>12.19208</x:v>
      </x:c>
      <x:c r="C60" s="13" t="n">
        <x:v>484</x:v>
      </x:c>
      <x:c r="D60" s="12" t="n">
        <x:v>101640</x:v>
      </x:c>
      <x:c r="E60" s="12" t="n">
        <x:v>450.51204</x:v>
      </x:c>
      <x:c r="F60" s="12" t="n">
        <x:f>SUM(B60,D60:E60)</x:f>
        <x:v>102102.70412</x:v>
      </x:c>
      <x:c r="G60" s="12" t="n">
        <x:f>MAX(G59,F60)</x:f>
        <x:v>102615.35208</x:v>
      </x:c>
      <x:c r="H60" s="14" t="n">
        <x:f>F60/G60-1</x:f>
        <x:v>-0.00499582128413234</x:v>
      </x:c>
      <x:c r="I60" s="14" t="n">
        <x:f>F60/F59-1</x:f>
        <x:v>-0.0019397632519850827</x:v>
      </x:c>
      <x:c r="J60" s="12" t="n">
        <x:v>0</x:v>
      </x:c>
      <x:c r="K60" s="12" t="n">
        <x:v>0</x:v>
      </x:c>
      <x:c r="L60" s="12" t="n">
        <x:v>0</x:v>
      </x:c>
      <x:c r="M60" s="2" t="str">
        <x:v>持有</x:v>
      </x:c>
    </x:row>
    <x:row r="61" ht="23" customHeight="1">
      <x:c r="A61" s="11" t="d">
        <x:v>2015-03-24T00:00:00.000Z</x:v>
      </x:c>
      <x:c r="B61" s="12" t="n">
        <x:v>12.19208</x:v>
      </x:c>
      <x:c r="C61" s="13" t="n">
        <x:v>484</x:v>
      </x:c>
      <x:c r="D61" s="12" t="n">
        <x:v>101068.87999999999</x:v>
      </x:c>
      <x:c r="E61" s="12" t="n">
        <x:v>450.51204</x:v>
      </x:c>
      <x:c r="F61" s="12" t="n">
        <x:f>SUM(B61,D61:E61)</x:f>
        <x:v>101531.58411999998</x:v>
      </x:c>
      <x:c r="G61" s="12" t="n">
        <x:f>MAX(G60,F61)</x:f>
        <x:v>102615.35208</x:v>
      </x:c>
      <x:c r="H61" s="14" t="n">
        <x:f>F61/G61-1</x:f>
        <x:v>-0.010561460230191444</x:v>
      </x:c>
      <x:c r="I61" s="14" t="n">
        <x:f>F61/F60-1</x:f>
        <x:v>-0.005593583489510556</x:v>
      </x:c>
      <x:c r="J61" s="12" t="n">
        <x:v>0</x:v>
      </x:c>
      <x:c r="K61" s="12" t="n">
        <x:v>0</x:v>
      </x:c>
      <x:c r="L61" s="12" t="n">
        <x:v>0</x:v>
      </x:c>
      <x:c r="M61" s="2" t="str">
        <x:v>持有</x:v>
      </x:c>
    </x:row>
    <x:row r="62" ht="23" customHeight="1">
      <x:c r="A62" s="11" t="d">
        <x:v>2015-03-25T00:00:00.000Z</x:v>
      </x:c>
      <x:c r="B62" s="12" t="n">
        <x:v>12.19208</x:v>
      </x:c>
      <x:c r="C62" s="13" t="n">
        <x:v>484</x:v>
      </x:c>
      <x:c r="D62" s="12" t="n">
        <x:v>99587.84</x:v>
      </x:c>
      <x:c r="E62" s="12" t="n">
        <x:v>450.51204</x:v>
      </x:c>
      <x:c r="F62" s="12" t="n">
        <x:f>SUM(B62,D62:E62)</x:f>
        <x:v>100050.54411999999</x:v>
      </x:c>
      <x:c r="G62" s="12" t="n">
        <x:f>MAX(G61,F62)</x:f>
        <x:v>102615.35208</x:v>
      </x:c>
      <x:c r="H62" s="14" t="n">
        <x:f>F62/G62-1</x:f>
        <x:v>-0.024994388344547702</x:v>
      </x:c>
      <x:c r="I62" s="14" t="n">
        <x:f>F62/F61-1</x:f>
        <x:v>-0.014586988008081891</x:v>
      </x:c>
      <x:c r="J62" s="12" t="n">
        <x:v>0</x:v>
      </x:c>
      <x:c r="K62" s="12" t="n">
        <x:v>0</x:v>
      </x:c>
      <x:c r="L62" s="12" t="n">
        <x:v>0</x:v>
      </x:c>
      <x:c r="M62" s="2" t="str">
        <x:v>持有</x:v>
      </x:c>
    </x:row>
    <x:row r="63" ht="23" customHeight="1">
      <x:c r="A63" s="11" t="d">
        <x:v>2015-03-26T00:00:00.000Z</x:v>
      </x:c>
      <x:c r="B63" s="12" t="n">
        <x:v>12.19208</x:v>
      </x:c>
      <x:c r="C63" s="13" t="n">
        <x:v>484</x:v>
      </x:c>
      <x:c r="D63" s="12" t="n">
        <x:v>99350.68000000001</x:v>
      </x:c>
      <x:c r="E63" s="12" t="n">
        <x:v>450.51204</x:v>
      </x:c>
      <x:c r="F63" s="12" t="n">
        <x:f>SUM(B63,D63:E63)</x:f>
        <x:v>99813.38412</x:v>
      </x:c>
      <x:c r="G63" s="12" t="n">
        <x:f>MAX(G62,F63)</x:f>
        <x:v>102615.35208</x:v>
      </x:c>
      <x:c r="H63" s="14" t="n">
        <x:f>F63/G63-1</x:f>
        <x:v>-0.027305543500114382</x:v>
      </x:c>
      <x:c r="I63" s="14" t="n">
        <x:f>F63/F62-1</x:f>
        <x:v>-0.0023704019012185107</x:v>
      </x:c>
      <x:c r="J63" s="12" t="n">
        <x:v>0</x:v>
      </x:c>
      <x:c r="K63" s="12" t="n">
        <x:v>0</x:v>
      </x:c>
      <x:c r="L63" s="12" t="n">
        <x:v>0</x:v>
      </x:c>
      <x:c r="M63" s="2" t="str">
        <x:v>持有</x:v>
      </x:c>
    </x:row>
    <x:row r="64" ht="23" customHeight="1">
      <x:c r="A64" s="11" t="d">
        <x:v>2015-03-27T00:00:00.000Z</x:v>
      </x:c>
      <x:c r="B64" s="12" t="n">
        <x:v>12.19208</x:v>
      </x:c>
      <x:c r="C64" s="13" t="n">
        <x:v>484</x:v>
      </x:c>
      <x:c r="D64" s="12" t="n">
        <x:v>99578.16</x:v>
      </x:c>
      <x:c r="E64" s="12" t="n">
        <x:v>450.51204</x:v>
      </x:c>
      <x:c r="F64" s="12" t="n">
        <x:f>SUM(B64,D64:E64)</x:f>
        <x:v>100040.86412</x:v>
      </x:c>
      <x:c r="G64" s="12" t="n">
        <x:f>MAX(G63,F64)</x:f>
        <x:v>102615.35208</x:v>
      </x:c>
      <x:c r="H64" s="14" t="n">
        <x:f>F64/G64-1</x:f>
        <x:v>-0.025088721208040066</x:v>
      </x:c>
      <x:c r="I64" s="14" t="n">
        <x:f>F64/F63-1</x:f>
        <x:v>0.002279053074951465</x:v>
      </x:c>
      <x:c r="J64" s="12" t="n">
        <x:v>0</x:v>
      </x:c>
      <x:c r="K64" s="12" t="n">
        <x:v>0</x:v>
      </x:c>
      <x:c r="L64" s="12" t="n">
        <x:v>0</x:v>
      </x:c>
      <x:c r="M64" s="2" t="str">
        <x:v>持有</x:v>
      </x:c>
    </x:row>
    <x:row r="65" ht="23" customHeight="1">
      <x:c r="A65" s="11" t="d">
        <x:v>2015-03-30T00:00:00.000Z</x:v>
      </x:c>
      <x:c r="B65" s="12" t="n">
        <x:v>12.19208</x:v>
      </x:c>
      <x:c r="C65" s="13" t="n">
        <x:v>484</x:v>
      </x:c>
      <x:c r="D65" s="12" t="n">
        <x:v>100793</x:v>
      </x:c>
      <x:c r="E65" s="12" t="n">
        <x:v>450.51204</x:v>
      </x:c>
      <x:c r="F65" s="12" t="n">
        <x:f>SUM(B65,D65:E65)</x:f>
        <x:v>101255.70412</x:v>
      </x:c>
      <x:c r="G65" s="12" t="n">
        <x:f>MAX(G64,F65)</x:f>
        <x:v>102615.35208</x:v>
      </x:c>
      <x:c r="H65" s="14" t="n">
        <x:f>F65/G65-1</x:f>
        <x:v>-0.013249946839728244</x:v>
      </x:c>
      <x:c r="I65" s="14" t="n">
        <x:f>F65/F64-1</x:f>
        <x:v>0.012143437691049863</x:v>
      </x:c>
      <x:c r="J65" s="12" t="n">
        <x:v>0</x:v>
      </x:c>
      <x:c r="K65" s="12" t="n">
        <x:v>0</x:v>
      </x:c>
      <x:c r="L65" s="12" t="n">
        <x:v>0</x:v>
      </x:c>
      <x:c r="M65" s="2" t="str">
        <x:v>持有</x:v>
      </x:c>
    </x:row>
    <x:row r="66" ht="23" customHeight="1">
      <x:c r="A66" s="11" t="d">
        <x:v>2015-03-31T00:00:00.000Z</x:v>
      </x:c>
      <x:c r="B66" s="12" t="n">
        <x:v>12.19208</x:v>
      </x:c>
      <x:c r="C66" s="13" t="n">
        <x:v>484</x:v>
      </x:c>
      <x:c r="D66" s="12" t="n">
        <x:v>99912.12000000001</x:v>
      </x:c>
      <x:c r="E66" s="12" t="n">
        <x:v>450.51204</x:v>
      </x:c>
      <x:c r="F66" s="12" t="n">
        <x:f>SUM(B66,D66:E66)</x:f>
        <x:v>100374.82412</x:v>
      </x:c>
      <x:c r="G66" s="12" t="n">
        <x:f>MAX(G65,F66)</x:f>
        <x:v>102615.35208</x:v>
      </x:c>
      <x:c r="H66" s="14" t="n">
        <x:f>F66/G66-1</x:f>
        <x:v>-0.021834237417547975</x:v>
      </x:c>
      <x:c r="I66" s="14" t="n">
        <x:f>F66/F65-1</x:f>
        <x:v>-0.008699559275752389</x:v>
      </x:c>
      <x:c r="J66" s="12" t="n">
        <x:v>0</x:v>
      </x:c>
      <x:c r="K66" s="12" t="n">
        <x:v>0</x:v>
      </x:c>
      <x:c r="L66" s="12" t="n">
        <x:v>0</x:v>
      </x:c>
      <x:c r="M66" s="2" t="str">
        <x:v>持有</x:v>
      </x:c>
    </x:row>
    <x:row r="67" ht="23" customHeight="1">
      <x:c r="A67" s="11" t="d">
        <x:v>2015-04-01T00:00:00.000Z</x:v>
      </x:c>
      <x:c r="B67" s="12" t="n">
        <x:v>12.19208</x:v>
      </x:c>
      <x:c r="C67" s="13" t="n">
        <x:v>484</x:v>
      </x:c>
      <x:c r="D67" s="12" t="n">
        <x:v>99558.79999999999</x:v>
      </x:c>
      <x:c r="E67" s="12" t="n">
        <x:v>450.51204</x:v>
      </x:c>
      <x:c r="F67" s="12" t="n">
        <x:f>SUM(B67,D67:E67)</x:f>
        <x:v>100021.50411999998</x:v>
      </x:c>
      <x:c r="G67" s="12" t="n">
        <x:f>MAX(G66,F67)</x:f>
        <x:v>102615.35208</x:v>
      </x:c>
      <x:c r="H67" s="14" t="n">
        <x:f>F67/G67-1</x:f>
        <x:v>-0.025277386935025348</x:v>
      </x:c>
      <x:c r="I67" s="14" t="n">
        <x:f>F67/F66-1</x:f>
        <x:v>-0.0035200061678576366</x:v>
      </x:c>
      <x:c r="J67" s="12" t="n">
        <x:v>0</x:v>
      </x:c>
      <x:c r="K67" s="12" t="n">
        <x:v>0</x:v>
      </x:c>
      <x:c r="L67" s="12" t="n">
        <x:v>0</x:v>
      </x:c>
      <x:c r="M67" s="2" t="str">
        <x:v>持有</x:v>
      </x:c>
    </x:row>
    <x:row r="68" ht="23" customHeight="1">
      <x:c r="A68" s="11" t="d">
        <x:v>2015-04-02T00:00:00.000Z</x:v>
      </x:c>
      <x:c r="B68" s="12" t="n">
        <x:v>12.19208</x:v>
      </x:c>
      <x:c r="C68" s="13" t="n">
        <x:v>484</x:v>
      </x:c>
      <x:c r="D68" s="12" t="n">
        <x:v>99916.95999999999</x:v>
      </x:c>
      <x:c r="E68" s="12" t="n">
        <x:v>450.51204</x:v>
      </x:c>
      <x:c r="F68" s="12" t="n">
        <x:f>SUM(B68,D68:E68)</x:f>
        <x:v>100379.66411999999</x:v>
      </x:c>
      <x:c r="G68" s="12" t="n">
        <x:f>MAX(G67,F68)</x:f>
        <x:v>102615.35208</x:v>
      </x:c>
      <x:c r="H68" s="14" t="n">
        <x:f>F68/G68-1</x:f>
        <x:v>-0.021787070985801904</x:v>
      </x:c>
      <x:c r="I68" s="14" t="n">
        <x:f>F68/F67-1</x:f>
        <x:v>0.0035808299740254235</x:v>
      </x:c>
      <x:c r="J68" s="12" t="n">
        <x:v>0</x:v>
      </x:c>
      <x:c r="K68" s="12" t="n">
        <x:v>0</x:v>
      </x:c>
      <x:c r="L68" s="12" t="n">
        <x:v>0</x:v>
      </x:c>
      <x:c r="M68" s="2" t="str">
        <x:v>持有</x:v>
      </x:c>
    </x:row>
    <x:row r="69" ht="23" customHeight="1">
      <x:c r="A69" s="11" t="d">
        <x:v>2015-04-06T00:00:00.000Z</x:v>
      </x:c>
      <x:c r="B69" s="12" t="n">
        <x:v>12.19208</x:v>
      </x:c>
      <x:c r="C69" s="13" t="n">
        <x:v>484</x:v>
      </x:c>
      <x:c r="D69" s="12" t="n">
        <x:v>100589.72</x:v>
      </x:c>
      <x:c r="E69" s="12" t="n">
        <x:v>450.51204</x:v>
      </x:c>
      <x:c r="F69" s="12" t="n">
        <x:f>SUM(B69,D69:E69)</x:f>
        <x:v>101052.42412</x:v>
      </x:c>
      <x:c r="G69" s="12" t="n">
        <x:f>MAX(G68,F69)</x:f>
        <x:v>102615.35208</x:v>
      </x:c>
      <x:c r="H69" s="14" t="n">
        <x:f>F69/G69-1</x:f>
        <x:v>-0.015230936973071318</x:v>
      </x:c>
      <x:c r="I69" s="14" t="n">
        <x:f>F69/F68-1</x:f>
        <x:v>0.006702154324761844</x:v>
      </x:c>
      <x:c r="J69" s="12" t="n">
        <x:v>0</x:v>
      </x:c>
      <x:c r="K69" s="12" t="n">
        <x:v>0</x:v>
      </x:c>
      <x:c r="L69" s="12" t="n">
        <x:v>0</x:v>
      </x:c>
      <x:c r="M69" s="2" t="str">
        <x:v>持有</x:v>
      </x:c>
    </x:row>
    <x:row r="70" ht="23" customHeight="1">
      <x:c r="A70" s="11" t="d">
        <x:v>2015-04-07T00:00:00.000Z</x:v>
      </x:c>
      <x:c r="B70" s="12" t="n">
        <x:v>12.19208</x:v>
      </x:c>
      <x:c r="C70" s="13" t="n">
        <x:v>484</x:v>
      </x:c>
      <x:c r="D70" s="12" t="n">
        <x:v>100323.52</x:v>
      </x:c>
      <x:c r="E70" s="12" t="n">
        <x:v>450.51204</x:v>
      </x:c>
      <x:c r="F70" s="12" t="n">
        <x:f>SUM(B70,D70:E70)</x:f>
        <x:v>100786.22412</x:v>
      </x:c>
      <x:c r="G70" s="12" t="n">
        <x:f>MAX(G69,F70)</x:f>
        <x:v>102615.35208</x:v>
      </x:c>
      <x:c r="H70" s="14" t="n">
        <x:f>F70/G70-1</x:f>
        <x:v>-0.017825090719115755</x:v>
      </x:c>
      <x:c r="I70" s="14" t="n">
        <x:f>F70/F69-1</x:f>
        <x:v>-0.0026342762414475196</x:v>
      </x:c>
      <x:c r="J70" s="12" t="n">
        <x:v>0</x:v>
      </x:c>
      <x:c r="K70" s="12" t="n">
        <x:v>0</x:v>
      </x:c>
      <x:c r="L70" s="12" t="n">
        <x:v>0</x:v>
      </x:c>
      <x:c r="M70" s="2" t="str">
        <x:v>持有</x:v>
      </x:c>
    </x:row>
    <x:row r="71" ht="23" customHeight="1">
      <x:c r="A71" s="11" t="d">
        <x:v>2015-04-08T00:00:00.000Z</x:v>
      </x:c>
      <x:c r="B71" s="12" t="n">
        <x:v>12.19208</x:v>
      </x:c>
      <x:c r="C71" s="13" t="n">
        <x:v>484</x:v>
      </x:c>
      <x:c r="D71" s="12" t="n">
        <x:v>100662.31999999999</x:v>
      </x:c>
      <x:c r="E71" s="12" t="n">
        <x:v>450.51204</x:v>
      </x:c>
      <x:c r="F71" s="12" t="n">
        <x:f>SUM(B71,D71:E71)</x:f>
        <x:v>101125.02411999999</x:v>
      </x:c>
      <x:c r="G71" s="12" t="n">
        <x:f>MAX(G70,F71)</x:f>
        <x:v>102615.35208</x:v>
      </x:c>
      <x:c r="H71" s="14" t="n">
        <x:f>F71/G71-1</x:f>
        <x:v>-0.014523440496877482</x:v>
      </x:c>
      <x:c r="I71" s="14" t="n">
        <x:f>F71/F70-1</x:f>
        <x:v>0.003361570521747126</x:v>
      </x:c>
      <x:c r="J71" s="12" t="n">
        <x:v>0</x:v>
      </x:c>
      <x:c r="K71" s="12" t="n">
        <x:v>0</x:v>
      </x:c>
      <x:c r="L71" s="12" t="n">
        <x:v>0</x:v>
      </x:c>
      <x:c r="M71" s="2" t="str">
        <x:v>持有</x:v>
      </x:c>
    </x:row>
    <x:row r="72" ht="23" customHeight="1">
      <x:c r="A72" s="11" t="d">
        <x:v>2015-04-09T00:00:00.000Z</x:v>
      </x:c>
      <x:c r="B72" s="12" t="n">
        <x:v>12.19208</x:v>
      </x:c>
      <x:c r="C72" s="13" t="n">
        <x:v>484</x:v>
      </x:c>
      <x:c r="D72" s="12" t="n">
        <x:v>101107.6</x:v>
      </x:c>
      <x:c r="E72" s="12" t="n">
        <x:v>450.51204</x:v>
      </x:c>
      <x:c r="F72" s="12" t="n">
        <x:f>SUM(B72,D72:E72)</x:f>
        <x:v>101570.30412</x:v>
      </x:c>
      <x:c r="G72" s="12" t="n">
        <x:f>MAX(G71,F72)</x:f>
        <x:v>102615.35208</x:v>
      </x:c>
      <x:c r="H72" s="14" t="n">
        <x:f>F72/G72-1</x:f>
        <x:v>-0.010184128776221213</x:v>
      </x:c>
      <x:c r="I72" s="14" t="n">
        <x:f>F72/F71-1</x:f>
        <x:v>0.004403262237758554</x:v>
      </x:c>
      <x:c r="J72" s="12" t="n">
        <x:v>0</x:v>
      </x:c>
      <x:c r="K72" s="12" t="n">
        <x:v>0</x:v>
      </x:c>
      <x:c r="L72" s="12" t="n">
        <x:v>0</x:v>
      </x:c>
      <x:c r="M72" s="2" t="str">
        <x:v>持有</x:v>
      </x:c>
    </x:row>
    <x:row r="73" ht="23" customHeight="1">
      <x:c r="A73" s="11" t="d">
        <x:v>2015-04-10T00:00:00.000Z</x:v>
      </x:c>
      <x:c r="B73" s="12" t="n">
        <x:v>12.19208</x:v>
      </x:c>
      <x:c r="C73" s="13" t="n">
        <x:v>484</x:v>
      </x:c>
      <x:c r="D73" s="12" t="n">
        <x:v>101659.36</x:v>
      </x:c>
      <x:c r="E73" s="12" t="n">
        <x:v>450.51204</x:v>
      </x:c>
      <x:c r="F73" s="12" t="n">
        <x:f>SUM(B73,D73:E73)</x:f>
        <x:v>102122.06412</x:v>
      </x:c>
      <x:c r="G73" s="12" t="n">
        <x:f>MAX(G72,F73)</x:f>
        <x:v>102615.35208</x:v>
      </x:c>
      <x:c r="H73" s="14" t="n">
        <x:f>F73/G73-1</x:f>
        <x:v>-0.00480715555714728</x:v>
      </x:c>
      <x:c r="I73" s="14" t="n">
        <x:f>F73/F72-1</x:f>
        <x:v>0.005432296425420979</x:v>
      </x:c>
      <x:c r="J73" s="12" t="n">
        <x:v>0</x:v>
      </x:c>
      <x:c r="K73" s="12" t="n">
        <x:v>0</x:v>
      </x:c>
      <x:c r="L73" s="12" t="n">
        <x:v>0</x:v>
      </x:c>
      <x:c r="M73" s="2" t="str">
        <x:v>持有</x:v>
      </x:c>
    </x:row>
    <x:row r="74" ht="23" customHeight="1">
      <x:c r="A74" s="11" t="d">
        <x:v>2015-04-13T00:00:00.000Z</x:v>
      </x:c>
      <x:c r="B74" s="12" t="n">
        <x:v>12.19208</x:v>
      </x:c>
      <x:c r="C74" s="13" t="n">
        <x:v>484</x:v>
      </x:c>
      <x:c r="D74" s="12" t="n">
        <x:v>101199.56</x:v>
      </x:c>
      <x:c r="E74" s="12" t="n">
        <x:v>450.51204</x:v>
      </x:c>
      <x:c r="F74" s="12" t="n">
        <x:f>SUM(B74,D74:E74)</x:f>
        <x:v>101662.26411999999</x:v>
      </x:c>
      <x:c r="G74" s="12" t="n">
        <x:f>MAX(G73,F74)</x:f>
        <x:v>102615.35208</x:v>
      </x:c>
      <x:c r="H74" s="14" t="n">
        <x:f>F74/G74-1</x:f>
        <x:v>-0.009287966573042317</x:v>
      </x:c>
      <x:c r="I74" s="14" t="n">
        <x:f>F74/F73-1</x:f>
        <x:v>-0.0045024550175534195</x:v>
      </x:c>
      <x:c r="J74" s="12" t="n">
        <x:v>0</x:v>
      </x:c>
      <x:c r="K74" s="12" t="n">
        <x:v>0</x:v>
      </x:c>
      <x:c r="L74" s="12" t="n">
        <x:v>0</x:v>
      </x:c>
      <x:c r="M74" s="2" t="str">
        <x:v>持有</x:v>
      </x:c>
    </x:row>
    <x:row r="75" ht="23" customHeight="1">
      <x:c r="A75" s="11" t="d">
        <x:v>2015-04-14T00:00:00.000Z</x:v>
      </x:c>
      <x:c r="B75" s="12" t="n">
        <x:v>12.19208</x:v>
      </x:c>
      <x:c r="C75" s="13" t="n">
        <x:v>484</x:v>
      </x:c>
      <x:c r="D75" s="12" t="n">
        <x:v>101393.16</x:v>
      </x:c>
      <x:c r="E75" s="12" t="n">
        <x:v>450.51204</x:v>
      </x:c>
      <x:c r="F75" s="12" t="n">
        <x:f>SUM(B75,D75:E75)</x:f>
        <x:v>101855.86412</x:v>
      </x:c>
      <x:c r="G75" s="12" t="n">
        <x:f>MAX(G74,F75)</x:f>
        <x:v>102615.35208</x:v>
      </x:c>
      <x:c r="H75" s="14" t="n">
        <x:f>F75/G75-1</x:f>
        <x:v>-0.0074013093031917165</x:v>
      </x:c>
      <x:c r="I75" s="14" t="n">
        <x:f>F75/F74-1</x:f>
        <x:v>0.0019043447603279695</x:v>
      </x:c>
      <x:c r="J75" s="12" t="n">
        <x:v>0</x:v>
      </x:c>
      <x:c r="K75" s="12" t="n">
        <x:v>0</x:v>
      </x:c>
      <x:c r="L75" s="12" t="n">
        <x:v>0</x:v>
      </x:c>
      <x:c r="M75" s="2" t="str">
        <x:v>持有</x:v>
      </x:c>
    </x:row>
    <x:row r="76" ht="23" customHeight="1">
      <x:c r="A76" s="11" t="d">
        <x:v>2015-04-15T00:00:00.000Z</x:v>
      </x:c>
      <x:c r="B76" s="12" t="n">
        <x:v>12.19208</x:v>
      </x:c>
      <x:c r="C76" s="13" t="n">
        <x:v>484</x:v>
      </x:c>
      <x:c r="D76" s="12" t="n">
        <x:v>101848.12000000001</x:v>
      </x:c>
      <x:c r="E76" s="12" t="n">
        <x:v>450.51204</x:v>
      </x:c>
      <x:c r="F76" s="12" t="n">
        <x:f>SUM(B76,D76:E76)</x:f>
        <x:v>102310.82412</x:v>
      </x:c>
      <x:c r="G76" s="12" t="n">
        <x:f>MAX(G75,F76)</x:f>
        <x:v>102615.35208</x:v>
      </x:c>
      <x:c r="H76" s="14" t="n">
        <x:f>F76/G76-1</x:f>
        <x:v>-0.002967664719042973</x:v>
      </x:c>
      <x:c r="I76" s="14" t="n">
        <x:f>F76/F75-1</x:f>
        <x:v>0.004466704042331848</x:v>
      </x:c>
      <x:c r="J76" s="12" t="n">
        <x:v>0</x:v>
      </x:c>
      <x:c r="K76" s="12" t="n">
        <x:v>0</x:v>
      </x:c>
      <x:c r="L76" s="12" t="n">
        <x:v>0</x:v>
      </x:c>
      <x:c r="M76" s="2" t="str">
        <x:v>持有</x:v>
      </x:c>
    </x:row>
    <x:row r="77" ht="23" customHeight="1">
      <x:c r="A77" s="11" t="d">
        <x:v>2015-04-16T00:00:00.000Z</x:v>
      </x:c>
      <x:c r="B77" s="12" t="n">
        <x:v>12.19208</x:v>
      </x:c>
      <x:c r="C77" s="13" t="n">
        <x:v>484</x:v>
      </x:c>
      <x:c r="D77" s="12" t="n">
        <x:v>101819.08</x:v>
      </x:c>
      <x:c r="E77" s="12" t="n">
        <x:v>450.51204</x:v>
      </x:c>
      <x:c r="F77" s="12" t="n">
        <x:f>SUM(B77,D77:E77)</x:f>
        <x:v>102281.78412</x:v>
      </x:c>
      <x:c r="G77" s="12" t="n">
        <x:f>MAX(G76,F77)</x:f>
        <x:v>102615.35208</x:v>
      </x:c>
      <x:c r="H77" s="14" t="n">
        <x:f>F77/G77-1</x:f>
        <x:v>-0.0032506633095206183</x:v>
      </x:c>
      <x:c r="I77" s="14" t="n">
        <x:f>F77/F76-1</x:f>
        <x:v>-0.00028384093520683606</x:v>
      </x:c>
      <x:c r="J77" s="12" t="n">
        <x:v>0</x:v>
      </x:c>
      <x:c r="K77" s="12" t="n">
        <x:v>0</x:v>
      </x:c>
      <x:c r="L77" s="12" t="n">
        <x:v>0</x:v>
      </x:c>
      <x:c r="M77" s="2" t="str">
        <x:v>持有</x:v>
      </x:c>
    </x:row>
    <x:row r="78" ht="23" customHeight="1">
      <x:c r="A78" s="11" t="d">
        <x:v>2015-04-17T00:00:00.000Z</x:v>
      </x:c>
      <x:c r="B78" s="12" t="n">
        <x:v>12.19208</x:v>
      </x:c>
      <x:c r="C78" s="13" t="n">
        <x:v>484</x:v>
      </x:c>
      <x:c r="D78" s="12" t="n">
        <x:v>100647.79999999999</x:v>
      </x:c>
      <x:c r="E78" s="12" t="n">
        <x:v>450.51204</x:v>
      </x:c>
      <x:c r="F78" s="12" t="n">
        <x:f>SUM(B78,D78:E78)</x:f>
        <x:v>101110.50411999998</x:v>
      </x:c>
      <x:c r="G78" s="12" t="n">
        <x:f>MAX(G77,F78)</x:f>
        <x:v>102615.35208</x:v>
      </x:c>
      <x:c r="H78" s="14" t="n">
        <x:f>F78/G78-1</x:f>
        <x:v>-0.01466493979211625</x:v>
      </x:c>
      <x:c r="I78" s="14" t="n">
        <x:f>F78/F77-1</x:f>
        <x:v>-0.011451501458224822</x:v>
      </x:c>
      <x:c r="J78" s="12" t="n">
        <x:v>0</x:v>
      </x:c>
      <x:c r="K78" s="12" t="n">
        <x:v>0</x:v>
      </x:c>
      <x:c r="L78" s="12" t="n">
        <x:v>0</x:v>
      </x:c>
      <x:c r="M78" s="2" t="str">
        <x:v>持有</x:v>
      </x:c>
    </x:row>
    <x:row r="79" ht="23" customHeight="1">
      <x:c r="A79" s="11" t="d">
        <x:v>2015-04-20T00:00:00.000Z</x:v>
      </x:c>
      <x:c r="B79" s="12" t="n">
        <x:v>12.19208</x:v>
      </x:c>
      <x:c r="C79" s="13" t="n">
        <x:v>484</x:v>
      </x:c>
      <x:c r="D79" s="12" t="n">
        <x:v>101567.4</x:v>
      </x:c>
      <x:c r="E79" s="12" t="n">
        <x:v>450.51204</x:v>
      </x:c>
      <x:c r="F79" s="12" t="n">
        <x:f>SUM(B79,D79:E79)</x:f>
        <x:v>102030.10411999999</x:v>
      </x:c>
      <x:c r="G79" s="12" t="n">
        <x:f>MAX(G78,F79)</x:f>
        <x:v>102615.35208</x:v>
      </x:c>
      <x:c r="H79" s="14" t="n">
        <x:f>F79/G79-1</x:f>
        <x:v>-0.0057033177603263985</x:v>
      </x:c>
      <x:c r="I79" s="14" t="n">
        <x:f>F79/F78-1</x:f>
        <x:v>0.009094999654126967</x:v>
      </x:c>
      <x:c r="J79" s="12" t="n">
        <x:v>0</x:v>
      </x:c>
      <x:c r="K79" s="12" t="n">
        <x:v>0</x:v>
      </x:c>
      <x:c r="L79" s="12" t="n">
        <x:v>0</x:v>
      </x:c>
      <x:c r="M79" s="2" t="str">
        <x:v>持有</x:v>
      </x:c>
    </x:row>
    <x:row r="80" ht="23" customHeight="1">
      <x:c r="A80" s="11" t="d">
        <x:v>2015-04-21T00:00:00.000Z</x:v>
      </x:c>
      <x:c r="B80" s="12" t="n">
        <x:v>12.19208</x:v>
      </x:c>
      <x:c r="C80" s="13" t="n">
        <x:v>484</x:v>
      </x:c>
      <x:c r="D80" s="12" t="n">
        <x:v>101446.4</x:v>
      </x:c>
      <x:c r="E80" s="12" t="n">
        <x:v>450.51204</x:v>
      </x:c>
      <x:c r="F80" s="12" t="n">
        <x:f>SUM(B80,D80:E80)</x:f>
        <x:v>101909.10411999999</x:v>
      </x:c>
      <x:c r="G80" s="12" t="n">
        <x:f>MAX(G79,F80)</x:f>
        <x:v>102615.35208</x:v>
      </x:c>
      <x:c r="H80" s="14" t="n">
        <x:f>F80/G80-1</x:f>
        <x:v>-0.00688247855398294</x:v>
      </x:c>
      <x:c r="I80" s="14" t="n">
        <x:f>F80/F79-1</x:f>
        <x:v>-0.0011859244979078865</x:v>
      </x:c>
      <x:c r="J80" s="12" t="n">
        <x:v>0</x:v>
      </x:c>
      <x:c r="K80" s="12" t="n">
        <x:v>0</x:v>
      </x:c>
      <x:c r="L80" s="12" t="n">
        <x:v>0</x:v>
      </x:c>
      <x:c r="M80" s="2" t="str">
        <x:v>持有</x:v>
      </x:c>
    </x:row>
    <x:row r="81" ht="23" customHeight="1">
      <x:c r="A81" s="11" t="d">
        <x:v>2015-04-22T00:00:00.000Z</x:v>
      </x:c>
      <x:c r="B81" s="12" t="n">
        <x:v>12.19208</x:v>
      </x:c>
      <x:c r="C81" s="13" t="n">
        <x:v>484</x:v>
      </x:c>
      <x:c r="D81" s="12" t="n">
        <x:v>101944.92</x:v>
      </x:c>
      <x:c r="E81" s="12" t="n">
        <x:v>450.51204</x:v>
      </x:c>
      <x:c r="F81" s="12" t="n">
        <x:f>SUM(B81,D81:E81)</x:f>
        <x:v>102407.62412</x:v>
      </x:c>
      <x:c r="G81" s="12" t="n">
        <x:f>MAX(G80,F81)</x:f>
        <x:v>102615.35208</x:v>
      </x:c>
      <x:c r="H81" s="14" t="n">
        <x:f>F81/G81-1</x:f>
        <x:v>-0.002024336084117895</x:v>
      </x:c>
      <x:c r="I81" s="14" t="n">
        <x:f>F81/F80-1</x:f>
        <x:v>0.0048918102489938775</x:v>
      </x:c>
      <x:c r="J81" s="12" t="n">
        <x:v>0</x:v>
      </x:c>
      <x:c r="K81" s="12" t="n">
        <x:v>0</x:v>
      </x:c>
      <x:c r="L81" s="12" t="n">
        <x:v>0</x:v>
      </x:c>
      <x:c r="M81" s="2" t="str">
        <x:v>持有</x:v>
      </x:c>
    </x:row>
    <x:row r="82" ht="23" customHeight="1">
      <x:c r="A82" s="11" t="d">
        <x:v>2015-04-23T00:00:00.000Z</x:v>
      </x:c>
      <x:c r="B82" s="12" t="n">
        <x:v>12.19208</x:v>
      </x:c>
      <x:c r="C82" s="13" t="n">
        <x:v>484</x:v>
      </x:c>
      <x:c r="D82" s="12" t="n">
        <x:v>102201.44</x:v>
      </x:c>
      <x:c r="E82" s="12" t="n">
        <x:v>450.51204</x:v>
      </x:c>
      <x:c r="F82" s="12" t="n">
        <x:f>SUM(B82,D82:E82)</x:f>
        <x:v>102664.14412</x:v>
      </x:c>
      <x:c r="G82" s="12" t="n">
        <x:f>MAX(G81,F82)</x:f>
        <x:v>102664.14412</x:v>
      </x:c>
      <x:c r="H82" s="14" t="n">
        <x:f>F82/G82-1</x:f>
        <x:v>0</x:v>
      </x:c>
      <x:c r="I82" s="14" t="n">
        <x:f>F82/F81-1</x:f>
        <x:v>0.0025048916250554054</x:v>
      </x:c>
      <x:c r="J82" s="12" t="n">
        <x:v>0</x:v>
      </x:c>
      <x:c r="K82" s="12" t="n">
        <x:v>0</x:v>
      </x:c>
      <x:c r="L82" s="12" t="n">
        <x:v>0</x:v>
      </x:c>
      <x:c r="M82" s="2" t="str">
        <x:v>持有</x:v>
      </x:c>
    </x:row>
    <x:row r="83" ht="23" customHeight="1">
      <x:c r="A83" s="11" t="d">
        <x:v>2015-04-24T00:00:00.000Z</x:v>
      </x:c>
      <x:c r="B83" s="12" t="n">
        <x:v>12.19208</x:v>
      </x:c>
      <x:c r="C83" s="13" t="n">
        <x:v>484</x:v>
      </x:c>
      <x:c r="D83" s="12" t="n">
        <x:v>102438.6</x:v>
      </x:c>
      <x:c r="E83" s="12" t="n">
        <x:v>450.51204</x:v>
      </x:c>
      <x:c r="F83" s="12" t="n">
        <x:f>SUM(B83,D83:E83)</x:f>
        <x:v>102901.30412</x:v>
      </x:c>
      <x:c r="G83" s="12" t="n">
        <x:f>MAX(G82,F83)</x:f>
        <x:v>102901.30412</x:v>
      </x:c>
      <x:c r="H83" s="14" t="n">
        <x:f>F83/G83-1</x:f>
        <x:v>0</x:v>
      </x:c>
      <x:c r="I83" s="14" t="n">
        <x:f>F83/F82-1</x:f>
        <x:v>0.0023100567586946674</x:v>
      </x:c>
      <x:c r="J83" s="12" t="n">
        <x:v>0</x:v>
      </x:c>
      <x:c r="K83" s="12" t="n">
        <x:v>0</x:v>
      </x:c>
      <x:c r="L83" s="12" t="n">
        <x:v>0</x:v>
      </x:c>
      <x:c r="M83" s="2" t="str">
        <x:v>持有</x:v>
      </x:c>
    </x:row>
    <x:row r="84" ht="23" customHeight="1">
      <x:c r="A84" s="11" t="d">
        <x:v>2015-04-27T00:00:00.000Z</x:v>
      </x:c>
      <x:c r="B84" s="12" t="n">
        <x:v>12.19208</x:v>
      </x:c>
      <x:c r="C84" s="13" t="n">
        <x:v>484</x:v>
      </x:c>
      <x:c r="D84" s="12" t="n">
        <x:v>102012.68000000001</x:v>
      </x:c>
      <x:c r="E84" s="12" t="n">
        <x:v>450.51204</x:v>
      </x:c>
      <x:c r="F84" s="12" t="n">
        <x:f>SUM(B84,D84:E84)</x:f>
        <x:v>102475.38412</x:v>
      </x:c>
      <x:c r="G84" s="12" t="n">
        <x:f>MAX(G83,F84)</x:f>
        <x:v>102901.30412</x:v>
      </x:c>
      <x:c r="H84" s="14" t="n">
        <x:f>F84/G84-1</x:f>
        <x:v>-0.004139111779412508</x:v>
      </x:c>
      <x:c r="I84" s="14" t="n">
        <x:f>F84/F83-1</x:f>
        <x:v>-0.004139111779412508</x:v>
      </x:c>
      <x:c r="J84" s="12" t="n">
        <x:v>0</x:v>
      </x:c>
      <x:c r="K84" s="12" t="n">
        <x:v>0</x:v>
      </x:c>
      <x:c r="L84" s="12" t="n">
        <x:v>0</x:v>
      </x:c>
      <x:c r="M84" s="2" t="str">
        <x:v>持有</x:v>
      </x:c>
    </x:row>
    <x:row r="85" ht="23" customHeight="1">
      <x:c r="A85" s="11" t="d">
        <x:v>2015-04-28T00:00:00.000Z</x:v>
      </x:c>
      <x:c r="B85" s="12" t="n">
        <x:v>12.19208</x:v>
      </x:c>
      <x:c r="C85" s="13" t="n">
        <x:v>484</x:v>
      </x:c>
      <x:c r="D85" s="12" t="n">
        <x:v>102336.95999999999</x:v>
      </x:c>
      <x:c r="E85" s="12" t="n">
        <x:v>450.51204</x:v>
      </x:c>
      <x:c r="F85" s="12" t="n">
        <x:f>SUM(B85,D85:E85)</x:f>
        <x:v>102799.66411999999</x:v>
      </x:c>
      <x:c r="G85" s="12" t="n">
        <x:f>MAX(G84,F85)</x:f>
        <x:v>102901.30412</x:v>
      </x:c>
      <x:c r="H85" s="14" t="n">
        <x:f>F85/G85-1</x:f>
        <x:v>-0.0009877425837235831</x:v>
      </x:c>
      <x:c r="I85" s="14" t="n">
        <x:f>F85/F84-1</x:f>
        <x:v>0.0031644672794810536</x:v>
      </x:c>
      <x:c r="J85" s="12" t="n">
        <x:v>0</x:v>
      </x:c>
      <x:c r="K85" s="12" t="n">
        <x:v>0</x:v>
      </x:c>
      <x:c r="L85" s="12" t="n">
        <x:v>0</x:v>
      </x:c>
      <x:c r="M85" s="2" t="str">
        <x:v>持有</x:v>
      </x:c>
    </x:row>
    <x:row r="86" ht="23" customHeight="1">
      <x:c r="A86" s="11" t="d">
        <x:v>2015-04-29T00:00:00.000Z</x:v>
      </x:c>
      <x:c r="B86" s="12" t="n">
        <x:v>12.19208</x:v>
      </x:c>
      <x:c r="C86" s="13" t="n">
        <x:v>484</x:v>
      </x:c>
      <x:c r="D86" s="12" t="n">
        <x:v>101915.87999999999</x:v>
      </x:c>
      <x:c r="E86" s="12" t="n">
        <x:v>450.51204</x:v>
      </x:c>
      <x:c r="F86" s="12" t="n">
        <x:f>SUM(B86,D86:E86)</x:f>
        <x:v>102378.58411999998</x:v>
      </x:c>
      <x:c r="G86" s="12" t="n">
        <x:f>MAX(G85,F86)</x:f>
        <x:v>102901.30412</x:v>
      </x:c>
      <x:c r="H86" s="14" t="n">
        <x:f>F86/G86-1</x:f>
        <x:v>-0.0050798190020063805</x:v>
      </x:c>
      <x:c r="I86" s="14" t="n">
        <x:f>F86/F85-1</x:f>
        <x:v>-0.004096122332739038</x:v>
      </x:c>
      <x:c r="J86" s="12" t="n">
        <x:v>0</x:v>
      </x:c>
      <x:c r="K86" s="12" t="n">
        <x:v>0</x:v>
      </x:c>
      <x:c r="L86" s="12" t="n">
        <x:v>0</x:v>
      </x:c>
      <x:c r="M86" s="2" t="str">
        <x:v>持有</x:v>
      </x:c>
    </x:row>
    <x:row r="87" ht="23" customHeight="1">
      <x:c r="A87" s="11" t="d">
        <x:v>2015-04-30T00:00:00.000Z</x:v>
      </x:c>
      <x:c r="B87" s="12" t="n">
        <x:v>462.70412</x:v>
      </x:c>
      <x:c r="C87" s="13" t="n">
        <x:v>484</x:v>
      </x:c>
      <x:c r="D87" s="12" t="n">
        <x:v>100894.64</x:v>
      </x:c>
      <x:c r="E87" s="12" t="n">
        <x:v>0</x:v>
      </x:c>
      <x:c r="F87" s="12" t="n">
        <x:f>SUM(B87,D87:E87)</x:f>
        <x:v>101357.34412</x:v>
      </x:c>
      <x:c r="G87" s="12" t="n">
        <x:f>MAX(G86,F87)</x:f>
        <x:v>102901.30412</x:v>
      </x:c>
      <x:c r="H87" s="14" t="n">
        <x:f>F87/G87-1</x:f>
        <x:v>-0.015004280200370368</x:v>
      </x:c>
      <x:c r="I87" s="14" t="n">
        <x:f>F87/F86-1</x:f>
        <x:v>-0.009975133068874764</x:v>
      </x:c>
      <x:c r="J87" s="12" t="n">
        <x:v>0</x:v>
      </x:c>
      <x:c r="K87" s="12" t="n">
        <x:v>450.51204</x:v>
      </x:c>
      <x:c r="L87" s="12" t="n">
        <x:v>0</x:v>
      </x:c>
      <x:c r="M87" s="2" t="str">
        <x:v>持有</x:v>
      </x:c>
    </x:row>
    <x:row r="88" ht="23" customHeight="1">
      <x:c r="A88" s="11" t="d">
        <x:v>2015-05-01T00:00:00.000Z</x:v>
      </x:c>
      <x:c r="B88" s="12" t="n">
        <x:v>462.70412</x:v>
      </x:c>
      <x:c r="C88" s="13" t="n">
        <x:v>484</x:v>
      </x:c>
      <x:c r="D88" s="12" t="n">
        <x:v>101988.48</x:v>
      </x:c>
      <x:c r="E88" s="12" t="n">
        <x:v>0</x:v>
      </x:c>
      <x:c r="F88" s="12" t="n">
        <x:f>SUM(B88,D88:E88)</x:f>
        <x:v>102451.18411999999</x:v>
      </x:c>
      <x:c r="G88" s="12" t="n">
        <x:f>MAX(G87,F88)</x:f>
        <x:v>102901.30412</x:v>
      </x:c>
      <x:c r="H88" s="14" t="n">
        <x:f>F88/G88-1</x:f>
        <x:v>-0.004374288585061059</x:v>
      </x:c>
      <x:c r="I88" s="14" t="n">
        <x:f>F88/F87-1</x:f>
        <x:v>0.010791916555202619</x:v>
      </x:c>
      <x:c r="J88" s="12" t="n">
        <x:v>0</x:v>
      </x:c>
      <x:c r="K88" s="12" t="n">
        <x:v>0</x:v>
      </x:c>
      <x:c r="L88" s="12" t="n">
        <x:v>0</x:v>
      </x:c>
      <x:c r="M88" s="2" t="str">
        <x:v>持有</x:v>
      </x:c>
    </x:row>
    <x:row r="89" ht="23" customHeight="1">
      <x:c r="A89" s="11" t="d">
        <x:v>2015-05-04T00:00:00.000Z</x:v>
      </x:c>
      <x:c r="B89" s="12" t="n">
        <x:v>462.70412</x:v>
      </x:c>
      <x:c r="C89" s="13" t="n">
        <x:v>484</x:v>
      </x:c>
      <x:c r="D89" s="12" t="n">
        <x:v>102278.87999999999</x:v>
      </x:c>
      <x:c r="E89" s="12" t="n">
        <x:v>0</x:v>
      </x:c>
      <x:c r="F89" s="12" t="n">
        <x:f>SUM(B89,D89:E89)</x:f>
        <x:v>102741.58411999998</x:v>
      </x:c>
      <x:c r="G89" s="12" t="n">
        <x:f>MAX(G88,F89)</x:f>
        <x:v>102901.30412</x:v>
      </x:c>
      <x:c r="H89" s="14" t="n">
        <x:f>F89/G89-1</x:f>
        <x:v>-0.0015521669172798847</x:v>
      </x:c>
      <x:c r="I89" s="14" t="n">
        <x:f>F89/F88-1</x:f>
        <x:v>0.0028345206792323996</x:v>
      </x:c>
      <x:c r="J89" s="12" t="n">
        <x:v>0</x:v>
      </x:c>
      <x:c r="K89" s="12" t="n">
        <x:v>0</x:v>
      </x:c>
      <x:c r="L89" s="12" t="n">
        <x:v>0</x:v>
      </x:c>
      <x:c r="M89" s="2" t="str">
        <x:v>持有</x:v>
      </x:c>
    </x:row>
    <x:row r="90" ht="23" customHeight="1">
      <x:c r="A90" s="11" t="d">
        <x:v>2015-05-05T00:00:00.000Z</x:v>
      </x:c>
      <x:c r="B90" s="12" t="n">
        <x:v>462.70412</x:v>
      </x:c>
      <x:c r="C90" s="13" t="n">
        <x:v>484</x:v>
      </x:c>
      <x:c r="D90" s="12" t="n">
        <x:v>101107.6</x:v>
      </x:c>
      <x:c r="E90" s="12" t="n">
        <x:v>0</x:v>
      </x:c>
      <x:c r="F90" s="12" t="n">
        <x:f>SUM(B90,D90:E90)</x:f>
        <x:v>101570.30412</x:v>
      </x:c>
      <x:c r="G90" s="12" t="n">
        <x:f>MAX(G89,F90)</x:f>
        <x:v>102901.30412</x:v>
      </x:c>
      <x:c r="H90" s="14" t="n">
        <x:f>F90/G90-1</x:f>
        <x:v>-0.012934724310664114</x:v>
      </x:c>
      <x:c r="I90" s="14" t="n">
        <x:f>F90/F89-1</x:f>
        <x:v>-0.011400252488144913</x:v>
      </x:c>
      <x:c r="J90" s="12" t="n">
        <x:v>0</x:v>
      </x:c>
      <x:c r="K90" s="12" t="n">
        <x:v>0</x:v>
      </x:c>
      <x:c r="L90" s="12" t="n">
        <x:v>0</x:v>
      </x:c>
      <x:c r="M90" s="2" t="str">
        <x:v>持有</x:v>
      </x:c>
    </x:row>
    <x:row r="91" ht="23" customHeight="1">
      <x:c r="A91" s="11" t="d">
        <x:v>2015-05-06T00:00:00.000Z</x:v>
      </x:c>
      <x:c r="B91" s="12" t="n">
        <x:v>462.70412</x:v>
      </x:c>
      <x:c r="C91" s="13" t="n">
        <x:v>484</x:v>
      </x:c>
      <x:c r="D91" s="12" t="n">
        <x:v>100691.36</x:v>
      </x:c>
      <x:c r="E91" s="12" t="n">
        <x:v>0</x:v>
      </x:c>
      <x:c r="F91" s="12" t="n">
        <x:f>SUM(B91,D91:E91)</x:f>
        <x:v>101154.06412</x:v>
      </x:c>
      <x:c r="G91" s="12" t="n">
        <x:f>MAX(G90,F91)</x:f>
        <x:v>102901.30412</x:v>
      </x:c>
      <x:c r="H91" s="14" t="n">
        <x:f>F91/G91-1</x:f>
        <x:v>-0.0169797653678172</x:v>
      </x:c>
      <x:c r="I91" s="14" t="n">
        <x:f>F91/F90-1</x:f>
        <x:v>-0.004098048180580793</x:v>
      </x:c>
      <x:c r="J91" s="12" t="n">
        <x:v>0</x:v>
      </x:c>
      <x:c r="K91" s="12" t="n">
        <x:v>0</x:v>
      </x:c>
      <x:c r="L91" s="12" t="n">
        <x:v>0</x:v>
      </x:c>
      <x:c r="M91" s="2" t="str">
        <x:v>持有</x:v>
      </x:c>
    </x:row>
    <x:row r="92" ht="23" customHeight="1">
      <x:c r="A92" s="11" t="d">
        <x:v>2015-05-07T00:00:00.000Z</x:v>
      </x:c>
      <x:c r="B92" s="12" t="n">
        <x:v>462.70412</x:v>
      </x:c>
      <x:c r="C92" s="13" t="n">
        <x:v>484</x:v>
      </x:c>
      <x:c r="D92" s="12" t="n">
        <x:v>101093.08</x:v>
      </x:c>
      <x:c r="E92" s="12" t="n">
        <x:v>0</x:v>
      </x:c>
      <x:c r="F92" s="12" t="n">
        <x:f>SUM(B92,D92:E92)</x:f>
        <x:v>101555.78412</x:v>
      </x:c>
      <x:c r="G92" s="12" t="n">
        <x:f>MAX(G91,F92)</x:f>
        <x:v>102901.30412</x:v>
      </x:c>
      <x:c r="H92" s="14" t="n">
        <x:f>F92/G92-1</x:f>
        <x:v>-0.013075830394053134</x:v>
      </x:c>
      <x:c r="I92" s="14" t="n">
        <x:f>F92/F91-1</x:f>
        <x:v>0.003971367868358167</x:v>
      </x:c>
      <x:c r="J92" s="12" t="n">
        <x:v>0</x:v>
      </x:c>
      <x:c r="K92" s="12" t="n">
        <x:v>0</x:v>
      </x:c>
      <x:c r="L92" s="12" t="n">
        <x:v>0</x:v>
      </x:c>
      <x:c r="M92" s="2" t="str">
        <x:v>持有</x:v>
      </x:c>
    </x:row>
    <x:row r="93" ht="23" customHeight="1">
      <x:c r="A93" s="11" t="d">
        <x:v>2015-05-08T00:00:00.000Z</x:v>
      </x:c>
      <x:c r="B93" s="12" t="n">
        <x:v>462.70412</x:v>
      </x:c>
      <x:c r="C93" s="13" t="n">
        <x:v>484</x:v>
      </x:c>
      <x:c r="D93" s="12" t="n">
        <x:v>102424.08</x:v>
      </x:c>
      <x:c r="E93" s="12" t="n">
        <x:v>0</x:v>
      </x:c>
      <x:c r="F93" s="12" t="n">
        <x:f>SUM(B93,D93:E93)</x:f>
        <x:v>102886.78412</x:v>
      </x:c>
      <x:c r="G93" s="12" t="n">
        <x:f>MAX(G92,F93)</x:f>
        <x:v>102901.30412</x:v>
      </x:c>
      <x:c r="H93" s="14" t="n">
        <x:f>F93/G93-1</x:f>
        <x:v>-0.0001411060833891309</x:v>
      </x:c>
      <x:c r="I93" s="14" t="n">
        <x:f>F93/F92-1</x:f>
        <x:v>0.013106097417624918</x:v>
      </x:c>
      <x:c r="J93" s="12" t="n">
        <x:v>0</x:v>
      </x:c>
      <x:c r="K93" s="12" t="n">
        <x:v>0</x:v>
      </x:c>
      <x:c r="L93" s="12" t="n">
        <x:v>0</x:v>
      </x:c>
      <x:c r="M93" s="2" t="str">
        <x:v>持有</x:v>
      </x:c>
    </x:row>
    <x:row r="94" ht="23" customHeight="1">
      <x:c r="A94" s="11" t="d">
        <x:v>2015-05-11T00:00:00.000Z</x:v>
      </x:c>
      <x:c r="B94" s="12" t="n">
        <x:v>462.70412</x:v>
      </x:c>
      <x:c r="C94" s="13" t="n">
        <x:v>484</x:v>
      </x:c>
      <x:c r="D94" s="12" t="n">
        <x:v>101935.24</x:v>
      </x:c>
      <x:c r="E94" s="12" t="n">
        <x:v>0</x:v>
      </x:c>
      <x:c r="F94" s="12" t="n">
        <x:f>SUM(B94,D94:E94)</x:f>
        <x:v>102397.94412</x:v>
      </x:c>
      <x:c r="G94" s="12" t="n">
        <x:f>MAX(G93,F94)</x:f>
        <x:v>102901.30412</x:v>
      </x:c>
      <x:c r="H94" s="14" t="n">
        <x:f>F94/G94-1</x:f>
        <x:v>-0.004891677557487539</x:v>
      </x:c>
      <x:c r="I94" s="14" t="n">
        <x:f>F94/F93-1</x:f>
        <x:v>-0.004751241903234615</x:v>
      </x:c>
      <x:c r="J94" s="12" t="n">
        <x:v>0</x:v>
      </x:c>
      <x:c r="K94" s="12" t="n">
        <x:v>0</x:v>
      </x:c>
      <x:c r="L94" s="12" t="n">
        <x:v>0</x:v>
      </x:c>
      <x:c r="M94" s="2" t="str">
        <x:v>持有</x:v>
      </x:c>
    </x:row>
    <x:row r="95" ht="23" customHeight="1">
      <x:c r="A95" s="11" t="d">
        <x:v>2015-05-12T00:00:00.000Z</x:v>
      </x:c>
      <x:c r="B95" s="12" t="n">
        <x:v>462.70412</x:v>
      </x:c>
      <x:c r="C95" s="13" t="n">
        <x:v>484</x:v>
      </x:c>
      <x:c r="D95" s="12" t="n">
        <x:v>101630.31999999999</x:v>
      </x:c>
      <x:c r="E95" s="12" t="n">
        <x:v>0</x:v>
      </x:c>
      <x:c r="F95" s="12" t="n">
        <x:f>SUM(B95,D95:E95)</x:f>
        <x:v>102093.02411999999</x:v>
      </x:c>
      <x:c r="G95" s="12" t="n">
        <x:f>MAX(G94,F95)</x:f>
        <x:v>102901.30412</x:v>
      </x:c>
      <x:c r="H95" s="14" t="n">
        <x:f>F95/G95-1</x:f>
        <x:v>-0.007854905308657956</x:v>
      </x:c>
      <x:c r="I95" s="14" t="n">
        <x:f>F95/F94-1</x:f>
        <x:v>-0.002977794160033853</x:v>
      </x:c>
      <x:c r="J95" s="12" t="n">
        <x:v>0</x:v>
      </x:c>
      <x:c r="K95" s="12" t="n">
        <x:v>0</x:v>
      </x:c>
      <x:c r="L95" s="12" t="n">
        <x:v>0</x:v>
      </x:c>
      <x:c r="M95" s="2" t="str">
        <x:v>持有</x:v>
      </x:c>
    </x:row>
    <x:row r="96" ht="23" customHeight="1">
      <x:c r="A96" s="11" t="d">
        <x:v>2015-05-13T00:00:00.000Z</x:v>
      </x:c>
      <x:c r="B96" s="12" t="n">
        <x:v>462.70412</x:v>
      </x:c>
      <x:c r="C96" s="13" t="n">
        <x:v>484</x:v>
      </x:c>
      <x:c r="D96" s="12" t="n">
        <x:v>101649.68000000001</x:v>
      </x:c>
      <x:c r="E96" s="12" t="n">
        <x:v>0</x:v>
      </x:c>
      <x:c r="F96" s="12" t="n">
        <x:f>SUM(B96,D96:E96)</x:f>
        <x:v>102112.38412</x:v>
      </x:c>
      <x:c r="G96" s="12" t="n">
        <x:f>MAX(G95,F96)</x:f>
        <x:v>102901.30412</x:v>
      </x:c>
      <x:c r="H96" s="14" t="n">
        <x:f>F96/G96-1</x:f>
        <x:v>-0.0076667638641390035</x:v>
      </x:c>
      <x:c r="I96" s="14" t="n">
        <x:f>F96/F95-1</x:f>
        <x:v>0.0001896309778939287</x:v>
      </x:c>
      <x:c r="J96" s="12" t="n">
        <x:v>0</x:v>
      </x:c>
      <x:c r="K96" s="12" t="n">
        <x:v>0</x:v>
      </x:c>
      <x:c r="L96" s="12" t="n">
        <x:v>0</x:v>
      </x:c>
      <x:c r="M96" s="2" t="str">
        <x:v>持有</x:v>
      </x:c>
    </x:row>
    <x:row r="97" ht="23" customHeight="1">
      <x:c r="A97" s="11" t="d">
        <x:v>2015-05-14T00:00:00.000Z</x:v>
      </x:c>
      <x:c r="B97" s="12" t="n">
        <x:v>462.70412</x:v>
      </x:c>
      <x:c r="C97" s="13" t="n">
        <x:v>484</x:v>
      </x:c>
      <x:c r="D97" s="12" t="n">
        <x:v>102709.64</x:v>
      </x:c>
      <x:c r="E97" s="12" t="n">
        <x:v>0</x:v>
      </x:c>
      <x:c r="F97" s="12" t="n">
        <x:f>SUM(B97,D97:E97)</x:f>
        <x:v>103172.34412</x:v>
      </x:c>
      <x:c r="G97" s="12" t="n">
        <x:f>MAX(G96,F97)</x:f>
        <x:v>103172.34412</x:v>
      </x:c>
      <x:c r="H97" s="14" t="n">
        <x:f>F97/G97-1</x:f>
        <x:v>0</x:v>
      </x:c>
      <x:c r="I97" s="14" t="n">
        <x:f>F97/F96-1</x:f>
        <x:v>0.010380327608004558</x:v>
      </x:c>
      <x:c r="J97" s="12" t="n">
        <x:v>0</x:v>
      </x:c>
      <x:c r="K97" s="12" t="n">
        <x:v>0</x:v>
      </x:c>
      <x:c r="L97" s="12" t="n">
        <x:v>0</x:v>
      </x:c>
      <x:c r="M97" s="2" t="str">
        <x:v>持有</x:v>
      </x:c>
    </x:row>
    <x:row r="98" ht="23" customHeight="1">
      <x:c r="A98" s="11" t="d">
        <x:v>2015-05-15T00:00:00.000Z</x:v>
      </x:c>
      <x:c r="B98" s="12" t="n">
        <x:v>462.70412</x:v>
      </x:c>
      <x:c r="C98" s="13" t="n">
        <x:v>484</x:v>
      </x:c>
      <x:c r="D98" s="12" t="n">
        <x:v>102820.95999999999</x:v>
      </x:c>
      <x:c r="E98" s="12" t="n">
        <x:v>0</x:v>
      </x:c>
      <x:c r="F98" s="12" t="n">
        <x:f>SUM(B98,D98:E98)</x:f>
        <x:v>103283.66411999999</x:v>
      </x:c>
      <x:c r="G98" s="12" t="n">
        <x:f>MAX(G97,F98)</x:f>
        <x:v>103283.66411999999</x:v>
      </x:c>
      <x:c r="H98" s="14" t="n">
        <x:f>F98/G98-1</x:f>
        <x:v>0</x:v>
      </x:c>
      <x:c r="I98" s="14" t="n">
        <x:f>F98/F97-1</x:f>
        <x:v>0.0010789713168726234</x:v>
      </x:c>
      <x:c r="J98" s="12" t="n">
        <x:v>0</x:v>
      </x:c>
      <x:c r="K98" s="12" t="n">
        <x:v>0</x:v>
      </x:c>
      <x:c r="L98" s="12" t="n">
        <x:v>0</x:v>
      </x:c>
      <x:c r="M98" s="2" t="str">
        <x:v>持有</x:v>
      </x:c>
    </x:row>
    <x:row r="99" ht="23" customHeight="1">
      <x:c r="A99" s="11" t="d">
        <x:v>2015-05-18T00:00:00.000Z</x:v>
      </x:c>
      <x:c r="B99" s="12" t="n">
        <x:v>462.70412</x:v>
      </x:c>
      <x:c r="C99" s="13" t="n">
        <x:v>484</x:v>
      </x:c>
      <x:c r="D99" s="12" t="n">
        <x:v>103140.4</x:v>
      </x:c>
      <x:c r="E99" s="12" t="n">
        <x:v>0</x:v>
      </x:c>
      <x:c r="F99" s="12" t="n">
        <x:f>SUM(B99,D99:E99)</x:f>
        <x:v>103603.10411999999</x:v>
      </x:c>
      <x:c r="G99" s="12" t="n">
        <x:f>MAX(G98,F99)</x:f>
        <x:v>103603.10411999999</x:v>
      </x:c>
      <x:c r="H99" s="14" t="n">
        <x:f>F99/G99-1</x:f>
        <x:v>0</x:v>
      </x:c>
      <x:c r="I99" s="14" t="n">
        <x:f>F99/F98-1</x:f>
        <x:v>0.0030928414742223964</x:v>
      </x:c>
      <x:c r="J99" s="12" t="n">
        <x:v>0</x:v>
      </x:c>
      <x:c r="K99" s="12" t="n">
        <x:v>0</x:v>
      </x:c>
      <x:c r="L99" s="12" t="n">
        <x:v>0</x:v>
      </x:c>
      <x:c r="M99" s="2" t="str">
        <x:v>持有</x:v>
      </x:c>
    </x:row>
    <x:row r="100" ht="23" customHeight="1">
      <x:c r="A100" s="11" t="d">
        <x:v>2015-05-19T00:00:00.000Z</x:v>
      </x:c>
      <x:c r="B100" s="12" t="n">
        <x:v>462.70412</x:v>
      </x:c>
      <x:c r="C100" s="13" t="n">
        <x:v>484</x:v>
      </x:c>
      <x:c r="D100" s="12" t="n">
        <x:v>103106.52</x:v>
      </x:c>
      <x:c r="E100" s="12" t="n">
        <x:v>0</x:v>
      </x:c>
      <x:c r="F100" s="12" t="n">
        <x:f>SUM(B100,D100:E100)</x:f>
        <x:v>103569.22412</x:v>
      </x:c>
      <x:c r="G100" s="12" t="n">
        <x:f>MAX(G99,F100)</x:f>
        <x:v>103603.10411999999</x:v>
      </x:c>
      <x:c r="H100" s="14" t="n">
        <x:f>F100/G100-1</x:f>
        <x:v>-0.0003270172287573869</x:v>
      </x:c>
      <x:c r="I100" s="14" t="n">
        <x:f>F100/F99-1</x:f>
        <x:v>-0.0003270172287573869</x:v>
      </x:c>
      <x:c r="J100" s="12" t="n">
        <x:v>0</x:v>
      </x:c>
      <x:c r="K100" s="12" t="n">
        <x:v>0</x:v>
      </x:c>
      <x:c r="L100" s="12" t="n">
        <x:v>0</x:v>
      </x:c>
      <x:c r="M100" s="2" t="str">
        <x:v>持有</x:v>
      </x:c>
    </x:row>
    <x:row r="101" ht="23" customHeight="1">
      <x:c r="A101" s="11" t="d">
        <x:v>2015-05-20T00:00:00.000Z</x:v>
      </x:c>
      <x:c r="B101" s="12" t="n">
        <x:v>462.70412</x:v>
      </x:c>
      <x:c r="C101" s="13" t="n">
        <x:v>484</x:v>
      </x:c>
      <x:c r="D101" s="12" t="n">
        <x:v>103033.92</x:v>
      </x:c>
      <x:c r="E101" s="12" t="n">
        <x:v>0</x:v>
      </x:c>
      <x:c r="F101" s="12" t="n">
        <x:f>SUM(B101,D101:E101)</x:f>
        <x:v>103496.62412</x:v>
      </x:c>
      <x:c r="G101" s="12" t="n">
        <x:f>MAX(G100,F101)</x:f>
        <x:v>103603.10411999999</x:v>
      </x:c>
      <x:c r="H101" s="14" t="n">
        <x:f>F101/G101-1</x:f>
        <x:v>-0.00102776843323793</x:v>
      </x:c>
      <x:c r="I101" s="14" t="n">
        <x:f>F101/F100-1</x:f>
        <x:v>-0.0007009804371604922</x:v>
      </x:c>
      <x:c r="J101" s="12" t="n">
        <x:v>0</x:v>
      </x:c>
      <x:c r="K101" s="12" t="n">
        <x:v>0</x:v>
      </x:c>
      <x:c r="L101" s="12" t="n">
        <x:v>0</x:v>
      </x:c>
      <x:c r="M101" s="2" t="str">
        <x:v>持有</x:v>
      </x:c>
    </x:row>
    <x:row r="102" ht="23" customHeight="1">
      <x:c r="A102" s="11" t="d">
        <x:v>2015-05-21T00:00:00.000Z</x:v>
      </x:c>
      <x:c r="B102" s="12" t="n">
        <x:v>462.70412</x:v>
      </x:c>
      <x:c r="C102" s="13" t="n">
        <x:v>484</x:v>
      </x:c>
      <x:c r="D102" s="12" t="n">
        <x:v>103334</x:v>
      </x:c>
      <x:c r="E102" s="12" t="n">
        <x:v>0</x:v>
      </x:c>
      <x:c r="F102" s="12" t="n">
        <x:f>SUM(B102,D102:E102)</x:f>
        <x:v>103796.70412</x:v>
      </x:c>
      <x:c r="G102" s="12" t="n">
        <x:f>MAX(G101,F102)</x:f>
        <x:v>103796.70412</x:v>
      </x:c>
      <x:c r="H102" s="14" t="n">
        <x:f>F102/G102-1</x:f>
        <x:v>0</x:v>
      </x:c>
      <x:c r="I102" s="14" t="n">
        <x:f>F102/F101-1</x:f>
        <x:v>0.0028994182423967008</x:v>
      </x:c>
      <x:c r="J102" s="12" t="n">
        <x:v>0</x:v>
      </x:c>
      <x:c r="K102" s="12" t="n">
        <x:v>0</x:v>
      </x:c>
      <x:c r="L102" s="12" t="n">
        <x:v>0</x:v>
      </x:c>
      <x:c r="M102" s="2" t="str">
        <x:v>持有</x:v>
      </x:c>
    </x:row>
    <x:row r="103" ht="23" customHeight="1">
      <x:c r="A103" s="11" t="d">
        <x:v>2015-05-22T00:00:00.000Z</x:v>
      </x:c>
      <x:c r="B103" s="12" t="n">
        <x:v>462.70412</x:v>
      </x:c>
      <x:c r="C103" s="13" t="n">
        <x:v>484</x:v>
      </x:c>
      <x:c r="D103" s="12" t="n">
        <x:v>103087.16</x:v>
      </x:c>
      <x:c r="E103" s="12" t="n">
        <x:v>0</x:v>
      </x:c>
      <x:c r="F103" s="12" t="n">
        <x:f>SUM(B103,D103:E103)</x:f>
        <x:v>103549.86412</x:v>
      </x:c>
      <x:c r="G103" s="12" t="n">
        <x:f>MAX(G102,F103)</x:f>
        <x:v>103796.70412</x:v>
      </x:c>
      <x:c r="H103" s="14" t="n">
        <x:f>F103/G103-1</x:f>
        <x:v>-0.0023781101923489034</x:v>
      </x:c>
      <x:c r="I103" s="14" t="n">
        <x:f>F103/F102-1</x:f>
        <x:v>-0.0023781101923489034</x:v>
      </x:c>
      <x:c r="J103" s="12" t="n">
        <x:v>0</x:v>
      </x:c>
      <x:c r="K103" s="12" t="n">
        <x:v>0</x:v>
      </x:c>
      <x:c r="L103" s="12" t="n">
        <x:v>0</x:v>
      </x:c>
      <x:c r="M103" s="2" t="str">
        <x:v>持有</x:v>
      </x:c>
    </x:row>
    <x:row r="104" ht="23" customHeight="1">
      <x:c r="A104" s="11" t="d">
        <x:v>2015-05-26T00:00:00.000Z</x:v>
      </x:c>
      <x:c r="B104" s="12" t="n">
        <x:v>462.70412</x:v>
      </x:c>
      <x:c r="C104" s="13" t="n">
        <x:v>484</x:v>
      </x:c>
      <x:c r="D104" s="12" t="n">
        <x:v>101978.79999999999</x:v>
      </x:c>
      <x:c r="E104" s="12" t="n">
        <x:v>0</x:v>
      </x:c>
      <x:c r="F104" s="12" t="n">
        <x:f>SUM(B104,D104:E104)</x:f>
        <x:v>102441.50411999998</x:v>
      </x:c>
      <x:c r="G104" s="12" t="n">
        <x:f>MAX(G103,F104)</x:f>
        <x:v>103796.70412</x:v>
      </x:c>
      <x:c r="H104" s="14" t="n">
        <x:f>F104/G104-1</x:f>
        <x:v>-0.01305629125211194</x:v>
      </x:c>
      <x:c r="I104" s="14" t="n">
        <x:f>F104/F103-1</x:f>
        <x:v>-0.010703635484403673</x:v>
      </x:c>
      <x:c r="J104" s="12" t="n">
        <x:v>0</x:v>
      </x:c>
      <x:c r="K104" s="12" t="n">
        <x:v>0</x:v>
      </x:c>
      <x:c r="L104" s="12" t="n">
        <x:v>0</x:v>
      </x:c>
      <x:c r="M104" s="2" t="str">
        <x:v>持有</x:v>
      </x:c>
    </x:row>
    <x:row r="105" ht="23" customHeight="1">
      <x:c r="A105" s="11" t="d">
        <x:v>2015-05-27T00:00:00.000Z</x:v>
      </x:c>
      <x:c r="B105" s="12" t="n">
        <x:v>462.70412</x:v>
      </x:c>
      <x:c r="C105" s="13" t="n">
        <x:v>484</x:v>
      </x:c>
      <x:c r="D105" s="12" t="n">
        <x:v>102946.79999999999</x:v>
      </x:c>
      <x:c r="E105" s="12" t="n">
        <x:v>0</x:v>
      </x:c>
      <x:c r="F105" s="12" t="n">
        <x:f>SUM(B105,D105:E105)</x:f>
        <x:v>103409.50411999998</x:v>
      </x:c>
      <x:c r="G105" s="12" t="n">
        <x:f>MAX(G104,F105)</x:f>
        <x:v>103796.70412</x:v>
      </x:c>
      <x:c r="H105" s="14" t="n">
        <x:f>F105/G105-1</x:f>
        <x:v>-0.0037303689291748876</x:v>
      </x:c>
      <x:c r="I105" s="14" t="n">
        <x:f>F105/F104-1</x:f>
        <x:v>0.009449295071517927</x:v>
      </x:c>
      <x:c r="J105" s="12" t="n">
        <x:v>0</x:v>
      </x:c>
      <x:c r="K105" s="12" t="n">
        <x:v>0</x:v>
      </x:c>
      <x:c r="L105" s="12" t="n">
        <x:v>0</x:v>
      </x:c>
      <x:c r="M105" s="2" t="str">
        <x:v>持有</x:v>
      </x:c>
    </x:row>
    <x:row r="106" ht="23" customHeight="1">
      <x:c r="A106" s="11" t="d">
        <x:v>2015-05-28T00:00:00.000Z</x:v>
      </x:c>
      <x:c r="B106" s="12" t="n">
        <x:v>462.70412</x:v>
      </x:c>
      <x:c r="C106" s="13" t="n">
        <x:v>484</x:v>
      </x:c>
      <x:c r="D106" s="12" t="n">
        <x:v>102830.64</x:v>
      </x:c>
      <x:c r="E106" s="12" t="n">
        <x:v>0</x:v>
      </x:c>
      <x:c r="F106" s="12" t="n">
        <x:f>SUM(B106,D106:E106)</x:f>
        <x:v>103293.34412</x:v>
      </x:c>
      <x:c r="G106" s="12" t="n">
        <x:f>MAX(G105,F106)</x:f>
        <x:v>103796.70412</x:v>
      </x:c>
      <x:c r="H106" s="14" t="n">
        <x:f>F106/G106-1</x:f>
        <x:v>-0.004849479607927254</x:v>
      </x:c>
      <x:c r="I106" s="14" t="n">
        <x:f>F106/F105-1</x:f>
        <x:v>-0.0011233010059229498</x:v>
      </x:c>
      <x:c r="J106" s="12" t="n">
        <x:v>0</x:v>
      </x:c>
      <x:c r="K106" s="12" t="n">
        <x:v>0</x:v>
      </x:c>
      <x:c r="L106" s="12" t="n">
        <x:v>0</x:v>
      </x:c>
      <x:c r="M106" s="2" t="str">
        <x:v>持有</x:v>
      </x:c>
    </x:row>
    <x:row r="107" ht="23" customHeight="1">
      <x:c r="A107" s="11" t="d">
        <x:v>2015-05-29T00:00:00.000Z</x:v>
      </x:c>
      <x:c r="B107" s="12" t="n">
        <x:v>462.70412</x:v>
      </x:c>
      <x:c r="C107" s="13" t="n">
        <x:v>484</x:v>
      </x:c>
      <x:c r="D107" s="12" t="n">
        <x:v>102191.76</x:v>
      </x:c>
      <x:c r="E107" s="12" t="n">
        <x:v>0</x:v>
      </x:c>
      <x:c r="F107" s="12" t="n">
        <x:f>SUM(B107,D107:E107)</x:f>
        <x:v>102654.46411999999</x:v>
      </x:c>
      <x:c r="G107" s="12" t="n">
        <x:f>MAX(G106,F107)</x:f>
        <x:v>103796.70412</x:v>
      </x:c>
      <x:c r="H107" s="14" t="n">
        <x:f>F107/G107-1</x:f>
        <x:v>-0.011004588341065769</x:v>
      </x:c>
      <x:c r="I107" s="14" t="n">
        <x:f>F107/F106-1</x:f>
        <x:v>-0.006185103265296532</x:v>
      </x:c>
      <x:c r="J107" s="12" t="n">
        <x:v>0</x:v>
      </x:c>
      <x:c r="K107" s="12" t="n">
        <x:v>0</x:v>
      </x:c>
      <x:c r="L107" s="12" t="n">
        <x:v>0</x:v>
      </x:c>
      <x:c r="M107" s="2" t="str">
        <x:v>持有</x:v>
      </x:c>
    </x:row>
    <x:row r="108" ht="23" customHeight="1">
      <x:c r="A108" s="11" t="d">
        <x:v>2015-06-01T00:00:00.000Z</x:v>
      </x:c>
      <x:c r="B108" s="12" t="n">
        <x:v>462.70412</x:v>
      </x:c>
      <x:c r="C108" s="13" t="n">
        <x:v>484</x:v>
      </x:c>
      <x:c r="D108" s="12" t="n">
        <x:v>102399.87999999999</x:v>
      </x:c>
      <x:c r="E108" s="12" t="n">
        <x:v>0</x:v>
      </x:c>
      <x:c r="F108" s="12" t="n">
        <x:f>SUM(B108,D108:E108)</x:f>
        <x:v>102862.58411999998</x:v>
      </x:c>
      <x:c r="G108" s="12" t="n">
        <x:f>MAX(G107,F108)</x:f>
        <x:v>103796.70412</x:v>
      </x:c>
      <x:c r="H108" s="14" t="n">
        <x:f>F108/G108-1</x:f>
        <x:v>-0.00899951504163432</x:v>
      </x:c>
      <x:c r="I108" s="14" t="n">
        <x:f>F108/F107-1</x:f>
        <x:v>0.002027383823821838</x:v>
      </x:c>
      <x:c r="J108" s="12" t="n">
        <x:v>0</x:v>
      </x:c>
      <x:c r="K108" s="12" t="n">
        <x:v>0</x:v>
      </x:c>
      <x:c r="L108" s="12" t="n">
        <x:v>0</x:v>
      </x:c>
      <x:c r="M108" s="2" t="str">
        <x:v>持有</x:v>
      </x:c>
    </x:row>
    <x:row r="109" ht="23" customHeight="1">
      <x:c r="A109" s="11" t="d">
        <x:v>2015-06-02T00:00:00.000Z</x:v>
      </x:c>
      <x:c r="B109" s="12" t="n">
        <x:v>462.70412</x:v>
      </x:c>
      <x:c r="C109" s="13" t="n">
        <x:v>484</x:v>
      </x:c>
      <x:c r="D109" s="12" t="n">
        <x:v>102298.24</x:v>
      </x:c>
      <x:c r="E109" s="12" t="n">
        <x:v>0</x:v>
      </x:c>
      <x:c r="F109" s="12" t="n">
        <x:f>SUM(B109,D109:E109)</x:f>
        <x:v>102760.94412</x:v>
      </x:c>
      <x:c r="G109" s="12" t="n">
        <x:f>MAX(G108,F109)</x:f>
        <x:v>103796.70412</x:v>
      </x:c>
      <x:c r="H109" s="14" t="n">
        <x:f>F109/G109-1</x:f>
        <x:v>-0.009978736885542627</x:v>
      </x:c>
      <x:c r="I109" s="14" t="n">
        <x:f>F109/F108-1</x:f>
        <x:v>-0.0009881143942622739</x:v>
      </x:c>
      <x:c r="J109" s="12" t="n">
        <x:v>0</x:v>
      </x:c>
      <x:c r="K109" s="12" t="n">
        <x:v>0</x:v>
      </x:c>
      <x:c r="L109" s="12" t="n">
        <x:v>0</x:v>
      </x:c>
      <x:c r="M109" s="2" t="str">
        <x:v>持有</x:v>
      </x:c>
    </x:row>
    <x:row r="110" ht="23" customHeight="1">
      <x:c r="A110" s="11" t="d">
        <x:v>2015-06-03T00:00:00.000Z</x:v>
      </x:c>
      <x:c r="B110" s="12" t="n">
        <x:v>462.70412</x:v>
      </x:c>
      <x:c r="C110" s="13" t="n">
        <x:v>484</x:v>
      </x:c>
      <x:c r="D110" s="12" t="n">
        <x:v>102569.28</x:v>
      </x:c>
      <x:c r="E110" s="12" t="n">
        <x:v>0</x:v>
      </x:c>
      <x:c r="F110" s="12" t="n">
        <x:f>SUM(B110,D110:E110)</x:f>
        <x:v>103031.98412</x:v>
      </x:c>
      <x:c r="G110" s="12" t="n">
        <x:f>MAX(G109,F110)</x:f>
        <x:v>103796.70412</x:v>
      </x:c>
      <x:c r="H110" s="14" t="n">
        <x:f>F110/G110-1</x:f>
        <x:v>-0.007367478635120328</x:v>
      </x:c>
      <x:c r="I110" s="14" t="n">
        <x:f>F110/F109-1</x:f>
        <x:v>0.0026375779467682214</x:v>
      </x:c>
      <x:c r="J110" s="12" t="n">
        <x:v>0</x:v>
      </x:c>
      <x:c r="K110" s="12" t="n">
        <x:v>0</x:v>
      </x:c>
      <x:c r="L110" s="12" t="n">
        <x:v>0</x:v>
      </x:c>
      <x:c r="M110" s="2" t="str">
        <x:v>持有</x:v>
      </x:c>
    </x:row>
    <x:row r="111" ht="23" customHeight="1">
      <x:c r="A111" s="11" t="d">
        <x:v>2015-06-04T00:00:00.000Z</x:v>
      </x:c>
      <x:c r="B111" s="12" t="n">
        <x:v>462.70412</x:v>
      </x:c>
      <x:c r="C111" s="13" t="n">
        <x:v>484</x:v>
      </x:c>
      <x:c r="D111" s="12" t="n">
        <x:v>101702.92</x:v>
      </x:c>
      <x:c r="E111" s="12" t="n">
        <x:v>0</x:v>
      </x:c>
      <x:c r="F111" s="12" t="n">
        <x:f>SUM(B111,D111:E111)</x:f>
        <x:v>102165.62412</x:v>
      </x:c>
      <x:c r="G111" s="12" t="n">
        <x:f>MAX(G110,F111)</x:f>
        <x:v>103796.70412</x:v>
      </x:c>
      <x:c r="H111" s="14" t="n">
        <x:f>F111/G111-1</x:f>
        <x:v>-0.015714179114148963</x:v>
      </x:c>
      <x:c r="I111" s="14" t="n">
        <x:f>F111/F110-1</x:f>
        <x:v>-0.008408651035885728</x:v>
      </x:c>
      <x:c r="J111" s="12" t="n">
        <x:v>0</x:v>
      </x:c>
      <x:c r="K111" s="12" t="n">
        <x:v>0</x:v>
      </x:c>
      <x:c r="L111" s="12" t="n">
        <x:v>0</x:v>
      </x:c>
      <x:c r="M111" s="2" t="str">
        <x:v>持有</x:v>
      </x:c>
    </x:row>
    <x:row r="112" ht="23" customHeight="1">
      <x:c r="A112" s="11" t="d">
        <x:v>2015-06-05T00:00:00.000Z</x:v>
      </x:c>
      <x:c r="B112" s="12" t="n">
        <x:v>462.70412</x:v>
      </x:c>
      <x:c r="C112" s="13" t="n">
        <x:v>484</x:v>
      </x:c>
      <x:c r="D112" s="12" t="n">
        <x:v>101528.68000000001</x:v>
      </x:c>
      <x:c r="E112" s="12" t="n">
        <x:v>0</x:v>
      </x:c>
      <x:c r="F112" s="12" t="n">
        <x:f>SUM(B112,D112:E112)</x:f>
        <x:v>101991.38412</x:v>
      </x:c>
      <x:c r="G112" s="12" t="n">
        <x:f>MAX(G111,F112)</x:f>
        <x:v>103796.70412</x:v>
      </x:c>
      <x:c r="H112" s="14" t="n">
        <x:f>F112/G112-1</x:f>
        <x:v>-0.017392845132277568</x:v>
      </x:c>
      <x:c r="I112" s="14" t="n">
        <x:f>F112/F111-1</x:f>
        <x:v>-0.0017054660165862767</x:v>
      </x:c>
      <x:c r="J112" s="12" t="n">
        <x:v>0</x:v>
      </x:c>
      <x:c r="K112" s="12" t="n">
        <x:v>0</x:v>
      </x:c>
      <x:c r="L112" s="12" t="n">
        <x:v>0</x:v>
      </x:c>
      <x:c r="M112" s="2" t="str">
        <x:v>持有</x:v>
      </x:c>
    </x:row>
    <x:row r="113" ht="23" customHeight="1">
      <x:c r="A113" s="11" t="d">
        <x:v>2015-06-08T00:00:00.000Z</x:v>
      </x:c>
      <x:c r="B113" s="12" t="n">
        <x:v>462.70412</x:v>
      </x:c>
      <x:c r="C113" s="13" t="n">
        <x:v>484</x:v>
      </x:c>
      <x:c r="D113" s="12" t="n">
        <x:v>100904.31999999999</x:v>
      </x:c>
      <x:c r="E113" s="12" t="n">
        <x:v>0</x:v>
      </x:c>
      <x:c r="F113" s="12" t="n">
        <x:f>SUM(B113,D113:E113)</x:f>
        <x:v>101367.02411999999</x:v>
      </x:c>
      <x:c r="G113" s="12" t="n">
        <x:f>MAX(G112,F113)</x:f>
        <x:v>103796.70412</x:v>
      </x:c>
      <x:c r="H113" s="14" t="n">
        <x:f>F113/G113-1</x:f>
        <x:v>-0.023408065030572023</x:v>
      </x:c>
      <x:c r="I113" s="14" t="n">
        <x:f>F113/F112-1</x:f>
        <x:v>-0.006121693566442987</x:v>
      </x:c>
      <x:c r="J113" s="12" t="n">
        <x:v>0</x:v>
      </x:c>
      <x:c r="K113" s="12" t="n">
        <x:v>0</x:v>
      </x:c>
      <x:c r="L113" s="12" t="n">
        <x:v>0</x:v>
      </x:c>
      <x:c r="M113" s="2" t="str">
        <x:v>持有</x:v>
      </x:c>
    </x:row>
    <x:row r="114" ht="23" customHeight="1">
      <x:c r="A114" s="11" t="d">
        <x:v>2015-06-09T00:00:00.000Z</x:v>
      </x:c>
      <x:c r="B114" s="12" t="n">
        <x:v>462.70412</x:v>
      </x:c>
      <x:c r="C114" s="13" t="n">
        <x:v>484</x:v>
      </x:c>
      <x:c r="D114" s="12" t="n">
        <x:v>100889.79999999999</x:v>
      </x:c>
      <x:c r="E114" s="12" t="n">
        <x:v>0</x:v>
      </x:c>
      <x:c r="F114" s="12" t="n">
        <x:f>SUM(B114,D114:E114)</x:f>
        <x:v>101352.50411999998</x:v>
      </x:c>
      <x:c r="G114" s="12" t="n">
        <x:f>MAX(G113,F114)</x:f>
        <x:v>103796.70412</x:v>
      </x:c>
      <x:c r="H114" s="14" t="n">
        <x:f>F114/G114-1</x:f>
        <x:v>-0.023547953865416194</x:v>
      </x:c>
      <x:c r="I114" s="14" t="n">
        <x:f>F114/F113-1</x:f>
        <x:v>-0.00014324184936920226</x:v>
      </x:c>
      <x:c r="J114" s="12" t="n">
        <x:v>0</x:v>
      </x:c>
      <x:c r="K114" s="12" t="n">
        <x:v>0</x:v>
      </x:c>
      <x:c r="L114" s="12" t="n">
        <x:v>0</x:v>
      </x:c>
      <x:c r="M114" s="2" t="str">
        <x:v>持有</x:v>
      </x:c>
    </x:row>
    <x:row r="115" ht="23" customHeight="1">
      <x:c r="A115" s="11" t="d">
        <x:v>2015-06-10T00:00:00.000Z</x:v>
      </x:c>
      <x:c r="B115" s="12" t="n">
        <x:v>462.70412</x:v>
      </x:c>
      <x:c r="C115" s="13" t="n">
        <x:v>484</x:v>
      </x:c>
      <x:c r="D115" s="12" t="n">
        <x:v>102099.79999999999</x:v>
      </x:c>
      <x:c r="E115" s="12" t="n">
        <x:v>0</x:v>
      </x:c>
      <x:c r="F115" s="12" t="n">
        <x:f>SUM(B115,D115:E115)</x:f>
        <x:v>102562.50411999998</x:v>
      </x:c>
      <x:c r="G115" s="12" t="n">
        <x:f>MAX(G114,F115)</x:f>
        <x:v>103796.70412</x:v>
      </x:c>
      <x:c r="H115" s="14" t="n">
        <x:f>F115/G115-1</x:f>
        <x:v>-0.01189055096174485</x:v>
      </x:c>
      <x:c r="I115" s="14" t="n">
        <x:f>F115/F114-1</x:f>
        <x:v>0.011938530878007558</x:v>
      </x:c>
      <x:c r="J115" s="12" t="n">
        <x:v>0</x:v>
      </x:c>
      <x:c r="K115" s="12" t="n">
        <x:v>0</x:v>
      </x:c>
      <x:c r="L115" s="12" t="n">
        <x:v>0</x:v>
      </x:c>
      <x:c r="M115" s="2" t="str">
        <x:v>持有</x:v>
      </x:c>
    </x:row>
    <x:row r="116" ht="23" customHeight="1">
      <x:c r="A116" s="11" t="d">
        <x:v>2015-06-11T00:00:00.000Z</x:v>
      </x:c>
      <x:c r="B116" s="12" t="n">
        <x:v>462.70412</x:v>
      </x:c>
      <x:c r="C116" s="13" t="n">
        <x:v>484</x:v>
      </x:c>
      <x:c r="D116" s="12" t="n">
        <x:v>102428.92</x:v>
      </x:c>
      <x:c r="E116" s="12" t="n">
        <x:v>0</x:v>
      </x:c>
      <x:c r="F116" s="12" t="n">
        <x:f>SUM(B116,D116:E116)</x:f>
        <x:v>102891.62412</x:v>
      </x:c>
      <x:c r="G116" s="12" t="n">
        <x:f>MAX(G115,F116)</x:f>
        <x:v>103796.70412</x:v>
      </x:c>
      <x:c r="H116" s="14" t="n">
        <x:f>F116/G116-1</x:f>
        <x:v>-0.008719737371946201</x:v>
      </x:c>
      <x:c r="I116" s="14" t="n">
        <x:f>F116/F115-1</x:f>
        <x:v>0.003208970011252088</x:v>
      </x:c>
      <x:c r="J116" s="12" t="n">
        <x:v>0</x:v>
      </x:c>
      <x:c r="K116" s="12" t="n">
        <x:v>0</x:v>
      </x:c>
      <x:c r="L116" s="12" t="n">
        <x:v>0</x:v>
      </x:c>
      <x:c r="M116" s="2" t="str">
        <x:v>持有</x:v>
      </x:c>
    </x:row>
    <x:row r="117" ht="23" customHeight="1">
      <x:c r="A117" s="11" t="d">
        <x:v>2015-06-12T00:00:00.000Z</x:v>
      </x:c>
      <x:c r="B117" s="12" t="n">
        <x:v>462.70412</x:v>
      </x:c>
      <x:c r="C117" s="13" t="n">
        <x:v>484</x:v>
      </x:c>
      <x:c r="D117" s="12" t="n">
        <x:v>101644.84</x:v>
      </x:c>
      <x:c r="E117" s="12" t="n">
        <x:v>0</x:v>
      </x:c>
      <x:c r="F117" s="12" t="n">
        <x:f>SUM(B117,D117:E117)</x:f>
        <x:v>102107.54411999999</x:v>
      </x:c>
      <x:c r="G117" s="12" t="n">
        <x:f>MAX(G116,F117)</x:f>
        <x:v>103796.70412</x:v>
      </x:c>
      <x:c r="H117" s="14" t="n">
        <x:f>F117/G117-1</x:f>
        <x:v>-0.0162737344535252</x:v>
      </x:c>
      <x:c r="I117" s="14" t="n">
        <x:f>F117/F116-1</x:f>
        <x:v>-0.007620445363808681</x:v>
      </x:c>
      <x:c r="J117" s="12" t="n">
        <x:v>0</x:v>
      </x:c>
      <x:c r="K117" s="12" t="n">
        <x:v>0</x:v>
      </x:c>
      <x:c r="L117" s="12" t="n">
        <x:v>0</x:v>
      </x:c>
      <x:c r="M117" s="2" t="str">
        <x:v>持有</x:v>
      </x:c>
    </x:row>
    <x:row r="118" ht="23" customHeight="1">
      <x:c r="A118" s="11" t="d">
        <x:v>2015-06-15T00:00:00.000Z</x:v>
      </x:c>
      <x:c r="B118" s="12" t="n">
        <x:v>462.70412</x:v>
      </x:c>
      <x:c r="C118" s="13" t="n">
        <x:v>484</x:v>
      </x:c>
      <x:c r="D118" s="12" t="n">
        <x:v>101209.24</x:v>
      </x:c>
      <x:c r="E118" s="12" t="n">
        <x:v>0</x:v>
      </x:c>
      <x:c r="F118" s="12" t="n">
        <x:f>SUM(B118,D118:E118)</x:f>
        <x:v>101671.94412</x:v>
      </x:c>
      <x:c r="G118" s="12" t="n">
        <x:f>MAX(G117,F118)</x:f>
        <x:v>103796.70412</x:v>
      </x:c>
      <x:c r="H118" s="14" t="n">
        <x:f>F118/G118-1</x:f>
        <x:v>-0.02047039949884677</x:v>
      </x:c>
      <x:c r="I118" s="14" t="n">
        <x:f>F118/F117-1</x:f>
        <x:v>-0.004266090265456435</x:v>
      </x:c>
      <x:c r="J118" s="12" t="n">
        <x:v>0</x:v>
      </x:c>
      <x:c r="K118" s="12" t="n">
        <x:v>0</x:v>
      </x:c>
      <x:c r="L118" s="12" t="n">
        <x:v>0</x:v>
      </x:c>
      <x:c r="M118" s="2" t="str">
        <x:v>持有</x:v>
      </x:c>
    </x:row>
    <x:row r="119" ht="23" customHeight="1">
      <x:c r="A119" s="11" t="d">
        <x:v>2015-06-16T00:00:00.000Z</x:v>
      </x:c>
      <x:c r="B119" s="12" t="n">
        <x:v>462.70412</x:v>
      </x:c>
      <x:c r="C119" s="13" t="n">
        <x:v>484</x:v>
      </x:c>
      <x:c r="D119" s="12" t="n">
        <x:v>101761</x:v>
      </x:c>
      <x:c r="E119" s="12" t="n">
        <x:v>0</x:v>
      </x:c>
      <x:c r="F119" s="12" t="n">
        <x:f>SUM(B119,D119:E119)</x:f>
        <x:v>102223.70412</x:v>
      </x:c>
      <x:c r="G119" s="12" t="n">
        <x:f>MAX(G118,F119)</x:f>
        <x:v>103796.70412</x:v>
      </x:c>
      <x:c r="H119" s="14" t="n">
        <x:f>F119/G119-1</x:f>
        <x:v>-0.015154623774772724</x:v>
      </x:c>
      <x:c r="I119" s="14" t="n">
        <x:f>F119/F118-1</x:f>
        <x:v>0.0054268658357587984</x:v>
      </x:c>
      <x:c r="J119" s="12" t="n">
        <x:v>0</x:v>
      </x:c>
      <x:c r="K119" s="12" t="n">
        <x:v>0</x:v>
      </x:c>
      <x:c r="L119" s="12" t="n">
        <x:v>0</x:v>
      </x:c>
      <x:c r="M119" s="2" t="str">
        <x:v>持有</x:v>
      </x:c>
    </x:row>
    <x:row r="120" ht="23" customHeight="1">
      <x:c r="A120" s="11" t="d">
        <x:v>2015-06-17T00:00:00.000Z</x:v>
      </x:c>
      <x:c r="B120" s="12" t="n">
        <x:v>462.70412</x:v>
      </x:c>
      <x:c r="C120" s="13" t="n">
        <x:v>484</x:v>
      </x:c>
      <x:c r="D120" s="12" t="n">
        <x:v>101925.56</x:v>
      </x:c>
      <x:c r="E120" s="12" t="n">
        <x:v>0</x:v>
      </x:c>
      <x:c r="F120" s="12" t="n">
        <x:f>SUM(B120,D120:E120)</x:f>
        <x:v>102388.26411999999</x:v>
      </x:c>
      <x:c r="G120" s="12" t="n">
        <x:f>MAX(G119,F120)</x:f>
        <x:v>103796.70412</x:v>
      </x:c>
      <x:c r="H120" s="14" t="n">
        <x:f>F120/G120-1</x:f>
        <x:v>-0.013569216979873455</x:v>
      </x:c>
      <x:c r="I120" s="14" t="n">
        <x:f>F120/F119-1</x:f>
        <x:v>0.0016098027499260592</x:v>
      </x:c>
      <x:c r="J120" s="12" t="n">
        <x:v>0</x:v>
      </x:c>
      <x:c r="K120" s="12" t="n">
        <x:v>0</x:v>
      </x:c>
      <x:c r="L120" s="12" t="n">
        <x:v>0</x:v>
      </x:c>
      <x:c r="M120" s="2" t="str">
        <x:v>持有</x:v>
      </x:c>
    </x:row>
    <x:row r="121" ht="23" customHeight="1">
      <x:c r="A121" s="11" t="d">
        <x:v>2015-06-18T00:00:00.000Z</x:v>
      </x:c>
      <x:c r="B121" s="12" t="n">
        <x:v>462.70412</x:v>
      </x:c>
      <x:c r="C121" s="13" t="n">
        <x:v>484</x:v>
      </x:c>
      <x:c r="D121" s="12" t="n">
        <x:v>102985.52</x:v>
      </x:c>
      <x:c r="E121" s="12" t="n">
        <x:v>0</x:v>
      </x:c>
      <x:c r="F121" s="12" t="n">
        <x:f>SUM(B121,D121:E121)</x:f>
        <x:v>103448.22412</x:v>
      </x:c>
      <x:c r="G121" s="12" t="n">
        <x:f>MAX(G120,F121)</x:f>
        <x:v>103796.70412</x:v>
      </x:c>
      <x:c r="H121" s="14" t="n">
        <x:f>F121/G121-1</x:f>
        <x:v>-0.003357332036257321</x:v>
      </x:c>
      <x:c r="I121" s="14" t="n">
        <x:f>F121/F120-1</x:f>
        <x:v>0.01035235834018744</x:v>
      </x:c>
      <x:c r="J121" s="12" t="n">
        <x:v>0</x:v>
      </x:c>
      <x:c r="K121" s="12" t="n">
        <x:v>0</x:v>
      </x:c>
      <x:c r="L121" s="12" t="n">
        <x:v>0</x:v>
      </x:c>
      <x:c r="M121" s="2" t="str">
        <x:v>持有</x:v>
      </x:c>
    </x:row>
    <x:row r="122" ht="23" customHeight="1">
      <x:c r="A122" s="11" t="d">
        <x:v>2015-06-19T00:00:00.000Z</x:v>
      </x:c>
      <x:c r="B122" s="12" t="n">
        <x:v>462.70412</x:v>
      </x:c>
      <x:c r="C122" s="13" t="n">
        <x:v>484</x:v>
      </x:c>
      <x:c r="D122" s="12" t="n">
        <x:v>102032.04000000001</x:v>
      </x:c>
      <x:c r="E122" s="12" t="n">
        <x:v>498.55388</x:v>
      </x:c>
      <x:c r="F122" s="12" t="n">
        <x:f>SUM(B122,D122:E122)</x:f>
        <x:v>102993.29800000001</x:v>
      </x:c>
      <x:c r="G122" s="12" t="n">
        <x:f>MAX(G121,F122)</x:f>
        <x:v>103796.70412</x:v>
      </x:c>
      <x:c r="H122" s="14" t="n">
        <x:f>F122/G122-1</x:f>
        <x:v>-0.007740189120756358</x:v>
      </x:c>
      <x:c r="I122" s="14" t="n">
        <x:f>F122/F121-1</x:f>
        <x:v>-0.004397621359572779</x:v>
      </x:c>
      <x:c r="J122" s="12" t="n">
        <x:v>498.55388</x:v>
      </x:c>
      <x:c r="K122" s="12" t="n">
        <x:v>0</x:v>
      </x:c>
      <x:c r="L122" s="12" t="n">
        <x:v>0</x:v>
      </x:c>
      <x:c r="M122" s="2" t="str">
        <x:v>持有</x:v>
      </x:c>
    </x:row>
    <x:row r="123" ht="23" customHeight="1">
      <x:c r="A123" s="11" t="d">
        <x:v>2015-06-22T00:00:00.000Z</x:v>
      </x:c>
      <x:c r="B123" s="12" t="n">
        <x:v>462.70412</x:v>
      </x:c>
      <x:c r="C123" s="13" t="n">
        <x:v>484</x:v>
      </x:c>
      <x:c r="D123" s="12" t="n">
        <x:v>102554.76</x:v>
      </x:c>
      <x:c r="E123" s="12" t="n">
        <x:v>498.55388</x:v>
      </x:c>
      <x:c r="F123" s="12" t="n">
        <x:f>SUM(B123,D123:E123)</x:f>
        <x:v>103516.018</x:v>
      </x:c>
      <x:c r="G123" s="12" t="n">
        <x:f>MAX(G122,F123)</x:f>
        <x:v>103796.70412</x:v>
      </x:c>
      <x:c r="H123" s="14" t="n">
        <x:f>F123/G123-1</x:f>
        <x:v>-0.0027041910663704316</x:v>
      </x:c>
      <x:c r="I123" s="14" t="n">
        <x:f>F123/F122-1</x:f>
        <x:v>0.005075281694542744</x:v>
      </x:c>
      <x:c r="J123" s="12" t="n">
        <x:v>0</x:v>
      </x:c>
      <x:c r="K123" s="12" t="n">
        <x:v>0</x:v>
      </x:c>
      <x:c r="L123" s="12" t="n">
        <x:v>0</x:v>
      </x:c>
      <x:c r="M123" s="2" t="str">
        <x:v>持有</x:v>
      </x:c>
    </x:row>
    <x:row r="124" ht="23" customHeight="1">
      <x:c r="A124" s="11" t="d">
        <x:v>2015-06-23T00:00:00.000Z</x:v>
      </x:c>
      <x:c r="B124" s="12" t="n">
        <x:v>462.70412</x:v>
      </x:c>
      <x:c r="C124" s="13" t="n">
        <x:v>484</x:v>
      </x:c>
      <x:c r="D124" s="12" t="n">
        <x:v>102627.36</x:v>
      </x:c>
      <x:c r="E124" s="12" t="n">
        <x:v>498.55388</x:v>
      </x:c>
      <x:c r="F124" s="12" t="n">
        <x:f>SUM(B124,D124:E124)</x:f>
        <x:v>103588.618</x:v>
      </x:c>
      <x:c r="G124" s="12" t="n">
        <x:f>MAX(G123,F124)</x:f>
        <x:v>103796.70412</x:v>
      </x:c>
      <x:c r="H124" s="14" t="n">
        <x:f>F124/G124-1</x:f>
        <x:v>-0.0020047468921501332</x:v>
      </x:c>
      <x:c r="I124" s="14" t="n">
        <x:f>F124/F123-1</x:f>
        <x:v>0.0007013407335665356</x:v>
      </x:c>
      <x:c r="J124" s="12" t="n">
        <x:v>0</x:v>
      </x:c>
      <x:c r="K124" s="12" t="n">
        <x:v>0</x:v>
      </x:c>
      <x:c r="L124" s="12" t="n">
        <x:v>0</x:v>
      </x:c>
      <x:c r="M124" s="2" t="str">
        <x:v>持有</x:v>
      </x:c>
    </x:row>
    <x:row r="125" ht="23" customHeight="1">
      <x:c r="A125" s="11" t="d">
        <x:v>2015-06-24T00:00:00.000Z</x:v>
      </x:c>
      <x:c r="B125" s="12" t="n">
        <x:v>462.70412</x:v>
      </x:c>
      <x:c r="C125" s="13" t="n">
        <x:v>484</x:v>
      </x:c>
      <x:c r="D125" s="12" t="n">
        <x:v>101882</x:v>
      </x:c>
      <x:c r="E125" s="12" t="n">
        <x:v>498.55388</x:v>
      </x:c>
      <x:c r="F125" s="12" t="n">
        <x:f>SUM(B125,D125:E125)</x:f>
        <x:v>102843.258</x:v>
      </x:c>
      <x:c r="G125" s="12" t="n">
        <x:f>MAX(G124,F125)</x:f>
        <x:v>103796.70412</x:v>
      </x:c>
      <x:c r="H125" s="14" t="n">
        <x:f>F125/G125-1</x:f>
        <x:v>-0.009185707080811678</x:v>
      </x:c>
      <x:c r="I125" s="14" t="n">
        <x:f>F125/F124-1</x:f>
        <x:v>-0.007195385114607822</x:v>
      </x:c>
      <x:c r="J125" s="12" t="n">
        <x:v>0</x:v>
      </x:c>
      <x:c r="K125" s="12" t="n">
        <x:v>0</x:v>
      </x:c>
      <x:c r="L125" s="12" t="n">
        <x:v>0</x:v>
      </x:c>
      <x:c r="M125" s="2" t="str">
        <x:v>持有</x:v>
      </x:c>
    </x:row>
    <x:row r="126" ht="23" customHeight="1">
      <x:c r="A126" s="11" t="d">
        <x:v>2015-06-25T00:00:00.000Z</x:v>
      </x:c>
      <x:c r="B126" s="12" t="n">
        <x:v>462.70412</x:v>
      </x:c>
      <x:c r="C126" s="13" t="n">
        <x:v>484</x:v>
      </x:c>
      <x:c r="D126" s="12" t="n">
        <x:v>101572.24</x:v>
      </x:c>
      <x:c r="E126" s="12" t="n">
        <x:v>498.55388</x:v>
      </x:c>
      <x:c r="F126" s="12" t="n">
        <x:f>SUM(B126,D126:E126)</x:f>
        <x:v>102533.498</x:v>
      </x:c>
      <x:c r="G126" s="12" t="n">
        <x:f>MAX(G125,F126)</x:f>
        <x:v>103796.70412</x:v>
      </x:c>
      <x:c r="H126" s="14" t="n">
        <x:f>F126/G126-1</x:f>
        <x:v>-0.012170002224151433</x:v>
      </x:c>
      <x:c r="I126" s="14" t="n">
        <x:f>F126/F125-1</x:f>
        <x:v>-0.0030119621453454926</x:v>
      </x:c>
      <x:c r="J126" s="12" t="n">
        <x:v>0</x:v>
      </x:c>
      <x:c r="K126" s="12" t="n">
        <x:v>0</x:v>
      </x:c>
      <x:c r="L126" s="12" t="n">
        <x:v>0</x:v>
      </x:c>
      <x:c r="M126" s="2" t="str">
        <x:v>持有</x:v>
      </x:c>
    </x:row>
    <x:row r="127" ht="23" customHeight="1">
      <x:c r="A127" s="11" t="d">
        <x:v>2015-06-26T00:00:00.000Z</x:v>
      </x:c>
      <x:c r="B127" s="12" t="n">
        <x:v>462.70412</x:v>
      </x:c>
      <x:c r="C127" s="13" t="n">
        <x:v>484</x:v>
      </x:c>
      <x:c r="D127" s="12" t="n">
        <x:v>101552.87999999999</x:v>
      </x:c>
      <x:c r="E127" s="12" t="n">
        <x:v>498.55388</x:v>
      </x:c>
      <x:c r="F127" s="12" t="n">
        <x:f>SUM(B127,D127:E127)</x:f>
        <x:v>102514.13799999999</x:v>
      </x:c>
      <x:c r="G127" s="12" t="n">
        <x:f>MAX(G126,F127)</x:f>
        <x:v>103796.70412</x:v>
      </x:c>
      <x:c r="H127" s="14" t="n">
        <x:f>F127/G127-1</x:f>
        <x:v>-0.012356520670610327</x:v>
      </x:c>
      <x:c r="I127" s="14" t="n">
        <x:f>F127/F126-1</x:f>
        <x:v>-0.00018881634175804685</x:v>
      </x:c>
      <x:c r="J127" s="12" t="n">
        <x:v>0</x:v>
      </x:c>
      <x:c r="K127" s="12" t="n">
        <x:v>0</x:v>
      </x:c>
      <x:c r="L127" s="12" t="n">
        <x:v>0</x:v>
      </x:c>
      <x:c r="M127" s="2" t="str">
        <x:v>持有</x:v>
      </x:c>
    </x:row>
    <x:row r="128" ht="23" customHeight="1">
      <x:c r="A128" s="11" t="d">
        <x:v>2015-06-29T00:00:00.000Z</x:v>
      </x:c>
      <x:c r="B128" s="12" t="n">
        <x:v>462.70412</x:v>
      </x:c>
      <x:c r="C128" s="13" t="n">
        <x:v>484</x:v>
      </x:c>
      <x:c r="D128" s="12" t="n">
        <x:v>99423.28</x:v>
      </x:c>
      <x:c r="E128" s="12" t="n">
        <x:v>498.55388</x:v>
      </x:c>
      <x:c r="F128" s="12" t="n">
        <x:f>SUM(B128,D128:E128)</x:f>
        <x:v>100384.538</x:v>
      </x:c>
      <x:c r="G128" s="12" t="n">
        <x:f>MAX(G127,F128)</x:f>
        <x:v>103796.70412</x:v>
      </x:c>
      <x:c r="H128" s="14" t="n">
        <x:f>F128/G128-1</x:f>
        <x:v>-0.03287354978107171</x:v>
      </x:c>
      <x:c r="I128" s="14" t="n">
        <x:f>F128/F127-1</x:f>
        <x:v>-0.02077372001118516</x:v>
      </x:c>
      <x:c r="J128" s="12" t="n">
        <x:v>0</x:v>
      </x:c>
      <x:c r="K128" s="12" t="n">
        <x:v>0</x:v>
      </x:c>
      <x:c r="L128" s="12" t="n">
        <x:v>0</x:v>
      </x:c>
      <x:c r="M128" s="2" t="str">
        <x:v>持有</x:v>
      </x:c>
    </x:row>
    <x:row r="129" ht="23" customHeight="1">
      <x:c r="A129" s="11" t="d">
        <x:v>2015-06-30T00:00:00.000Z</x:v>
      </x:c>
      <x:c r="B129" s="12" t="n">
        <x:v>462.70412</x:v>
      </x:c>
      <x:c r="C129" s="13" t="n">
        <x:v>484</x:v>
      </x:c>
      <x:c r="D129" s="12" t="n">
        <x:v>99631.4</x:v>
      </x:c>
      <x:c r="E129" s="12" t="n">
        <x:v>498.55388</x:v>
      </x:c>
      <x:c r="F129" s="12" t="n">
        <x:f>SUM(B129,D129:E129)</x:f>
        <x:v>100592.658</x:v>
      </x:c>
      <x:c r="G129" s="12" t="n">
        <x:f>MAX(G128,F129)</x:f>
        <x:v>103796.70412</x:v>
      </x:c>
      <x:c r="H129" s="14" t="n">
        <x:f>F129/G129-1</x:f>
        <x:v>-0.030868476481640372</x:v>
      </x:c>
      <x:c r="I129" s="14" t="n">
        <x:f>F129/F128-1</x:f>
        <x:v>0.0020732276518520276</x:v>
      </x:c>
      <x:c r="J129" s="12" t="n">
        <x:v>0</x:v>
      </x:c>
      <x:c r="K129" s="12" t="n">
        <x:v>0</x:v>
      </x:c>
      <x:c r="L129" s="12" t="n">
        <x:v>0</x:v>
      </x:c>
      <x:c r="M129" s="2" t="str">
        <x:v>持有</x:v>
      </x:c>
    </x:row>
    <x:row r="130" ht="23" customHeight="1">
      <x:c r="A130" s="11" t="d">
        <x:v>2015-07-01T00:00:00.000Z</x:v>
      </x:c>
      <x:c r="B130" s="12" t="n">
        <x:v>462.70412</x:v>
      </x:c>
      <x:c r="C130" s="13" t="n">
        <x:v>484</x:v>
      </x:c>
      <x:c r="D130" s="12" t="n">
        <x:v>100430</x:v>
      </x:c>
      <x:c r="E130" s="12" t="n">
        <x:v>498.55388</x:v>
      </x:c>
      <x:c r="F130" s="12" t="n">
        <x:f>SUM(B130,D130:E130)</x:f>
        <x:v>101391.258</x:v>
      </x:c>
      <x:c r="G130" s="12" t="n">
        <x:f>MAX(G129,F130)</x:f>
        <x:v>103796.70412</x:v>
      </x:c>
      <x:c r="H130" s="14" t="n">
        <x:f>F130/G130-1</x:f>
        <x:v>-0.0231745905652172</x:v>
      </x:c>
      <x:c r="I130" s="14" t="n">
        <x:f>F130/F129-1</x:f>
        <x:v>0.007938949182553667</x:v>
      </x:c>
      <x:c r="J130" s="12" t="n">
        <x:v>0</x:v>
      </x:c>
      <x:c r="K130" s="12" t="n">
        <x:v>0</x:v>
      </x:c>
      <x:c r="L130" s="12" t="n">
        <x:v>0</x:v>
      </x:c>
      <x:c r="M130" s="2" t="str">
        <x:v>持有</x:v>
      </x:c>
    </x:row>
    <x:row r="131" ht="23" customHeight="1">
      <x:c r="A131" s="11" t="d">
        <x:v>2015-07-02T00:00:00.000Z</x:v>
      </x:c>
      <x:c r="B131" s="12" t="n">
        <x:v>462.70412</x:v>
      </x:c>
      <x:c r="C131" s="13" t="n">
        <x:v>484</x:v>
      </x:c>
      <x:c r="D131" s="12" t="n">
        <x:v>100338.04000000001</x:v>
      </x:c>
      <x:c r="E131" s="12" t="n">
        <x:v>498.55388</x:v>
      </x:c>
      <x:c r="F131" s="12" t="n">
        <x:f>SUM(B131,D131:E131)</x:f>
        <x:v>101299.29800000001</x:v>
      </x:c>
      <x:c r="G131" s="12" t="n">
        <x:f>MAX(G130,F131)</x:f>
        <x:v>103796.70412</x:v>
      </x:c>
      <x:c r="H131" s="14" t="n">
        <x:f>F131/G131-1</x:f>
        <x:v>-0.024060553185896172</x:v>
      </x:c>
      <x:c r="I131" s="14" t="n">
        <x:f>F131/F130-1</x:f>
        <x:v>-0.0009069815466733466</x:v>
      </x:c>
      <x:c r="J131" s="12" t="n">
        <x:v>0</x:v>
      </x:c>
      <x:c r="K131" s="12" t="n">
        <x:v>0</x:v>
      </x:c>
      <x:c r="L131" s="12" t="n">
        <x:v>0</x:v>
      </x:c>
      <x:c r="M131" s="2" t="str">
        <x:v>持有</x:v>
      </x:c>
    </x:row>
    <x:row r="132" ht="23" customHeight="1">
      <x:c r="A132" s="11" t="d">
        <x:v>2015-07-06T00:00:00.000Z</x:v>
      </x:c>
      <x:c r="B132" s="12" t="n">
        <x:v>462.70412</x:v>
      </x:c>
      <x:c r="C132" s="13" t="n">
        <x:v>484</x:v>
      </x:c>
      <x:c r="D132" s="12" t="n">
        <x:v>100052.48</x:v>
      </x:c>
      <x:c r="E132" s="12" t="n">
        <x:v>498.55388</x:v>
      </x:c>
      <x:c r="F132" s="12" t="n">
        <x:f>SUM(B132,D132:E132)</x:f>
        <x:v>101013.738</x:v>
      </x:c>
      <x:c r="G132" s="12" t="n">
        <x:f>MAX(G131,F132)</x:f>
        <x:v>103796.70412</x:v>
      </x:c>
      <x:c r="H132" s="14" t="n">
        <x:f>F132/G132-1</x:f>
        <x:v>-0.026811700271162642</x:v>
      </x:c>
      <x:c r="I132" s="14" t="n">
        <x:f>F132/F131-1</x:f>
        <x:v>-0.002818973138392411</x:v>
      </x:c>
      <x:c r="J132" s="12" t="n">
        <x:v>0</x:v>
      </x:c>
      <x:c r="K132" s="12" t="n">
        <x:v>0</x:v>
      </x:c>
      <x:c r="L132" s="12" t="n">
        <x:v>0</x:v>
      </x:c>
      <x:c r="M132" s="2" t="str">
        <x:v>持有</x:v>
      </x:c>
    </x:row>
    <x:row r="133" ht="23" customHeight="1">
      <x:c r="A133" s="11" t="d">
        <x:v>2015-07-07T00:00:00.000Z</x:v>
      </x:c>
      <x:c r="B133" s="12" t="n">
        <x:v>462.70412</x:v>
      </x:c>
      <x:c r="C133" s="13" t="n">
        <x:v>484</x:v>
      </x:c>
      <x:c r="D133" s="12" t="n">
        <x:v>100681.68000000001</x:v>
      </x:c>
      <x:c r="E133" s="12" t="n">
        <x:v>498.55388</x:v>
      </x:c>
      <x:c r="F133" s="12" t="n">
        <x:f>SUM(B133,D133:E133)</x:f>
        <x:v>101642.93800000001</x:v>
      </x:c>
      <x:c r="G133" s="12" t="n">
        <x:f>MAX(G132,F133)</x:f>
        <x:v>103796.70412</x:v>
      </x:c>
      <x:c r="H133" s="14" t="n">
        <x:f>F133/G133-1</x:f>
        <x:v>-0.020749850761253463</x:v>
      </x:c>
      <x:c r="I133" s="14" t="n">
        <x:f>F133/F132-1</x:f>
        <x:v>0.006228855722575144</x:v>
      </x:c>
      <x:c r="J133" s="12" t="n">
        <x:v>0</x:v>
      </x:c>
      <x:c r="K133" s="12" t="n">
        <x:v>0</x:v>
      </x:c>
      <x:c r="L133" s="12" t="n">
        <x:v>0</x:v>
      </x:c>
      <x:c r="M133" s="2" t="str">
        <x:v>持有</x:v>
      </x:c>
    </x:row>
    <x:row r="134" ht="23" customHeight="1">
      <x:c r="A134" s="11" t="d">
        <x:v>2015-07-08T00:00:00.000Z</x:v>
      </x:c>
      <x:c r="B134" s="12" t="n">
        <x:v>462.70412</x:v>
      </x:c>
      <x:c r="C134" s="13" t="n">
        <x:v>484</x:v>
      </x:c>
      <x:c r="D134" s="12" t="n">
        <x:v>98992.52</x:v>
      </x:c>
      <x:c r="E134" s="12" t="n">
        <x:v>498.55388</x:v>
      </x:c>
      <x:c r="F134" s="12" t="n">
        <x:f>SUM(B134,D134:E134)</x:f>
        <x:v>99953.778</x:v>
      </x:c>
      <x:c r="G134" s="12" t="n">
        <x:f>MAX(G133,F134)</x:f>
        <x:v>103796.70412</x:v>
      </x:c>
      <x:c r="H134" s="14" t="n">
        <x:f>F134/G134-1</x:f>
        <x:v>-0.037023585214778665</x:v>
      </x:c>
      <x:c r="I134" s="14" t="n">
        <x:f>F134/F133-1</x:f>
        <x:v>-0.016618567243697813</x:v>
      </x:c>
      <x:c r="J134" s="12" t="n">
        <x:v>0</x:v>
      </x:c>
      <x:c r="K134" s="12" t="n">
        <x:v>0</x:v>
      </x:c>
      <x:c r="L134" s="12" t="n">
        <x:v>0</x:v>
      </x:c>
      <x:c r="M134" s="2" t="str">
        <x:v>持有</x:v>
      </x:c>
    </x:row>
    <x:row r="135" ht="23" customHeight="1">
      <x:c r="A135" s="11" t="d">
        <x:v>2015-07-09T00:00:00.000Z</x:v>
      </x:c>
      <x:c r="B135" s="12" t="n">
        <x:v>462.70412</x:v>
      </x:c>
      <x:c r="C135" s="13" t="n">
        <x:v>484</x:v>
      </x:c>
      <x:c r="D135" s="12" t="n">
        <x:v>99171.6</x:v>
      </x:c>
      <x:c r="E135" s="12" t="n">
        <x:v>498.55388</x:v>
      </x:c>
      <x:c r="F135" s="12" t="n">
        <x:f>SUM(B135,D135:E135)</x:f>
        <x:v>100132.85800000001</x:v>
      </x:c>
      <x:c r="G135" s="12" t="n">
        <x:f>MAX(G134,F135)</x:f>
        <x:v>103796.70412</x:v>
      </x:c>
      <x:c r="H135" s="14" t="n">
        <x:f>F135/G135-1</x:f>
        <x:v>-0.035298289585035336</x:v>
      </x:c>
      <x:c r="I135" s="14" t="n">
        <x:f>F135/F134-1</x:f>
        <x:v>0.0017916281263525846</x:v>
      </x:c>
      <x:c r="J135" s="12" t="n">
        <x:v>0</x:v>
      </x:c>
      <x:c r="K135" s="12" t="n">
        <x:v>0</x:v>
      </x:c>
      <x:c r="L135" s="12" t="n">
        <x:v>0</x:v>
      </x:c>
      <x:c r="M135" s="2" t="str">
        <x:v>持有</x:v>
      </x:c>
    </x:row>
    <x:row r="136" ht="23" customHeight="1">
      <x:c r="A136" s="11" t="d">
        <x:v>2015-07-10T00:00:00.000Z</x:v>
      </x:c>
      <x:c r="B136" s="12" t="n">
        <x:v>462.70412</x:v>
      </x:c>
      <x:c r="C136" s="13" t="n">
        <x:v>484</x:v>
      </x:c>
      <x:c r="D136" s="12" t="n">
        <x:v>100420.31999999999</x:v>
      </x:c>
      <x:c r="E136" s="12" t="n">
        <x:v>498.55388</x:v>
      </x:c>
      <x:c r="F136" s="12" t="n">
        <x:f>SUM(B136,D136:E136)</x:f>
        <x:v>101381.578</x:v>
      </x:c>
      <x:c r="G136" s="12" t="n">
        <x:f>MAX(G135,F136)</x:f>
        <x:v>103796.70412</x:v>
      </x:c>
      <x:c r="H136" s="14" t="n">
        <x:f>F136/G136-1</x:f>
        <x:v>-0.02326784978844665</x:v>
      </x:c>
      <x:c r="I136" s="14" t="n">
        <x:f>F136/F135-1</x:f>
        <x:v>0.012470631768045415</x:v>
      </x:c>
      <x:c r="J136" s="12" t="n">
        <x:v>0</x:v>
      </x:c>
      <x:c r="K136" s="12" t="n">
        <x:v>0</x:v>
      </x:c>
      <x:c r="L136" s="12" t="n">
        <x:v>0</x:v>
      </x:c>
      <x:c r="M136" s="2" t="str">
        <x:v>持有</x:v>
      </x:c>
    </x:row>
    <x:row r="137" ht="23" customHeight="1">
      <x:c r="A137" s="11" t="d">
        <x:v>2015-07-13T00:00:00.000Z</x:v>
      </x:c>
      <x:c r="B137" s="12" t="n">
        <x:v>462.70412</x:v>
      </x:c>
      <x:c r="C137" s="13" t="n">
        <x:v>484</x:v>
      </x:c>
      <x:c r="D137" s="12" t="n">
        <x:v>101528.68000000001</x:v>
      </x:c>
      <x:c r="E137" s="12" t="n">
        <x:v>498.55388</x:v>
      </x:c>
      <x:c r="F137" s="12" t="n">
        <x:f>SUM(B137,D137:E137)</x:f>
        <x:v>102489.93800000001</x:v>
      </x:c>
      <x:c r="G137" s="12" t="n">
        <x:f>MAX(G136,F137)</x:f>
        <x:v>103796.70412</x:v>
      </x:c>
      <x:c r="H137" s="14" t="n">
        <x:f>F137/G137-1</x:f>
        <x:v>-0.012589668728683612</x:v>
      </x:c>
      <x:c r="I137" s="14" t="n">
        <x:f>F137/F136-1</x:f>
        <x:v>0.010932558181329766</x:v>
      </x:c>
      <x:c r="J137" s="12" t="n">
        <x:v>0</x:v>
      </x:c>
      <x:c r="K137" s="12" t="n">
        <x:v>0</x:v>
      </x:c>
      <x:c r="L137" s="12" t="n">
        <x:v>0</x:v>
      </x:c>
      <x:c r="M137" s="2" t="str">
        <x:v>持有</x:v>
      </x:c>
    </x:row>
    <x:row r="138" ht="23" customHeight="1">
      <x:c r="A138" s="11" t="d">
        <x:v>2015-07-14T00:00:00.000Z</x:v>
      </x:c>
      <x:c r="B138" s="12" t="n">
        <x:v>462.70412</x:v>
      </x:c>
      <x:c r="C138" s="13" t="n">
        <x:v>484</x:v>
      </x:c>
      <x:c r="D138" s="12" t="n">
        <x:v>101969.12000000001</x:v>
      </x:c>
      <x:c r="E138" s="12" t="n">
        <x:v>498.55388</x:v>
      </x:c>
      <x:c r="F138" s="12" t="n">
        <x:f>SUM(B138,D138:E138)</x:f>
        <x:v>102930.37800000001</x:v>
      </x:c>
      <x:c r="G138" s="12" t="n">
        <x:f>MAX(G137,F138)</x:f>
        <x:v>103796.70412</x:v>
      </x:c>
      <x:c r="H138" s="14" t="n">
        <x:f>F138/G138-1</x:f>
        <x:v>-0.008346374071747209</x:v>
      </x:c>
      <x:c r="I138" s="14" t="n">
        <x:f>F138/F137-1</x:f>
        <x:v>0.004297397467446951</x:v>
      </x:c>
      <x:c r="J138" s="12" t="n">
        <x:v>0</x:v>
      </x:c>
      <x:c r="K138" s="12" t="n">
        <x:v>0</x:v>
      </x:c>
      <x:c r="L138" s="12" t="n">
        <x:v>0</x:v>
      </x:c>
      <x:c r="M138" s="2" t="str">
        <x:v>持有</x:v>
      </x:c>
    </x:row>
    <x:row r="139" ht="23" customHeight="1">
      <x:c r="A139" s="11" t="d">
        <x:v>2015-07-15T00:00:00.000Z</x:v>
      </x:c>
      <x:c r="B139" s="12" t="n">
        <x:v>462.70412</x:v>
      </x:c>
      <x:c r="C139" s="13" t="n">
        <x:v>484</x:v>
      </x:c>
      <x:c r="D139" s="12" t="n">
        <x:v>101935.24</x:v>
      </x:c>
      <x:c r="E139" s="12" t="n">
        <x:v>498.55388</x:v>
      </x:c>
      <x:c r="F139" s="12" t="n">
        <x:f>SUM(B139,D139:E139)</x:f>
        <x:v>102896.498</x:v>
      </x:c>
      <x:c r="G139" s="12" t="n">
        <x:f>MAX(G138,F139)</x:f>
        <x:v>103796.70412</x:v>
      </x:c>
      <x:c r="H139" s="14" t="n">
        <x:f>F139/G139-1</x:f>
        <x:v>-0.008672781353050052</x:v>
      </x:c>
      <x:c r="I139" s="14" t="n">
        <x:f>F139/F138-1</x:f>
        <x:v>-0.00032915452812198875</x:v>
      </x:c>
      <x:c r="J139" s="12" t="n">
        <x:v>0</x:v>
      </x:c>
      <x:c r="K139" s="12" t="n">
        <x:v>0</x:v>
      </x:c>
      <x:c r="L139" s="12" t="n">
        <x:v>0</x:v>
      </x:c>
      <x:c r="M139" s="2" t="str">
        <x:v>持有</x:v>
      </x:c>
    </x:row>
    <x:row r="140" ht="23" customHeight="1">
      <x:c r="A140" s="11" t="d">
        <x:v>2015-07-16T00:00:00.000Z</x:v>
      </x:c>
      <x:c r="B140" s="12" t="n">
        <x:v>462.70412</x:v>
      </x:c>
      <x:c r="C140" s="13" t="n">
        <x:v>484</x:v>
      </x:c>
      <x:c r="D140" s="12" t="n">
        <x:v>102753.20000000001</x:v>
      </x:c>
      <x:c r="E140" s="12" t="n">
        <x:v>498.55388</x:v>
      </x:c>
      <x:c r="F140" s="12" t="n">
        <x:f>SUM(B140,D140:E140)</x:f>
        <x:v>103714.45800000001</x:v>
      </x:c>
      <x:c r="G140" s="12" t="n">
        <x:f>MAX(G139,F140)</x:f>
        <x:v>103796.70412</x:v>
      </x:c>
      <x:c r="H140" s="14" t="n">
        <x:f>F140/G140-1</x:f>
        <x:v>-0.0007923769901682087</x:v>
      </x:c>
      <x:c r="I140" s="14" t="n">
        <x:f>F140/F139-1</x:f>
        <x:v>0.00794934731403596</x:v>
      </x:c>
      <x:c r="J140" s="12" t="n">
        <x:v>0</x:v>
      </x:c>
      <x:c r="K140" s="12" t="n">
        <x:v>0</x:v>
      </x:c>
      <x:c r="L140" s="12" t="n">
        <x:v>0</x:v>
      </x:c>
      <x:c r="M140" s="2" t="str">
        <x:v>持有</x:v>
      </x:c>
    </x:row>
    <x:row r="141" ht="23" customHeight="1">
      <x:c r="A141" s="11" t="d">
        <x:v>2015-07-17T00:00:00.000Z</x:v>
      </x:c>
      <x:c r="B141" s="12" t="n">
        <x:v>462.70412</x:v>
      </x:c>
      <x:c r="C141" s="13" t="n">
        <x:v>484</x:v>
      </x:c>
      <x:c r="D141" s="12" t="n">
        <x:v>102840.31999999999</x:v>
      </x:c>
      <x:c r="E141" s="12" t="n">
        <x:v>498.55388</x:v>
      </x:c>
      <x:c r="F141" s="12" t="n">
        <x:f>SUM(B141,D141:E141)</x:f>
        <x:v>103801.578</x:v>
      </x:c>
      <x:c r="G141" s="12" t="n">
        <x:f>MAX(G140,F141)</x:f>
        <x:v>103801.578</x:v>
      </x:c>
      <x:c r="H141" s="14" t="n">
        <x:f>F141/G141-1</x:f>
        <x:v>0</x:v>
      </x:c>
      <x:c r="I141" s="14" t="n">
        <x:f>F141/F140-1</x:f>
        <x:v>0.0008399986046301322</x:v>
      </x:c>
      <x:c r="J141" s="12" t="n">
        <x:v>0</x:v>
      </x:c>
      <x:c r="K141" s="12" t="n">
        <x:v>0</x:v>
      </x:c>
      <x:c r="L141" s="12" t="n">
        <x:v>0</x:v>
      </x:c>
      <x:c r="M141" s="2" t="str">
        <x:v>持有</x:v>
      </x:c>
    </x:row>
    <x:row r="142" ht="23" customHeight="1">
      <x:c r="A142" s="11" t="d">
        <x:v>2015-07-20T00:00:00.000Z</x:v>
      </x:c>
      <x:c r="B142" s="12" t="n">
        <x:v>462.70412</x:v>
      </x:c>
      <x:c r="C142" s="13" t="n">
        <x:v>484</x:v>
      </x:c>
      <x:c r="D142" s="12" t="n">
        <x:v>102893.56</x:v>
      </x:c>
      <x:c r="E142" s="12" t="n">
        <x:v>498.55388</x:v>
      </x:c>
      <x:c r="F142" s="12" t="n">
        <x:f>SUM(B142,D142:E142)</x:f>
        <x:v>103854.818</x:v>
      </x:c>
      <x:c r="G142" s="12" t="n">
        <x:f>MAX(G141,F142)</x:f>
        <x:v>103854.818</x:v>
      </x:c>
      <x:c r="H142" s="14" t="n">
        <x:f>F142/G142-1</x:f>
        <x:v>0</x:v>
      </x:c>
      <x:c r="I142" s="14" t="n">
        <x:f>F142/F141-1</x:f>
        <x:v>0.0005129016439422429</x:v>
      </x:c>
      <x:c r="J142" s="12" t="n">
        <x:v>0</x:v>
      </x:c>
      <x:c r="K142" s="12" t="n">
        <x:v>0</x:v>
      </x:c>
      <x:c r="L142" s="12" t="n">
        <x:v>0</x:v>
      </x:c>
      <x:c r="M142" s="2" t="str">
        <x:v>持有</x:v>
      </x:c>
    </x:row>
    <x:row r="143" ht="23" customHeight="1">
      <x:c r="A143" s="11" t="d">
        <x:v>2015-07-21T00:00:00.000Z</x:v>
      </x:c>
      <x:c r="B143" s="12" t="n">
        <x:v>462.70412</x:v>
      </x:c>
      <x:c r="C143" s="13" t="n">
        <x:v>484</x:v>
      </x:c>
      <x:c r="D143" s="12" t="n">
        <x:v>102487</x:v>
      </x:c>
      <x:c r="E143" s="12" t="n">
        <x:v>498.55388</x:v>
      </x:c>
      <x:c r="F143" s="12" t="n">
        <x:f>SUM(B143,D143:E143)</x:f>
        <x:v>103448.258</x:v>
      </x:c>
      <x:c r="G143" s="12" t="n">
        <x:f>MAX(G142,F143)</x:f>
        <x:v>103854.818</x:v>
      </x:c>
      <x:c r="H143" s="14" t="n">
        <x:f>F143/G143-1</x:f>
        <x:v>-0.003914695609018359</x:v>
      </x:c>
      <x:c r="I143" s="14" t="n">
        <x:f>F143/F142-1</x:f>
        <x:v>-0.003914695609018359</x:v>
      </x:c>
      <x:c r="J143" s="12" t="n">
        <x:v>0</x:v>
      </x:c>
      <x:c r="K143" s="12" t="n">
        <x:v>0</x:v>
      </x:c>
      <x:c r="L143" s="12" t="n">
        <x:v>0</x:v>
      </x:c>
      <x:c r="M143" s="2" t="str">
        <x:v>持有</x:v>
      </x:c>
    </x:row>
    <x:row r="144" ht="23" customHeight="1">
      <x:c r="A144" s="11" t="d">
        <x:v>2015-07-22T00:00:00.000Z</x:v>
      </x:c>
      <x:c r="B144" s="12" t="n">
        <x:v>462.70412</x:v>
      </x:c>
      <x:c r="C144" s="13" t="n">
        <x:v>484</x:v>
      </x:c>
      <x:c r="D144" s="12" t="n">
        <x:v>102303.08</x:v>
      </x:c>
      <x:c r="E144" s="12" t="n">
        <x:v>498.55388</x:v>
      </x:c>
      <x:c r="F144" s="12" t="n">
        <x:f>SUM(B144,D144:E144)</x:f>
        <x:v>103264.338</x:v>
      </x:c>
      <x:c r="G144" s="12" t="n">
        <x:f>MAX(G143,F144)</x:f>
        <x:v>103854.818</x:v>
      </x:c>
      <x:c r="H144" s="14" t="n">
        <x:f>F144/G144-1</x:f>
        <x:v>-0.005685629336907527</x:v>
      </x:c>
      <x:c r="I144" s="14" t="n">
        <x:f>F144/F143-1</x:f>
        <x:v>-0.0017778936403163303</x:v>
      </x:c>
      <x:c r="J144" s="12" t="n">
        <x:v>0</x:v>
      </x:c>
      <x:c r="K144" s="12" t="n">
        <x:v>0</x:v>
      </x:c>
      <x:c r="L144" s="12" t="n">
        <x:v>0</x:v>
      </x:c>
      <x:c r="M144" s="2" t="str">
        <x:v>持有</x:v>
      </x:c>
    </x:row>
    <x:row r="145" ht="23" customHeight="1">
      <x:c r="A145" s="11" t="d">
        <x:v>2015-07-23T00:00:00.000Z</x:v>
      </x:c>
      <x:c r="B145" s="12" t="n">
        <x:v>462.70412</x:v>
      </x:c>
      <x:c r="C145" s="13" t="n">
        <x:v>484</x:v>
      </x:c>
      <x:c r="D145" s="12" t="n">
        <x:v>101727.12000000001</x:v>
      </x:c>
      <x:c r="E145" s="12" t="n">
        <x:v>498.55388</x:v>
      </x:c>
      <x:c r="F145" s="12" t="n">
        <x:f>SUM(B145,D145:E145)</x:f>
        <x:v>102688.37800000001</x:v>
      </x:c>
      <x:c r="G145" s="12" t="n">
        <x:f>MAX(G144,F145)</x:f>
        <x:v>103854.818</x:v>
      </x:c>
      <x:c r="H145" s="14" t="n">
        <x:f>F145/G145-1</x:f>
        <x:v>-0.011231448116350129</x:v>
      </x:c>
      <x:c r="I145" s="14" t="n">
        <x:f>F145/F144-1</x:f>
        <x:v>-0.005577530550769594</x:v>
      </x:c>
      <x:c r="J145" s="12" t="n">
        <x:v>0</x:v>
      </x:c>
      <x:c r="K145" s="12" t="n">
        <x:v>0</x:v>
      </x:c>
      <x:c r="L145" s="12" t="n">
        <x:v>0</x:v>
      </x:c>
      <x:c r="M145" s="2" t="str">
        <x:v>持有</x:v>
      </x:c>
    </x:row>
    <x:row r="146" ht="23" customHeight="1">
      <x:c r="A146" s="11" t="d">
        <x:v>2015-07-24T00:00:00.000Z</x:v>
      </x:c>
      <x:c r="B146" s="12" t="n">
        <x:v>462.70412</x:v>
      </x:c>
      <x:c r="C146" s="13" t="n">
        <x:v>484</x:v>
      </x:c>
      <x:c r="D146" s="12" t="n">
        <x:v>100672</x:v>
      </x:c>
      <x:c r="E146" s="12" t="n">
        <x:v>498.55388</x:v>
      </x:c>
      <x:c r="F146" s="12" t="n">
        <x:f>SUM(B146,D146:E146)</x:f>
        <x:v>101633.258</x:v>
      </x:c>
      <x:c r="G146" s="12" t="n">
        <x:f>MAX(G145,F146)</x:f>
        <x:v>103854.818</x:v>
      </x:c>
      <x:c r="H146" s="14" t="n">
        <x:f>F146/G146-1</x:f>
        <x:v>-0.02139101529213594</x:v>
      </x:c>
      <x:c r="I146" s="14" t="n">
        <x:f>F146/F145-1</x:f>
        <x:v>-0.010274969967877134</x:v>
      </x:c>
      <x:c r="J146" s="12" t="n">
        <x:v>0</x:v>
      </x:c>
      <x:c r="K146" s="12" t="n">
        <x:v>0</x:v>
      </x:c>
      <x:c r="L146" s="12" t="n">
        <x:v>0</x:v>
      </x:c>
      <x:c r="M146" s="2" t="str">
        <x:v>持有</x:v>
      </x:c>
    </x:row>
    <x:row r="147" ht="23" customHeight="1">
      <x:c r="A147" s="11" t="d">
        <x:v>2015-07-27T00:00:00.000Z</x:v>
      </x:c>
      <x:c r="B147" s="12" t="n">
        <x:v>462.70412</x:v>
      </x:c>
      <x:c r="C147" s="13" t="n">
        <x:v>484</x:v>
      </x:c>
      <x:c r="D147" s="12" t="n">
        <x:v>100086.36</x:v>
      </x:c>
      <x:c r="E147" s="12" t="n">
        <x:v>498.55388</x:v>
      </x:c>
      <x:c r="F147" s="12" t="n">
        <x:f>SUM(B147,D147:E147)</x:f>
        <x:v>101047.618</x:v>
      </x:c>
      <x:c r="G147" s="12" t="n">
        <x:f>MAX(G146,F147)</x:f>
        <x:v>103854.818</x:v>
      </x:c>
      <x:c r="H147" s="14" t="n">
        <x:f>F147/G147-1</x:f>
        <x:v>-0.027030041109888603</x:v>
      </x:c>
      <x:c r="I147" s="14" t="n">
        <x:f>F147/F146-1</x:f>
        <x:v>-0.005762286986805032</x:v>
      </x:c>
      <x:c r="J147" s="12" t="n">
        <x:v>0</x:v>
      </x:c>
      <x:c r="K147" s="12" t="n">
        <x:v>0</x:v>
      </x:c>
      <x:c r="L147" s="12" t="n">
        <x:v>0</x:v>
      </x:c>
      <x:c r="M147" s="2" t="str">
        <x:v>持有</x:v>
      </x:c>
    </x:row>
    <x:row r="148" ht="23" customHeight="1">
      <x:c r="A148" s="11" t="d">
        <x:v>2015-07-28T00:00:00.000Z</x:v>
      </x:c>
      <x:c r="B148" s="12" t="n">
        <x:v>462.70412</x:v>
      </x:c>
      <x:c r="C148" s="13" t="n">
        <x:v>484</x:v>
      </x:c>
      <x:c r="D148" s="12" t="n">
        <x:v>101315.72</x:v>
      </x:c>
      <x:c r="E148" s="12" t="n">
        <x:v>498.55388</x:v>
      </x:c>
      <x:c r="F148" s="12" t="n">
        <x:f>SUM(B148,D148:E148)</x:f>
        <x:v>102276.978</x:v>
      </x:c>
      <x:c r="G148" s="12" t="n">
        <x:f>MAX(G147,F148)</x:f>
        <x:v>103854.818</x:v>
      </x:c>
      <x:c r="H148" s="14" t="n">
        <x:f>F148/G148-1</x:f>
        <x:v>-0.015192747244523575</x:v>
      </x:c>
      <x:c r="I148" s="14" t="n">
        <x:f>F148/F147-1</x:f>
        <x:v>0.01216614527222215</x:v>
      </x:c>
      <x:c r="J148" s="12" t="n">
        <x:v>0</x:v>
      </x:c>
      <x:c r="K148" s="12" t="n">
        <x:v>0</x:v>
      </x:c>
      <x:c r="L148" s="12" t="n">
        <x:v>0</x:v>
      </x:c>
      <x:c r="M148" s="2" t="str">
        <x:v>持有</x:v>
      </x:c>
    </x:row>
    <x:row r="149" ht="23" customHeight="1">
      <x:c r="A149" s="11" t="d">
        <x:v>2015-07-29T00:00:00.000Z</x:v>
      </x:c>
      <x:c r="B149" s="12" t="n">
        <x:v>462.70412</x:v>
      </x:c>
      <x:c r="C149" s="13" t="n">
        <x:v>484</x:v>
      </x:c>
      <x:c r="D149" s="12" t="n">
        <x:v>102012.68000000001</x:v>
      </x:c>
      <x:c r="E149" s="12" t="n">
        <x:v>498.55388</x:v>
      </x:c>
      <x:c r="F149" s="12" t="n">
        <x:f>SUM(B149,D149:E149)</x:f>
        <x:v>102973.93800000001</x:v>
      </x:c>
      <x:c r="G149" s="12" t="n">
        <x:f>MAX(G148,F149)</x:f>
        <x:v>103854.818</x:v>
      </x:c>
      <x:c r="H149" s="14" t="n">
        <x:f>F149/G149-1</x:f>
        <x:v>-0.008481840486206371</x:v>
      </x:c>
      <x:c r="I149" s="14" t="n">
        <x:f>F149/F148-1</x:f>
        <x:v>0.0068144367738358635</x:v>
      </x:c>
      <x:c r="J149" s="12" t="n">
        <x:v>0</x:v>
      </x:c>
      <x:c r="K149" s="12" t="n">
        <x:v>0</x:v>
      </x:c>
      <x:c r="L149" s="12" t="n">
        <x:v>0</x:v>
      </x:c>
      <x:c r="M149" s="2" t="str">
        <x:v>持有</x:v>
      </x:c>
    </x:row>
    <x:row r="150" ht="23" customHeight="1">
      <x:c r="A150" s="11" t="d">
        <x:v>2015-07-30T00:00:00.000Z</x:v>
      </x:c>
      <x:c r="B150" s="12" t="n">
        <x:v>462.70412</x:v>
      </x:c>
      <x:c r="C150" s="13" t="n">
        <x:v>484</x:v>
      </x:c>
      <x:c r="D150" s="12" t="n">
        <x:v>102036.87999999999</x:v>
      </x:c>
      <x:c r="E150" s="12" t="n">
        <x:v>498.55388</x:v>
      </x:c>
      <x:c r="F150" s="12" t="n">
        <x:f>SUM(B150,D150:E150)</x:f>
        <x:v>102998.13799999999</x:v>
      </x:c>
      <x:c r="G150" s="12" t="n">
        <x:f>MAX(G149,F150)</x:f>
        <x:v>103854.818</x:v>
      </x:c>
      <x:c r="H150" s="14" t="n">
        <x:f>F150/G150-1</x:f>
        <x:v>-0.008248822890431606</x:v>
      </x:c>
      <x:c r="I150" s="14" t="n">
        <x:f>F150/F149-1</x:f>
        <x:v>0.00023501092091837705</x:v>
      </x:c>
      <x:c r="J150" s="12" t="n">
        <x:v>0</x:v>
      </x:c>
      <x:c r="K150" s="12" t="n">
        <x:v>0</x:v>
      </x:c>
      <x:c r="L150" s="12" t="n">
        <x:v>0</x:v>
      </x:c>
      <x:c r="M150" s="2" t="str">
        <x:v>持有</x:v>
      </x:c>
    </x:row>
    <x:row r="151" ht="23" customHeight="1">
      <x:c r="A151" s="11" t="d">
        <x:v>2015-07-31T00:00:00.000Z</x:v>
      </x:c>
      <x:c r="B151" s="12" t="n">
        <x:v>961.258</x:v>
      </x:c>
      <x:c r="C151" s="13" t="n">
        <x:v>484</x:v>
      </x:c>
      <x:c r="D151" s="12" t="n">
        <x:v>101882</x:v>
      </x:c>
      <x:c r="E151" s="12" t="n">
        <x:v>0</x:v>
      </x:c>
      <x:c r="F151" s="12" t="n">
        <x:f>SUM(B151,D151:E151)</x:f>
        <x:v>102843.258</x:v>
      </x:c>
      <x:c r="G151" s="12" t="n">
        <x:f>MAX(G150,F151)</x:f>
        <x:v>103854.818</x:v>
      </x:c>
      <x:c r="H151" s="14" t="n">
        <x:f>F151/G151-1</x:f>
        <x:v>-0.009740135503390923</x:v>
      </x:c>
      <x:c r="I151" s="14" t="n">
        <x:f>F151/F150-1</x:f>
        <x:v>-0.001503716504078878</x:v>
      </x:c>
      <x:c r="J151" s="12" t="n">
        <x:v>0</x:v>
      </x:c>
      <x:c r="K151" s="12" t="n">
        <x:v>498.55388</x:v>
      </x:c>
      <x:c r="L151" s="12" t="n">
        <x:v>0</x:v>
      </x:c>
      <x:c r="M151" s="2" t="str">
        <x:v>持有</x:v>
      </x:c>
    </x:row>
    <x:row r="152" ht="23" customHeight="1">
      <x:c r="A152" s="11" t="d">
        <x:v>2015-08-03T00:00:00.000Z</x:v>
      </x:c>
      <x:c r="B152" s="12" t="n">
        <x:v>961.258</x:v>
      </x:c>
      <x:c r="C152" s="13" t="n">
        <x:v>484</x:v>
      </x:c>
      <x:c r="D152" s="12" t="n">
        <x:v>101538.36</x:v>
      </x:c>
      <x:c r="E152" s="12" t="n">
        <x:v>0</x:v>
      </x:c>
      <x:c r="F152" s="12" t="n">
        <x:f>SUM(B152,D152:E152)</x:f>
        <x:v>102499.618</x:v>
      </x:c>
      <x:c r="G152" s="12" t="n">
        <x:f>MAX(G151,F152)</x:f>
        <x:v>103854.818</x:v>
      </x:c>
      <x:c r="H152" s="14" t="n">
        <x:f>F152/G152-1</x:f>
        <x:v>-0.013048985363394494</x:v>
      </x:c>
      <x:c r="I152" s="14" t="n">
        <x:f>F152/F151-1</x:f>
        <x:v>-0.0033413955049926836</x:v>
      </x:c>
      <x:c r="J152" s="12" t="n">
        <x:v>0</x:v>
      </x:c>
      <x:c r="K152" s="12" t="n">
        <x:v>0</x:v>
      </x:c>
      <x:c r="L152" s="12" t="n">
        <x:v>0</x:v>
      </x:c>
      <x:c r="M152" s="2" t="str">
        <x:v>持有</x:v>
      </x:c>
    </x:row>
    <x:row r="153" ht="23" customHeight="1">
      <x:c r="A153" s="11" t="d">
        <x:v>2015-08-04T00:00:00.000Z</x:v>
      </x:c>
      <x:c r="B153" s="12" t="n">
        <x:v>961.258</x:v>
      </x:c>
      <x:c r="C153" s="13" t="n">
        <x:v>484</x:v>
      </x:c>
      <x:c r="D153" s="12" t="n">
        <x:v>101339.92</x:v>
      </x:c>
      <x:c r="E153" s="12" t="n">
        <x:v>0</x:v>
      </x:c>
      <x:c r="F153" s="12" t="n">
        <x:f>SUM(B153,D153:E153)</x:f>
        <x:v>102301.178</x:v>
      </x:c>
      <x:c r="G153" s="12" t="n">
        <x:f>MAX(G152,F153)</x:f>
        <x:v>103854.818</x:v>
      </x:c>
      <x:c r="H153" s="14" t="n">
        <x:f>F153/G153-1</x:f>
        <x:v>-0.014959729648748699</x:v>
      </x:c>
      <x:c r="I153" s="14" t="n">
        <x:f>F153/F152-1</x:f>
        <x:v>-0.0019360072151684005</x:v>
      </x:c>
      <x:c r="J153" s="12" t="n">
        <x:v>0</x:v>
      </x:c>
      <x:c r="K153" s="12" t="n">
        <x:v>0</x:v>
      </x:c>
      <x:c r="L153" s="12" t="n">
        <x:v>0</x:v>
      </x:c>
      <x:c r="M153" s="2" t="str">
        <x:v>持有</x:v>
      </x:c>
    </x:row>
    <x:row r="154" ht="23" customHeight="1">
      <x:c r="A154" s="11" t="d">
        <x:v>2015-08-05T00:00:00.000Z</x:v>
      </x:c>
      <x:c r="B154" s="12" t="n">
        <x:v>961.258</x:v>
      </x:c>
      <x:c r="C154" s="13" t="n">
        <x:v>484</x:v>
      </x:c>
      <x:c r="D154" s="12" t="n">
        <x:v>101673.87999999999</x:v>
      </x:c>
      <x:c r="E154" s="12" t="n">
        <x:v>0</x:v>
      </x:c>
      <x:c r="F154" s="12" t="n">
        <x:f>SUM(B154,D154:E154)</x:f>
        <x:v>102635.13799999999</x:v>
      </x:c>
      <x:c r="G154" s="12" t="n">
        <x:f>MAX(G153,F154)</x:f>
        <x:v>103854.818</x:v>
      </x:c>
      <x:c r="H154" s="14" t="n">
        <x:f>F154/G154-1</x:f>
        <x:v>-0.011744086827055078</x:v>
      </x:c>
      <x:c r="I154" s="14" t="n">
        <x:f>F154/F153-1</x:f>
        <x:v>0.003264478538067106</x:v>
      </x:c>
      <x:c r="J154" s="12" t="n">
        <x:v>0</x:v>
      </x:c>
      <x:c r="K154" s="12" t="n">
        <x:v>0</x:v>
      </x:c>
      <x:c r="L154" s="12" t="n">
        <x:v>0</x:v>
      </x:c>
      <x:c r="M154" s="2" t="str">
        <x:v>持有</x:v>
      </x:c>
    </x:row>
    <x:row r="155" ht="23" customHeight="1">
      <x:c r="A155" s="11" t="d">
        <x:v>2015-08-06T00:00:00.000Z</x:v>
      </x:c>
      <x:c r="B155" s="12" t="n">
        <x:v>961.258</x:v>
      </x:c>
      <x:c r="C155" s="13" t="n">
        <x:v>484</x:v>
      </x:c>
      <x:c r="D155" s="12" t="n">
        <x:v>100841.4</x:v>
      </x:c>
      <x:c r="E155" s="12" t="n">
        <x:v>0</x:v>
      </x:c>
      <x:c r="F155" s="12" t="n">
        <x:f>SUM(B155,D155:E155)</x:f>
        <x:v>101802.658</x:v>
      </x:c>
      <x:c r="G155" s="12" t="n">
        <x:f>MAX(G154,F155)</x:f>
        <x:v>103854.818</x:v>
      </x:c>
      <x:c r="H155" s="14" t="n">
        <x:f>F155/G155-1</x:f>
        <x:v>-0.019759892121711697</x:v>
      </x:c>
      <x:c r="I155" s="14" t="n">
        <x:f>F155/F154-1</x:f>
        <x:v>-0.00811106231474057</x:v>
      </x:c>
      <x:c r="J155" s="12" t="n">
        <x:v>0</x:v>
      </x:c>
      <x:c r="K155" s="12" t="n">
        <x:v>0</x:v>
      </x:c>
      <x:c r="L155" s="12" t="n">
        <x:v>0</x:v>
      </x:c>
      <x:c r="M155" s="2" t="str">
        <x:v>持有</x:v>
      </x:c>
    </x:row>
    <x:row r="156" ht="23" customHeight="1">
      <x:c r="A156" s="11" t="d">
        <x:v>2015-08-07T00:00:00.000Z</x:v>
      </x:c>
      <x:c r="B156" s="12" t="n">
        <x:v>961.258</x:v>
      </x:c>
      <x:c r="C156" s="13" t="n">
        <x:v>484</x:v>
      </x:c>
      <x:c r="D156" s="12" t="n">
        <x:v>100647.79999999999</x:v>
      </x:c>
      <x:c r="E156" s="12" t="n">
        <x:v>0</x:v>
      </x:c>
      <x:c r="F156" s="12" t="n">
        <x:f>SUM(B156,D156:E156)</x:f>
        <x:v>101609.05799999999</x:v>
      </x:c>
      <x:c r="G156" s="12" t="n">
        <x:f>MAX(G155,F156)</x:f>
        <x:v>103854.818</x:v>
      </x:c>
      <x:c r="H156" s="14" t="n">
        <x:f>F156/G156-1</x:f>
        <x:v>-0.021624032887910927</x:v>
      </x:c>
      <x:c r="I156" s="14" t="n">
        <x:f>F156/F155-1</x:f>
        <x:v>-0.0019017185189801333</x:v>
      </x:c>
      <x:c r="J156" s="12" t="n">
        <x:v>0</x:v>
      </x:c>
      <x:c r="K156" s="12" t="n">
        <x:v>0</x:v>
      </x:c>
      <x:c r="L156" s="12" t="n">
        <x:v>0</x:v>
      </x:c>
      <x:c r="M156" s="2" t="str">
        <x:v>持有</x:v>
      </x:c>
    </x:row>
    <x:row r="157" ht="23" customHeight="1">
      <x:c r="A157" s="11" t="d">
        <x:v>2015-08-10T00:00:00.000Z</x:v>
      </x:c>
      <x:c r="B157" s="12" t="n">
        <x:v>961.258</x:v>
      </x:c>
      <x:c r="C157" s="13" t="n">
        <x:v>484</x:v>
      </x:c>
      <x:c r="D157" s="12" t="n">
        <x:v>101915.87999999999</x:v>
      </x:c>
      <x:c r="E157" s="12" t="n">
        <x:v>0</x:v>
      </x:c>
      <x:c r="F157" s="12" t="n">
        <x:f>SUM(B157,D157:E157)</x:f>
        <x:v>102877.13799999999</x:v>
      </x:c>
      <x:c r="G157" s="12" t="n">
        <x:f>MAX(G156,F157)</x:f>
        <x:v>103854.818</x:v>
      </x:c>
      <x:c r="H157" s="14" t="n">
        <x:f>F157/G157-1</x:f>
        <x:v>-0.009413910869306097</x:v>
      </x:c>
      <x:c r="I157" s="14" t="n">
        <x:f>F157/F156-1</x:f>
        <x:v>0.01247998972690012</x:v>
      </x:c>
      <x:c r="J157" s="12" t="n">
        <x:v>0</x:v>
      </x:c>
      <x:c r="K157" s="12" t="n">
        <x:v>0</x:v>
      </x:c>
      <x:c r="L157" s="12" t="n">
        <x:v>0</x:v>
      </x:c>
      <x:c r="M157" s="2" t="str">
        <x:v>持有</x:v>
      </x:c>
    </x:row>
    <x:row r="158" ht="23" customHeight="1">
      <x:c r="A158" s="11" t="d">
        <x:v>2015-08-11T00:00:00.000Z</x:v>
      </x:c>
      <x:c r="B158" s="12" t="n">
        <x:v>961.258</x:v>
      </x:c>
      <x:c r="C158" s="13" t="n">
        <x:v>484</x:v>
      </x:c>
      <x:c r="D158" s="12" t="n">
        <x:v>100996.28</x:v>
      </x:c>
      <x:c r="E158" s="12" t="n">
        <x:v>0</x:v>
      </x:c>
      <x:c r="F158" s="12" t="n">
        <x:f>SUM(B158,D158:E158)</x:f>
        <x:v>101957.538</x:v>
      </x:c>
      <x:c r="G158" s="12" t="n">
        <x:f>MAX(G157,F158)</x:f>
        <x:v>103854.818</x:v>
      </x:c>
      <x:c r="H158" s="14" t="n">
        <x:f>F158/G158-1</x:f>
        <x:v>-0.01826857950875227</x:v>
      </x:c>
      <x:c r="I158" s="14" t="n">
        <x:f>F158/F157-1</x:f>
        <x:v>-0.008938817874190819</x:v>
      </x:c>
      <x:c r="J158" s="12" t="n">
        <x:v>0</x:v>
      </x:c>
      <x:c r="K158" s="12" t="n">
        <x:v>0</x:v>
      </x:c>
      <x:c r="L158" s="12" t="n">
        <x:v>0</x:v>
      </x:c>
      <x:c r="M158" s="2" t="str">
        <x:v>持有</x:v>
      </x:c>
    </x:row>
    <x:row r="159" ht="23" customHeight="1">
      <x:c r="A159" s="11" t="d">
        <x:v>2015-08-12T00:00:00.000Z</x:v>
      </x:c>
      <x:c r="B159" s="12" t="n">
        <x:v>961.258</x:v>
      </x:c>
      <x:c r="C159" s="13" t="n">
        <x:v>484</x:v>
      </x:c>
      <x:c r="D159" s="12" t="n">
        <x:v>101117.28</x:v>
      </x:c>
      <x:c r="E159" s="12" t="n">
        <x:v>0</x:v>
      </x:c>
      <x:c r="F159" s="12" t="n">
        <x:f>SUM(B159,D159:E159)</x:f>
        <x:v>102078.538</x:v>
      </x:c>
      <x:c r="G159" s="12" t="n">
        <x:f>MAX(G158,F159)</x:f>
        <x:v>103854.818</x:v>
      </x:c>
      <x:c r="H159" s="14" t="n">
        <x:f>F159/G159-1</x:f>
        <x:v>-0.01710349152987778</x:v>
      </x:c>
      <x:c r="I159" s="14" t="n">
        <x:f>F159/F158-1</x:f>
        <x:v>0.0011867685545721152</x:v>
      </x:c>
      <x:c r="J159" s="12" t="n">
        <x:v>0</x:v>
      </x:c>
      <x:c r="K159" s="12" t="n">
        <x:v>0</x:v>
      </x:c>
      <x:c r="L159" s="12" t="n">
        <x:v>0</x:v>
      </x:c>
      <x:c r="M159" s="2" t="str">
        <x:v>持有</x:v>
      </x:c>
    </x:row>
    <x:row r="160" ht="23" customHeight="1">
      <x:c r="A160" s="11" t="d">
        <x:v>2015-08-13T00:00:00.000Z</x:v>
      </x:c>
      <x:c r="B160" s="12" t="n">
        <x:v>961.258</x:v>
      </x:c>
      <x:c r="C160" s="13" t="n">
        <x:v>484</x:v>
      </x:c>
      <x:c r="D160" s="12" t="n">
        <x:v>100991.44</x:v>
      </x:c>
      <x:c r="E160" s="12" t="n">
        <x:v>0</x:v>
      </x:c>
      <x:c r="F160" s="12" t="n">
        <x:f>SUM(B160,D160:E160)</x:f>
        <x:v>101952.698</x:v>
      </x:c>
      <x:c r="G160" s="12" t="n">
        <x:f>MAX(G159,F160)</x:f>
        <x:v>103854.818</x:v>
      </x:c>
      <x:c r="H160" s="14" t="n">
        <x:f>F160/G160-1</x:f>
        <x:v>-0.018315183027907245</x:v>
      </x:c>
      <x:c r="I160" s="14" t="n">
        <x:f>F160/F159-1</x:f>
        <x:v>-0.0012327762766350947</x:v>
      </x:c>
      <x:c r="J160" s="12" t="n">
        <x:v>0</x:v>
      </x:c>
      <x:c r="K160" s="12" t="n">
        <x:v>0</x:v>
      </x:c>
      <x:c r="L160" s="12" t="n">
        <x:v>0</x:v>
      </x:c>
      <x:c r="M160" s="2" t="str">
        <x:v>持有</x:v>
      </x:c>
    </x:row>
    <x:row r="161" ht="23" customHeight="1">
      <x:c r="A161" s="11" t="d">
        <x:v>2015-08-14T00:00:00.000Z</x:v>
      </x:c>
      <x:c r="B161" s="12" t="n">
        <x:v>961.258</x:v>
      </x:c>
      <x:c r="C161" s="13" t="n">
        <x:v>484</x:v>
      </x:c>
      <x:c r="D161" s="12" t="n">
        <x:v>101359.28</x:v>
      </x:c>
      <x:c r="E161" s="12" t="n">
        <x:v>0</x:v>
      </x:c>
      <x:c r="F161" s="12" t="n">
        <x:f>SUM(B161,D161:E161)</x:f>
        <x:v>102320.538</x:v>
      </x:c>
      <x:c r="G161" s="12" t="n">
        <x:f>MAX(G160,F161)</x:f>
        <x:v>103854.818</x:v>
      </x:c>
      <x:c r="H161" s="14" t="n">
        <x:f>F161/G161-1</x:f>
        <x:v>-0.014773315572128798</x:v>
      </x:c>
      <x:c r="I161" s="14" t="n">
        <x:f>F161/F160-1</x:f>
        <x:v>0.0036079476778534403</x:v>
      </x:c>
      <x:c r="J161" s="12" t="n">
        <x:v>0</x:v>
      </x:c>
      <x:c r="K161" s="12" t="n">
        <x:v>0</x:v>
      </x:c>
      <x:c r="L161" s="12" t="n">
        <x:v>0</x:v>
      </x:c>
      <x:c r="M161" s="2" t="str">
        <x:v>持有</x:v>
      </x:c>
    </x:row>
    <x:row r="162" ht="23" customHeight="1">
      <x:c r="A162" s="11" t="d">
        <x:v>2015-08-17T00:00:00.000Z</x:v>
      </x:c>
      <x:c r="B162" s="12" t="n">
        <x:v>961.258</x:v>
      </x:c>
      <x:c r="C162" s="13" t="n">
        <x:v>484</x:v>
      </x:c>
      <x:c r="D162" s="12" t="n">
        <x:v>101925.56</x:v>
      </x:c>
      <x:c r="E162" s="12" t="n">
        <x:v>0</x:v>
      </x:c>
      <x:c r="F162" s="12" t="n">
        <x:f>SUM(B162,D162:E162)</x:f>
        <x:v>102886.818</x:v>
      </x:c>
      <x:c r="G162" s="12" t="n">
        <x:f>MAX(G161,F162)</x:f>
        <x:v>103854.818</x:v>
      </x:c>
      <x:c r="H162" s="14" t="n">
        <x:f>F162/G162-1</x:f>
        <x:v>-0.009320703830996035</x:v>
      </x:c>
      <x:c r="I162" s="14" t="n">
        <x:f>F162/F161-1</x:f>
        <x:v>0.005534372776656138</x:v>
      </x:c>
      <x:c r="J162" s="12" t="n">
        <x:v>0</x:v>
      </x:c>
      <x:c r="K162" s="12" t="n">
        <x:v>0</x:v>
      </x:c>
      <x:c r="L162" s="12" t="n">
        <x:v>0</x:v>
      </x:c>
      <x:c r="M162" s="2" t="str">
        <x:v>持有</x:v>
      </x:c>
    </x:row>
    <x:row r="163" ht="23" customHeight="1">
      <x:c r="A163" s="11" t="d">
        <x:v>2015-08-18T00:00:00.000Z</x:v>
      </x:c>
      <x:c r="B163" s="12" t="n">
        <x:v>961.258</x:v>
      </x:c>
      <x:c r="C163" s="13" t="n">
        <x:v>484</x:v>
      </x:c>
      <x:c r="D163" s="12" t="n">
        <x:v>101630.31999999999</x:v>
      </x:c>
      <x:c r="E163" s="12" t="n">
        <x:v>0</x:v>
      </x:c>
      <x:c r="F163" s="12" t="n">
        <x:f>SUM(B163,D163:E163)</x:f>
        <x:v>102591.578</x:v>
      </x:c>
      <x:c r="G163" s="12" t="n">
        <x:f>MAX(G162,F163)</x:f>
        <x:v>103854.818</x:v>
      </x:c>
      <x:c r="H163" s="14" t="n">
        <x:f>F163/G163-1</x:f>
        <x:v>-0.012163518499449966</x:v>
      </x:c>
      <x:c r="I163" s="14" t="n">
        <x:f>F163/F162-1</x:f>
        <x:v>-0.002869560996628384</x:v>
      </x:c>
      <x:c r="J163" s="12" t="n">
        <x:v>0</x:v>
      </x:c>
      <x:c r="K163" s="12" t="n">
        <x:v>0</x:v>
      </x:c>
      <x:c r="L163" s="12" t="n">
        <x:v>0</x:v>
      </x:c>
      <x:c r="M163" s="2" t="str">
        <x:v>持有</x:v>
      </x:c>
    </x:row>
    <x:row r="164" ht="23" customHeight="1">
      <x:c r="A164" s="11" t="d">
        <x:v>2015-08-19T00:00:00.000Z</x:v>
      </x:c>
      <x:c r="B164" s="12" t="n">
        <x:v>961.258</x:v>
      </x:c>
      <x:c r="C164" s="13" t="n">
        <x:v>484</x:v>
      </x:c>
      <x:c r="D164" s="12" t="n">
        <x:v>100826.87999999999</x:v>
      </x:c>
      <x:c r="E164" s="12" t="n">
        <x:v>0</x:v>
      </x:c>
      <x:c r="F164" s="12" t="n">
        <x:f>SUM(B164,D164:E164)</x:f>
        <x:v>101788.13799999999</x:v>
      </x:c>
      <x:c r="G164" s="12" t="n">
        <x:f>MAX(G163,F164)</x:f>
        <x:v>103854.818</x:v>
      </x:c>
      <x:c r="H164" s="14" t="n">
        <x:f>F164/G164-1</x:f>
        <x:v>-0.019899702679176734</x:v>
      </x:c>
      <x:c r="I164" s="14" t="n">
        <x:f>F164/F163-1</x:f>
        <x:v>-0.007831442070225347</x:v>
      </x:c>
      <x:c r="J164" s="12" t="n">
        <x:v>0</x:v>
      </x:c>
      <x:c r="K164" s="12" t="n">
        <x:v>0</x:v>
      </x:c>
      <x:c r="L164" s="12" t="n">
        <x:v>0</x:v>
      </x:c>
      <x:c r="M164" s="2" t="str">
        <x:v>持有</x:v>
      </x:c>
    </x:row>
    <x:row r="165" ht="23" customHeight="1">
      <x:c r="A165" s="11" t="d">
        <x:v>2015-08-20T00:00:00.000Z</x:v>
      </x:c>
      <x:c r="B165" s="12" t="n">
        <x:v>961.258</x:v>
      </x:c>
      <x:c r="C165" s="13" t="n">
        <x:v>484</x:v>
      </x:c>
      <x:c r="D165" s="12" t="n">
        <x:v>98721.48</x:v>
      </x:c>
      <x:c r="E165" s="12" t="n">
        <x:v>0</x:v>
      </x:c>
      <x:c r="F165" s="12" t="n">
        <x:f>SUM(B165,D165:E165)</x:f>
        <x:v>99682.738</x:v>
      </x:c>
      <x:c r="G165" s="12" t="n">
        <x:f>MAX(G164,F165)</x:f>
        <x:v>103854.818</x:v>
      </x:c>
      <x:c r="H165" s="14" t="n">
        <x:f>F165/G165-1</x:f>
        <x:v>-0.04017223351159305</x:v>
      </x:c>
      <x:c r="I165" s="14" t="n">
        <x:f>F165/F164-1</x:f>
        <x:v>-0.020684139049679806</x:v>
      </x:c>
      <x:c r="J165" s="12" t="n">
        <x:v>0</x:v>
      </x:c>
      <x:c r="K165" s="12" t="n">
        <x:v>0</x:v>
      </x:c>
      <x:c r="L165" s="12" t="n">
        <x:v>0</x:v>
      </x:c>
      <x:c r="M165" s="2" t="str">
        <x:v>持有</x:v>
      </x:c>
    </x:row>
    <x:row r="166" ht="23" customHeight="1">
      <x:c r="A166" s="11" t="d">
        <x:v>2015-08-21T00:00:00.000Z</x:v>
      </x:c>
      <x:c r="B166" s="12" t="n">
        <x:v>961.258</x:v>
      </x:c>
      <x:c r="C166" s="13" t="n">
        <x:v>484</x:v>
      </x:c>
      <x:c r="D166" s="12" t="n">
        <x:v>95749.72</x:v>
      </x:c>
      <x:c r="E166" s="12" t="n">
        <x:v>0</x:v>
      </x:c>
      <x:c r="F166" s="12" t="n">
        <x:f>SUM(B166,D166:E166)</x:f>
        <x:v>96710.978</x:v>
      </x:c>
      <x:c r="G166" s="12" t="n">
        <x:f>MAX(G165,F166)</x:f>
        <x:v>103854.818</x:v>
      </x:c>
      <x:c r="H166" s="14" t="n">
        <x:f>F166/G166-1</x:f>
        <x:v>-0.06878679427275103</x:v>
      </x:c>
      <x:c r="I166" s="14" t="n">
        <x:f>F166/F165-1</x:f>
        <x:v>-0.029812182727163794</x:v>
      </x:c>
      <x:c r="J166" s="12" t="n">
        <x:v>0</x:v>
      </x:c>
      <x:c r="K166" s="12" t="n">
        <x:v>0</x:v>
      </x:c>
      <x:c r="L166" s="12" t="n">
        <x:v>0</x:v>
      </x:c>
      <x:c r="M166" s="2" t="str">
        <x:v>持有</x:v>
      </x:c>
    </x:row>
    <x:row r="167" ht="23" customHeight="1">
      <x:c r="A167" s="11" t="d">
        <x:v>2015-08-24T00:00:00.000Z</x:v>
      </x:c>
      <x:c r="B167" s="12" t="n">
        <x:v>961.258</x:v>
      </x:c>
      <x:c r="C167" s="13" t="n">
        <x:v>484</x:v>
      </x:c>
      <x:c r="D167" s="12" t="n">
        <x:v>91718</x:v>
      </x:c>
      <x:c r="E167" s="12" t="n">
        <x:v>0</x:v>
      </x:c>
      <x:c r="F167" s="12" t="n">
        <x:f>SUM(B167,D167:E167)</x:f>
        <x:v>92679.258</x:v>
      </x:c>
      <x:c r="G167" s="12" t="n">
        <x:f>MAX(G166,F167)</x:f>
        <x:v>103854.818</x:v>
      </x:c>
      <x:c r="H167" s="14" t="n">
        <x:f>F167/G167-1</x:f>
        <x:v>-0.10760752572884968</x:v>
      </x:c>
      <x:c r="I167" s="14" t="n">
        <x:f>F167/F166-1</x:f>
        <x:v>-0.04168833862894039</x:v>
      </x:c>
      <x:c r="J167" s="12" t="n">
        <x:v>0</x:v>
      </x:c>
      <x:c r="K167" s="12" t="n">
        <x:v>0</x:v>
      </x:c>
      <x:c r="L167" s="12" t="n">
        <x:v>0</x:v>
      </x:c>
      <x:c r="M167" s="2" t="str">
        <x:v>持有</x:v>
      </x:c>
    </x:row>
    <x:row r="168" ht="23" customHeight="1">
      <x:c r="A168" s="11" t="d">
        <x:v>2015-08-25T00:00:00.000Z</x:v>
      </x:c>
      <x:c r="B168" s="12" t="n">
        <x:v>961.258</x:v>
      </x:c>
      <x:c r="C168" s="13" t="n">
        <x:v>484</x:v>
      </x:c>
      <x:c r="D168" s="12" t="n">
        <x:v>90638.68000000001</x:v>
      </x:c>
      <x:c r="E168" s="12" t="n">
        <x:v>0</x:v>
      </x:c>
      <x:c r="F168" s="12" t="n">
        <x:f>SUM(B168,D168:E168)</x:f>
        <x:v>91599.93800000001</x:v>
      </x:c>
      <x:c r="G168" s="12" t="n">
        <x:f>MAX(G167,F168)</x:f>
        <x:v>103854.818</x:v>
      </x:c>
      <x:c r="H168" s="14" t="n">
        <x:f>F168/G168-1</x:f>
        <x:v>-0.11800011050041015</x:v>
      </x:c>
      <x:c r="I168" s="14" t="n">
        <x:f>F168/F167-1</x:f>
        <x:v>-0.011645755731018004</x:v>
      </x:c>
      <x:c r="J168" s="12" t="n">
        <x:v>0</x:v>
      </x:c>
      <x:c r="K168" s="12" t="n">
        <x:v>0</x:v>
      </x:c>
      <x:c r="L168" s="12" t="n">
        <x:v>0</x:v>
      </x:c>
      <x:c r="M168" s="2" t="str">
        <x:v>持有</x:v>
      </x:c>
    </x:row>
    <x:row r="169" ht="23" customHeight="1">
      <x:c r="A169" s="11" t="d">
        <x:v>2015-08-26T00:00:00.000Z</x:v>
      </x:c>
      <x:c r="B169" s="12" t="n">
        <x:v>961.258</x:v>
      </x:c>
      <x:c r="C169" s="13" t="n">
        <x:v>484</x:v>
      </x:c>
      <x:c r="D169" s="12" t="n">
        <x:v>94118.64</x:v>
      </x:c>
      <x:c r="E169" s="12" t="n">
        <x:v>0</x:v>
      </x:c>
      <x:c r="F169" s="12" t="n">
        <x:f>SUM(B169,D169:E169)</x:f>
        <x:v>95079.898</x:v>
      </x:c>
      <x:c r="G169" s="12" t="n">
        <x:f>MAX(G168,F169)</x:f>
        <x:v>103854.818</x:v>
      </x:c>
      <x:c r="H169" s="14" t="n">
        <x:f>F169/G169-1</x:f>
        <x:v>-0.08449218022797944</x:v>
      </x:c>
      <x:c r="I169" s="14" t="n">
        <x:f>F169/F168-1</x:f>
        <x:v>0.03799085540865743</x:v>
      </x:c>
      <x:c r="J169" s="12" t="n">
        <x:v>0</x:v>
      </x:c>
      <x:c r="K169" s="12" t="n">
        <x:v>0</x:v>
      </x:c>
      <x:c r="L169" s="12" t="n">
        <x:v>0</x:v>
      </x:c>
      <x:c r="M169" s="2" t="str">
        <x:v>持有</x:v>
      </x:c>
    </x:row>
    <x:row r="170" ht="23" customHeight="1">
      <x:c r="A170" s="11" t="d">
        <x:v>2015-08-27T00:00:00.000Z</x:v>
      </x:c>
      <x:c r="B170" s="12" t="n">
        <x:v>961.258</x:v>
      </x:c>
      <x:c r="C170" s="13" t="n">
        <x:v>484</x:v>
      </x:c>
      <x:c r="D170" s="12" t="n">
        <x:v>96446.68000000001</x:v>
      </x:c>
      <x:c r="E170" s="12" t="n">
        <x:v>0</x:v>
      </x:c>
      <x:c r="F170" s="12" t="n">
        <x:f>SUM(B170,D170:E170)</x:f>
        <x:v>97407.93800000001</x:v>
      </x:c>
      <x:c r="G170" s="12" t="n">
        <x:f>MAX(G169,F170)</x:f>
        <x:v>103854.818</x:v>
      </x:c>
      <x:c r="H170" s="14" t="n">
        <x:f>F170/G170-1</x:f>
        <x:v>-0.062075887514433714</x:v>
      </x:c>
      <x:c r="I170" s="14" t="n">
        <x:f>F170/F169-1</x:f>
        <x:v>0.024485091475382248</x:v>
      </x:c>
      <x:c r="J170" s="12" t="n">
        <x:v>0</x:v>
      </x:c>
      <x:c r="K170" s="12" t="n">
        <x:v>0</x:v>
      </x:c>
      <x:c r="L170" s="12" t="n">
        <x:v>0</x:v>
      </x:c>
      <x:c r="M170" s="2" t="str">
        <x:v>持有</x:v>
      </x:c>
    </x:row>
    <x:row r="171" ht="23" customHeight="1">
      <x:c r="A171" s="11" t="d">
        <x:v>2015-08-28T00:00:00.000Z</x:v>
      </x:c>
      <x:c r="B171" s="12" t="n">
        <x:v>961.258</x:v>
      </x:c>
      <x:c r="C171" s="13" t="n">
        <x:v>484</x:v>
      </x:c>
      <x:c r="D171" s="12" t="n">
        <x:v>96451.52</x:v>
      </x:c>
      <x:c r="E171" s="12" t="n">
        <x:v>0</x:v>
      </x:c>
      <x:c r="F171" s="12" t="n">
        <x:f>SUM(B171,D171:E171)</x:f>
        <x:v>97412.778</x:v>
      </x:c>
      <x:c r="G171" s="12" t="n">
        <x:f>MAX(G170,F171)</x:f>
        <x:v>103854.818</x:v>
      </x:c>
      <x:c r="H171" s="14" t="n">
        <x:f>F171/G171-1</x:f>
        <x:v>-0.06202928399527885</x:v>
      </x:c>
      <x:c r="I171" s="14" t="n">
        <x:f>F171/F170-1</x:f>
        <x:v>0.00004968794227022677</x:v>
      </x:c>
      <x:c r="J171" s="12" t="n">
        <x:v>0</x:v>
      </x:c>
      <x:c r="K171" s="12" t="n">
        <x:v>0</x:v>
      </x:c>
      <x:c r="L171" s="12" t="n">
        <x:v>0</x:v>
      </x:c>
      <x:c r="M171" s="2" t="str">
        <x:v>持有</x:v>
      </x:c>
    </x:row>
    <x:row r="172" ht="23" customHeight="1">
      <x:c r="A172" s="11" t="d">
        <x:v>2015-08-31T00:00:00.000Z</x:v>
      </x:c>
      <x:c r="B172" s="12" t="n">
        <x:v>961.258</x:v>
      </x:c>
      <x:c r="C172" s="13" t="n">
        <x:v>484</x:v>
      </x:c>
      <x:c r="D172" s="12" t="n">
        <x:v>95672.28</x:v>
      </x:c>
      <x:c r="E172" s="12" t="n">
        <x:v>0</x:v>
      </x:c>
      <x:c r="F172" s="12" t="n">
        <x:f>SUM(B172,D172:E172)</x:f>
        <x:v>96633.538</x:v>
      </x:c>
      <x:c r="G172" s="12" t="n">
        <x:f>MAX(G171,F172)</x:f>
        <x:v>103854.818</x:v>
      </x:c>
      <x:c r="H172" s="14" t="n">
        <x:f>F172/G172-1</x:f>
        <x:v>-0.06953245057923074</x:v>
      </x:c>
      <x:c r="I172" s="14" t="n">
        <x:f>F172/F171-1</x:f>
        <x:v>-0.00799936123369771</x:v>
      </x:c>
      <x:c r="J172" s="12" t="n">
        <x:v>0</x:v>
      </x:c>
      <x:c r="K172" s="12" t="n">
        <x:v>0</x:v>
      </x:c>
      <x:c r="L172" s="12" t="n">
        <x:v>0</x:v>
      </x:c>
      <x:c r="M172" s="2" t="str">
        <x:v>持有</x:v>
      </x:c>
    </x:row>
    <x:row r="173" ht="23" customHeight="1">
      <x:c r="A173" s="11" t="d">
        <x:v>2015-09-01T00:00:00.000Z</x:v>
      </x:c>
      <x:c r="B173" s="12" t="n">
        <x:v>961.258</x:v>
      </x:c>
      <x:c r="C173" s="13" t="n">
        <x:v>484</x:v>
      </x:c>
      <x:c r="D173" s="12" t="n">
        <x:v>92816.68000000001</x:v>
      </x:c>
      <x:c r="E173" s="12" t="n">
        <x:v>0</x:v>
      </x:c>
      <x:c r="F173" s="12" t="n">
        <x:f>SUM(B173,D173:E173)</x:f>
        <x:v>93777.93800000001</x:v>
      </x:c>
      <x:c r="G173" s="12" t="n">
        <x:f>MAX(G172,F173)</x:f>
        <x:v>103854.818</x:v>
      </x:c>
      <x:c r="H173" s="14" t="n">
        <x:f>F173/G173-1</x:f>
        <x:v>-0.09702852688066899</x:v>
      </x:c>
      <x:c r="I173" s="14" t="n">
        <x:f>F173/F172-1</x:f>
        <x:v>-0.02955081702586515</x:v>
      </x:c>
      <x:c r="J173" s="12" t="n">
        <x:v>0</x:v>
      </x:c>
      <x:c r="K173" s="12" t="n">
        <x:v>0</x:v>
      </x:c>
      <x:c r="L173" s="12" t="n">
        <x:v>0</x:v>
      </x:c>
      <x:c r="M173" s="2" t="str">
        <x:v>持有</x:v>
      </x:c>
    </x:row>
    <x:row r="174" ht="23" customHeight="1">
      <x:c r="A174" s="11" t="d">
        <x:v>2015-09-02T00:00:00.000Z</x:v>
      </x:c>
      <x:c r="B174" s="12" t="n">
        <x:v>961.258</x:v>
      </x:c>
      <x:c r="C174" s="13" t="n">
        <x:v>484</x:v>
      </x:c>
      <x:c r="D174" s="12" t="n">
        <x:v>94578.44</x:v>
      </x:c>
      <x:c r="E174" s="12" t="n">
        <x:v>0</x:v>
      </x:c>
      <x:c r="F174" s="12" t="n">
        <x:f>SUM(B174,D174:E174)</x:f>
        <x:v>95539.698</x:v>
      </x:c>
      <x:c r="G174" s="12" t="n">
        <x:f>MAX(G173,F174)</x:f>
        <x:v>103854.818</x:v>
      </x:c>
      <x:c r="H174" s="14" t="n">
        <x:f>F174/G174-1</x:f>
        <x:v>-0.08006484590825624</x:v>
      </x:c>
      <x:c r="I174" s="14" t="n">
        <x:f>F174/F173-1</x:f>
        <x:v>0.018786508187032203</x:v>
      </x:c>
      <x:c r="J174" s="12" t="n">
        <x:v>0</x:v>
      </x:c>
      <x:c r="K174" s="12" t="n">
        <x:v>0</x:v>
      </x:c>
      <x:c r="L174" s="12" t="n">
        <x:v>0</x:v>
      </x:c>
      <x:c r="M174" s="2" t="str">
        <x:v>持有</x:v>
      </x:c>
    </x:row>
    <x:row r="175" ht="23" customHeight="1">
      <x:c r="A175" s="11" t="d">
        <x:v>2015-09-03T00:00:00.000Z</x:v>
      </x:c>
      <x:c r="B175" s="12" t="n">
        <x:v>961.258</x:v>
      </x:c>
      <x:c r="C175" s="13" t="n">
        <x:v>484</x:v>
      </x:c>
      <x:c r="D175" s="12" t="n">
        <x:v>94646.20000000001</x:v>
      </x:c>
      <x:c r="E175" s="12" t="n">
        <x:v>0</x:v>
      </x:c>
      <x:c r="F175" s="12" t="n">
        <x:f>SUM(B175,D175:E175)</x:f>
        <x:v>95607.45800000001</x:v>
      </x:c>
      <x:c r="G175" s="12" t="n">
        <x:f>MAX(G174,F175)</x:f>
        <x:v>103854.818</x:v>
      </x:c>
      <x:c r="H175" s="14" t="n">
        <x:f>F175/G175-1</x:f>
        <x:v>-0.07941239664008637</x:v>
      </x:c>
      <x:c r="I175" s="14" t="n">
        <x:f>F175/F174-1</x:f>
        <x:v>0.0007092339772731826</x:v>
      </x:c>
      <x:c r="J175" s="12" t="n">
        <x:v>0</x:v>
      </x:c>
      <x:c r="K175" s="12" t="n">
        <x:v>0</x:v>
      </x:c>
      <x:c r="L175" s="12" t="n">
        <x:v>0</x:v>
      </x:c>
      <x:c r="M175" s="2" t="str">
        <x:v>持有</x:v>
      </x:c>
    </x:row>
    <x:row r="176" ht="23" customHeight="1">
      <x:c r="A176" s="11" t="d">
        <x:v>2015-09-04T00:00:00.000Z</x:v>
      </x:c>
      <x:c r="B176" s="12" t="n">
        <x:v>961.258</x:v>
      </x:c>
      <x:c r="C176" s="13" t="n">
        <x:v>484</x:v>
      </x:c>
      <x:c r="D176" s="12" t="n">
        <x:v>93213.56</x:v>
      </x:c>
      <x:c r="E176" s="12" t="n">
        <x:v>0</x:v>
      </x:c>
      <x:c r="F176" s="12" t="n">
        <x:f>SUM(B176,D176:E176)</x:f>
        <x:v>94174.818</x:v>
      </x:c>
      <x:c r="G176" s="12" t="n">
        <x:f>MAX(G175,F176)</x:f>
        <x:v>103854.818</x:v>
      </x:c>
      <x:c r="H176" s="14" t="n">
        <x:f>F176/G176-1</x:f>
        <x:v>-0.09320703830996069</x:v>
      </x:c>
      <x:c r="I176" s="14" t="n">
        <x:f>F176/F175-1</x:f>
        <x:v>-0.014984605071290735</x:v>
      </x:c>
      <x:c r="J176" s="12" t="n">
        <x:v>0</x:v>
      </x:c>
      <x:c r="K176" s="12" t="n">
        <x:v>0</x:v>
      </x:c>
      <x:c r="L176" s="12" t="n">
        <x:v>0</x:v>
      </x:c>
      <x:c r="M176" s="2" t="str">
        <x:v>持有</x:v>
      </x:c>
    </x:row>
    <x:row r="177" ht="23" customHeight="1">
      <x:c r="A177" s="11" t="d">
        <x:v>2015-09-08T00:00:00.000Z</x:v>
      </x:c>
      <x:c r="B177" s="12" t="n">
        <x:v>961.258</x:v>
      </x:c>
      <x:c r="C177" s="13" t="n">
        <x:v>484</x:v>
      </x:c>
      <x:c r="D177" s="12" t="n">
        <x:v>95556.12000000001</x:v>
      </x:c>
      <x:c r="E177" s="12" t="n">
        <x:v>0</x:v>
      </x:c>
      <x:c r="F177" s="12" t="n">
        <x:f>SUM(B177,D177:E177)</x:f>
        <x:v>96517.37800000001</x:v>
      </x:c>
      <x:c r="G177" s="12" t="n">
        <x:f>MAX(G176,F177)</x:f>
        <x:v>103854.818</x:v>
      </x:c>
      <x:c r="H177" s="14" t="n">
        <x:f>F177/G177-1</x:f>
        <x:v>-0.07065093503895015</x:v>
      </x:c>
      <x:c r="I177" s="14" t="n">
        <x:f>F177/F176-1</x:f>
        <x:v>0.024874590147867526</x:v>
      </x:c>
      <x:c r="J177" s="12" t="n">
        <x:v>0</x:v>
      </x:c>
      <x:c r="K177" s="12" t="n">
        <x:v>0</x:v>
      </x:c>
      <x:c r="L177" s="12" t="n">
        <x:v>0</x:v>
      </x:c>
      <x:c r="M177" s="2" t="str">
        <x:v>持有</x:v>
      </x:c>
    </x:row>
    <x:row r="178" ht="23" customHeight="1">
      <x:c r="A178" s="11" t="d">
        <x:v>2015-09-09T00:00:00.000Z</x:v>
      </x:c>
      <x:c r="B178" s="12" t="n">
        <x:v>961.258</x:v>
      </x:c>
      <x:c r="C178" s="13" t="n">
        <x:v>484</x:v>
      </x:c>
      <x:c r="D178" s="12" t="n">
        <x:v>94278.36</x:v>
      </x:c>
      <x:c r="E178" s="12" t="n">
        <x:v>0</x:v>
      </x:c>
      <x:c r="F178" s="12" t="n">
        <x:f>SUM(B178,D178:E178)</x:f>
        <x:v>95239.618</x:v>
      </x:c>
      <x:c r="G178" s="12" t="n">
        <x:f>MAX(G177,F178)</x:f>
        <x:v>103854.818</x:v>
      </x:c>
      <x:c r="H178" s="14" t="n">
        <x:f>F178/G178-1</x:f>
        <x:v>-0.08295426409586504</x:v>
      </x:c>
      <x:c r="I178" s="14" t="n">
        <x:f>F178/F177-1</x:f>
        <x:v>-0.013238652214526692</x:v>
      </x:c>
      <x:c r="J178" s="12" t="n">
        <x:v>0</x:v>
      </x:c>
      <x:c r="K178" s="12" t="n">
        <x:v>0</x:v>
      </x:c>
      <x:c r="L178" s="12" t="n">
        <x:v>0</x:v>
      </x:c>
      <x:c r="M178" s="2" t="str">
        <x:v>持有</x:v>
      </x:c>
    </x:row>
    <x:row r="179" ht="23" customHeight="1">
      <x:c r="A179" s="11" t="d">
        <x:v>2015-09-10T00:00:00.000Z</x:v>
      </x:c>
      <x:c r="B179" s="12" t="n">
        <x:v>961.258</x:v>
      </x:c>
      <x:c r="C179" s="13" t="n">
        <x:v>484</x:v>
      </x:c>
      <x:c r="D179" s="12" t="n">
        <x:v>94791.4</x:v>
      </x:c>
      <x:c r="E179" s="12" t="n">
        <x:v>0</x:v>
      </x:c>
      <x:c r="F179" s="12" t="n">
        <x:f>SUM(B179,D179:E179)</x:f>
        <x:v>95752.658</x:v>
      </x:c>
      <x:c r="G179" s="12" t="n">
        <x:f>MAX(G178,F179)</x:f>
        <x:v>103854.818</x:v>
      </x:c>
      <x:c r="H179" s="14" t="n">
        <x:f>F179/G179-1</x:f>
        <x:v>-0.07801429106543722</x:v>
      </x:c>
      <x:c r="I179" s="14" t="n">
        <x:f>F179/F178-1</x:f>
        <x:v>0.005386833869913232</x:v>
      </x:c>
      <x:c r="J179" s="12" t="n">
        <x:v>0</x:v>
      </x:c>
      <x:c r="K179" s="12" t="n">
        <x:v>0</x:v>
      </x:c>
      <x:c r="L179" s="12" t="n">
        <x:v>0</x:v>
      </x:c>
      <x:c r="M179" s="2" t="str">
        <x:v>持有</x:v>
      </x:c>
    </x:row>
    <x:row r="180" ht="23" customHeight="1">
      <x:c r="A180" s="11" t="d">
        <x:v>2015-09-11T00:00:00.000Z</x:v>
      </x:c>
      <x:c r="B180" s="12" t="n">
        <x:v>961.258</x:v>
      </x:c>
      <x:c r="C180" s="13" t="n">
        <x:v>484</x:v>
      </x:c>
      <x:c r="D180" s="12" t="n">
        <x:v>95222.16</x:v>
      </x:c>
      <x:c r="E180" s="12" t="n">
        <x:v>0</x:v>
      </x:c>
      <x:c r="F180" s="12" t="n">
        <x:f>SUM(B180,D180:E180)</x:f>
        <x:v>96183.418</x:v>
      </x:c>
      <x:c r="G180" s="12" t="n">
        <x:f>MAX(G179,F180)</x:f>
        <x:v>103854.818</x:v>
      </x:c>
      <x:c r="H180" s="14" t="n">
        <x:f>F180/G180-1</x:f>
        <x:v>-0.07386657786064388</x:v>
      </x:c>
      <x:c r="I180" s="14" t="n">
        <x:f>F180/F179-1</x:f>
        <x:v>0.00449867407336102</x:v>
      </x:c>
      <x:c r="J180" s="12" t="n">
        <x:v>0</x:v>
      </x:c>
      <x:c r="K180" s="12" t="n">
        <x:v>0</x:v>
      </x:c>
      <x:c r="L180" s="12" t="n">
        <x:v>0</x:v>
      </x:c>
      <x:c r="M180" s="2" t="str">
        <x:v>持有</x:v>
      </x:c>
    </x:row>
    <x:row r="181" ht="23" customHeight="1">
      <x:c r="A181" s="11" t="d">
        <x:v>2015-09-14T00:00:00.000Z</x:v>
      </x:c>
      <x:c r="B181" s="12" t="n">
        <x:v>961.258</x:v>
      </x:c>
      <x:c r="C181" s="13" t="n">
        <x:v>484</x:v>
      </x:c>
      <x:c r="D181" s="12" t="n">
        <x:v>94868.84</x:v>
      </x:c>
      <x:c r="E181" s="12" t="n">
        <x:v>0</x:v>
      </x:c>
      <x:c r="F181" s="12" t="n">
        <x:f>SUM(B181,D181:E181)</x:f>
        <x:v>95830.098</x:v>
      </x:c>
      <x:c r="G181" s="12" t="n">
        <x:f>MAX(G180,F181)</x:f>
        <x:v>103854.818</x:v>
      </x:c>
      <x:c r="H181" s="14" t="n">
        <x:f>F181/G181-1</x:f>
        <x:v>-0.07726863475895751</x:v>
      </x:c>
      <x:c r="I181" s="14" t="n">
        <x:f>F181/F180-1</x:f>
        <x:v>-0.0036733982566518053</x:v>
      </x:c>
      <x:c r="J181" s="12" t="n">
        <x:v>0</x:v>
      </x:c>
      <x:c r="K181" s="12" t="n">
        <x:v>0</x:v>
      </x:c>
      <x:c r="L181" s="12" t="n">
        <x:v>0</x:v>
      </x:c>
      <x:c r="M181" s="2" t="str">
        <x:v>持有</x:v>
      </x:c>
    </x:row>
    <x:row r="182" ht="23" customHeight="1">
      <x:c r="A182" s="11" t="d">
        <x:v>2015-09-15T00:00:00.000Z</x:v>
      </x:c>
      <x:c r="B182" s="12" t="n">
        <x:v>961.258</x:v>
      </x:c>
      <x:c r="C182" s="13" t="n">
        <x:v>484</x:v>
      </x:c>
      <x:c r="D182" s="12" t="n">
        <x:v>96054.64</x:v>
      </x:c>
      <x:c r="E182" s="12" t="n">
        <x:v>0</x:v>
      </x:c>
      <x:c r="F182" s="12" t="n">
        <x:f>SUM(B182,D182:E182)</x:f>
        <x:v>97015.898</x:v>
      </x:c>
      <x:c r="G182" s="12" t="n">
        <x:f>MAX(G181,F182)</x:f>
        <x:v>103854.818</x:v>
      </x:c>
      <x:c r="H182" s="14" t="n">
        <x:f>F182/G182-1</x:f>
        <x:v>-0.06585077256598726</x:v>
      </x:c>
      <x:c r="I182" s="14" t="n">
        <x:f>F182/F181-1</x:f>
        <x:v>0.012373982963056251</x:v>
      </x:c>
      <x:c r="J182" s="12" t="n">
        <x:v>0</x:v>
      </x:c>
      <x:c r="K182" s="12" t="n">
        <x:v>0</x:v>
      </x:c>
      <x:c r="L182" s="12" t="n">
        <x:v>0</x:v>
      </x:c>
      <x:c r="M182" s="2" t="str">
        <x:v>持有</x:v>
      </x:c>
    </x:row>
    <x:row r="183" ht="23" customHeight="1">
      <x:c r="A183" s="11" t="d">
        <x:v>2015-09-16T00:00:00.000Z</x:v>
      </x:c>
      <x:c r="B183" s="12" t="n">
        <x:v>961.258</x:v>
      </x:c>
      <x:c r="C183" s="13" t="n">
        <x:v>484</x:v>
      </x:c>
      <x:c r="D183" s="12" t="n">
        <x:v>96887.12000000001</x:v>
      </x:c>
      <x:c r="E183" s="12" t="n">
        <x:v>0</x:v>
      </x:c>
      <x:c r="F183" s="12" t="n">
        <x:f>SUM(B183,D183:E183)</x:f>
        <x:v>97848.37800000001</x:v>
      </x:c>
      <x:c r="G183" s="12" t="n">
        <x:f>MAX(G182,F183)</x:f>
        <x:v>103854.818</x:v>
      </x:c>
      <x:c r="H183" s="14" t="n">
        <x:f>F183/G183-1</x:f>
        <x:v>-0.05783496727133053</x:v>
      </x:c>
      <x:c r="I183" s="14" t="n">
        <x:f>F183/F182-1</x:f>
        <x:v>0.008580861664549078</x:v>
      </x:c>
      <x:c r="J183" s="12" t="n">
        <x:v>0</x:v>
      </x:c>
      <x:c r="K183" s="12" t="n">
        <x:v>0</x:v>
      </x:c>
      <x:c r="L183" s="12" t="n">
        <x:v>0</x:v>
      </x:c>
      <x:c r="M183" s="2" t="str">
        <x:v>持有</x:v>
      </x:c>
    </x:row>
    <x:row r="184" ht="23" customHeight="1">
      <x:c r="A184" s="11" t="d">
        <x:v>2015-09-17T00:00:00.000Z</x:v>
      </x:c>
      <x:c r="B184" s="12" t="n">
        <x:v>961.258</x:v>
      </x:c>
      <x:c r="C184" s="13" t="n">
        <x:v>484</x:v>
      </x:c>
      <x:c r="D184" s="12" t="n">
        <x:v>96669.31999999999</x:v>
      </x:c>
      <x:c r="E184" s="12" t="n">
        <x:v>0</x:v>
      </x:c>
      <x:c r="F184" s="12" t="n">
        <x:f>SUM(B184,D184:E184)</x:f>
        <x:v>97630.578</x:v>
      </x:c>
      <x:c r="G184" s="12" t="n">
        <x:f>MAX(G183,F184)</x:f>
        <x:v>103854.818</x:v>
      </x:c>
      <x:c r="H184" s="14" t="n">
        <x:f>F184/G184-1</x:f>
        <x:v>-0.059932125633304856</x:v>
      </x:c>
      <x:c r="I184" s="14" t="n">
        <x:f>F184/F183-1</x:f>
        <x:v>-0.002225892799163409</x:v>
      </x:c>
      <x:c r="J184" s="12" t="n">
        <x:v>0</x:v>
      </x:c>
      <x:c r="K184" s="12" t="n">
        <x:v>0</x:v>
      </x:c>
      <x:c r="L184" s="12" t="n">
        <x:v>0</x:v>
      </x:c>
      <x:c r="M184" s="2" t="str">
        <x:v>持有</x:v>
      </x:c>
    </x:row>
    <x:row r="185" ht="23" customHeight="1">
      <x:c r="A185" s="11" t="d">
        <x:v>2015-09-18T00:00:00.000Z</x:v>
      </x:c>
      <x:c r="B185" s="12" t="n">
        <x:v>961.258</x:v>
      </x:c>
      <x:c r="C185" s="13" t="n">
        <x:v>484</x:v>
      </x:c>
      <x:c r="D185" s="12" t="n">
        <x:v>94597.79999999999</x:v>
      </x:c>
      <x:c r="E185" s="12" t="n">
        <x:v>500.18012</x:v>
      </x:c>
      <x:c r="F185" s="12" t="n">
        <x:f>SUM(B185,D185:E185)</x:f>
        <x:v>96059.23812</x:v>
      </x:c>
      <x:c r="G185" s="12" t="n">
        <x:f>MAX(G184,F185)</x:f>
        <x:v>103854.818</x:v>
      </x:c>
      <x:c r="H185" s="14" t="n">
        <x:f>F185/G185-1</x:f>
        <x:v>-0.07506228435160323</x:v>
      </x:c>
      <x:c r="I185" s="14" t="n">
        <x:f>F185/F184-1</x:f>
        <x:v>-0.016094751380044015</x:v>
      </x:c>
      <x:c r="J185" s="12" t="n">
        <x:v>500.18012</x:v>
      </x:c>
      <x:c r="K185" s="12" t="n">
        <x:v>0</x:v>
      </x:c>
      <x:c r="L185" s="12" t="n">
        <x:v>0</x:v>
      </x:c>
      <x:c r="M185" s="2" t="str">
        <x:v>持有</x:v>
      </x:c>
    </x:row>
    <x:row r="186" ht="23" customHeight="1">
      <x:c r="A186" s="11" t="d">
        <x:v>2015-09-21T00:00:00.000Z</x:v>
      </x:c>
      <x:c r="B186" s="12" t="n">
        <x:v>961.258</x:v>
      </x:c>
      <x:c r="C186" s="13" t="n">
        <x:v>484</x:v>
      </x:c>
      <x:c r="D186" s="12" t="n">
        <x:v>95086.64</x:v>
      </x:c>
      <x:c r="E186" s="12" t="n">
        <x:v>500.18012</x:v>
      </x:c>
      <x:c r="F186" s="12" t="n">
        <x:f>SUM(B186,D186:E186)</x:f>
        <x:v>96548.07812</x:v>
      </x:c>
      <x:c r="G186" s="12" t="n">
        <x:f>MAX(G185,F186)</x:f>
        <x:v>103854.818</x:v>
      </x:c>
      <x:c r="H186" s="14" t="n">
        <x:f>F186/G186-1</x:f>
        <x:v>-0.07035532891695018</x:v>
      </x:c>
      <x:c r="I186" s="14" t="n">
        <x:f>F186/F185-1</x:f>
        <x:v>0.0050889431310015</x:v>
      </x:c>
      <x:c r="J186" s="12" t="n">
        <x:v>0</x:v>
      </x:c>
      <x:c r="K186" s="12" t="n">
        <x:v>0</x:v>
      </x:c>
      <x:c r="L186" s="12" t="n">
        <x:v>0</x:v>
      </x:c>
      <x:c r="M186" s="2" t="str">
        <x:v>持有</x:v>
      </x:c>
    </x:row>
    <x:row r="187" ht="23" customHeight="1">
      <x:c r="A187" s="11" t="d">
        <x:v>2015-09-22T00:00:00.000Z</x:v>
      </x:c>
      <x:c r="B187" s="12" t="n">
        <x:v>961.258</x:v>
      </x:c>
      <x:c r="C187" s="13" t="n">
        <x:v>484</x:v>
      </x:c>
      <x:c r="D187" s="12" t="n">
        <x:v>93852.44</x:v>
      </x:c>
      <x:c r="E187" s="12" t="n">
        <x:v>500.18012</x:v>
      </x:c>
      <x:c r="F187" s="12" t="n">
        <x:f>SUM(B187,D187:E187)</x:f>
        <x:v>95313.87812000001</x:v>
      </x:c>
      <x:c r="G187" s="12" t="n">
        <x:f>MAX(G186,F187)</x:f>
        <x:v>103854.818</x:v>
      </x:c>
      <x:c r="H187" s="14" t="n">
        <x:f>F187/G187-1</x:f>
        <x:v>-0.08223922630147007</x:v>
      </x:c>
      <x:c r="I187" s="14" t="n">
        <x:f>F187/F186-1</x:f>
        <x:v>-0.01278326844026878</x:v>
      </x:c>
      <x:c r="J187" s="12" t="n">
        <x:v>0</x:v>
      </x:c>
      <x:c r="K187" s="12" t="n">
        <x:v>0</x:v>
      </x:c>
      <x:c r="L187" s="12" t="n">
        <x:v>0</x:v>
      </x:c>
      <x:c r="M187" s="2" t="str">
        <x:v>持有</x:v>
      </x:c>
    </x:row>
    <x:row r="188" ht="23" customHeight="1">
      <x:c r="A188" s="11" t="d">
        <x:v>2015-09-23T00:00:00.000Z</x:v>
      </x:c>
      <x:c r="B188" s="12" t="n">
        <x:v>961.258</x:v>
      </x:c>
      <x:c r="C188" s="13" t="n">
        <x:v>484</x:v>
      </x:c>
      <x:c r="D188" s="12" t="n">
        <x:v>93702.4</x:v>
      </x:c>
      <x:c r="E188" s="12" t="n">
        <x:v>500.18012</x:v>
      </x:c>
      <x:c r="F188" s="12" t="n">
        <x:f>SUM(B188,D188:E188)</x:f>
        <x:v>95163.83812</x:v>
      </x:c>
      <x:c r="G188" s="12" t="n">
        <x:f>MAX(G187,F188)</x:f>
        <x:v>103854.818</x:v>
      </x:c>
      <x:c r="H188" s="14" t="n">
        <x:f>F188/G188-1</x:f>
        <x:v>-0.08368393539527452</x:v>
      </x:c>
      <x:c r="I188" s="14" t="n">
        <x:f>F188/F187-1</x:f>
        <x:v>-0.001574167403104787</x:v>
      </x:c>
      <x:c r="J188" s="12" t="n">
        <x:v>0</x:v>
      </x:c>
      <x:c r="K188" s="12" t="n">
        <x:v>0</x:v>
      </x:c>
      <x:c r="L188" s="12" t="n">
        <x:v>0</x:v>
      </x:c>
      <x:c r="M188" s="2" t="str">
        <x:v>持有</x:v>
      </x:c>
    </x:row>
    <x:row r="189" ht="23" customHeight="1">
      <x:c r="A189" s="11" t="d">
        <x:v>2015-09-24T00:00:00.000Z</x:v>
      </x:c>
      <x:c r="B189" s="12" t="n">
        <x:v>961.258</x:v>
      </x:c>
      <x:c r="C189" s="13" t="n">
        <x:v>484</x:v>
      </x:c>
      <x:c r="D189" s="12" t="n">
        <x:v>93363.6</x:v>
      </x:c>
      <x:c r="E189" s="12" t="n">
        <x:v>500.18012</x:v>
      </x:c>
      <x:c r="F189" s="12" t="n">
        <x:f>SUM(B189,D189:E189)</x:f>
        <x:v>94825.03812000001</x:v>
      </x:c>
      <x:c r="G189" s="12" t="n">
        <x:f>MAX(G188,F189)</x:f>
        <x:v>103854.818</x:v>
      </x:c>
      <x:c r="H189" s="14" t="n">
        <x:f>F189/G189-1</x:f>
        <x:v>-0.08694618173612312</x:v>
      </x:c>
      <x:c r="I189" s="14" t="n">
        <x:f>F189/F188-1</x:f>
        <x:v>-0.0035601758681986784</x:v>
      </x:c>
      <x:c r="J189" s="12" t="n">
        <x:v>0</x:v>
      </x:c>
      <x:c r="K189" s="12" t="n">
        <x:v>0</x:v>
      </x:c>
      <x:c r="L189" s="12" t="n">
        <x:v>0</x:v>
      </x:c>
      <x:c r="M189" s="2" t="str">
        <x:v>持有</x:v>
      </x:c>
    </x:row>
    <x:row r="190" ht="23" customHeight="1">
      <x:c r="A190" s="11" t="d">
        <x:v>2015-09-25T00:00:00.000Z</x:v>
      </x:c>
      <x:c r="B190" s="12" t="n">
        <x:v>961.258</x:v>
      </x:c>
      <x:c r="C190" s="13" t="n">
        <x:v>484</x:v>
      </x:c>
      <x:c r="D190" s="12" t="n">
        <x:v>93339.4</x:v>
      </x:c>
      <x:c r="E190" s="12" t="n">
        <x:v>500.18012</x:v>
      </x:c>
      <x:c r="F190" s="12" t="n">
        <x:f>SUM(B190,D190:E190)</x:f>
        <x:v>94800.83812</x:v>
      </x:c>
      <x:c r="G190" s="12" t="n">
        <x:f>MAX(G189,F190)</x:f>
        <x:v>103854.818</x:v>
      </x:c>
      <x:c r="H190" s="14" t="n">
        <x:f>F190/G190-1</x:f>
        <x:v>-0.0871791993318981</x:v>
      </x:c>
      <x:c r="I190" s="14" t="n">
        <x:f>F190/F189-1</x:f>
        <x:v>-0.0002552068575958355</x:v>
      </x:c>
      <x:c r="J190" s="12" t="n">
        <x:v>0</x:v>
      </x:c>
      <x:c r="K190" s="12" t="n">
        <x:v>0</x:v>
      </x:c>
      <x:c r="L190" s="12" t="n">
        <x:v>0</x:v>
      </x:c>
      <x:c r="M190" s="2" t="str">
        <x:v>持有</x:v>
      </x:c>
    </x:row>
    <x:row r="191" ht="23" customHeight="1">
      <x:c r="A191" s="11" t="d">
        <x:v>2015-09-28T00:00:00.000Z</x:v>
      </x:c>
      <x:c r="B191" s="12" t="n">
        <x:v>961.258</x:v>
      </x:c>
      <x:c r="C191" s="13" t="n">
        <x:v>484</x:v>
      </x:c>
      <x:c r="D191" s="12" t="n">
        <x:v>90996.84</x:v>
      </x:c>
      <x:c r="E191" s="12" t="n">
        <x:v>500.18012</x:v>
      </x:c>
      <x:c r="F191" s="12" t="n">
        <x:f>SUM(B191,D191:E191)</x:f>
        <x:v>92458.27812</x:v>
      </x:c>
      <x:c r="G191" s="12" t="n">
        <x:f>MAX(G190,F191)</x:f>
        <x:v>103854.818</x:v>
      </x:c>
      <x:c r="H191" s="14" t="n">
        <x:f>F191/G191-1</x:f>
        <x:v>-0.10973530260290854</x:v>
      </x:c>
      <x:c r="I191" s="14" t="n">
        <x:f>F191/F190-1</x:f>
        <x:v>-0.024710330060951136</x:v>
      </x:c>
      <x:c r="J191" s="12" t="n">
        <x:v>0</x:v>
      </x:c>
      <x:c r="K191" s="12" t="n">
        <x:v>0</x:v>
      </x:c>
      <x:c r="L191" s="12" t="n">
        <x:v>0</x:v>
      </x:c>
      <x:c r="M191" s="2" t="str">
        <x:v>持有</x:v>
      </x:c>
    </x:row>
    <x:row r="192" ht="23" customHeight="1">
      <x:c r="A192" s="11" t="d">
        <x:v>2015-09-29T00:00:00.000Z</x:v>
      </x:c>
      <x:c r="B192" s="12" t="n">
        <x:v>961.258</x:v>
      </x:c>
      <x:c r="C192" s="13" t="n">
        <x:v>484</x:v>
      </x:c>
      <x:c r="D192" s="12" t="n">
        <x:v>91050.08</x:v>
      </x:c>
      <x:c r="E192" s="12" t="n">
        <x:v>500.18012</x:v>
      </x:c>
      <x:c r="F192" s="12" t="n">
        <x:f>SUM(B192,D192:E192)</x:f>
        <x:v>92511.51812000001</x:v>
      </x:c>
      <x:c r="G192" s="12" t="n">
        <x:f>MAX(G191,F192)</x:f>
        <x:v>103854.818</x:v>
      </x:c>
      <x:c r="H192" s="14" t="n">
        <x:f>F192/G192-1</x:f>
        <x:v>-0.1092226638922037</x:v>
      </x:c>
      <x:c r="I192" s="14" t="n">
        <x:f>F192/F191-1</x:f>
        <x:v>0.0005758272929430319</x:v>
      </x:c>
      <x:c r="J192" s="12" t="n">
        <x:v>0</x:v>
      </x:c>
      <x:c r="K192" s="12" t="n">
        <x:v>0</x:v>
      </x:c>
      <x:c r="L192" s="12" t="n">
        <x:v>0</x:v>
      </x:c>
      <x:c r="M192" s="2" t="str">
        <x:v>持有</x:v>
      </x:c>
    </x:row>
    <x:row r="193" ht="23" customHeight="1">
      <x:c r="A193" s="11" t="d">
        <x:v>2015-09-30T00:00:00.000Z</x:v>
      </x:c>
      <x:c r="B193" s="12" t="n">
        <x:v>961.258</x:v>
      </x:c>
      <x:c r="C193" s="13" t="n">
        <x:v>484</x:v>
      </x:c>
      <x:c r="D193" s="12" t="n">
        <x:v>92748.92</x:v>
      </x:c>
      <x:c r="E193" s="12" t="n">
        <x:v>500.18012</x:v>
      </x:c>
      <x:c r="F193" s="12" t="n">
        <x:f>SUM(B193,D193:E193)</x:f>
        <x:v>94210.35812</x:v>
      </x:c>
      <x:c r="G193" s="12" t="n">
        <x:f>MAX(G192,F193)</x:f>
        <x:v>103854.818</x:v>
      </x:c>
      <x:c r="H193" s="14" t="n">
        <x:f>F193/G193-1</x:f>
        <x:v>-0.09286482866880563</x:v>
      </x:c>
      <x:c r="I193" s="14" t="n">
        <x:f>F193/F192-1</x:f>
        <x:v>0.018363551204471307</x:v>
      </x:c>
      <x:c r="J193" s="12" t="n">
        <x:v>0</x:v>
      </x:c>
      <x:c r="K193" s="12" t="n">
        <x:v>0</x:v>
      </x:c>
      <x:c r="L193" s="12" t="n">
        <x:v>0</x:v>
      </x:c>
      <x:c r="M193" s="2" t="str">
        <x:v>持有</x:v>
      </x:c>
    </x:row>
    <x:row r="194" ht="23" customHeight="1">
      <x:c r="A194" s="11" t="d">
        <x:v>2015-10-01T00:00:00.000Z</x:v>
      </x:c>
      <x:c r="B194" s="12" t="n">
        <x:v>961.258</x:v>
      </x:c>
      <x:c r="C194" s="13" t="n">
        <x:v>484</x:v>
      </x:c>
      <x:c r="D194" s="12" t="n">
        <x:v>92990.92</x:v>
      </x:c>
      <x:c r="E194" s="12" t="n">
        <x:v>500.18012</x:v>
      </x:c>
      <x:c r="F194" s="12" t="n">
        <x:f>SUM(B194,D194:E194)</x:f>
        <x:v>94452.35812</x:v>
      </x:c>
      <x:c r="G194" s="12" t="n">
        <x:f>MAX(G193,F194)</x:f>
        <x:v>103854.818</x:v>
      </x:c>
      <x:c r="H194" s="14" t="n">
        <x:f>F194/G194-1</x:f>
        <x:v>-0.09053465271105665</x:v>
      </x:c>
      <x:c r="I194" s="14" t="n">
        <x:f>F194/F193-1</x:f>
        <x:v>0.0025687196697814496</x:v>
      </x:c>
      <x:c r="J194" s="12" t="n">
        <x:v>0</x:v>
      </x:c>
      <x:c r="K194" s="12" t="n">
        <x:v>0</x:v>
      </x:c>
      <x:c r="L194" s="12" t="n">
        <x:v>0</x:v>
      </x:c>
      <x:c r="M194" s="2" t="str">
        <x:v>持有</x:v>
      </x:c>
    </x:row>
    <x:row r="195" ht="23" customHeight="1">
      <x:c r="A195" s="11" t="d">
        <x:v>2015-10-02T00:00:00.000Z</x:v>
      </x:c>
      <x:c r="B195" s="12" t="n">
        <x:v>961.258</x:v>
      </x:c>
      <x:c r="C195" s="13" t="n">
        <x:v>484</x:v>
      </x:c>
      <x:c r="D195" s="12" t="n">
        <x:v>94380</x:v>
      </x:c>
      <x:c r="E195" s="12" t="n">
        <x:v>500.18012</x:v>
      </x:c>
      <x:c r="F195" s="12" t="n">
        <x:f>SUM(B195,D195:E195)</x:f>
        <x:v>95841.43812</x:v>
      </x:c>
      <x:c r="G195" s="12" t="n">
        <x:f>MAX(G194,F195)</x:f>
        <x:v>103854.818</x:v>
      </x:c>
      <x:c r="H195" s="14" t="n">
        <x:f>F195/G195-1</x:f>
        <x:v>-0.07715944271357722</x:v>
      </x:c>
      <x:c r="I195" s="14" t="n">
        <x:f>F195/F194-1</x:f>
        <x:v>0.014706673582836283</x:v>
      </x:c>
      <x:c r="J195" s="12" t="n">
        <x:v>0</x:v>
      </x:c>
      <x:c r="K195" s="12" t="n">
        <x:v>0</x:v>
      </x:c>
      <x:c r="L195" s="12" t="n">
        <x:v>0</x:v>
      </x:c>
      <x:c r="M195" s="2" t="str">
        <x:v>持有</x:v>
      </x:c>
    </x:row>
    <x:row r="196" ht="23" customHeight="1">
      <x:c r="A196" s="11" t="d">
        <x:v>2015-10-05T00:00:00.000Z</x:v>
      </x:c>
      <x:c r="B196" s="12" t="n">
        <x:v>961.258</x:v>
      </x:c>
      <x:c r="C196" s="13" t="n">
        <x:v>484</x:v>
      </x:c>
      <x:c r="D196" s="12" t="n">
        <x:v>96059.48</x:v>
      </x:c>
      <x:c r="E196" s="12" t="n">
        <x:v>500.18012</x:v>
      </x:c>
      <x:c r="F196" s="12" t="n">
        <x:f>SUM(B196,D196:E196)</x:f>
        <x:v>97520.91812</x:v>
      </x:c>
      <x:c r="G196" s="12" t="n">
        <x:f>MAX(G195,F196)</x:f>
        <x:v>103854.818</x:v>
      </x:c>
      <x:c r="H196" s="14" t="n">
        <x:f>F196/G196-1</x:f>
        <x:v>-0.060988021566799167</x:v>
      </x:c>
      <x:c r="I196" s="14" t="n">
        <x:f>F196/F195-1</x:f>
        <x:v>0.01752352670143753</x:v>
      </x:c>
      <x:c r="J196" s="12" t="n">
        <x:v>0</x:v>
      </x:c>
      <x:c r="K196" s="12" t="n">
        <x:v>0</x:v>
      </x:c>
      <x:c r="L196" s="12" t="n">
        <x:v>0</x:v>
      </x:c>
      <x:c r="M196" s="2" t="str">
        <x:v>持有</x:v>
      </x:c>
    </x:row>
    <x:row r="197" ht="23" customHeight="1">
      <x:c r="A197" s="11" t="d">
        <x:v>2015-10-06T00:00:00.000Z</x:v>
      </x:c>
      <x:c r="B197" s="12" t="n">
        <x:v>961.258</x:v>
      </x:c>
      <x:c r="C197" s="13" t="n">
        <x:v>484</x:v>
      </x:c>
      <x:c r="D197" s="12" t="n">
        <x:v>95730.36</x:v>
      </x:c>
      <x:c r="E197" s="12" t="n">
        <x:v>500.18012</x:v>
      </x:c>
      <x:c r="F197" s="12" t="n">
        <x:f>SUM(B197,D197:E197)</x:f>
        <x:v>97191.79812</x:v>
      </x:c>
      <x:c r="G197" s="12" t="n">
        <x:f>MAX(G196,F197)</x:f>
        <x:v>103854.818</x:v>
      </x:c>
      <x:c r="H197" s="14" t="n">
        <x:f>F197/G197-1</x:f>
        <x:v>-0.0641570608693377</x:v>
      </x:c>
      <x:c r="I197" s="14" t="n">
        <x:f>F197/F196-1</x:f>
        <x:v>-0.003374865683637318</x:v>
      </x:c>
      <x:c r="J197" s="12" t="n">
        <x:v>0</x:v>
      </x:c>
      <x:c r="K197" s="12" t="n">
        <x:v>0</x:v>
      </x:c>
      <x:c r="L197" s="12" t="n">
        <x:v>0</x:v>
      </x:c>
      <x:c r="M197" s="2" t="str">
        <x:v>持有</x:v>
      </x:c>
    </x:row>
    <x:row r="198" ht="23" customHeight="1">
      <x:c r="A198" s="11" t="d">
        <x:v>2015-10-07T00:00:00.000Z</x:v>
      </x:c>
      <x:c r="B198" s="12" t="n">
        <x:v>961.258</x:v>
      </x:c>
      <x:c r="C198" s="13" t="n">
        <x:v>484</x:v>
      </x:c>
      <x:c r="D198" s="12" t="n">
        <x:v>96514.44</x:v>
      </x:c>
      <x:c r="E198" s="12" t="n">
        <x:v>500.18012</x:v>
      </x:c>
      <x:c r="F198" s="12" t="n">
        <x:f>SUM(B198,D198:E198)</x:f>
        <x:v>97975.87812000001</x:v>
      </x:c>
      <x:c r="G198" s="12" t="n">
        <x:f>MAX(G197,F198)</x:f>
        <x:v>103854.818</x:v>
      </x:c>
      <x:c r="H198" s="14" t="n">
        <x:f>F198/G198-1</x:f>
        <x:v>-0.056607290766230944</x:v>
      </x:c>
      <x:c r="I198" s="14" t="n">
        <x:f>F198/F197-1</x:f>
        <x:v>0.008067347401392144</x:v>
      </x:c>
      <x:c r="J198" s="12" t="n">
        <x:v>0</x:v>
      </x:c>
      <x:c r="K198" s="12" t="n">
        <x:v>0</x:v>
      </x:c>
      <x:c r="L198" s="12" t="n">
        <x:v>0</x:v>
      </x:c>
      <x:c r="M198" s="2" t="str">
        <x:v>持有</x:v>
      </x:c>
    </x:row>
    <x:row r="199" ht="23" customHeight="1">
      <x:c r="A199" s="11" t="d">
        <x:v>2015-10-08T00:00:00.000Z</x:v>
      </x:c>
      <x:c r="B199" s="12" t="n">
        <x:v>961.258</x:v>
      </x:c>
      <x:c r="C199" s="13" t="n">
        <x:v>484</x:v>
      </x:c>
      <x:c r="D199" s="12" t="n">
        <x:v>97385.64</x:v>
      </x:c>
      <x:c r="E199" s="12" t="n">
        <x:v>500.18012</x:v>
      </x:c>
      <x:c r="F199" s="12" t="n">
        <x:f>SUM(B199,D199:E199)</x:f>
        <x:v>98847.07812</x:v>
      </x:c>
      <x:c r="G199" s="12" t="n">
        <x:f>MAX(G198,F199)</x:f>
        <x:v>103854.818</x:v>
      </x:c>
      <x:c r="H199" s="14" t="n">
        <x:f>F199/G199-1</x:f>
        <x:v>-0.04821865731833441</x:v>
      </x:c>
      <x:c r="I199" s="14" t="n">
        <x:f>F199/F198-1</x:f>
        <x:v>0.008891984605975845</x:v>
      </x:c>
      <x:c r="J199" s="12" t="n">
        <x:v>0</x:v>
      </x:c>
      <x:c r="K199" s="12" t="n">
        <x:v>0</x:v>
      </x:c>
      <x:c r="L199" s="12" t="n">
        <x:v>0</x:v>
      </x:c>
      <x:c r="M199" s="2" t="str">
        <x:v>持有</x:v>
      </x:c>
    </x:row>
    <x:row r="200" ht="23" customHeight="1">
      <x:c r="A200" s="11" t="d">
        <x:v>2015-10-09T00:00:00.000Z</x:v>
      </x:c>
      <x:c r="B200" s="12" t="n">
        <x:v>961.258</x:v>
      </x:c>
      <x:c r="C200" s="13" t="n">
        <x:v>484</x:v>
      </x:c>
      <x:c r="D200" s="12" t="n">
        <x:v>97443.72</x:v>
      </x:c>
      <x:c r="E200" s="12" t="n">
        <x:v>500.18012</x:v>
      </x:c>
      <x:c r="F200" s="12" t="n">
        <x:f>SUM(B200,D200:E200)</x:f>
        <x:v>98905.15812000001</x:v>
      </x:c>
      <x:c r="G200" s="12" t="n">
        <x:f>MAX(G199,F200)</x:f>
        <x:v>103854.818</x:v>
      </x:c>
      <x:c r="H200" s="14" t="n">
        <x:f>F200/G200-1</x:f>
        <x:v>-0.04765941508847471</x:v>
      </x:c>
      <x:c r="I200" s="14" t="n">
        <x:f>F200/F199-1</x:f>
        <x:v>0.0005875742723471244</x:v>
      </x:c>
      <x:c r="J200" s="12" t="n">
        <x:v>0</x:v>
      </x:c>
      <x:c r="K200" s="12" t="n">
        <x:v>0</x:v>
      </x:c>
      <x:c r="L200" s="12" t="n">
        <x:v>0</x:v>
      </x:c>
      <x:c r="M200" s="2" t="str">
        <x:v>持有</x:v>
      </x:c>
    </x:row>
    <x:row r="201" ht="23" customHeight="1">
      <x:c r="A201" s="11" t="d">
        <x:v>2015-10-12T00:00:00.000Z</x:v>
      </x:c>
      <x:c r="B201" s="12" t="n">
        <x:v>961.258</x:v>
      </x:c>
      <x:c r="C201" s="13" t="n">
        <x:v>484</x:v>
      </x:c>
      <x:c r="D201" s="12" t="n">
        <x:v>97535.68000000001</x:v>
      </x:c>
      <x:c r="E201" s="12" t="n">
        <x:v>500.18012</x:v>
      </x:c>
      <x:c r="F201" s="12" t="n">
        <x:f>SUM(B201,D201:E201)</x:f>
        <x:v>98997.11812000001</x:v>
      </x:c>
      <x:c r="G201" s="12" t="n">
        <x:f>MAX(G200,F201)</x:f>
        <x:v>103854.818</x:v>
      </x:c>
      <x:c r="H201" s="14" t="n">
        <x:f>F201/G201-1</x:f>
        <x:v>-0.04677394822452996</x:v>
      </x:c>
      <x:c r="I201" s="14" t="n">
        <x:f>F201/F200-1</x:f>
        <x:v>0.0009297796166347627</x:v>
      </x:c>
      <x:c r="J201" s="12" t="n">
        <x:v>0</x:v>
      </x:c>
      <x:c r="K201" s="12" t="n">
        <x:v>0</x:v>
      </x:c>
      <x:c r="L201" s="12" t="n">
        <x:v>0</x:v>
      </x:c>
      <x:c r="M201" s="2" t="str">
        <x:v>持有</x:v>
      </x:c>
    </x:row>
    <x:row r="202" ht="23" customHeight="1">
      <x:c r="A202" s="11" t="d">
        <x:v>2015-10-13T00:00:00.000Z</x:v>
      </x:c>
      <x:c r="B202" s="12" t="n">
        <x:v>961.258</x:v>
      </x:c>
      <x:c r="C202" s="13" t="n">
        <x:v>484</x:v>
      </x:c>
      <x:c r="D202" s="12" t="n">
        <x:v>96921</x:v>
      </x:c>
      <x:c r="E202" s="12" t="n">
        <x:v>500.18012</x:v>
      </x:c>
      <x:c r="F202" s="12" t="n">
        <x:f>SUM(B202,D202:E202)</x:f>
        <x:v>98382.43812</x:v>
      </x:c>
      <x:c r="G202" s="12" t="n">
        <x:f>MAX(G201,F202)</x:f>
        <x:v>103854.818</x:v>
      </x:c>
      <x:c r="H202" s="14" t="n">
        <x:f>F202/G202-1</x:f>
        <x:v>-0.052692595157212585</x:v>
      </x:c>
      <x:c r="I202" s="14" t="n">
        <x:f>F202/F201-1</x:f>
        <x:v>-0.006209069634278808</x:v>
      </x:c>
      <x:c r="J202" s="12" t="n">
        <x:v>0</x:v>
      </x:c>
      <x:c r="K202" s="12" t="n">
        <x:v>0</x:v>
      </x:c>
      <x:c r="L202" s="12" t="n">
        <x:v>0</x:v>
      </x:c>
      <x:c r="M202" s="2" t="str">
        <x:v>持有</x:v>
      </x:c>
    </x:row>
    <x:row r="203" ht="23" customHeight="1">
      <x:c r="A203" s="11" t="d">
        <x:v>2015-10-14T00:00:00.000Z</x:v>
      </x:c>
      <x:c r="B203" s="12" t="n">
        <x:v>961.258</x:v>
      </x:c>
      <x:c r="C203" s="13" t="n">
        <x:v>484</x:v>
      </x:c>
      <x:c r="D203" s="12" t="n">
        <x:v>96456.36</x:v>
      </x:c>
      <x:c r="E203" s="12" t="n">
        <x:v>500.18012</x:v>
      </x:c>
      <x:c r="F203" s="12" t="n">
        <x:f>SUM(B203,D203:E203)</x:f>
        <x:v>97917.79812</x:v>
      </x:c>
      <x:c r="G203" s="12" t="n">
        <x:f>MAX(G202,F203)</x:f>
        <x:v>103854.818</x:v>
      </x:c>
      <x:c r="H203" s="14" t="n">
        <x:f>F203/G203-1</x:f>
        <x:v>-0.05716653299609065</x:v>
      </x:c>
      <x:c r="I203" s="14" t="n">
        <x:f>F203/F202-1</x:f>
        <x:v>-0.004722794117312579</x:v>
      </x:c>
      <x:c r="J203" s="12" t="n">
        <x:v>0</x:v>
      </x:c>
      <x:c r="K203" s="12" t="n">
        <x:v>0</x:v>
      </x:c>
      <x:c r="L203" s="12" t="n">
        <x:v>0</x:v>
      </x:c>
      <x:c r="M203" s="2" t="str">
        <x:v>持有</x:v>
      </x:c>
    </x:row>
    <x:row r="204" ht="23" customHeight="1">
      <x:c r="A204" s="11" t="d">
        <x:v>2015-10-15T00:00:00.000Z</x:v>
      </x:c>
      <x:c r="B204" s="12" t="n">
        <x:v>961.258</x:v>
      </x:c>
      <x:c r="C204" s="13" t="n">
        <x:v>484</x:v>
      </x:c>
      <x:c r="D204" s="12" t="n">
        <x:v>97937.4</x:v>
      </x:c>
      <x:c r="E204" s="12" t="n">
        <x:v>500.18012</x:v>
      </x:c>
      <x:c r="F204" s="12" t="n">
        <x:f>SUM(B204,D204:E204)</x:f>
        <x:v>99398.83812</x:v>
      </x:c>
      <x:c r="G204" s="12" t="n">
        <x:f>MAX(G203,F204)</x:f>
        <x:v>103854.818</x:v>
      </x:c>
      <x:c r="H204" s="14" t="n">
        <x:f>F204/G204-1</x:f>
        <x:v>-0.0429058561346668</x:v>
      </x:c>
      <x:c r="I204" s="14" t="n">
        <x:f>F204/F203-1</x:f>
        <x:v>0.015125340116256991</x:v>
      </x:c>
      <x:c r="J204" s="12" t="n">
        <x:v>0</x:v>
      </x:c>
      <x:c r="K204" s="12" t="n">
        <x:v>0</x:v>
      </x:c>
      <x:c r="L204" s="12" t="n">
        <x:v>0</x:v>
      </x:c>
      <x:c r="M204" s="2" t="str">
        <x:v>持有</x:v>
      </x:c>
    </x:row>
    <x:row r="205" ht="23" customHeight="1">
      <x:c r="A205" s="11" t="d">
        <x:v>2015-10-16T00:00:00.000Z</x:v>
      </x:c>
      <x:c r="B205" s="12" t="n">
        <x:v>961.258</x:v>
      </x:c>
      <x:c r="C205" s="13" t="n">
        <x:v>484</x:v>
      </x:c>
      <x:c r="D205" s="12" t="n">
        <x:v>98382.68000000001</x:v>
      </x:c>
      <x:c r="E205" s="12" t="n">
        <x:v>500.18012</x:v>
      </x:c>
      <x:c r="F205" s="12" t="n">
        <x:f>SUM(B205,D205:E205)</x:f>
        <x:v>99844.11812000001</x:v>
      </x:c>
      <x:c r="G205" s="12" t="n">
        <x:f>MAX(G204,F205)</x:f>
        <x:v>103854.818</x:v>
      </x:c>
      <x:c r="H205" s="14" t="n">
        <x:f>F205/G205-1</x:f>
        <x:v>-0.038618332372408415</x:v>
      </x:c>
      <x:c r="I205" s="14" t="n">
        <x:f>F205/F204-1</x:f>
        <x:v>0.00447973043168215</x:v>
      </x:c>
      <x:c r="J205" s="12" t="n">
        <x:v>0</x:v>
      </x:c>
      <x:c r="K205" s="12" t="n">
        <x:v>0</x:v>
      </x:c>
      <x:c r="L205" s="12" t="n">
        <x:v>0</x:v>
      </x:c>
      <x:c r="M205" s="2" t="str">
        <x:v>持有</x:v>
      </x:c>
    </x:row>
    <x:row r="206" ht="23" customHeight="1">
      <x:c r="A206" s="11" t="d">
        <x:v>2015-10-19T00:00:00.000Z</x:v>
      </x:c>
      <x:c r="B206" s="12" t="n">
        <x:v>961.258</x:v>
      </x:c>
      <x:c r="C206" s="13" t="n">
        <x:v>484</x:v>
      </x:c>
      <x:c r="D206" s="12" t="n">
        <x:v>98431.08</x:v>
      </x:c>
      <x:c r="E206" s="12" t="n">
        <x:v>500.18012</x:v>
      </x:c>
      <x:c r="F206" s="12" t="n">
        <x:f>SUM(B206,D206:E206)</x:f>
        <x:v>99892.51812000001</x:v>
      </x:c>
      <x:c r="G206" s="12" t="n">
        <x:f>MAX(G205,F206)</x:f>
        <x:v>103854.818</x:v>
      </x:c>
      <x:c r="H206" s="14" t="n">
        <x:f>F206/G206-1</x:f>
        <x:v>-0.03815229718085866</x:v>
      </x:c>
      <x:c r="I206" s="14" t="n">
        <x:f>F206/F205-1</x:f>
        <x:v>0.00048475564621464073</x:v>
      </x:c>
      <x:c r="J206" s="12" t="n">
        <x:v>0</x:v>
      </x:c>
      <x:c r="K206" s="12" t="n">
        <x:v>0</x:v>
      </x:c>
      <x:c r="L206" s="12" t="n">
        <x:v>0</x:v>
      </x:c>
      <x:c r="M206" s="2" t="str">
        <x:v>持有</x:v>
      </x:c>
    </x:row>
    <x:row r="207" ht="23" customHeight="1">
      <x:c r="A207" s="11" t="d">
        <x:v>2015-10-20T00:00:00.000Z</x:v>
      </x:c>
      <x:c r="B207" s="12" t="n">
        <x:v>961.258</x:v>
      </x:c>
      <x:c r="C207" s="13" t="n">
        <x:v>484</x:v>
      </x:c>
      <x:c r="D207" s="12" t="n">
        <x:v>98305.24</x:v>
      </x:c>
      <x:c r="E207" s="12" t="n">
        <x:v>500.18012</x:v>
      </x:c>
      <x:c r="F207" s="12" t="n">
        <x:f>SUM(B207,D207:E207)</x:f>
        <x:v>99766.67812000001</x:v>
      </x:c>
      <x:c r="G207" s="12" t="n">
        <x:f>MAX(G206,F207)</x:f>
        <x:v>103854.818</x:v>
      </x:c>
      <x:c r="H207" s="14" t="n">
        <x:f>F207/G207-1</x:f>
        <x:v>-0.03936398867888813</x:v>
      </x:c>
      <x:c r="I207" s="14" t="n">
        <x:f>F207/F206-1</x:f>
        <x:v>-0.0012597540072903923</x:v>
      </x:c>
      <x:c r="J207" s="12" t="n">
        <x:v>0</x:v>
      </x:c>
      <x:c r="K207" s="12" t="n">
        <x:v>0</x:v>
      </x:c>
      <x:c r="L207" s="12" t="n">
        <x:v>0</x:v>
      </x:c>
      <x:c r="M207" s="2" t="str">
        <x:v>持有</x:v>
      </x:c>
    </x:row>
    <x:row r="208" ht="23" customHeight="1">
      <x:c r="A208" s="11" t="d">
        <x:v>2015-10-21T00:00:00.000Z</x:v>
      </x:c>
      <x:c r="B208" s="12" t="n">
        <x:v>961.258</x:v>
      </x:c>
      <x:c r="C208" s="13" t="n">
        <x:v>484</x:v>
      </x:c>
      <x:c r="D208" s="12" t="n">
        <x:v>97695.4</x:v>
      </x:c>
      <x:c r="E208" s="12" t="n">
        <x:v>500.18012</x:v>
      </x:c>
      <x:c r="F208" s="12" t="n">
        <x:f>SUM(B208,D208:E208)</x:f>
        <x:v>99156.83812</x:v>
      </x:c>
      <x:c r="G208" s="12" t="n">
        <x:f>MAX(G207,F208)</x:f>
        <x:v>103854.818</x:v>
      </x:c>
      <x:c r="H208" s="14" t="n">
        <x:f>F208/G208-1</x:f>
        <x:v>-0.04523603209241578</x:v>
      </x:c>
      <x:c r="I208" s="14" t="n">
        <x:f>F208/F207-1</x:f>
        <x:v>-0.006112662178312633</x:v>
      </x:c>
      <x:c r="J208" s="12" t="n">
        <x:v>0</x:v>
      </x:c>
      <x:c r="K208" s="12" t="n">
        <x:v>0</x:v>
      </x:c>
      <x:c r="L208" s="12" t="n">
        <x:v>0</x:v>
      </x:c>
      <x:c r="M208" s="2" t="str">
        <x:v>持有</x:v>
      </x:c>
    </x:row>
    <x:row r="209" ht="23" customHeight="1">
      <x:c r="A209" s="11" t="d">
        <x:v>2015-10-22T00:00:00.000Z</x:v>
      </x:c>
      <x:c r="B209" s="12" t="n">
        <x:v>961.258</x:v>
      </x:c>
      <x:c r="C209" s="13" t="n">
        <x:v>484</x:v>
      </x:c>
      <x:c r="D209" s="12" t="n">
        <x:v>99345.84</x:v>
      </x:c>
      <x:c r="E209" s="12" t="n">
        <x:v>500.18012</x:v>
      </x:c>
      <x:c r="F209" s="12" t="n">
        <x:f>SUM(B209,D209:E209)</x:f>
        <x:v>100807.27812</x:v>
      </x:c>
      <x:c r="G209" s="12" t="n">
        <x:f>MAX(G208,F209)</x:f>
        <x:v>103854.818</x:v>
      </x:c>
      <x:c r="H209" s="14" t="n">
        <x:f>F209/G209-1</x:f>
        <x:v>-0.029344232060567466</x:v>
      </x:c>
      <x:c r="I209" s="14" t="n">
        <x:f>F209/F208-1</x:f>
        <x:v>0.016644742120585088</x:v>
      </x:c>
      <x:c r="J209" s="12" t="n">
        <x:v>0</x:v>
      </x:c>
      <x:c r="K209" s="12" t="n">
        <x:v>0</x:v>
      </x:c>
      <x:c r="L209" s="12" t="n">
        <x:v>0</x:v>
      </x:c>
      <x:c r="M209" s="2" t="str">
        <x:v>持有</x:v>
      </x:c>
    </x:row>
    <x:row r="210" ht="23" customHeight="1">
      <x:c r="A210" s="11" t="d">
        <x:v>2015-10-23T00:00:00.000Z</x:v>
      </x:c>
      <x:c r="B210" s="12" t="n">
        <x:v>961.258</x:v>
      </x:c>
      <x:c r="C210" s="13" t="n">
        <x:v>484</x:v>
      </x:c>
      <x:c r="D210" s="12" t="n">
        <x:v>100434.84</x:v>
      </x:c>
      <x:c r="E210" s="12" t="n">
        <x:v>500.18012</x:v>
      </x:c>
      <x:c r="F210" s="12" t="n">
        <x:f>SUM(B210,D210:E210)</x:f>
        <x:v>101896.27812</x:v>
      </x:c>
      <x:c r="G210" s="12" t="n">
        <x:f>MAX(G209,F210)</x:f>
        <x:v>103854.818</x:v>
      </x:c>
      <x:c r="H210" s="14" t="n">
        <x:f>F210/G210-1</x:f>
        <x:v>-0.01885844025069683</x:v>
      </x:c>
      <x:c r="I210" s="14" t="n">
        <x:f>F210/F209-1</x:f>
        <x:v>0.010802791428448977</x:v>
      </x:c>
      <x:c r="J210" s="12" t="n">
        <x:v>0</x:v>
      </x:c>
      <x:c r="K210" s="12" t="n">
        <x:v>0</x:v>
      </x:c>
      <x:c r="L210" s="12" t="n">
        <x:v>0</x:v>
      </x:c>
      <x:c r="M210" s="2" t="str">
        <x:v>持有</x:v>
      </x:c>
    </x:row>
    <x:row r="211" ht="23" customHeight="1">
      <x:c r="A211" s="11" t="d">
        <x:v>2015-10-26T00:00:00.000Z</x:v>
      </x:c>
      <x:c r="B211" s="12" t="n">
        <x:v>961.258</x:v>
      </x:c>
      <x:c r="C211" s="13" t="n">
        <x:v>484</x:v>
      </x:c>
      <x:c r="D211" s="12" t="n">
        <x:v>100188</x:v>
      </x:c>
      <x:c r="E211" s="12" t="n">
        <x:v>500.18012</x:v>
      </x:c>
      <x:c r="F211" s="12" t="n">
        <x:f>SUM(B211,D211:E211)</x:f>
        <x:v>101649.43812</x:v>
      </x:c>
      <x:c r="G211" s="12" t="n">
        <x:f>MAX(G210,F211)</x:f>
        <x:v>103854.818</x:v>
      </x:c>
      <x:c r="H211" s="14" t="n">
        <x:f>F211/G211-1</x:f>
        <x:v>-0.021235219727600785</x:v>
      </x:c>
      <x:c r="I211" s="14" t="n">
        <x:f>F211/F210-1</x:f>
        <x:v>-0.0024224633573888266</x:v>
      </x:c>
      <x:c r="J211" s="12" t="n">
        <x:v>0</x:v>
      </x:c>
      <x:c r="K211" s="12" t="n">
        <x:v>0</x:v>
      </x:c>
      <x:c r="L211" s="12" t="n">
        <x:v>0</x:v>
      </x:c>
      <x:c r="M211" s="2" t="str">
        <x:v>持有</x:v>
      </x:c>
    </x:row>
    <x:row r="212" ht="23" customHeight="1">
      <x:c r="A212" s="11" t="d">
        <x:v>2015-10-27T00:00:00.000Z</x:v>
      </x:c>
      <x:c r="B212" s="12" t="n">
        <x:v>961.258</x:v>
      </x:c>
      <x:c r="C212" s="13" t="n">
        <x:v>484</x:v>
      </x:c>
      <x:c r="D212" s="12" t="n">
        <x:v>99994.4</x:v>
      </x:c>
      <x:c r="E212" s="12" t="n">
        <x:v>500.18012</x:v>
      </x:c>
      <x:c r="F212" s="12" t="n">
        <x:f>SUM(B212,D212:E212)</x:f>
        <x:v>101455.83812</x:v>
      </x:c>
      <x:c r="G212" s="12" t="n">
        <x:f>MAX(G211,F212)</x:f>
        <x:v>103854.818</x:v>
      </x:c>
      <x:c r="H212" s="14" t="n">
        <x:f>F212/G212-1</x:f>
        <x:v>-0.023099360493800125</x:v>
      </x:c>
      <x:c r="I212" s="14" t="n">
        <x:f>F212/F211-1</x:f>
        <x:v>-0.0019045850481874682</x:v>
      </x:c>
      <x:c r="J212" s="12" t="n">
        <x:v>0</x:v>
      </x:c>
      <x:c r="K212" s="12" t="n">
        <x:v>0</x:v>
      </x:c>
      <x:c r="L212" s="12" t="n">
        <x:v>0</x:v>
      </x:c>
      <x:c r="M212" s="2" t="str">
        <x:v>持有</x:v>
      </x:c>
    </x:row>
    <x:row r="213" ht="23" customHeight="1">
      <x:c r="A213" s="11" t="d">
        <x:v>2015-10-28T00:00:00.000Z</x:v>
      </x:c>
      <x:c r="B213" s="12" t="n">
        <x:v>961.258</x:v>
      </x:c>
      <x:c r="C213" s="13" t="n">
        <x:v>484</x:v>
      </x:c>
      <x:c r="D213" s="12" t="n">
        <x:v>101131.79999999999</x:v>
      </x:c>
      <x:c r="E213" s="12" t="n">
        <x:v>500.18012</x:v>
      </x:c>
      <x:c r="F213" s="12" t="n">
        <x:f>SUM(B213,D213:E213)</x:f>
        <x:v>102593.23812</x:v>
      </x:c>
      <x:c r="G213" s="12" t="n">
        <x:f>MAX(G212,F213)</x:f>
        <x:v>103854.818</x:v>
      </x:c>
      <x:c r="H213" s="14" t="n">
        <x:f>F213/G213-1</x:f>
        <x:v>-0.012147533492379736</x:v>
      </x:c>
      <x:c r="I213" s="14" t="n">
        <x:f>F213/F212-1</x:f>
        <x:v>0.011210789059321602</x:v>
      </x:c>
      <x:c r="J213" s="12" t="n">
        <x:v>0</x:v>
      </x:c>
      <x:c r="K213" s="12" t="n">
        <x:v>0</x:v>
      </x:c>
      <x:c r="L213" s="12" t="n">
        <x:v>0</x:v>
      </x:c>
      <x:c r="M213" s="2" t="str">
        <x:v>持有</x:v>
      </x:c>
    </x:row>
    <x:row r="214" ht="23" customHeight="1">
      <x:c r="A214" s="11" t="d">
        <x:v>2015-10-29T00:00:00.000Z</x:v>
      </x:c>
      <x:c r="B214" s="12" t="n">
        <x:v>961.258</x:v>
      </x:c>
      <x:c r="C214" s="13" t="n">
        <x:v>484</x:v>
      </x:c>
      <x:c r="D214" s="12" t="n">
        <x:v>101073.72</x:v>
      </x:c>
      <x:c r="E214" s="12" t="n">
        <x:v>500.18012</x:v>
      </x:c>
      <x:c r="F214" s="12" t="n">
        <x:f>SUM(B214,D214:E214)</x:f>
        <x:v>102535.15812000001</x:v>
      </x:c>
      <x:c r="G214" s="12" t="n">
        <x:f>MAX(G213,F214)</x:f>
        <x:v>103854.818</x:v>
      </x:c>
      <x:c r="H214" s="14" t="n">
        <x:f>F214/G214-1</x:f>
        <x:v>-0.012706775722239438</x:v>
      </x:c>
      <x:c r="I214" s="14" t="n">
        <x:f>F214/F213-1</x:f>
        <x:v>-0.0005661191815785616</x:v>
      </x:c>
      <x:c r="J214" s="12" t="n">
        <x:v>0</x:v>
      </x:c>
      <x:c r="K214" s="12" t="n">
        <x:v>0</x:v>
      </x:c>
      <x:c r="L214" s="12" t="n">
        <x:v>0</x:v>
      </x:c>
      <x:c r="M214" s="2" t="str">
        <x:v>持有</x:v>
      </x:c>
    </x:row>
    <x:row r="215" ht="23" customHeight="1">
      <x:c r="A215" s="11" t="d">
        <x:v>2015-10-30T00:00:00.000Z</x:v>
      </x:c>
      <x:c r="B215" s="12" t="n">
        <x:v>1461.43812</x:v>
      </x:c>
      <x:c r="C215" s="13" t="n">
        <x:v>484</x:v>
      </x:c>
      <x:c r="D215" s="12" t="n">
        <x:v>100638.12000000001</x:v>
      </x:c>
      <x:c r="E215" s="12" t="n">
        <x:v>0</x:v>
      </x:c>
      <x:c r="F215" s="12" t="n">
        <x:f>SUM(B215,D215:E215)</x:f>
        <x:v>102099.55812000002</x:v>
      </x:c>
      <x:c r="G215" s="12" t="n">
        <x:f>MAX(G214,F215)</x:f>
        <x:v>103854.818</x:v>
      </x:c>
      <x:c r="H215" s="14" t="n">
        <x:f>F215/G215-1</x:f>
        <x:v>-0.016901092446187538</x:v>
      </x:c>
      <x:c r="I215" s="14" t="n">
        <x:f>F215/F214-1</x:f>
        <x:v>-0.004248298905339287</x:v>
      </x:c>
      <x:c r="J215" s="12" t="n">
        <x:v>0</x:v>
      </x:c>
      <x:c r="K215" s="12" t="n">
        <x:v>500.18012</x:v>
      </x:c>
      <x:c r="L215" s="12" t="n">
        <x:v>0</x:v>
      </x:c>
      <x:c r="M215" s="2" t="str">
        <x:v>持有</x:v>
      </x:c>
    </x:row>
    <x:row r="216" ht="23" customHeight="1">
      <x:c r="A216" s="11" t="d">
        <x:v>2015-11-02T00:00:00.000Z</x:v>
      </x:c>
      <x:c r="B216" s="12" t="n">
        <x:v>1461.43812</x:v>
      </x:c>
      <x:c r="C216" s="13" t="n">
        <x:v>484</x:v>
      </x:c>
      <x:c r="D216" s="12" t="n">
        <x:v>101828.76</x:v>
      </x:c>
      <x:c r="E216" s="12" t="n">
        <x:v>0</x:v>
      </x:c>
      <x:c r="F216" s="12" t="n">
        <x:f>SUM(B216,D216:E216)</x:f>
        <x:v>103290.19812</x:v>
      </x:c>
      <x:c r="G216" s="12" t="n">
        <x:f>MAX(G215,F216)</x:f>
        <x:v>103854.818</x:v>
      </x:c>
      <x:c r="H216" s="14" t="n">
        <x:f>F216/G216-1</x:f>
        <x:v>-0.005436626734062533</x:v>
      </x:c>
      <x:c r="I216" s="14" t="n">
        <x:f>F216/F215-1</x:f>
        <x:v>0.011661558795392546</x:v>
      </x:c>
      <x:c r="J216" s="12" t="n">
        <x:v>0</x:v>
      </x:c>
      <x:c r="K216" s="12" t="n">
        <x:v>0</x:v>
      </x:c>
      <x:c r="L216" s="12" t="n">
        <x:v>0</x:v>
      </x:c>
      <x:c r="M216" s="2" t="str">
        <x:v>持有</x:v>
      </x:c>
    </x:row>
    <x:row r="217" ht="23" customHeight="1">
      <x:c r="A217" s="11" t="d">
        <x:v>2015-11-03T00:00:00.000Z</x:v>
      </x:c>
      <x:c r="B217" s="12" t="n">
        <x:v>1461.43812</x:v>
      </x:c>
      <x:c r="C217" s="13" t="n">
        <x:v>484</x:v>
      </x:c>
      <x:c r="D217" s="12" t="n">
        <x:v>102124</x:v>
      </x:c>
      <x:c r="E217" s="12" t="n">
        <x:v>0</x:v>
      </x:c>
      <x:c r="F217" s="12" t="n">
        <x:f>SUM(B217,D217:E217)</x:f>
        <x:v>103585.43812</x:v>
      </x:c>
      <x:c r="G217" s="12" t="n">
        <x:f>MAX(G216,F217)</x:f>
        <x:v>103854.818</x:v>
      </x:c>
      <x:c r="H217" s="14" t="n">
        <x:f>F217/G217-1</x:f>
        <x:v>-0.002593812065608714</x:v>
      </x:c>
      <x:c r="I217" s="14" t="n">
        <x:f>F217/F216-1</x:f>
        <x:v>0.00285835447480709</x:v>
      </x:c>
      <x:c r="J217" s="12" t="n">
        <x:v>0</x:v>
      </x:c>
      <x:c r="K217" s="12" t="n">
        <x:v>0</x:v>
      </x:c>
      <x:c r="L217" s="12" t="n">
        <x:v>0</x:v>
      </x:c>
      <x:c r="M217" s="2" t="str">
        <x:v>持有</x:v>
      </x:c>
    </x:row>
    <x:row r="218" ht="23" customHeight="1">
      <x:c r="A218" s="11" t="d">
        <x:v>2015-11-04T00:00:00.000Z</x:v>
      </x:c>
      <x:c r="B218" s="12" t="n">
        <x:v>1461.43812</x:v>
      </x:c>
      <x:c r="C218" s="13" t="n">
        <x:v>484</x:v>
      </x:c>
      <x:c r="D218" s="12" t="n">
        <x:v>101814.24</x:v>
      </x:c>
      <x:c r="E218" s="12" t="n">
        <x:v>0</x:v>
      </x:c>
      <x:c r="F218" s="12" t="n">
        <x:f>SUM(B218,D218:E218)</x:f>
        <x:v>103275.67812000001</x:v>
      </x:c>
      <x:c r="G218" s="12" t="n">
        <x:f>MAX(G217,F218)</x:f>
        <x:v>103854.818</x:v>
      </x:c>
      <x:c r="H218" s="14" t="n">
        <x:f>F218/G218-1</x:f>
        <x:v>-0.0055764372915273475</x:v>
      </x:c>
      <x:c r="I218" s="14" t="n">
        <x:f>F218/F217-1</x:f>
        <x:v>-0.002990381714089496</x:v>
      </x:c>
      <x:c r="J218" s="12" t="n">
        <x:v>0</x:v>
      </x:c>
      <x:c r="K218" s="12" t="n">
        <x:v>0</x:v>
      </x:c>
      <x:c r="L218" s="12" t="n">
        <x:v>0</x:v>
      </x:c>
      <x:c r="M218" s="2" t="str">
        <x:v>持有</x:v>
      </x:c>
    </x:row>
    <x:row r="219" ht="23" customHeight="1">
      <x:c r="A219" s="11" t="d">
        <x:v>2015-11-05T00:00:00.000Z</x:v>
      </x:c>
      <x:c r="B219" s="12" t="n">
        <x:v>1461.43812</x:v>
      </x:c>
      <x:c r="C219" s="13" t="n">
        <x:v>484</x:v>
      </x:c>
      <x:c r="D219" s="12" t="n">
        <x:v>101712.6</x:v>
      </x:c>
      <x:c r="E219" s="12" t="n">
        <x:v>0</x:v>
      </x:c>
      <x:c r="F219" s="12" t="n">
        <x:f>SUM(B219,D219:E219)</x:f>
        <x:v>103174.03812000001</x:v>
      </x:c>
      <x:c r="G219" s="12" t="n">
        <x:f>MAX(G218,F219)</x:f>
        <x:v>103854.818</x:v>
      </x:c>
      <x:c r="H219" s="14" t="n">
        <x:f>F219/G219-1</x:f>
        <x:v>-0.006555111193781937</x:v>
      </x:c>
      <x:c r="I219" s="14" t="n">
        <x:f>F219/F218-1</x:f>
        <x:v>-0.0009841620200440326</x:v>
      </x:c>
      <x:c r="J219" s="12" t="n">
        <x:v>0</x:v>
      </x:c>
      <x:c r="K219" s="12" t="n">
        <x:v>0</x:v>
      </x:c>
      <x:c r="L219" s="12" t="n">
        <x:v>0</x:v>
      </x:c>
      <x:c r="M219" s="2" t="str">
        <x:v>持有</x:v>
      </x:c>
    </x:row>
    <x:row r="220" ht="23" customHeight="1">
      <x:c r="A220" s="11" t="d">
        <x:v>2015-11-06T00:00:00.000Z</x:v>
      </x:c>
      <x:c r="B220" s="12" t="n">
        <x:v>1461.43812</x:v>
      </x:c>
      <x:c r="C220" s="13" t="n">
        <x:v>484</x:v>
      </x:c>
      <x:c r="D220" s="12" t="n">
        <x:v>101659.36</x:v>
      </x:c>
      <x:c r="E220" s="12" t="n">
        <x:v>0</x:v>
      </x:c>
      <x:c r="F220" s="12" t="n">
        <x:f>SUM(B220,D220:E220)</x:f>
        <x:v>103120.79812</x:v>
      </x:c>
      <x:c r="G220" s="12" t="n">
        <x:f>MAX(G219,F220)</x:f>
        <x:v>103854.818</x:v>
      </x:c>
      <x:c r="H220" s="14" t="n">
        <x:f>F220/G220-1</x:f>
        <x:v>-0.007067749904486775</x:v>
      </x:c>
      <x:c r="I220" s="14" t="n">
        <x:f>F220/F219-1</x:f>
        <x:v>-0.0005160212876235137</x:v>
      </x:c>
      <x:c r="J220" s="12" t="n">
        <x:v>0</x:v>
      </x:c>
      <x:c r="K220" s="12" t="n">
        <x:v>0</x:v>
      </x:c>
      <x:c r="L220" s="12" t="n">
        <x:v>0</x:v>
      </x:c>
      <x:c r="M220" s="2" t="str">
        <x:v>持有</x:v>
      </x:c>
    </x:row>
    <x:row r="221" ht="23" customHeight="1">
      <x:c r="A221" s="11" t="d">
        <x:v>2015-11-09T00:00:00.000Z</x:v>
      </x:c>
      <x:c r="B221" s="12" t="n">
        <x:v>1461.43812</x:v>
      </x:c>
      <x:c r="C221" s="13" t="n">
        <x:v>484</x:v>
      </x:c>
      <x:c r="D221" s="12" t="n">
        <x:v>100710.72</x:v>
      </x:c>
      <x:c r="E221" s="12" t="n">
        <x:v>0</x:v>
      </x:c>
      <x:c r="F221" s="12" t="n">
        <x:f>SUM(B221,D221:E221)</x:f>
        <x:v>102172.15812000001</x:v>
      </x:c>
      <x:c r="G221" s="12" t="n">
        <x:f>MAX(G220,F221)</x:f>
        <x:v>103854.818</x:v>
      </x:c>
      <x:c r="H221" s="14" t="n">
        <x:f>F221/G221-1</x:f>
        <x:v>-0.01620203965886291</x:v>
      </x:c>
      <x:c r="I221" s="14" t="n">
        <x:f>F221/F220-1</x:f>
        <x:v>-0.009199308163772013</x:v>
      </x:c>
      <x:c r="J221" s="12" t="n">
        <x:v>0</x:v>
      </x:c>
      <x:c r="K221" s="12" t="n">
        <x:v>0</x:v>
      </x:c>
      <x:c r="L221" s="12" t="n">
        <x:v>0</x:v>
      </x:c>
      <x:c r="M221" s="2" t="str">
        <x:v>持有</x:v>
      </x:c>
    </x:row>
    <x:row r="222" ht="23" customHeight="1">
      <x:c r="A222" s="11" t="d">
        <x:v>2015-11-10T00:00:00.000Z</x:v>
      </x:c>
      <x:c r="B222" s="12" t="n">
        <x:v>1461.43812</x:v>
      </x:c>
      <x:c r="C222" s="13" t="n">
        <x:v>484</x:v>
      </x:c>
      <x:c r="D222" s="12" t="n">
        <x:v>100943.04000000001</x:v>
      </x:c>
      <x:c r="E222" s="12" t="n">
        <x:v>0</x:v>
      </x:c>
      <x:c r="F222" s="12" t="n">
        <x:f>SUM(B222,D222:E222)</x:f>
        <x:v>102404.47812000001</x:v>
      </x:c>
      <x:c r="G222" s="12" t="n">
        <x:f>MAX(G221,F222)</x:f>
        <x:v>103854.818</x:v>
      </x:c>
      <x:c r="H222" s="14" t="n">
        <x:f>F222/G222-1</x:f>
        <x:v>-0.013965070739423768</x:v>
      </x:c>
      <x:c r="I222" s="14" t="n">
        <x:f>F222/F221-1</x:f>
        <x:v>0.002273809267365756</x:v>
      </x:c>
      <x:c r="J222" s="12" t="n">
        <x:v>0</x:v>
      </x:c>
      <x:c r="K222" s="12" t="n">
        <x:v>0</x:v>
      </x:c>
      <x:c r="L222" s="12" t="n">
        <x:v>0</x:v>
      </x:c>
      <x:c r="M222" s="2" t="str">
        <x:v>持有</x:v>
      </x:c>
    </x:row>
    <x:row r="223" ht="23" customHeight="1">
      <x:c r="A223" s="11" t="d">
        <x:v>2015-11-11T00:00:00.000Z</x:v>
      </x:c>
      <x:c r="B223" s="12" t="n">
        <x:v>1461.43812</x:v>
      </x:c>
      <x:c r="C223" s="13" t="n">
        <x:v>484</x:v>
      </x:c>
      <x:c r="D223" s="12" t="n">
        <x:v>100546.16</x:v>
      </x:c>
      <x:c r="E223" s="12" t="n">
        <x:v>0</x:v>
      </x:c>
      <x:c r="F223" s="12" t="n">
        <x:f>SUM(B223,D223:E223)</x:f>
        <x:v>102007.59812000001</x:v>
      </x:c>
      <x:c r="G223" s="12" t="n">
        <x:f>MAX(G222,F223)</x:f>
        <x:v>103854.818</x:v>
      </x:c>
      <x:c r="H223" s="14" t="n">
        <x:f>F223/G223-1</x:f>
        <x:v>-0.01778655931013229</x:v>
      </x:c>
      <x:c r="I223" s="14" t="n">
        <x:f>F223/F222-1</x:f>
        <x:v>-0.0038756117631392195</x:v>
      </x:c>
      <x:c r="J223" s="12" t="n">
        <x:v>0</x:v>
      </x:c>
      <x:c r="K223" s="12" t="n">
        <x:v>0</x:v>
      </x:c>
      <x:c r="L223" s="12" t="n">
        <x:v>0</x:v>
      </x:c>
      <x:c r="M223" s="2" t="str">
        <x:v>持有</x:v>
      </x:c>
    </x:row>
    <x:row r="224" ht="23" customHeight="1">
      <x:c r="A224" s="11" t="d">
        <x:v>2015-11-12T00:00:00.000Z</x:v>
      </x:c>
      <x:c r="B224" s="12" t="n">
        <x:v>1461.43812</x:v>
      </x:c>
      <x:c r="C224" s="13" t="n">
        <x:v>484</x:v>
      </x:c>
      <x:c r="D224" s="12" t="n">
        <x:v>99142.56</x:v>
      </x:c>
      <x:c r="E224" s="12" t="n">
        <x:v>0</x:v>
      </x:c>
      <x:c r="F224" s="12" t="n">
        <x:f>SUM(B224,D224:E224)</x:f>
        <x:v>100603.99812</x:v>
      </x:c>
      <x:c r="G224" s="12" t="n">
        <x:f>MAX(G223,F224)</x:f>
        <x:v>103854.818</x:v>
      </x:c>
      <x:c r="H224" s="14" t="n">
        <x:f>F224/G224-1</x:f>
        <x:v>-0.031301579865076645</x:v>
      </x:c>
      <x:c r="I224" s="14" t="n">
        <x:f>F224/F223-1</x:f>
        <x:v>-0.013759759330367105</x:v>
      </x:c>
      <x:c r="J224" s="12" t="n">
        <x:v>0</x:v>
      </x:c>
      <x:c r="K224" s="12" t="n">
        <x:v>0</x:v>
      </x:c>
      <x:c r="L224" s="12" t="n">
        <x:v>0</x:v>
      </x:c>
      <x:c r="M224" s="2" t="str">
        <x:v>持有</x:v>
      </x:c>
    </x:row>
    <x:row r="225" ht="23" customHeight="1">
      <x:c r="A225" s="11" t="d">
        <x:v>2015-11-13T00:00:00.000Z</x:v>
      </x:c>
      <x:c r="B225" s="12" t="n">
        <x:v>1461.43812</x:v>
      </x:c>
      <x:c r="C225" s="13" t="n">
        <x:v>484</x:v>
      </x:c>
      <x:c r="D225" s="12" t="n">
        <x:v>98029.36</x:v>
      </x:c>
      <x:c r="E225" s="12" t="n">
        <x:v>0</x:v>
      </x:c>
      <x:c r="F225" s="12" t="n">
        <x:f>SUM(B225,D225:E225)</x:f>
        <x:v>99490.79812</x:v>
      </x:c>
      <x:c r="G225" s="12" t="n">
        <x:f>MAX(G224,F225)</x:f>
        <x:v>103854.818</x:v>
      </x:c>
      <x:c r="H225" s="14" t="n">
        <x:f>F225/G225-1</x:f>
        <x:v>-0.04202038927072205</x:v>
      </x:c>
      <x:c r="I225" s="14" t="n">
        <x:f>F225/F224-1</x:f>
        <x:v>-0.011065166601750498</x:v>
      </x:c>
      <x:c r="J225" s="12" t="n">
        <x:v>0</x:v>
      </x:c>
      <x:c r="K225" s="12" t="n">
        <x:v>0</x:v>
      </x:c>
      <x:c r="L225" s="12" t="n">
        <x:v>0</x:v>
      </x:c>
      <x:c r="M225" s="2" t="str">
        <x:v>持有</x:v>
      </x:c>
    </x:row>
    <x:row r="226" ht="23" customHeight="1">
      <x:c r="A226" s="11" t="d">
        <x:v>2015-11-16T00:00:00.000Z</x:v>
      </x:c>
      <x:c r="B226" s="12" t="n">
        <x:v>1461.43812</x:v>
      </x:c>
      <x:c r="C226" s="13" t="n">
        <x:v>484</x:v>
      </x:c>
      <x:c r="D226" s="12" t="n">
        <x:v>99520.08</x:v>
      </x:c>
      <x:c r="E226" s="12" t="n">
        <x:v>0</x:v>
      </x:c>
      <x:c r="F226" s="12" t="n">
        <x:f>SUM(B226,D226:E226)</x:f>
        <x:v>100981.51812000001</x:v>
      </x:c>
      <x:c r="G226" s="12" t="n">
        <x:f>MAX(G225,F226)</x:f>
        <x:v>103854.818</x:v>
      </x:c>
      <x:c r="H226" s="14" t="n">
        <x:f>F226/G226-1</x:f>
        <x:v>-0.027666505370988137</x:v>
      </x:c>
      <x:c r="I226" s="14" t="n">
        <x:f>F226/F225-1</x:f>
        <x:v>0.014983496244567185</x:v>
      </x:c>
      <x:c r="J226" s="12" t="n">
        <x:v>0</x:v>
      </x:c>
      <x:c r="K226" s="12" t="n">
        <x:v>0</x:v>
      </x:c>
      <x:c r="L226" s="12" t="n">
        <x:v>0</x:v>
      </x:c>
      <x:c r="M226" s="2" t="str">
        <x:v>持有</x:v>
      </x:c>
    </x:row>
    <x:row r="227" ht="23" customHeight="1">
      <x:c r="A227" s="11" t="d">
        <x:v>2015-11-17T00:00:00.000Z</x:v>
      </x:c>
      <x:c r="B227" s="12" t="n">
        <x:v>1461.43812</x:v>
      </x:c>
      <x:c r="C227" s="13" t="n">
        <x:v>484</x:v>
      </x:c>
      <x:c r="D227" s="12" t="n">
        <x:v>99447.48</x:v>
      </x:c>
      <x:c r="E227" s="12" t="n">
        <x:v>0</x:v>
      </x:c>
      <x:c r="F227" s="12" t="n">
        <x:f>SUM(B227,D227:E227)</x:f>
        <x:v>100908.91812</x:v>
      </x:c>
      <x:c r="G227" s="12" t="n">
        <x:f>MAX(G226,F227)</x:f>
        <x:v>103854.818</x:v>
      </x:c>
      <x:c r="H227" s="14" t="n">
        <x:f>F227/G227-1</x:f>
        <x:v>-0.028365558158312876</x:v>
      </x:c>
      <x:c r="I227" s="14" t="n">
        <x:f>F227/F226-1</x:f>
        <x:v>-0.0007189434398652272</x:v>
      </x:c>
      <x:c r="J227" s="12" t="n">
        <x:v>0</x:v>
      </x:c>
      <x:c r="K227" s="12" t="n">
        <x:v>0</x:v>
      </x:c>
      <x:c r="L227" s="12" t="n">
        <x:v>0</x:v>
      </x:c>
      <x:c r="M227" s="2" t="str">
        <x:v>持有</x:v>
      </x:c>
    </x:row>
    <x:row r="228" ht="23" customHeight="1">
      <x:c r="A228" s="11" t="d">
        <x:v>2015-11-18T00:00:00.000Z</x:v>
      </x:c>
      <x:c r="B228" s="12" t="n">
        <x:v>1461.43812</x:v>
      </x:c>
      <x:c r="C228" s="13" t="n">
        <x:v>484</x:v>
      </x:c>
      <x:c r="D228" s="12" t="n">
        <x:v>101025.31999999999</x:v>
      </x:c>
      <x:c r="E228" s="12" t="n">
        <x:v>0</x:v>
      </x:c>
      <x:c r="F228" s="12" t="n">
        <x:f>SUM(B228,D228:E228)</x:f>
        <x:v>102486.75812</x:v>
      </x:c>
      <x:c r="G228" s="12" t="n">
        <x:f>MAX(G227,F228)</x:f>
        <x:v>103854.818</x:v>
      </x:c>
      <x:c r="H228" s="14" t="n">
        <x:f>F228/G228-1</x:f>
        <x:v>-0.013172810913789301</x:v>
      </x:c>
      <x:c r="I228" s="14" t="n">
        <x:f>F228/F227-1</x:f>
        <x:v>0.015636279026633115</x:v>
      </x:c>
      <x:c r="J228" s="12" t="n">
        <x:v>0</x:v>
      </x:c>
      <x:c r="K228" s="12" t="n">
        <x:v>0</x:v>
      </x:c>
      <x:c r="L228" s="12" t="n">
        <x:v>0</x:v>
      </x:c>
      <x:c r="M228" s="2" t="str">
        <x:v>持有</x:v>
      </x:c>
    </x:row>
    <x:row r="229" ht="23" customHeight="1">
      <x:c r="A229" s="11" t="d">
        <x:v>2015-11-19T00:00:00.000Z</x:v>
      </x:c>
      <x:c r="B229" s="12" t="n">
        <x:v>1461.43812</x:v>
      </x:c>
      <x:c r="C229" s="13" t="n">
        <x:v>484</x:v>
      </x:c>
      <x:c r="D229" s="12" t="n">
        <x:v>100938.20000000001</x:v>
      </x:c>
      <x:c r="E229" s="12" t="n">
        <x:v>0</x:v>
      </x:c>
      <x:c r="F229" s="12" t="n">
        <x:f>SUM(B229,D229:E229)</x:f>
        <x:v>102399.63812000002</x:v>
      </x:c>
      <x:c r="G229" s="12" t="n">
        <x:f>MAX(G228,F229)</x:f>
        <x:v>103854.818</x:v>
      </x:c>
      <x:c r="H229" s="14" t="n">
        <x:f>F229/G229-1</x:f>
        <x:v>-0.014011674258578743</x:v>
      </x:c>
      <x:c r="I229" s="14" t="n">
        <x:f>F229/F228-1</x:f>
        <x:v>-0.0008500610381096951</x:v>
      </x:c>
      <x:c r="J229" s="12" t="n">
        <x:v>0</x:v>
      </x:c>
      <x:c r="K229" s="12" t="n">
        <x:v>0</x:v>
      </x:c>
      <x:c r="L229" s="12" t="n">
        <x:v>0</x:v>
      </x:c>
      <x:c r="M229" s="2" t="str">
        <x:v>持有</x:v>
      </x:c>
    </x:row>
    <x:row r="230" ht="23" customHeight="1">
      <x:c r="A230" s="11" t="d">
        <x:v>2015-11-20T00:00:00.000Z</x:v>
      </x:c>
      <x:c r="B230" s="12" t="n">
        <x:v>1461.43812</x:v>
      </x:c>
      <x:c r="C230" s="13" t="n">
        <x:v>484</x:v>
      </x:c>
      <x:c r="D230" s="12" t="n">
        <x:v>101306.04000000001</x:v>
      </x:c>
      <x:c r="E230" s="12" t="n">
        <x:v>0</x:v>
      </x:c>
      <x:c r="F230" s="12" t="n">
        <x:f>SUM(B230,D230:E230)</x:f>
        <x:v>102767.47812000001</x:v>
      </x:c>
      <x:c r="G230" s="12" t="n">
        <x:f>MAX(G229,F230)</x:f>
        <x:v>103854.818</x:v>
      </x:c>
      <x:c r="H230" s="14" t="n">
        <x:f>F230/G230-1</x:f>
        <x:v>-0.010469806802800297</x:v>
      </x:c>
      <x:c r="I230" s="14" t="n">
        <x:f>F230/F229-1</x:f>
        <x:v>0.003592200194779238</x:v>
      </x:c>
      <x:c r="J230" s="12" t="n">
        <x:v>0</x:v>
      </x:c>
      <x:c r="K230" s="12" t="n">
        <x:v>0</x:v>
      </x:c>
      <x:c r="L230" s="12" t="n">
        <x:v>0</x:v>
      </x:c>
      <x:c r="M230" s="2" t="str">
        <x:v>持有</x:v>
      </x:c>
    </x:row>
    <x:row r="231" ht="23" customHeight="1">
      <x:c r="A231" s="11" t="d">
        <x:v>2015-11-23T00:00:00.000Z</x:v>
      </x:c>
      <x:c r="B231" s="12" t="n">
        <x:v>1461.43812</x:v>
      </x:c>
      <x:c r="C231" s="13" t="n">
        <x:v>484</x:v>
      </x:c>
      <x:c r="D231" s="12" t="n">
        <x:v>101189.87999999999</x:v>
      </x:c>
      <x:c r="E231" s="12" t="n">
        <x:v>0</x:v>
      </x:c>
      <x:c r="F231" s="12" t="n">
        <x:f>SUM(B231,D231:E231)</x:f>
        <x:v>102651.31812</x:v>
      </x:c>
      <x:c r="G231" s="12" t="n">
        <x:f>MAX(G230,F231)</x:f>
        <x:v>103854.818</x:v>
      </x:c>
      <x:c r="H231" s="14" t="n">
        <x:f>F231/G231-1</x:f>
        <x:v>-0.011588291262520034</x:v>
      </x:c>
      <x:c r="I231" s="14" t="n">
        <x:f>F231/F230-1</x:f>
        <x:v>-0.0011303186779029195</x:v>
      </x:c>
      <x:c r="J231" s="12" t="n">
        <x:v>0</x:v>
      </x:c>
      <x:c r="K231" s="12" t="n">
        <x:v>0</x:v>
      </x:c>
      <x:c r="L231" s="12" t="n">
        <x:v>0</x:v>
      </x:c>
      <x:c r="M231" s="2" t="str">
        <x:v>持有</x:v>
      </x:c>
    </x:row>
    <x:row r="232" ht="23" customHeight="1">
      <x:c r="A232" s="11" t="d">
        <x:v>2015-11-24T00:00:00.000Z</x:v>
      </x:c>
      <x:c r="B232" s="12" t="n">
        <x:v>1461.43812</x:v>
      </x:c>
      <x:c r="C232" s="13" t="n">
        <x:v>484</x:v>
      </x:c>
      <x:c r="D232" s="12" t="n">
        <x:v>101325.4</x:v>
      </x:c>
      <x:c r="E232" s="12" t="n">
        <x:v>0</x:v>
      </x:c>
      <x:c r="F232" s="12" t="n">
        <x:f>SUM(B232,D232:E232)</x:f>
        <x:v>102786.83812</x:v>
      </x:c>
      <x:c r="G232" s="12" t="n">
        <x:f>MAX(G231,F232)</x:f>
        <x:v>103854.818</x:v>
      </x:c>
      <x:c r="H232" s="14" t="n">
        <x:f>F232/G232-1</x:f>
        <x:v>-0.010283392726180507</x:v>
      </x:c>
      <x:c r="I232" s="14" t="n">
        <x:f>F232/F231-1</x:f>
        <x:v>0.001320197367963516</x:v>
      </x:c>
      <x:c r="J232" s="12" t="n">
        <x:v>0</x:v>
      </x:c>
      <x:c r="K232" s="12" t="n">
        <x:v>0</x:v>
      </x:c>
      <x:c r="L232" s="12" t="n">
        <x:v>0</x:v>
      </x:c>
      <x:c r="M232" s="2" t="str">
        <x:v>持有</x:v>
      </x:c>
    </x:row>
    <x:row r="233" ht="23" customHeight="1">
      <x:c r="A233" s="11" t="d">
        <x:v>2015-11-25T00:00:00.000Z</x:v>
      </x:c>
      <x:c r="B233" s="12" t="n">
        <x:v>1461.43812</x:v>
      </x:c>
      <x:c r="C233" s="13" t="n">
        <x:v>484</x:v>
      </x:c>
      <x:c r="D233" s="12" t="n">
        <x:v>101310.87999999999</x:v>
      </x:c>
      <x:c r="E233" s="12" t="n">
        <x:v>0</x:v>
      </x:c>
      <x:c r="F233" s="12" t="n">
        <x:f>SUM(B233,D233:E233)</x:f>
        <x:v>102772.31812</x:v>
      </x:c>
      <x:c r="G233" s="12" t="n">
        <x:f>MAX(G232,F233)</x:f>
        <x:v>103854.818</x:v>
      </x:c>
      <x:c r="H233" s="14" t="n">
        <x:f>F233/G233-1</x:f>
        <x:v>-0.010423203283645432</x:v>
      </x:c>
      <x:c r="I233" s="14" t="n">
        <x:f>F233/F232-1</x:f>
        <x:v>-0.0001412632226613919</x:v>
      </x:c>
      <x:c r="J233" s="12" t="n">
        <x:v>0</x:v>
      </x:c>
      <x:c r="K233" s="12" t="n">
        <x:v>0</x:v>
      </x:c>
      <x:c r="L233" s="12" t="n">
        <x:v>0</x:v>
      </x:c>
      <x:c r="M233" s="2" t="str">
        <x:v>持有</x:v>
      </x:c>
    </x:row>
    <x:row r="234" ht="23" customHeight="1">
      <x:c r="A234" s="11" t="d">
        <x:v>2015-11-27T00:00:00.000Z</x:v>
      </x:c>
      <x:c r="B234" s="12" t="n">
        <x:v>1461.43812</x:v>
      </x:c>
      <x:c r="C234" s="13" t="n">
        <x:v>484</x:v>
      </x:c>
      <x:c r="D234" s="12" t="n">
        <x:v>101427.04000000001</x:v>
      </x:c>
      <x:c r="E234" s="12" t="n">
        <x:v>0</x:v>
      </x:c>
      <x:c r="F234" s="12" t="n">
        <x:f>SUM(B234,D234:E234)</x:f>
        <x:v>102888.47812000001</x:v>
      </x:c>
      <x:c r="G234" s="12" t="n">
        <x:f>MAX(G233,F234)</x:f>
        <x:v>103854.818</x:v>
      </x:c>
      <x:c r="H234" s="14" t="n">
        <x:f>F234/G234-1</x:f>
        <x:v>-0.009304718823925806</x:v>
      </x:c>
      <x:c r="I234" s="14" t="n">
        <x:f>F234/F233-1</x:f>
        <x:v>0.001130265446230183</x:v>
      </x:c>
      <x:c r="J234" s="12" t="n">
        <x:v>0</x:v>
      </x:c>
      <x:c r="K234" s="12" t="n">
        <x:v>0</x:v>
      </x:c>
      <x:c r="L234" s="12" t="n">
        <x:v>0</x:v>
      </x:c>
      <x:c r="M234" s="2" t="str">
        <x:v>持有</x:v>
      </x:c>
    </x:row>
    <x:row r="235" ht="23" customHeight="1">
      <x:c r="A235" s="11" t="d">
        <x:v>2015-11-30T00:00:00.000Z</x:v>
      </x:c>
      <x:c r="B235" s="12" t="n">
        <x:v>1461.43812</x:v>
      </x:c>
      <x:c r="C235" s="13" t="n">
        <x:v>484</x:v>
      </x:c>
      <x:c r="D235" s="12" t="n">
        <x:v>101005.95999999999</x:v>
      </x:c>
      <x:c r="E235" s="12" t="n">
        <x:v>0</x:v>
      </x:c>
      <x:c r="F235" s="12" t="n">
        <x:f>SUM(B235,D235:E235)</x:f>
        <x:v>102467.39812</x:v>
      </x:c>
      <x:c r="G235" s="12" t="n">
        <x:f>MAX(G234,F235)</x:f>
        <x:v>103854.818</x:v>
      </x:c>
      <x:c r="H235" s="14" t="n">
        <x:f>F235/G235-1</x:f>
        <x:v>-0.013359224990409202</x:v>
      </x:c>
      <x:c r="I235" s="14" t="n">
        <x:f>F235/F234-1</x:f>
        <x:v>-0.0040925865334396905</x:v>
      </x:c>
      <x:c r="J235" s="12" t="n">
        <x:v>0</x:v>
      </x:c>
      <x:c r="K235" s="12" t="n">
        <x:v>0</x:v>
      </x:c>
      <x:c r="L235" s="12" t="n">
        <x:v>0</x:v>
      </x:c>
      <x:c r="M235" s="2" t="str">
        <x:v>持有</x:v>
      </x:c>
    </x:row>
    <x:row r="236" ht="23" customHeight="1">
      <x:c r="A236" s="11" t="d">
        <x:v>2015-12-01T00:00:00.000Z</x:v>
      </x:c>
      <x:c r="B236" s="12" t="n">
        <x:v>1461.43812</x:v>
      </x:c>
      <x:c r="C236" s="13" t="n">
        <x:v>484</x:v>
      </x:c>
      <x:c r="D236" s="12" t="n">
        <x:v>101969.12000000001</x:v>
      </x:c>
      <x:c r="E236" s="12" t="n">
        <x:v>0</x:v>
      </x:c>
      <x:c r="F236" s="12" t="n">
        <x:f>SUM(B236,D236:E236)</x:f>
        <x:v>103430.55812000002</x:v>
      </x:c>
      <x:c r="G236" s="12" t="n">
        <x:f>MAX(G235,F236)</x:f>
        <x:v>103854.818</x:v>
      </x:c>
      <x:c r="H236" s="14" t="n">
        <x:f>F236/G236-1</x:f>
        <x:v>-0.00408512467856792</x:v>
      </x:c>
      <x:c r="I236" s="14" t="n">
        <x:f>F236/F235-1</x:f>
        <x:v>0.009399672653657598</x:v>
      </x:c>
      <x:c r="J236" s="12" t="n">
        <x:v>0</x:v>
      </x:c>
      <x:c r="K236" s="12" t="n">
        <x:v>0</x:v>
      </x:c>
      <x:c r="L236" s="12" t="n">
        <x:v>0</x:v>
      </x:c>
      <x:c r="M236" s="2" t="str">
        <x:v>持有</x:v>
      </x:c>
    </x:row>
    <x:row r="237" ht="23" customHeight="1">
      <x:c r="A237" s="11" t="d">
        <x:v>2015-12-02T00:00:00.000Z</x:v>
      </x:c>
      <x:c r="B237" s="12" t="n">
        <x:v>1461.43812</x:v>
      </x:c>
      <x:c r="C237" s="13" t="n">
        <x:v>484</x:v>
      </x:c>
      <x:c r="D237" s="12" t="n">
        <x:v>100928.52</x:v>
      </x:c>
      <x:c r="E237" s="12" t="n">
        <x:v>0</x:v>
      </x:c>
      <x:c r="F237" s="12" t="n">
        <x:f>SUM(B237,D237:E237)</x:f>
        <x:v>102389.95812000001</x:v>
      </x:c>
      <x:c r="G237" s="12" t="n">
        <x:f>MAX(G236,F237)</x:f>
        <x:v>103854.818</x:v>
      </x:c>
      <x:c r="H237" s="14" t="n">
        <x:f>F237/G237-1</x:f>
        <x:v>-0.014104881296888805</x:v>
      </x:c>
      <x:c r="I237" s="14" t="n">
        <x:f>F237/F236-1</x:f>
        <x:v>-0.010060856471379553</x:v>
      </x:c>
      <x:c r="J237" s="12" t="n">
        <x:v>0</x:v>
      </x:c>
      <x:c r="K237" s="12" t="n">
        <x:v>0</x:v>
      </x:c>
      <x:c r="L237" s="12" t="n">
        <x:v>0</x:v>
      </x:c>
      <x:c r="M237" s="2" t="str">
        <x:v>持有</x:v>
      </x:c>
    </x:row>
    <x:row r="238" ht="23" customHeight="1">
      <x:c r="A238" s="11" t="d">
        <x:v>2015-12-03T00:00:00.000Z</x:v>
      </x:c>
      <x:c r="B238" s="12" t="n">
        <x:v>1461.43812</x:v>
      </x:c>
      <x:c r="C238" s="13" t="n">
        <x:v>484</x:v>
      </x:c>
      <x:c r="D238" s="12" t="n">
        <x:v>99515.24</x:v>
      </x:c>
      <x:c r="E238" s="12" t="n">
        <x:v>0</x:v>
      </x:c>
      <x:c r="F238" s="12" t="n">
        <x:f>SUM(B238,D238:E238)</x:f>
        <x:v>100976.67812000001</x:v>
      </x:c>
      <x:c r="G238" s="12" t="n">
        <x:f>MAX(G237,F238)</x:f>
        <x:v>103854.818</x:v>
      </x:c>
      <x:c r="H238" s="14" t="n">
        <x:f>F238/G238-1</x:f>
        <x:v>-0.027713108890143</x:v>
      </x:c>
      <x:c r="I238" s="14" t="n">
        <x:f>F238/F237-1</x:f>
        <x:v>-0.01380291608620099</x:v>
      </x:c>
      <x:c r="J238" s="12" t="n">
        <x:v>0</x:v>
      </x:c>
      <x:c r="K238" s="12" t="n">
        <x:v>0</x:v>
      </x:c>
      <x:c r="L238" s="12" t="n">
        <x:v>0</x:v>
      </x:c>
      <x:c r="M238" s="2" t="str">
        <x:v>持有</x:v>
      </x:c>
    </x:row>
    <x:row r="239" ht="23" customHeight="1">
      <x:c r="A239" s="11" t="d">
        <x:v>2015-12-04T00:00:00.000Z</x:v>
      </x:c>
      <x:c r="B239" s="12" t="n">
        <x:v>1461.43812</x:v>
      </x:c>
      <x:c r="C239" s="13" t="n">
        <x:v>484</x:v>
      </x:c>
      <x:c r="D239" s="12" t="n">
        <x:v>101456.08</x:v>
      </x:c>
      <x:c r="E239" s="12" t="n">
        <x:v>0</x:v>
      </x:c>
      <x:c r="F239" s="12" t="n">
        <x:f>SUM(B239,D239:E239)</x:f>
        <x:v>102917.51812000001</x:v>
      </x:c>
      <x:c r="G239" s="12" t="n">
        <x:f>MAX(G238,F239)</x:f>
        <x:v>103854.818</x:v>
      </x:c>
      <x:c r="H239" s="14" t="n">
        <x:f>F239/G239-1</x:f>
        <x:v>-0.009025097708995955</x:v>
      </x:c>
      <x:c r="I239" s="14" t="n">
        <x:f>F239/F238-1</x:f>
        <x:v>0.01922067586431697</x:v>
      </x:c>
      <x:c r="J239" s="12" t="n">
        <x:v>0</x:v>
      </x:c>
      <x:c r="K239" s="12" t="n">
        <x:v>0</x:v>
      </x:c>
      <x:c r="L239" s="12" t="n">
        <x:v>0</x:v>
      </x:c>
      <x:c r="M239" s="2" t="str">
        <x:v>持有</x:v>
      </x:c>
    </x:row>
    <x:row r="240" ht="23" customHeight="1">
      <x:c r="A240" s="11" t="d">
        <x:v>2015-12-07T00:00:00.000Z</x:v>
      </x:c>
      <x:c r="B240" s="12" t="n">
        <x:v>1461.43812</x:v>
      </x:c>
      <x:c r="C240" s="13" t="n">
        <x:v>484</x:v>
      </x:c>
      <x:c r="D240" s="12" t="n">
        <x:v>100841.4</x:v>
      </x:c>
      <x:c r="E240" s="12" t="n">
        <x:v>0</x:v>
      </x:c>
      <x:c r="F240" s="12" t="n">
        <x:f>SUM(B240,D240:E240)</x:f>
        <x:v>102302.83812</x:v>
      </x:c>
      <x:c r="G240" s="12" t="n">
        <x:f>MAX(G239,F240)</x:f>
        <x:v>103854.818</x:v>
      </x:c>
      <x:c r="H240" s="14" t="n">
        <x:f>F240/G240-1</x:f>
        <x:v>-0.01494374464167858</x:v>
      </x:c>
      <x:c r="I240" s="14" t="n">
        <x:f>F240/F239-1</x:f>
        <x:v>-0.00597254977800088</x:v>
      </x:c>
      <x:c r="J240" s="12" t="n">
        <x:v>0</x:v>
      </x:c>
      <x:c r="K240" s="12" t="n">
        <x:v>0</x:v>
      </x:c>
      <x:c r="L240" s="12" t="n">
        <x:v>0</x:v>
      </x:c>
      <x:c r="M240" s="2" t="str">
        <x:v>持有</x:v>
      </x:c>
    </x:row>
    <x:row r="241" ht="23" customHeight="1">
      <x:c r="A241" s="11" t="d">
        <x:v>2015-12-08T00:00:00.000Z</x:v>
      </x:c>
      <x:c r="B241" s="12" t="n">
        <x:v>1461.43812</x:v>
      </x:c>
      <x:c r="C241" s="13" t="n">
        <x:v>484</x:v>
      </x:c>
      <x:c r="D241" s="12" t="n">
        <x:v>100163.79999999999</x:v>
      </x:c>
      <x:c r="E241" s="12" t="n">
        <x:v>0</x:v>
      </x:c>
      <x:c r="F241" s="12" t="n">
        <x:f>SUM(B241,D241:E241)</x:f>
        <x:v>101625.23812</x:v>
      </x:c>
      <x:c r="G241" s="12" t="n">
        <x:f>MAX(G240,F241)</x:f>
        <x:v>103854.818</x:v>
      </x:c>
      <x:c r="H241" s="14" t="n">
        <x:f>F241/G241-1</x:f>
        <x:v>-0.021468237323375883</x:v>
      </x:c>
      <x:c r="I241" s="14" t="n">
        <x:f>F241/F240-1</x:f>
        <x:v>-0.006623472158271748</x:v>
      </x:c>
      <x:c r="J241" s="12" t="n">
        <x:v>0</x:v>
      </x:c>
      <x:c r="K241" s="12" t="n">
        <x:v>0</x:v>
      </x:c>
      <x:c r="L241" s="12" t="n">
        <x:v>0</x:v>
      </x:c>
      <x:c r="M241" s="2" t="str">
        <x:v>持有</x:v>
      </x:c>
    </x:row>
    <x:row r="242" ht="23" customHeight="1">
      <x:c r="A242" s="11" t="d">
        <x:v>2015-12-09T00:00:00.000Z</x:v>
      </x:c>
      <x:c r="B242" s="12" t="n">
        <x:v>1461.43812</x:v>
      </x:c>
      <x:c r="C242" s="13" t="n">
        <x:v>484</x:v>
      </x:c>
      <x:c r="D242" s="12" t="n">
        <x:v>99384.56</x:v>
      </x:c>
      <x:c r="E242" s="12" t="n">
        <x:v>0</x:v>
      </x:c>
      <x:c r="F242" s="12" t="n">
        <x:f>SUM(B242,D242:E242)</x:f>
        <x:v>100845.99812</x:v>
      </x:c>
      <x:c r="G242" s="12" t="n">
        <x:f>MAX(G241,F242)</x:f>
        <x:v>103854.818</x:v>
      </x:c>
      <x:c r="H242" s="14" t="n">
        <x:f>F242/G242-1</x:f>
        <x:v>-0.028971403907327553</x:v>
      </x:c>
      <x:c r="I242" s="14" t="n">
        <x:f>F242/F241-1</x:f>
        <x:v>-0.007667780311420791</x:v>
      </x:c>
      <x:c r="J242" s="12" t="n">
        <x:v>0</x:v>
      </x:c>
      <x:c r="K242" s="12" t="n">
        <x:v>0</x:v>
      </x:c>
      <x:c r="L242" s="12" t="n">
        <x:v>0</x:v>
      </x:c>
      <x:c r="M242" s="2" t="str">
        <x:v>持有</x:v>
      </x:c>
    </x:row>
    <x:row r="243" ht="23" customHeight="1">
      <x:c r="A243" s="11" t="d">
        <x:v>2015-12-10T00:00:00.000Z</x:v>
      </x:c>
      <x:c r="B243" s="12" t="n">
        <x:v>1461.43812</x:v>
      </x:c>
      <x:c r="C243" s="13" t="n">
        <x:v>484</x:v>
      </x:c>
      <x:c r="D243" s="12" t="n">
        <x:v>99641.08</x:v>
      </x:c>
      <x:c r="E243" s="12" t="n">
        <x:v>0</x:v>
      </x:c>
      <x:c r="F243" s="12" t="n">
        <x:f>SUM(B243,D243:E243)</x:f>
        <x:v>101102.51812000001</x:v>
      </x:c>
      <x:c r="G243" s="12" t="n">
        <x:f>MAX(G242,F243)</x:f>
        <x:v>103854.818</x:v>
      </x:c>
      <x:c r="H243" s="14" t="n">
        <x:f>F243/G243-1</x:f>
        <x:v>-0.026501417392113535</x:v>
      </x:c>
      <x:c r="I243" s="14" t="n">
        <x:f>F243/F242-1</x:f>
        <x:v>0.002543680510700641</x:v>
      </x:c>
      <x:c r="J243" s="12" t="n">
        <x:v>0</x:v>
      </x:c>
      <x:c r="K243" s="12" t="n">
        <x:v>0</x:v>
      </x:c>
      <x:c r="L243" s="12" t="n">
        <x:v>0</x:v>
      </x:c>
      <x:c r="M243" s="2" t="str">
        <x:v>持有</x:v>
      </x:c>
    </x:row>
    <x:row r="244" ht="23" customHeight="1">
      <x:c r="A244" s="11" t="d">
        <x:v>2015-12-11T00:00:00.000Z</x:v>
      </x:c>
      <x:c r="B244" s="12" t="n">
        <x:v>1461.43812</x:v>
      </x:c>
      <x:c r="C244" s="13" t="n">
        <x:v>484</x:v>
      </x:c>
      <x:c r="D244" s="12" t="n">
        <x:v>97709.92</x:v>
      </x:c>
      <x:c r="E244" s="12" t="n">
        <x:v>0</x:v>
      </x:c>
      <x:c r="F244" s="12" t="n">
        <x:f>SUM(B244,D244:E244)</x:f>
        <x:v>99171.35812</x:v>
      </x:c>
      <x:c r="G244" s="12" t="n">
        <x:f>MAX(G243,F244)</x:f>
        <x:v>103854.818</x:v>
      </x:c>
      <x:c r="H244" s="14" t="n">
        <x:f>F244/G244-1</x:f>
        <x:v>-0.04509622153495074</x:v>
      </x:c>
      <x:c r="I244" s="14" t="n">
        <x:f>F244/F243-1</x:f>
        <x:v>-0.019101007926507596</x:v>
      </x:c>
      <x:c r="J244" s="12" t="n">
        <x:v>0</x:v>
      </x:c>
      <x:c r="K244" s="12" t="n">
        <x:v>0</x:v>
      </x:c>
      <x:c r="L244" s="12" t="n">
        <x:v>0</x:v>
      </x:c>
      <x:c r="M244" s="2" t="str">
        <x:v>持有</x:v>
      </x:c>
    </x:row>
    <x:row r="245" ht="23" customHeight="1">
      <x:c r="A245" s="11" t="d">
        <x:v>2015-12-14T00:00:00.000Z</x:v>
      </x:c>
      <x:c r="B245" s="12" t="n">
        <x:v>1461.43812</x:v>
      </x:c>
      <x:c r="C245" s="13" t="n">
        <x:v>484</x:v>
      </x:c>
      <x:c r="D245" s="12" t="n">
        <x:v>98203.6</x:v>
      </x:c>
      <x:c r="E245" s="12" t="n">
        <x:v>0</x:v>
      </x:c>
      <x:c r="F245" s="12" t="n">
        <x:f>SUM(B245,D245:E245)</x:f>
        <x:v>99665.03812000001</x:v>
      </x:c>
      <x:c r="G245" s="12" t="n">
        <x:f>MAX(G244,F245)</x:f>
        <x:v>103854.818</x:v>
      </x:c>
      <x:c r="H245" s="14" t="n">
        <x:f>F245/G245-1</x:f>
        <x:v>-0.04034266258114272</x:v>
      </x:c>
      <x:c r="I245" s="14" t="n">
        <x:f>F245/F244-1</x:f>
        <x:v>0.004978050208837903</x:v>
      </x:c>
      <x:c r="J245" s="12" t="n">
        <x:v>0</x:v>
      </x:c>
      <x:c r="K245" s="12" t="n">
        <x:v>0</x:v>
      </x:c>
      <x:c r="L245" s="12" t="n">
        <x:v>0</x:v>
      </x:c>
      <x:c r="M245" s="2" t="str">
        <x:v>持有</x:v>
      </x:c>
    </x:row>
    <x:row r="246" ht="23" customHeight="1">
      <x:c r="A246" s="11" t="d">
        <x:v>2015-12-15T00:00:00.000Z</x:v>
      </x:c>
      <x:c r="B246" s="12" t="n">
        <x:v>1461.43812</x:v>
      </x:c>
      <x:c r="C246" s="13" t="n">
        <x:v>484</x:v>
      </x:c>
      <x:c r="D246" s="12" t="n">
        <x:v>99234.52</x:v>
      </x:c>
      <x:c r="E246" s="12" t="n">
        <x:v>0</x:v>
      </x:c>
      <x:c r="F246" s="12" t="n">
        <x:f>SUM(B246,D246:E246)</x:f>
        <x:v>100695.95812000001</x:v>
      </x:c>
      <x:c r="G246" s="12" t="n">
        <x:f>MAX(G245,F246)</x:f>
        <x:v>103854.818</x:v>
      </x:c>
      <x:c r="H246" s="14" t="n">
        <x:f>F246/G246-1</x:f>
        <x:v>-0.030416113001131895</x:v>
      </x:c>
      <x:c r="I246" s="14" t="n">
        <x:f>F246/F245-1</x:f>
        <x:v>0.0103438479475495</x:v>
      </x:c>
      <x:c r="J246" s="12" t="n">
        <x:v>0</x:v>
      </x:c>
      <x:c r="K246" s="12" t="n">
        <x:v>0</x:v>
      </x:c>
      <x:c r="L246" s="12" t="n">
        <x:v>0</x:v>
      </x:c>
      <x:c r="M246" s="2" t="str">
        <x:v>持有</x:v>
      </x:c>
    </x:row>
    <x:row r="247" ht="23" customHeight="1">
      <x:c r="A247" s="11" t="d">
        <x:v>2015-12-16T00:00:00.000Z</x:v>
      </x:c>
      <x:c r="B247" s="12" t="n">
        <x:v>1461.43812</x:v>
      </x:c>
      <x:c r="C247" s="13" t="n">
        <x:v>484</x:v>
      </x:c>
      <x:c r="D247" s="12" t="n">
        <x:v>100686.52</x:v>
      </x:c>
      <x:c r="E247" s="12" t="n">
        <x:v>0</x:v>
      </x:c>
      <x:c r="F247" s="12" t="n">
        <x:f>SUM(B247,D247:E247)</x:f>
        <x:v>102147.95812000001</x:v>
      </x:c>
      <x:c r="G247" s="12" t="n">
        <x:f>MAX(G246,F247)</x:f>
        <x:v>103854.818</x:v>
      </x:c>
      <x:c r="H247" s="14" t="n">
        <x:f>F247/G247-1</x:f>
        <x:v>-0.016435057254637786</x:v>
      </x:c>
      <x:c r="I247" s="14" t="n">
        <x:f>F247/F246-1</x:f>
        <x:v>0.014419645307606421</x:v>
      </x:c>
      <x:c r="J247" s="12" t="n">
        <x:v>0</x:v>
      </x:c>
      <x:c r="K247" s="12" t="n">
        <x:v>0</x:v>
      </x:c>
      <x:c r="L247" s="12" t="n">
        <x:v>0</x:v>
      </x:c>
      <x:c r="M247" s="2" t="str">
        <x:v>持有</x:v>
      </x:c>
    </x:row>
    <x:row r="248" ht="23" customHeight="1">
      <x:c r="A248" s="11" t="d">
        <x:v>2015-12-17T00:00:00.000Z</x:v>
      </x:c>
      <x:c r="B248" s="12" t="n">
        <x:v>1461.43812</x:v>
      </x:c>
      <x:c r="C248" s="13" t="n">
        <x:v>484</x:v>
      </x:c>
      <x:c r="D248" s="12" t="n">
        <x:v>99152.24</x:v>
      </x:c>
      <x:c r="E248" s="12" t="n">
        <x:v>0</x:v>
      </x:c>
      <x:c r="F248" s="12" t="n">
        <x:f>SUM(B248,D248:E248)</x:f>
        <x:v>100613.67812000001</x:v>
      </x:c>
      <x:c r="G248" s="12" t="n">
        <x:f>MAX(G247,F248)</x:f>
        <x:v>103854.818</x:v>
      </x:c>
      <x:c r="H248" s="14" t="n">
        <x:f>F248/G248-1</x:f>
        <x:v>-0.031208372826766584</x:v>
      </x:c>
      <x:c r="I248" s="14" t="n">
        <x:f>F248/F247-1</x:f>
        <x:v>-0.015020172974946622</x:v>
      </x:c>
      <x:c r="J248" s="12" t="n">
        <x:v>0</x:v>
      </x:c>
      <x:c r="K248" s="12" t="n">
        <x:v>0</x:v>
      </x:c>
      <x:c r="L248" s="12" t="n">
        <x:v>0</x:v>
      </x:c>
      <x:c r="M248" s="2" t="str">
        <x:v>持有</x:v>
      </x:c>
    </x:row>
    <x:row r="249" ht="23" customHeight="1">
      <x:c r="A249" s="11" t="d">
        <x:v>2015-12-18T00:00:00.000Z</x:v>
      </x:c>
      <x:c r="B249" s="12" t="n">
        <x:v>1461.43812</x:v>
      </x:c>
      <x:c r="C249" s="13" t="n">
        <x:v>484</x:v>
      </x:c>
      <x:c r="D249" s="12" t="n">
        <x:v>96809.68000000001</x:v>
      </x:c>
      <x:c r="E249" s="12" t="n">
        <x:v>586.3902</x:v>
      </x:c>
      <x:c r="F249" s="12" t="n">
        <x:f>SUM(B249,D249:E249)</x:f>
        <x:v>98857.50832000001</x:v>
      </x:c>
      <x:c r="G249" s="12" t="n">
        <x:f>MAX(G248,F249)</x:f>
        <x:v>103854.818</x:v>
      </x:c>
      <x:c r="H249" s="14" t="n">
        <x:f>F249/G249-1</x:f>
        <x:v>-0.04811822673455546</x:v>
      </x:c>
      <x:c r="I249" s="14" t="n">
        <x:f>F249/F248-1</x:f>
        <x:v>-0.01745458304292835</x:v>
      </x:c>
      <x:c r="J249" s="12" t="n">
        <x:v>586.3902</x:v>
      </x:c>
      <x:c r="K249" s="12" t="n">
        <x:v>0</x:v>
      </x:c>
      <x:c r="L249" s="12" t="n">
        <x:v>0</x:v>
      </x:c>
      <x:c r="M249" s="2" t="str">
        <x:v>持有</x:v>
      </x:c>
    </x:row>
    <x:row r="250" ht="23" customHeight="1">
      <x:c r="A250" s="11" t="d">
        <x:v>2015-12-21T00:00:00.000Z</x:v>
      </x:c>
      <x:c r="B250" s="12" t="n">
        <x:v>1461.43812</x:v>
      </x:c>
      <x:c r="C250" s="13" t="n">
        <x:v>484</x:v>
      </x:c>
      <x:c r="D250" s="12" t="n">
        <x:v>97608.28</x:v>
      </x:c>
      <x:c r="E250" s="12" t="n">
        <x:v>586.3902</x:v>
      </x:c>
      <x:c r="F250" s="12" t="n">
        <x:f>SUM(B250,D250:E250)</x:f>
        <x:v>99656.10832</x:v>
      </x:c>
      <x:c r="G250" s="12" t="n">
        <x:f>MAX(G249,F250)</x:f>
        <x:v>103854.818</x:v>
      </x:c>
      <x:c r="H250" s="14" t="n">
        <x:f>F250/G250-1</x:f>
        <x:v>-0.040428646073983776</x:v>
      </x:c>
      <x:c r="I250" s="14" t="n">
        <x:f>F250/F249-1</x:f>
        <x:v>0.008078293834950179</x:v>
      </x:c>
      <x:c r="J250" s="12" t="n">
        <x:v>0</x:v>
      </x:c>
      <x:c r="K250" s="12" t="n">
        <x:v>0</x:v>
      </x:c>
      <x:c r="L250" s="12" t="n">
        <x:v>0</x:v>
      </x:c>
      <x:c r="M250" s="2" t="str">
        <x:v>持有</x:v>
      </x:c>
    </x:row>
    <x:row r="251" ht="23" customHeight="1">
      <x:c r="A251" s="11" t="d">
        <x:v>2015-12-22T00:00:00.000Z</x:v>
      </x:c>
      <x:c r="B251" s="12" t="n">
        <x:v>1461.43812</x:v>
      </x:c>
      <x:c r="C251" s="13" t="n">
        <x:v>484</x:v>
      </x:c>
      <x:c r="D251" s="12" t="n">
        <x:v>98494</x:v>
      </x:c>
      <x:c r="E251" s="12" t="n">
        <x:v>586.3902</x:v>
      </x:c>
      <x:c r="F251" s="12" t="n">
        <x:f>SUM(B251,D251:E251)</x:f>
        <x:v>100541.82832</x:v>
      </x:c>
      <x:c r="G251" s="12" t="n">
        <x:f>MAX(G250,F251)</x:f>
        <x:v>103854.818</x:v>
      </x:c>
      <x:c r="H251" s="14" t="n">
        <x:f>F251/G251-1</x:f>
        <x:v>-0.03190020206862232</x:v>
      </x:c>
      <x:c r="I251" s="14" t="n">
        <x:f>F251/F250-1</x:f>
        <x:v>0.00888776428190341</x:v>
      </x:c>
      <x:c r="J251" s="12" t="n">
        <x:v>0</x:v>
      </x:c>
      <x:c r="K251" s="12" t="n">
        <x:v>0</x:v>
      </x:c>
      <x:c r="L251" s="12" t="n">
        <x:v>0</x:v>
      </x:c>
      <x:c r="M251" s="2" t="str">
        <x:v>持有</x:v>
      </x:c>
    </x:row>
    <x:row r="252" ht="23" customHeight="1">
      <x:c r="A252" s="11" t="d">
        <x:v>2015-12-23T00:00:00.000Z</x:v>
      </x:c>
      <x:c r="B252" s="12" t="n">
        <x:v>1461.43812</x:v>
      </x:c>
      <x:c r="C252" s="13" t="n">
        <x:v>484</x:v>
      </x:c>
      <x:c r="D252" s="12" t="n">
        <x:v>99713.68000000001</x:v>
      </x:c>
      <x:c r="E252" s="12" t="n">
        <x:v>586.3902</x:v>
      </x:c>
      <x:c r="F252" s="12" t="n">
        <x:f>SUM(B252,D252:E252)</x:f>
        <x:v>101761.50832000001</x:v>
      </x:c>
      <x:c r="G252" s="12" t="n">
        <x:f>MAX(G251,F252)</x:f>
        <x:v>103854.818</x:v>
      </x:c>
      <x:c r="H252" s="14" t="n">
        <x:f>F252/G252-1</x:f>
        <x:v>-0.02015611524156724</x:v>
      </x:c>
      <x:c r="I252" s="14" t="n">
        <x:f>F252/F251-1</x:f>
        <x:v>0.012131070424918677</x:v>
      </x:c>
      <x:c r="J252" s="12" t="n">
        <x:v>0</x:v>
      </x:c>
      <x:c r="K252" s="12" t="n">
        <x:v>0</x:v>
      </x:c>
      <x:c r="L252" s="12" t="n">
        <x:v>0</x:v>
      </x:c>
      <x:c r="M252" s="2" t="str">
        <x:v>持有</x:v>
      </x:c>
    </x:row>
    <x:row r="253" ht="23" customHeight="1">
      <x:c r="A253" s="11" t="d">
        <x:v>2015-12-24T00:00:00.000Z</x:v>
      </x:c>
      <x:c r="B253" s="12" t="n">
        <x:v>1461.43812</x:v>
      </x:c>
      <x:c r="C253" s="13" t="n">
        <x:v>484</x:v>
      </x:c>
      <x:c r="D253" s="12" t="n">
        <x:v>99549.12000000001</x:v>
      </x:c>
      <x:c r="E253" s="12" t="n">
        <x:v>586.3902</x:v>
      </x:c>
      <x:c r="F253" s="12" t="n">
        <x:f>SUM(B253,D253:E253)</x:f>
        <x:v>101596.94832000001</x:v>
      </x:c>
      <x:c r="G253" s="12" t="n">
        <x:f>MAX(G252,F253)</x:f>
        <x:v>103854.818</x:v>
      </x:c>
      <x:c r="H253" s="14" t="n">
        <x:f>F253/G253-1</x:f>
        <x:v>-0.021740634892836508</x:v>
      </x:c>
      <x:c r="I253" s="14" t="n">
        <x:f>F253/F252-1</x:f>
        <x:v>-0.0016171143953813694</x:v>
      </x:c>
      <x:c r="J253" s="12" t="n">
        <x:v>0</x:v>
      </x:c>
      <x:c r="K253" s="12" t="n">
        <x:v>0</x:v>
      </x:c>
      <x:c r="L253" s="12" t="n">
        <x:v>0</x:v>
      </x:c>
      <x:c r="M253" s="2" t="str">
        <x:v>持有</x:v>
      </x:c>
    </x:row>
    <x:row r="254" ht="23" customHeight="1">
      <x:c r="A254" s="11" t="d">
        <x:v>2015-12-28T00:00:00.000Z</x:v>
      </x:c>
      <x:c r="B254" s="12" t="n">
        <x:v>1461.43812</x:v>
      </x:c>
      <x:c r="C254" s="13" t="n">
        <x:v>484</x:v>
      </x:c>
      <x:c r="D254" s="12" t="n">
        <x:v>99321.64</x:v>
      </x:c>
      <x:c r="E254" s="12" t="n">
        <x:v>586.3902</x:v>
      </x:c>
      <x:c r="F254" s="12" t="n">
        <x:f>SUM(B254,D254:E254)</x:f>
        <x:v>101369.46832</x:v>
      </x:c>
      <x:c r="G254" s="12" t="n">
        <x:f>MAX(G253,F254)</x:f>
        <x:v>103854.818</x:v>
      </x:c>
      <x:c r="H254" s="14" t="n">
        <x:f>F254/G254-1</x:f>
        <x:v>-0.023931000293120674</x:v>
      </x:c>
      <x:c r="I254" s="14" t="n">
        <x:f>F254/F253-1</x:f>
        <x:v>-0.0022390436303609818</x:v>
      </x:c>
      <x:c r="J254" s="12" t="n">
        <x:v>0</x:v>
      </x:c>
      <x:c r="K254" s="12" t="n">
        <x:v>0</x:v>
      </x:c>
      <x:c r="L254" s="12" t="n">
        <x:v>0</x:v>
      </x:c>
      <x:c r="M254" s="2" t="str">
        <x:v>持有</x:v>
      </x:c>
    </x:row>
    <x:row r="255" ht="23" customHeight="1">
      <x:c r="A255" s="11" t="d">
        <x:v>2015-12-29T00:00:00.000Z</x:v>
      </x:c>
      <x:c r="B255" s="12" t="n">
        <x:v>1461.43812</x:v>
      </x:c>
      <x:c r="C255" s="13" t="n">
        <x:v>484</x:v>
      </x:c>
      <x:c r="D255" s="12" t="n">
        <x:v>100381.6</x:v>
      </x:c>
      <x:c r="E255" s="12" t="n">
        <x:v>586.3902</x:v>
      </x:c>
      <x:c r="F255" s="12" t="n">
        <x:f>SUM(B255,D255:E255)</x:f>
        <x:v>102429.42832</x:v>
      </x:c>
      <x:c r="G255" s="12" t="n">
        <x:f>MAX(G254,F255)</x:f>
        <x:v>103854.818</x:v>
      </x:c>
      <x:c r="H255" s="14" t="n">
        <x:f>F255/G255-1</x:f>
        <x:v>-0.01372482959818</x:v>
      </x:c>
      <x:c r="I255" s="14" t="n">
        <x:f>F255/F254-1</x:f>
        <x:v>0.010456402875212545</x:v>
      </x:c>
      <x:c r="J255" s="12" t="n">
        <x:v>0</x:v>
      </x:c>
      <x:c r="K255" s="12" t="n">
        <x:v>0</x:v>
      </x:c>
      <x:c r="L255" s="12" t="n">
        <x:v>0</x:v>
      </x:c>
      <x:c r="M255" s="2" t="str">
        <x:v>持有</x:v>
      </x:c>
    </x:row>
    <x:row r="256" ht="23" customHeight="1">
      <x:c r="A256" s="11" t="d">
        <x:v>2015-12-30T00:00:00.000Z</x:v>
      </x:c>
      <x:c r="B256" s="12" t="n">
        <x:v>1461.43812</x:v>
      </x:c>
      <x:c r="C256" s="13" t="n">
        <x:v>484</x:v>
      </x:c>
      <x:c r="D256" s="12" t="n">
        <x:v>99670.12000000001</x:v>
      </x:c>
      <x:c r="E256" s="12" t="n">
        <x:v>586.3902</x:v>
      </x:c>
      <x:c r="F256" s="12" t="n">
        <x:f>SUM(B256,D256:E256)</x:f>
        <x:v>101717.94832000001</x:v>
      </x:c>
      <x:c r="G256" s="12" t="n">
        <x:f>MAX(G255,F256)</x:f>
        <x:v>103854.818</x:v>
      </x:c>
      <x:c r="H256" s="14" t="n">
        <x:f>F256/G256-1</x:f>
        <x:v>-0.020575546913962017</x:v>
      </x:c>
      <x:c r="I256" s="14" t="n">
        <x:f>F256/F255-1</x:f>
        <x:v>-0.006946050677714033</x:v>
      </x:c>
      <x:c r="J256" s="12" t="n">
        <x:v>0</x:v>
      </x:c>
      <x:c r="K256" s="12" t="n">
        <x:v>0</x:v>
      </x:c>
      <x:c r="L256" s="12" t="n">
        <x:v>0</x:v>
      </x:c>
      <x:c r="M256" s="2" t="str">
        <x:v>持有</x:v>
      </x:c>
    </x:row>
    <x:row r="257" ht="23" customHeight="1">
      <x:c r="A257" s="11" t="d">
        <x:v>2015-12-31T00:00:00.000Z</x:v>
      </x:c>
      <x:c r="B257" s="12" t="n">
        <x:v>1461.43812</x:v>
      </x:c>
      <x:c r="C257" s="13" t="n">
        <x:v>484</x:v>
      </x:c>
      <x:c r="D257" s="12" t="n">
        <x:v>98673.08</x:v>
      </x:c>
      <x:c r="E257" s="12" t="n">
        <x:v>586.3902</x:v>
      </x:c>
      <x:c r="F257" s="12" t="n">
        <x:f>SUM(B257,D257:E257)</x:f>
        <x:v>100720.90832</x:v>
      </x:c>
      <x:c r="G257" s="12" t="n">
        <x:f>MAX(G256,F257)</x:f>
        <x:v>103854.818</x:v>
      </x:c>
      <x:c r="H257" s="14" t="n">
        <x:f>F257/G257-1</x:f>
        <x:v>-0.030175871859888015</x:v>
      </x:c>
      <x:c r="I257" s="14" t="n">
        <x:f>F257/F256-1</x:f>
        <x:v>-0.009802006592419366</x:v>
      </x:c>
      <x:c r="J257" s="12" t="n">
        <x:v>0</x:v>
      </x:c>
      <x:c r="K257" s="12" t="n">
        <x:v>0</x:v>
      </x:c>
      <x:c r="L257" s="12" t="n">
        <x:v>0</x:v>
      </x:c>
      <x:c r="M257" s="2" t="str">
        <x:v>持有</x:v>
      </x:c>
    </x:row>
    <x:row r="258" ht="23" customHeight="1">
      <x:c r="A258" s="11" t="d">
        <x:v>2016-01-04T00:00:00.000Z</x:v>
      </x:c>
      <x:c r="B258" s="12" t="n">
        <x:v>1461.43812</x:v>
      </x:c>
      <x:c r="C258" s="13" t="n">
        <x:v>484</x:v>
      </x:c>
      <x:c r="D258" s="12" t="n">
        <x:v>97293.68000000001</x:v>
      </x:c>
      <x:c r="E258" s="12" t="n">
        <x:v>586.3902</x:v>
      </x:c>
      <x:c r="F258" s="12" t="n">
        <x:f>SUM(B258,D258:E258)</x:f>
        <x:v>99341.50832000001</x:v>
      </x:c>
      <x:c r="G258" s="12" t="n">
        <x:f>MAX(G257,F258)</x:f>
        <x:v>103854.818</x:v>
      </x:c>
      <x:c r="H258" s="14" t="n">
        <x:f>F258/G258-1</x:f>
        <x:v>-0.043457874819057385</x:v>
      </x:c>
      <x:c r="I258" s="14" t="n">
        <x:f>F258/F257-1</x:f>
        <x:v>-0.013695269661563314</x:v>
      </x:c>
      <x:c r="J258" s="12" t="n">
        <x:v>0</x:v>
      </x:c>
      <x:c r="K258" s="12" t="n">
        <x:v>0</x:v>
      </x:c>
      <x:c r="L258" s="12" t="n">
        <x:v>0</x:v>
      </x:c>
      <x:c r="M258" s="2" t="str">
        <x:v>持有</x:v>
      </x:c>
    </x:row>
    <x:row r="259" ht="23" customHeight="1">
      <x:c r="A259" s="11" t="d">
        <x:v>2016-01-05T00:00:00.000Z</x:v>
      </x:c>
      <x:c r="B259" s="12" t="n">
        <x:v>1461.43812</x:v>
      </x:c>
      <x:c r="C259" s="13" t="n">
        <x:v>484</x:v>
      </x:c>
      <x:c r="D259" s="12" t="n">
        <x:v>97458.24</x:v>
      </x:c>
      <x:c r="E259" s="12" t="n">
        <x:v>586.3902</x:v>
      </x:c>
      <x:c r="F259" s="12" t="n">
        <x:f>SUM(B259,D259:E259)</x:f>
        <x:v>99506.06832</x:v>
      </x:c>
      <x:c r="G259" s="12" t="n">
        <x:f>MAX(G258,F259)</x:f>
        <x:v>103854.818</x:v>
      </x:c>
      <x:c r="H259" s="14" t="n">
        <x:f>F259/G259-1</x:f>
        <x:v>-0.04187335516778812</x:v>
      </x:c>
      <x:c r="I259" s="14" t="n">
        <x:f>F259/F258-1</x:f>
        <x:v>0.001656507967142229</x:v>
      </x:c>
      <x:c r="J259" s="12" t="n">
        <x:v>0</x:v>
      </x:c>
      <x:c r="K259" s="12" t="n">
        <x:v>0</x:v>
      </x:c>
      <x:c r="L259" s="12" t="n">
        <x:v>0</x:v>
      </x:c>
      <x:c r="M259" s="2" t="str">
        <x:v>持有</x:v>
      </x:c>
    </x:row>
    <x:row r="260" ht="23" customHeight="1">
      <x:c r="A260" s="11" t="d">
        <x:v>2016-01-06T00:00:00.000Z</x:v>
      </x:c>
      <x:c r="B260" s="12" t="n">
        <x:v>1461.43812</x:v>
      </x:c>
      <x:c r="C260" s="13" t="n">
        <x:v>484</x:v>
      </x:c>
      <x:c r="D260" s="12" t="n">
        <x:v>96228.87999999999</x:v>
      </x:c>
      <x:c r="E260" s="12" t="n">
        <x:v>586.3902</x:v>
      </x:c>
      <x:c r="F260" s="12" t="n">
        <x:f>SUM(B260,D260:E260)</x:f>
        <x:v>98276.70831999999</x:v>
      </x:c>
      <x:c r="G260" s="12" t="n">
        <x:f>MAX(G259,F260)</x:f>
        <x:v>103854.818</x:v>
      </x:c>
      <x:c r="H260" s="14" t="n">
        <x:f>F260/G260-1</x:f>
        <x:v>-0.05371064903315326</x:v>
      </x:c>
      <x:c r="I260" s="14" t="n">
        <x:f>F260/F259-1</x:f>
        <x:v>-0.012354623398912024</x:v>
      </x:c>
      <x:c r="J260" s="12" t="n">
        <x:v>0</x:v>
      </x:c>
      <x:c r="K260" s="12" t="n">
        <x:v>0</x:v>
      </x:c>
      <x:c r="L260" s="12" t="n">
        <x:v>0</x:v>
      </x:c>
      <x:c r="M260" s="2" t="str">
        <x:v>持有</x:v>
      </x:c>
    </x:row>
    <x:row r="261" ht="23" customHeight="1">
      <x:c r="A261" s="11" t="d">
        <x:v>2016-01-07T00:00:00.000Z</x:v>
      </x:c>
      <x:c r="B261" s="12" t="n">
        <x:v>1461.43812</x:v>
      </x:c>
      <x:c r="C261" s="13" t="n">
        <x:v>484</x:v>
      </x:c>
      <x:c r="D261" s="12" t="n">
        <x:v>93920.20000000001</x:v>
      </x:c>
      <x:c r="E261" s="12" t="n">
        <x:v>586.3902</x:v>
      </x:c>
      <x:c r="F261" s="12" t="n">
        <x:f>SUM(B261,D261:E261)</x:f>
        <x:v>95968.02832000001</x:v>
      </x:c>
      <x:c r="G261" s="12" t="n">
        <x:f>MAX(G260,F261)</x:f>
        <x:v>103854.818</x:v>
      </x:c>
      <x:c r="H261" s="14" t="n">
        <x:f>F261/G261-1</x:f>
        <x:v>-0.07594052767007875</x:v>
      </x:c>
      <x:c r="I261" s="14" t="n">
        <x:f>F261/F260-1</x:f>
        <x:v>-0.023491629293104332</x:v>
      </x:c>
      <x:c r="J261" s="12" t="n">
        <x:v>0</x:v>
      </x:c>
      <x:c r="K261" s="12" t="n">
        <x:v>0</x:v>
      </x:c>
      <x:c r="L261" s="12" t="n">
        <x:v>0</x:v>
      </x:c>
      <x:c r="M261" s="2" t="str">
        <x:v>持有</x:v>
      </x:c>
    </x:row>
    <x:row r="262" ht="23" customHeight="1">
      <x:c r="A262" s="11" t="d">
        <x:v>2016-01-08T00:00:00.000Z</x:v>
      </x:c>
      <x:c r="B262" s="12" t="n">
        <x:v>1461.43812</x:v>
      </x:c>
      <x:c r="C262" s="13" t="n">
        <x:v>484</x:v>
      </x:c>
      <x:c r="D262" s="12" t="n">
        <x:v>92889.28</x:v>
      </x:c>
      <x:c r="E262" s="12" t="n">
        <x:v>586.3902</x:v>
      </x:c>
      <x:c r="F262" s="12" t="n">
        <x:f>SUM(B262,D262:E262)</x:f>
        <x:v>94937.10832</x:v>
      </x:c>
      <x:c r="G262" s="12" t="n">
        <x:f>MAX(G261,F262)</x:f>
        <x:v>103854.818</x:v>
      </x:c>
      <x:c r="H262" s="14" t="n">
        <x:f>F262/G262-1</x:f>
        <x:v>-0.08586707725008969</x:v>
      </x:c>
      <x:c r="I262" s="14" t="n">
        <x:f>F262/F261-1</x:f>
        <x:v>-0.01074232760688243</x:v>
      </x:c>
      <x:c r="J262" s="12" t="n">
        <x:v>0</x:v>
      </x:c>
      <x:c r="K262" s="12" t="n">
        <x:v>0</x:v>
      </x:c>
      <x:c r="L262" s="12" t="n">
        <x:v>0</x:v>
      </x:c>
      <x:c r="M262" s="2" t="str">
        <x:v>持有</x:v>
      </x:c>
    </x:row>
    <x:row r="263" ht="23" customHeight="1">
      <x:c r="A263" s="11" t="d">
        <x:v>2016-01-11T00:00:00.000Z</x:v>
      </x:c>
      <x:c r="B263" s="12" t="n">
        <x:v>1461.43812</x:v>
      </x:c>
      <x:c r="C263" s="13" t="n">
        <x:v>484</x:v>
      </x:c>
      <x:c r="D263" s="12" t="n">
        <x:v>92981.24</x:v>
      </x:c>
      <x:c r="E263" s="12" t="n">
        <x:v>586.3902</x:v>
      </x:c>
      <x:c r="F263" s="12" t="n">
        <x:f>SUM(B263,D263:E263)</x:f>
        <x:v>95029.06832</x:v>
      </x:c>
      <x:c r="G263" s="12" t="n">
        <x:f>MAX(G262,F263)</x:f>
        <x:v>103854.818</x:v>
      </x:c>
      <x:c r="H263" s="14" t="n">
        <x:f>F263/G263-1</x:f>
        <x:v>-0.08498161038614493</x:v>
      </x:c>
      <x:c r="I263" s="14" t="n">
        <x:f>F263/F262-1</x:f>
        <x:v>0.0009686412576421777</x:v>
      </x:c>
      <x:c r="J263" s="12" t="n">
        <x:v>0</x:v>
      </x:c>
      <x:c r="K263" s="12" t="n">
        <x:v>0</x:v>
      </x:c>
      <x:c r="L263" s="12" t="n">
        <x:v>0</x:v>
      </x:c>
      <x:c r="M263" s="2" t="str">
        <x:v>持有</x:v>
      </x:c>
    </x:row>
    <x:row r="264" ht="23" customHeight="1">
      <x:c r="A264" s="11" t="d">
        <x:v>2016-01-12T00:00:00.000Z</x:v>
      </x:c>
      <x:c r="B264" s="12" t="n">
        <x:v>1461.43812</x:v>
      </x:c>
      <x:c r="C264" s="13" t="n">
        <x:v>484</x:v>
      </x:c>
      <x:c r="D264" s="12" t="n">
        <x:v>93731.44</x:v>
      </x:c>
      <x:c r="E264" s="12" t="n">
        <x:v>586.3902</x:v>
      </x:c>
      <x:c r="F264" s="12" t="n">
        <x:f>SUM(B264,D264:E264)</x:f>
        <x:v>95779.26832</x:v>
      </x:c>
      <x:c r="G264" s="12" t="n">
        <x:f>MAX(G263,F264)</x:f>
        <x:v>103854.818</x:v>
      </x:c>
      <x:c r="H264" s="14" t="n">
        <x:f>F264/G264-1</x:f>
        <x:v>-0.077758064917123</x:v>
      </x:c>
      <x:c r="I264" s="14" t="n">
        <x:f>F264/F263-1</x:f>
        <x:v>0.007894426550345335</x:v>
      </x:c>
      <x:c r="J264" s="12" t="n">
        <x:v>0</x:v>
      </x:c>
      <x:c r="K264" s="12" t="n">
        <x:v>0</x:v>
      </x:c>
      <x:c r="L264" s="12" t="n">
        <x:v>0</x:v>
      </x:c>
      <x:c r="M264" s="2" t="str">
        <x:v>持有</x:v>
      </x:c>
    </x:row>
    <x:row r="265" ht="23" customHeight="1">
      <x:c r="A265" s="11" t="d">
        <x:v>2016-01-13T00:00:00.000Z</x:v>
      </x:c>
      <x:c r="B265" s="12" t="n">
        <x:v>1461.43812</x:v>
      </x:c>
      <x:c r="C265" s="13" t="n">
        <x:v>484</x:v>
      </x:c>
      <x:c r="D265" s="12" t="n">
        <x:v>91393.72</x:v>
      </x:c>
      <x:c r="E265" s="12" t="n">
        <x:v>586.3902</x:v>
      </x:c>
      <x:c r="F265" s="12" t="n">
        <x:f>SUM(B265,D265:E265)</x:f>
        <x:v>93441.54832</x:v>
      </x:c>
      <x:c r="G265" s="12" t="n">
        <x:f>MAX(G264,F265)</x:f>
        <x:v>103854.818</x:v>
      </x:c>
      <x:c r="H265" s="14" t="n">
        <x:f>F265/G265-1</x:f>
        <x:v>-0.10026756466897857</x:v>
      </x:c>
      <x:c r="I265" s="14" t="n">
        <x:f>F265/F264-1</x:f>
        <x:v>-0.024407369580122906</x:v>
      </x:c>
      <x:c r="J265" s="12" t="n">
        <x:v>0</x:v>
      </x:c>
      <x:c r="K265" s="12" t="n">
        <x:v>0</x:v>
      </x:c>
      <x:c r="L265" s="12" t="n">
        <x:v>0</x:v>
      </x:c>
      <x:c r="M265" s="2" t="str">
        <x:v>持有</x:v>
      </x:c>
    </x:row>
    <x:row r="266" ht="23" customHeight="1">
      <x:c r="A266" s="11" t="d">
        <x:v>2016-01-14T00:00:00.000Z</x:v>
      </x:c>
      <x:c r="B266" s="12" t="n">
        <x:v>1461.43812</x:v>
      </x:c>
      <x:c r="C266" s="13" t="n">
        <x:v>484</x:v>
      </x:c>
      <x:c r="D266" s="12" t="n">
        <x:v>92894.12000000001</x:v>
      </x:c>
      <x:c r="E266" s="12" t="n">
        <x:v>586.3902</x:v>
      </x:c>
      <x:c r="F266" s="12" t="n">
        <x:f>SUM(B266,D266:E266)</x:f>
        <x:v>94941.94832000001</x:v>
      </x:c>
      <x:c r="G266" s="12" t="n">
        <x:f>MAX(G265,F266)</x:f>
        <x:v>103854.818</x:v>
      </x:c>
      <x:c r="H266" s="14" t="n">
        <x:f>F266/G266-1</x:f>
        <x:v>-0.0858204737309346</x:v>
      </x:c>
      <x:c r="I266" s="14" t="n">
        <x:f>F266/F265-1</x:f>
        <x:v>0.016057096944303018</x:v>
      </x:c>
      <x:c r="J266" s="12" t="n">
        <x:v>0</x:v>
      </x:c>
      <x:c r="K266" s="12" t="n">
        <x:v>0</x:v>
      </x:c>
      <x:c r="L266" s="12" t="n">
        <x:v>0</x:v>
      </x:c>
      <x:c r="M266" s="2" t="str">
        <x:v>持有</x:v>
      </x:c>
    </x:row>
    <x:row r="267" ht="23" customHeight="1">
      <x:c r="A267" s="11" t="d">
        <x:v>2016-01-15T00:00:00.000Z</x:v>
      </x:c>
      <x:c r="B267" s="12" t="n">
        <x:v>1461.43812</x:v>
      </x:c>
      <x:c r="C267" s="13" t="n">
        <x:v>484</x:v>
      </x:c>
      <x:c r="D267" s="12" t="n">
        <x:v>90900.04000000001</x:v>
      </x:c>
      <x:c r="E267" s="12" t="n">
        <x:v>586.3902</x:v>
      </x:c>
      <x:c r="F267" s="12" t="n">
        <x:f>SUM(B267,D267:E267)</x:f>
        <x:v>92947.86832000001</x:v>
      </x:c>
      <x:c r="G267" s="12" t="n">
        <x:f>MAX(G266,F267)</x:f>
        <x:v>103854.818</x:v>
      </x:c>
      <x:c r="H267" s="14" t="n">
        <x:f>F267/G267-1</x:f>
        <x:v>-0.10502112362278648</x:v>
      </x:c>
      <x:c r="I267" s="14" t="n">
        <x:f>F267/F266-1</x:f>
        <x:v>-0.021003150191093556</x:v>
      </x:c>
      <x:c r="J267" s="12" t="n">
        <x:v>0</x:v>
      </x:c>
      <x:c r="K267" s="12" t="n">
        <x:v>0</x:v>
      </x:c>
      <x:c r="L267" s="12" t="n">
        <x:v>0</x:v>
      </x:c>
      <x:c r="M267" s="2" t="str">
        <x:v>持有</x:v>
      </x:c>
    </x:row>
    <x:row r="268" ht="23" customHeight="1">
      <x:c r="A268" s="11" t="d">
        <x:v>2016-01-19T00:00:00.000Z</x:v>
      </x:c>
      <x:c r="B268" s="12" t="n">
        <x:v>1461.43812</x:v>
      </x:c>
      <x:c r="C268" s="13" t="n">
        <x:v>484</x:v>
      </x:c>
      <x:c r="D268" s="12" t="n">
        <x:v>91021.04000000001</x:v>
      </x:c>
      <x:c r="E268" s="12" t="n">
        <x:v>586.3902</x:v>
      </x:c>
      <x:c r="F268" s="12" t="n">
        <x:f>SUM(B268,D268:E268)</x:f>
        <x:v>93068.86832000001</x:v>
      </x:c>
      <x:c r="G268" s="12" t="n">
        <x:f>MAX(G267,F268)</x:f>
        <x:v>103854.818</x:v>
      </x:c>
      <x:c r="H268" s="14" t="n">
        <x:f>F268/G268-1</x:f>
        <x:v>-0.10385603564391199</x:v>
      </x:c>
      <x:c r="I268" s="14" t="n">
        <x:f>F268/F267-1</x:f>
        <x:v>0.001301805003030454</x:v>
      </x:c>
      <x:c r="J268" s="12" t="n">
        <x:v>0</x:v>
      </x:c>
      <x:c r="K268" s="12" t="n">
        <x:v>0</x:v>
      </x:c>
      <x:c r="L268" s="12" t="n">
        <x:v>0</x:v>
      </x:c>
      <x:c r="M268" s="2" t="str">
        <x:v>持有</x:v>
      </x:c>
    </x:row>
    <x:row r="269" ht="23" customHeight="1">
      <x:c r="A269" s="11" t="d">
        <x:v>2016-01-20T00:00:00.000Z</x:v>
      </x:c>
      <x:c r="B269" s="12" t="n">
        <x:v>1461.43812</x:v>
      </x:c>
      <x:c r="C269" s="13" t="n">
        <x:v>484</x:v>
      </x:c>
      <x:c r="D269" s="12" t="n">
        <x:v>89854.6</x:v>
      </x:c>
      <x:c r="E269" s="12" t="n">
        <x:v>586.3902</x:v>
      </x:c>
      <x:c r="F269" s="12" t="n">
        <x:f>SUM(B269,D269:E269)</x:f>
        <x:v>91902.42832</x:v>
      </x:c>
      <x:c r="G269" s="12" t="n">
        <x:f>MAX(G268,F269)</x:f>
        <x:v>103854.818</x:v>
      </x:c>
      <x:c r="H269" s="14" t="n">
        <x:f>F269/G269-1</x:f>
        <x:v>-0.11508748376026223</x:v>
      </x:c>
      <x:c r="I269" s="14" t="n">
        <x:f>F269/F268-1</x:f>
        <x:v>-0.012533084596982658</x:v>
      </x:c>
      <x:c r="J269" s="12" t="n">
        <x:v>0</x:v>
      </x:c>
      <x:c r="K269" s="12" t="n">
        <x:v>0</x:v>
      </x:c>
      <x:c r="L269" s="12" t="n">
        <x:v>0</x:v>
      </x:c>
      <x:c r="M269" s="2" t="str">
        <x:v>持有</x:v>
      </x:c>
    </x:row>
    <x:row r="270" ht="23" customHeight="1">
      <x:c r="A270" s="11" t="d">
        <x:v>2016-01-21T00:00:00.000Z</x:v>
      </x:c>
      <x:c r="B270" s="12" t="n">
        <x:v>1461.43812</x:v>
      </x:c>
      <x:c r="C270" s="13" t="n">
        <x:v>484</x:v>
      </x:c>
      <x:c r="D270" s="12" t="n">
        <x:v>90357.95999999999</x:v>
      </x:c>
      <x:c r="E270" s="12" t="n">
        <x:v>586.3902</x:v>
      </x:c>
      <x:c r="F270" s="12" t="n">
        <x:f>SUM(B270,D270:E270)</x:f>
        <x:v>92405.78831999999</x:v>
      </x:c>
      <x:c r="G270" s="12" t="n">
        <x:f>MAX(G269,F270)</x:f>
        <x:v>103854.818</x:v>
      </x:c>
      <x:c r="H270" s="14" t="n">
        <x:f>F270/G270-1</x:f>
        <x:v>-0.11024071776814448</x:v>
      </x:c>
      <x:c r="I270" s="14" t="n">
        <x:f>F270/F269-1</x:f>
        <x:v>0.005477113164489067</x:v>
      </x:c>
      <x:c r="J270" s="12" t="n">
        <x:v>0</x:v>
      </x:c>
      <x:c r="K270" s="12" t="n">
        <x:v>0</x:v>
      </x:c>
      <x:c r="L270" s="12" t="n">
        <x:v>0</x:v>
      </x:c>
      <x:c r="M270" s="2" t="str">
        <x:v>持有</x:v>
      </x:c>
    </x:row>
    <x:row r="271" ht="23" customHeight="1">
      <x:c r="A271" s="11" t="d">
        <x:v>2016-01-22T00:00:00.000Z</x:v>
      </x:c>
      <x:c r="B271" s="12" t="n">
        <x:v>1461.43812</x:v>
      </x:c>
      <x:c r="C271" s="13" t="n">
        <x:v>484</x:v>
      </x:c>
      <x:c r="D271" s="12" t="n">
        <x:v>92211.68000000001</x:v>
      </x:c>
      <x:c r="E271" s="12" t="n">
        <x:v>586.3902</x:v>
      </x:c>
      <x:c r="F271" s="12" t="n">
        <x:f>SUM(B271,D271:E271)</x:f>
        <x:v>94259.50832000001</x:v>
      </x:c>
      <x:c r="G271" s="12" t="n">
        <x:f>MAX(G270,F271)</x:f>
        <x:v>103854.818</x:v>
      </x:c>
      <x:c r="H271" s="14" t="n">
        <x:f>F271/G271-1</x:f>
        <x:v>-0.09239156993178677</x:v>
      </x:c>
      <x:c r="I271" s="14" t="n">
        <x:f>F271/F270-1</x:f>
        <x:v>0.020060648079540222</x:v>
      </x:c>
      <x:c r="J271" s="12" t="n">
        <x:v>0</x:v>
      </x:c>
      <x:c r="K271" s="12" t="n">
        <x:v>0</x:v>
      </x:c>
      <x:c r="L271" s="12" t="n">
        <x:v>0</x:v>
      </x:c>
      <x:c r="M271" s="2" t="str">
        <x:v>持有</x:v>
      </x:c>
    </x:row>
    <x:row r="272" ht="23" customHeight="1">
      <x:c r="A272" s="11" t="d">
        <x:v>2016-01-25T00:00:00.000Z</x:v>
      </x:c>
      <x:c r="B272" s="12" t="n">
        <x:v>1461.43812</x:v>
      </x:c>
      <x:c r="C272" s="13" t="n">
        <x:v>484</x:v>
      </x:c>
      <x:c r="D272" s="12" t="n">
        <x:v>90817.76</x:v>
      </x:c>
      <x:c r="E272" s="12" t="n">
        <x:v>586.3902</x:v>
      </x:c>
      <x:c r="F272" s="12" t="n">
        <x:f>SUM(B272,D272:E272)</x:f>
        <x:v>92865.58832</x:v>
      </x:c>
      <x:c r="G272" s="12" t="n">
        <x:f>MAX(G271,F272)</x:f>
        <x:v>103854.818</x:v>
      </x:c>
      <x:c r="H272" s="14" t="n">
        <x:f>F272/G272-1</x:f>
        <x:v>-0.10581338344842128</x:v>
      </x:c>
      <x:c r="I272" s="14" t="n">
        <x:f>F272/F271-1</x:f>
        <x:v>-0.014788110237832108</x:v>
      </x:c>
      <x:c r="J272" s="12" t="n">
        <x:v>0</x:v>
      </x:c>
      <x:c r="K272" s="12" t="n">
        <x:v>0</x:v>
      </x:c>
      <x:c r="L272" s="12" t="n">
        <x:v>0</x:v>
      </x:c>
      <x:c r="M272" s="2" t="str">
        <x:v>持有</x:v>
      </x:c>
    </x:row>
    <x:row r="273" ht="23" customHeight="1">
      <x:c r="A273" s="11" t="d">
        <x:v>2016-01-26T00:00:00.000Z</x:v>
      </x:c>
      <x:c r="B273" s="12" t="n">
        <x:v>1461.43812</x:v>
      </x:c>
      <x:c r="C273" s="13" t="n">
        <x:v>484</x:v>
      </x:c>
      <x:c r="D273" s="12" t="n">
        <x:v>92056.79999999999</x:v>
      </x:c>
      <x:c r="E273" s="12" t="n">
        <x:v>586.3902</x:v>
      </x:c>
      <x:c r="F273" s="12" t="n">
        <x:f>SUM(B273,D273:E273)</x:f>
        <x:v>94104.62831999999</x:v>
      </x:c>
      <x:c r="G273" s="12" t="n">
        <x:f>MAX(G272,F273)</x:f>
        <x:v>103854.818</x:v>
      </x:c>
      <x:c r="H273" s="14" t="n">
        <x:f>F273/G273-1</x:f>
        <x:v>-0.09388288254474642</x:v>
      </x:c>
      <x:c r="I273" s="14" t="n">
        <x:f>F273/F272-1</x:f>
        <x:v>0.013342294195460846</x:v>
      </x:c>
      <x:c r="J273" s="12" t="n">
        <x:v>0</x:v>
      </x:c>
      <x:c r="K273" s="12" t="n">
        <x:v>0</x:v>
      </x:c>
      <x:c r="L273" s="12" t="n">
        <x:v>0</x:v>
      </x:c>
      <x:c r="M273" s="2" t="str">
        <x:v>持有</x:v>
      </x:c>
    </x:row>
    <x:row r="274" ht="23" customHeight="1">
      <x:c r="A274" s="11" t="d">
        <x:v>2016-01-27T00:00:00.000Z</x:v>
      </x:c>
      <x:c r="B274" s="12" t="n">
        <x:v>1461.43812</x:v>
      </x:c>
      <x:c r="C274" s="13" t="n">
        <x:v>484</x:v>
      </x:c>
      <x:c r="D274" s="12" t="n">
        <x:v>91054.92</x:v>
      </x:c>
      <x:c r="E274" s="12" t="n">
        <x:v>586.3902</x:v>
      </x:c>
      <x:c r="F274" s="12" t="n">
        <x:f>SUM(B274,D274:E274)</x:f>
        <x:v>93102.74832</x:v>
      </x:c>
      <x:c r="G274" s="12" t="n">
        <x:f>MAX(G273,F274)</x:f>
        <x:v>103854.818</x:v>
      </x:c>
      <x:c r="H274" s="14" t="n">
        <x:f>F274/G274-1</x:f>
        <x:v>-0.10352981100982717</x:v>
      </x:c>
      <x:c r="I274" s="14" t="n">
        <x:f>F274/F273-1</x:f>
        <x:v>-0.010646447660290659</x:v>
      </x:c>
      <x:c r="J274" s="12" t="n">
        <x:v>0</x:v>
      </x:c>
      <x:c r="K274" s="12" t="n">
        <x:v>0</x:v>
      </x:c>
      <x:c r="L274" s="12" t="n">
        <x:v>0</x:v>
      </x:c>
      <x:c r="M274" s="2" t="str">
        <x:v>持有</x:v>
      </x:c>
    </x:row>
    <x:row r="275" ht="23" customHeight="1">
      <x:c r="A275" s="11" t="d">
        <x:v>2016-01-28T00:00:00.000Z</x:v>
      </x:c>
      <x:c r="B275" s="12" t="n">
        <x:v>1461.43812</x:v>
      </x:c>
      <x:c r="C275" s="13" t="n">
        <x:v>484</x:v>
      </x:c>
      <x:c r="D275" s="12" t="n">
        <x:v>91529.24</x:v>
      </x:c>
      <x:c r="E275" s="12" t="n">
        <x:v>586.3902</x:v>
      </x:c>
      <x:c r="F275" s="12" t="n">
        <x:f>SUM(B275,D275:E275)</x:f>
        <x:v>93577.06832</x:v>
      </x:c>
      <x:c r="G275" s="12" t="n">
        <x:f>MAX(G274,F275)</x:f>
        <x:v>103854.818</x:v>
      </x:c>
      <x:c r="H275" s="14" t="n">
        <x:f>F275/G275-1</x:f>
        <x:v>-0.09896266613263904</x:v>
      </x:c>
      <x:c r="I275" s="14" t="n">
        <x:f>F275/F274-1</x:f>
        <x:v>0.00509458644947558</x:v>
      </x:c>
      <x:c r="J275" s="12" t="n">
        <x:v>0</x:v>
      </x:c>
      <x:c r="K275" s="12" t="n">
        <x:v>0</x:v>
      </x:c>
      <x:c r="L275" s="12" t="n">
        <x:v>0</x:v>
      </x:c>
      <x:c r="M275" s="2" t="str">
        <x:v>持有</x:v>
      </x:c>
    </x:row>
    <x:row r="276" ht="23" customHeight="1">
      <x:c r="A276" s="11" t="d">
        <x:v>2016-01-29T00:00:00.000Z</x:v>
      </x:c>
      <x:c r="B276" s="12" t="n">
        <x:v>2047.82832</x:v>
      </x:c>
      <x:c r="C276" s="13" t="n">
        <x:v>484</x:v>
      </x:c>
      <x:c r="D276" s="12" t="n">
        <x:v>93760.48</x:v>
      </x:c>
      <x:c r="E276" s="12" t="n">
        <x:v>0</x:v>
      </x:c>
      <x:c r="F276" s="12" t="n">
        <x:f>SUM(B276,D276:E276)</x:f>
        <x:v>95808.30832</x:v>
      </x:c>
      <x:c r="G276" s="12" t="n">
        <x:f>MAX(G275,F276)</x:f>
        <x:v>103854.818</x:v>
      </x:c>
      <x:c r="H276" s="14" t="n">
        <x:f>F276/G276-1</x:f>
        <x:v>-0.07747844380219315</x:v>
      </x:c>
      <x:c r="I276" s="14" t="n">
        <x:f>F276/F275-1</x:f>
        <x:v>0.02384387585610126</x:v>
      </x:c>
      <x:c r="J276" s="12" t="n">
        <x:v>0</x:v>
      </x:c>
      <x:c r="K276" s="12" t="n">
        <x:v>586.3902</x:v>
      </x:c>
      <x:c r="L276" s="12" t="n">
        <x:v>0</x:v>
      </x:c>
      <x:c r="M276" s="2" t="str">
        <x:v>持有</x:v>
      </x:c>
    </x:row>
    <x:row r="277" ht="23" customHeight="1">
      <x:c r="A277" s="11" t="d">
        <x:v>2016-02-01T00:00:00.000Z</x:v>
      </x:c>
      <x:c r="B277" s="12" t="n">
        <x:v>2047.82832</x:v>
      </x:c>
      <x:c r="C277" s="13" t="n">
        <x:v>484</x:v>
      </x:c>
      <x:c r="D277" s="12" t="n">
        <x:v>93726.6</x:v>
      </x:c>
      <x:c r="E277" s="12" t="n">
        <x:v>0</x:v>
      </x:c>
      <x:c r="F277" s="12" t="n">
        <x:f>SUM(B277,D277:E277)</x:f>
        <x:v>95774.42832</x:v>
      </x:c>
      <x:c r="G277" s="12" t="n">
        <x:f>MAX(G276,F277)</x:f>
        <x:v>103854.818</x:v>
      </x:c>
      <x:c r="H277" s="14" t="n">
        <x:f>F277/G277-1</x:f>
        <x:v>-0.07780466843627798</x:v>
      </x:c>
      <x:c r="I277" s="14" t="n">
        <x:f>F277/F276-1</x:f>
        <x:v>-0.00035362277650108354</x:v>
      </x:c>
      <x:c r="J277" s="12" t="n">
        <x:v>0</x:v>
      </x:c>
      <x:c r="K277" s="12" t="n">
        <x:v>0</x:v>
      </x:c>
      <x:c r="L277" s="12" t="n">
        <x:v>0</x:v>
      </x:c>
      <x:c r="M277" s="2" t="str">
        <x:v>持有</x:v>
      </x:c>
    </x:row>
    <x:row r="278" ht="23" customHeight="1">
      <x:c r="A278" s="11" t="d">
        <x:v>2016-02-02T00:00:00.000Z</x:v>
      </x:c>
      <x:c r="B278" s="12" t="n">
        <x:v>2047.82832</x:v>
      </x:c>
      <x:c r="C278" s="13" t="n">
        <x:v>484</x:v>
      </x:c>
      <x:c r="D278" s="12" t="n">
        <x:v>92037.44</x:v>
      </x:c>
      <x:c r="E278" s="12" t="n">
        <x:v>0</x:v>
      </x:c>
      <x:c r="F278" s="12" t="n">
        <x:f>SUM(B278,D278:E278)</x:f>
        <x:v>94085.26832</x:v>
      </x:c>
      <x:c r="G278" s="12" t="n">
        <x:f>MAX(G277,F278)</x:f>
        <x:v>103854.818</x:v>
      </x:c>
      <x:c r="H278" s="14" t="n">
        <x:f>F278/G278-1</x:f>
        <x:v>-0.0940692966213662</x:v>
      </x:c>
      <x:c r="I278" s="14" t="n">
        <x:f>F278/F277-1</x:f>
        <x:v>-0.01763685808028226</x:v>
      </x:c>
      <x:c r="J278" s="12" t="n">
        <x:v>0</x:v>
      </x:c>
      <x:c r="K278" s="12" t="n">
        <x:v>0</x:v>
      </x:c>
      <x:c r="L278" s="12" t="n">
        <x:v>0</x:v>
      </x:c>
      <x:c r="M278" s="2" t="str">
        <x:v>持有</x:v>
      </x:c>
    </x:row>
    <x:row r="279" ht="23" customHeight="1">
      <x:c r="A279" s="11" t="d">
        <x:v>2016-02-03T00:00:00.000Z</x:v>
      </x:c>
      <x:c r="B279" s="12" t="n">
        <x:v>2047.82832</x:v>
      </x:c>
      <x:c r="C279" s="13" t="n">
        <x:v>484</x:v>
      </x:c>
      <x:c r="D279" s="12" t="n">
        <x:v>92589.20000000001</x:v>
      </x:c>
      <x:c r="E279" s="12" t="n">
        <x:v>0</x:v>
      </x:c>
      <x:c r="F279" s="12" t="n">
        <x:f>SUM(B279,D279:E279)</x:f>
        <x:v>94637.02832000001</x:v>
      </x:c>
      <x:c r="G279" s="12" t="n">
        <x:f>MAX(G278,F279)</x:f>
        <x:v>103854.818</x:v>
      </x:c>
      <x:c r="H279" s="14" t="n">
        <x:f>F279/G279-1</x:f>
        <x:v>-0.08875649543769826</x:v>
      </x:c>
      <x:c r="I279" s="14" t="n">
        <x:f>F279/F278-1</x:f>
        <x:v>0.005864467518160055</x:v>
      </x:c>
      <x:c r="J279" s="12" t="n">
        <x:v>0</x:v>
      </x:c>
      <x:c r="K279" s="12" t="n">
        <x:v>0</x:v>
      </x:c>
      <x:c r="L279" s="12" t="n">
        <x:v>0</x:v>
      </x:c>
      <x:c r="M279" s="2" t="str">
        <x:v>持有</x:v>
      </x:c>
    </x:row>
    <x:row r="280" ht="23" customHeight="1">
      <x:c r="A280" s="11" t="d">
        <x:v>2016-02-04T00:00:00.000Z</x:v>
      </x:c>
      <x:c r="B280" s="12" t="n">
        <x:v>2047.82832</x:v>
      </x:c>
      <x:c r="C280" s="13" t="n">
        <x:v>484</x:v>
      </x:c>
      <x:c r="D280" s="12" t="n">
        <x:v>92734.4</x:v>
      </x:c>
      <x:c r="E280" s="12" t="n">
        <x:v>0</x:v>
      </x:c>
      <x:c r="F280" s="12" t="n">
        <x:f>SUM(B280,D280:E280)</x:f>
        <x:v>94782.22832</x:v>
      </x:c>
      <x:c r="G280" s="12" t="n">
        <x:f>MAX(G279,F280)</x:f>
        <x:v>103854.818</x:v>
      </x:c>
      <x:c r="H280" s="14" t="n">
        <x:f>F280/G280-1</x:f>
        <x:v>-0.087358389863049</x:v>
      </x:c>
      <x:c r="I280" s="14" t="n">
        <x:f>F280/F279-1</x:f>
        <x:v>0.001534283172005546</x:v>
      </x:c>
      <x:c r="J280" s="12" t="n">
        <x:v>0</x:v>
      </x:c>
      <x:c r="K280" s="12" t="n">
        <x:v>0</x:v>
      </x:c>
      <x:c r="L280" s="12" t="n">
        <x:v>0</x:v>
      </x:c>
      <x:c r="M280" s="2" t="str">
        <x:v>持有</x:v>
      </x:c>
    </x:row>
    <x:row r="281" ht="23" customHeight="1">
      <x:c r="A281" s="11" t="d">
        <x:v>2016-02-05T00:00:00.000Z</x:v>
      </x:c>
      <x:c r="B281" s="12" t="n">
        <x:v>2047.82832</x:v>
      </x:c>
      <x:c r="C281" s="13" t="n">
        <x:v>484</x:v>
      </x:c>
      <x:c r="D281" s="12" t="n">
        <x:v>90967.79999999999</x:v>
      </x:c>
      <x:c r="E281" s="12" t="n">
        <x:v>0</x:v>
      </x:c>
      <x:c r="F281" s="12" t="n">
        <x:f>SUM(B281,D281:E281)</x:f>
        <x:v>93015.62831999999</x:v>
      </x:c>
      <x:c r="G281" s="12" t="n">
        <x:f>MAX(G280,F281)</x:f>
        <x:v>103854.818</x:v>
      </x:c>
      <x:c r="H281" s="14" t="n">
        <x:f>F281/G281-1</x:f>
        <x:v>-0.10436867435461694</x:v>
      </x:c>
      <x:c r="I281" s="14" t="n">
        <x:f>F281/F280-1</x:f>
        <x:v>-0.018638515165898872</x:v>
      </x:c>
      <x:c r="J281" s="12" t="n">
        <x:v>0</x:v>
      </x:c>
      <x:c r="K281" s="12" t="n">
        <x:v>0</x:v>
      </x:c>
      <x:c r="L281" s="12" t="n">
        <x:v>0</x:v>
      </x:c>
      <x:c r="M281" s="2" t="str">
        <x:v>持有</x:v>
      </x:c>
    </x:row>
    <x:row r="282" ht="23" customHeight="1">
      <x:c r="A282" s="11" t="d">
        <x:v>2016-02-08T00:00:00.000Z</x:v>
      </x:c>
      <x:c r="B282" s="12" t="n">
        <x:v>2047.82832</x:v>
      </x:c>
      <x:c r="C282" s="13" t="n">
        <x:v>484</x:v>
      </x:c>
      <x:c r="D282" s="12" t="n">
        <x:v>89743.28</x:v>
      </x:c>
      <x:c r="E282" s="12" t="n">
        <x:v>0</x:v>
      </x:c>
      <x:c r="F282" s="12" t="n">
        <x:f>SUM(B282,D282:E282)</x:f>
        <x:v>91791.10832</x:v>
      </x:c>
      <x:c r="G282" s="12" t="n">
        <x:f>MAX(G281,F282)</x:f>
        <x:v>103854.818</x:v>
      </x:c>
      <x:c r="H282" s="14" t="n">
        <x:f>F282/G282-1</x:f>
        <x:v>-0.11615936470082688</x:v>
      </x:c>
      <x:c r="I282" s="14" t="n">
        <x:f>F282/F281-1</x:f>
        <x:v>-0.013164669444443167</x:v>
      </x:c>
      <x:c r="J282" s="12" t="n">
        <x:v>0</x:v>
      </x:c>
      <x:c r="K282" s="12" t="n">
        <x:v>0</x:v>
      </x:c>
      <x:c r="L282" s="12" t="n">
        <x:v>0</x:v>
      </x:c>
      <x:c r="M282" s="2" t="str">
        <x:v>持有</x:v>
      </x:c>
    </x:row>
    <x:row r="283" ht="23" customHeight="1">
      <x:c r="A283" s="11" t="d">
        <x:v>2016-02-09T00:00:00.000Z</x:v>
      </x:c>
      <x:c r="B283" s="12" t="n">
        <x:v>2047.82832</x:v>
      </x:c>
      <x:c r="C283" s="13" t="n">
        <x:v>484</x:v>
      </x:c>
      <x:c r="D283" s="12" t="n">
        <x:v>89748.12000000001</x:v>
      </x:c>
      <x:c r="E283" s="12" t="n">
        <x:v>0</x:v>
      </x:c>
      <x:c r="F283" s="12" t="n">
        <x:f>SUM(B283,D283:E283)</x:f>
        <x:v>91795.94832000001</x:v>
      </x:c>
      <x:c r="G283" s="12" t="n">
        <x:f>MAX(G282,F283)</x:f>
        <x:v>103854.818</x:v>
      </x:c>
      <x:c r="H283" s="14" t="n">
        <x:f>F283/G283-1</x:f>
        <x:v>-0.1161127611816718</x:v>
      </x:c>
      <x:c r="I283" s="14" t="n">
        <x:f>F283/F282-1</x:f>
        <x:v>0.00005272841878256607</x:v>
      </x:c>
      <x:c r="J283" s="12" t="n">
        <x:v>0</x:v>
      </x:c>
      <x:c r="K283" s="12" t="n">
        <x:v>0</x:v>
      </x:c>
      <x:c r="L283" s="12" t="n">
        <x:v>0</x:v>
      </x:c>
      <x:c r="M283" s="2" t="str">
        <x:v>持有</x:v>
      </x:c>
    </x:row>
    <x:row r="284" ht="23" customHeight="1">
      <x:c r="A284" s="11" t="d">
        <x:v>2016-02-10T00:00:00.000Z</x:v>
      </x:c>
      <x:c r="B284" s="12" t="n">
        <x:v>2047.82832</x:v>
      </x:c>
      <x:c r="C284" s="13" t="n">
        <x:v>484</x:v>
      </x:c>
      <x:c r="D284" s="12" t="n">
        <x:v>89670.68000000001</x:v>
      </x:c>
      <x:c r="E284" s="12" t="n">
        <x:v>0</x:v>
      </x:c>
      <x:c r="F284" s="12" t="n">
        <x:f>SUM(B284,D284:E284)</x:f>
        <x:v>91718.50832000001</x:v>
      </x:c>
      <x:c r="G284" s="12" t="n">
        <x:f>MAX(G283,F284)</x:f>
        <x:v>103854.818</x:v>
      </x:c>
      <x:c r="H284" s="14" t="n">
        <x:f>F284/G284-1</x:f>
        <x:v>-0.11685841748815151</x:v>
      </x:c>
      <x:c r="I284" s="14" t="n">
        <x:f>F284/F283-1</x:f>
        <x:v>-0.0008436102182859395</x:v>
      </x:c>
      <x:c r="J284" s="12" t="n">
        <x:v>0</x:v>
      </x:c>
      <x:c r="K284" s="12" t="n">
        <x:v>0</x:v>
      </x:c>
      <x:c r="L284" s="12" t="n">
        <x:v>0</x:v>
      </x:c>
      <x:c r="M284" s="2" t="str">
        <x:v>持有</x:v>
      </x:c>
    </x:row>
    <x:row r="285" ht="23" customHeight="1">
      <x:c r="A285" s="11" t="d">
        <x:v>2016-02-11T00:00:00.000Z</x:v>
      </x:c>
      <x:c r="B285" s="12" t="n">
        <x:v>2047.82832</x:v>
      </x:c>
      <x:c r="C285" s="13" t="n">
        <x:v>484</x:v>
      </x:c>
      <x:c r="D285" s="12" t="n">
        <x:v>88504.24</x:v>
      </x:c>
      <x:c r="E285" s="12" t="n">
        <x:v>0</x:v>
      </x:c>
      <x:c r="F285" s="12" t="n">
        <x:f>SUM(B285,D285:E285)</x:f>
        <x:v>90552.06832</x:v>
      </x:c>
      <x:c r="G285" s="12" t="n">
        <x:f>MAX(G284,F285)</x:f>
        <x:v>103854.818</x:v>
      </x:c>
      <x:c r="H285" s="14" t="n">
        <x:f>F285/G285-1</x:f>
        <x:v>-0.12808986560450175</x:v>
      </x:c>
      <x:c r="I285" s="14" t="n">
        <x:f>F285/F284-1</x:f>
        <x:v>-0.012717607616669513</x:v>
      </x:c>
      <x:c r="J285" s="12" t="n">
        <x:v>0</x:v>
      </x:c>
      <x:c r="K285" s="12" t="n">
        <x:v>0</x:v>
      </x:c>
      <x:c r="L285" s="12" t="n">
        <x:v>0</x:v>
      </x:c>
      <x:c r="M285" s="2" t="str">
        <x:v>持有</x:v>
      </x:c>
    </x:row>
    <x:row r="286" ht="23" customHeight="1">
      <x:c r="A286" s="11" t="d">
        <x:v>2016-02-12T00:00:00.000Z</x:v>
      </x:c>
      <x:c r="B286" s="12" t="n">
        <x:v>2047.82832</x:v>
      </x:c>
      <x:c r="C286" s="13" t="n">
        <x:v>484</x:v>
      </x:c>
      <x:c r="D286" s="12" t="n">
        <x:v>90328.92</x:v>
      </x:c>
      <x:c r="E286" s="12" t="n">
        <x:v>0</x:v>
      </x:c>
      <x:c r="F286" s="12" t="n">
        <x:f>SUM(B286,D286:E286)</x:f>
        <x:v>92376.74832</x:v>
      </x:c>
      <x:c r="G286" s="12" t="n">
        <x:f>MAX(G285,F286)</x:f>
        <x:v>103854.818</x:v>
      </x:c>
      <x:c r="H286" s="14" t="n">
        <x:f>F286/G286-1</x:f>
        <x:v>-0.11052033888307422</x:v>
      </x:c>
      <x:c r="I286" s="14" t="n">
        <x:f>F286/F285-1</x:f>
        <x:v>0.020150616477933925</x:v>
      </x:c>
      <x:c r="J286" s="12" t="n">
        <x:v>0</x:v>
      </x:c>
      <x:c r="K286" s="12" t="n">
        <x:v>0</x:v>
      </x:c>
      <x:c r="L286" s="12" t="n">
        <x:v>0</x:v>
      </x:c>
      <x:c r="M286" s="2" t="str">
        <x:v>持有</x:v>
      </x:c>
    </x:row>
    <x:row r="287" ht="23" customHeight="1">
      <x:c r="A287" s="11" t="d">
        <x:v>2016-02-16T00:00:00.000Z</x:v>
      </x:c>
      <x:c r="B287" s="12" t="n">
        <x:v>2047.82832</x:v>
      </x:c>
      <x:c r="C287" s="13" t="n">
        <x:v>484</x:v>
      </x:c>
      <x:c r="D287" s="12" t="n">
        <x:v>91853.52</x:v>
      </x:c>
      <x:c r="E287" s="12" t="n">
        <x:v>0</x:v>
      </x:c>
      <x:c r="F287" s="12" t="n">
        <x:f>SUM(B287,D287:E287)</x:f>
        <x:v>93901.34832</x:v>
      </x:c>
      <x:c r="G287" s="12" t="n">
        <x:f>MAX(G286,F287)</x:f>
        <x:v>103854.818</x:v>
      </x:c>
      <x:c r="H287" s="14" t="n">
        <x:f>F287/G287-1</x:f>
        <x:v>-0.09584023034925537</x:v>
      </x:c>
      <x:c r="I287" s="14" t="n">
        <x:f>F287/F286-1</x:f>
        <x:v>0.01650415313081477</x:v>
      </x:c>
      <x:c r="J287" s="12" t="n">
        <x:v>0</x:v>
      </x:c>
      <x:c r="K287" s="12" t="n">
        <x:v>0</x:v>
      </x:c>
      <x:c r="L287" s="12" t="n">
        <x:v>0</x:v>
      </x:c>
      <x:c r="M287" s="2" t="str">
        <x:v>持有</x:v>
      </x:c>
    </x:row>
    <x:row r="288" ht="23" customHeight="1">
      <x:c r="A288" s="11" t="d">
        <x:v>2016-02-17T00:00:00.000Z</x:v>
      </x:c>
      <x:c r="B288" s="12" t="n">
        <x:v>2047.82832</x:v>
      </x:c>
      <x:c r="C288" s="13" t="n">
        <x:v>484</x:v>
      </x:c>
      <x:c r="D288" s="12" t="n">
        <x:v>93353.92</x:v>
      </x:c>
      <x:c r="E288" s="12" t="n">
        <x:v>0</x:v>
      </x:c>
      <x:c r="F288" s="12" t="n">
        <x:f>SUM(B288,D288:E288)</x:f>
        <x:v>95401.74832</x:v>
      </x:c>
      <x:c r="G288" s="12" t="n">
        <x:f>MAX(G287,F288)</x:f>
        <x:v>103854.818</x:v>
      </x:c>
      <x:c r="H288" s="14" t="n">
        <x:f>F288/G288-1</x:f>
        <x:v>-0.08139313941121151</x:v>
      </x:c>
      <x:c r="I288" s="14" t="n">
        <x:f>F288/F287-1</x:f>
        <x:v>0.015978471308919717</x:v>
      </x:c>
      <x:c r="J288" s="12" t="n">
        <x:v>0</x:v>
      </x:c>
      <x:c r="K288" s="12" t="n">
        <x:v>0</x:v>
      </x:c>
      <x:c r="L288" s="12" t="n">
        <x:v>0</x:v>
      </x:c>
      <x:c r="M288" s="2" t="str">
        <x:v>持有</x:v>
      </x:c>
    </x:row>
    <x:row r="289" ht="23" customHeight="1">
      <x:c r="A289" s="11" t="d">
        <x:v>2016-02-18T00:00:00.000Z</x:v>
      </x:c>
      <x:c r="B289" s="12" t="n">
        <x:v>2047.82832</x:v>
      </x:c>
      <x:c r="C289" s="13" t="n">
        <x:v>484</x:v>
      </x:c>
      <x:c r="D289" s="12" t="n">
        <x:v>92971.56</x:v>
      </x:c>
      <x:c r="E289" s="12" t="n">
        <x:v>0</x:v>
      </x:c>
      <x:c r="F289" s="12" t="n">
        <x:f>SUM(B289,D289:E289)</x:f>
        <x:v>95019.38832</x:v>
      </x:c>
      <x:c r="G289" s="12" t="n">
        <x:f>MAX(G288,F289)</x:f>
        <x:v>103854.818</x:v>
      </x:c>
      <x:c r="H289" s="14" t="n">
        <x:f>F289/G289-1</x:f>
        <x:v>-0.085074817424455</x:v>
      </x:c>
      <x:c r="I289" s="14" t="n">
        <x:f>F289/F288-1</x:f>
        <x:v>-0.004007893007552332</x:v>
      </x:c>
      <x:c r="J289" s="12" t="n">
        <x:v>0</x:v>
      </x:c>
      <x:c r="K289" s="12" t="n">
        <x:v>0</x:v>
      </x:c>
      <x:c r="L289" s="12" t="n">
        <x:v>0</x:v>
      </x:c>
      <x:c r="M289" s="2" t="str">
        <x:v>持有</x:v>
      </x:c>
    </x:row>
    <x:row r="290" ht="23" customHeight="1">
      <x:c r="A290" s="11" t="d">
        <x:v>2016-02-19T00:00:00.000Z</x:v>
      </x:c>
      <x:c r="B290" s="12" t="n">
        <x:v>2047.82832</x:v>
      </x:c>
      <x:c r="C290" s="13" t="n">
        <x:v>484</x:v>
      </x:c>
      <x:c r="D290" s="12" t="n">
        <x:v>92928</x:v>
      </x:c>
      <x:c r="E290" s="12" t="n">
        <x:v>0</x:v>
      </x:c>
      <x:c r="F290" s="12" t="n">
        <x:f>SUM(B290,D290:E290)</x:f>
        <x:v>94975.82832</x:v>
      </x:c>
      <x:c r="G290" s="12" t="n">
        <x:f>MAX(G289,F290)</x:f>
        <x:v>103854.818</x:v>
      </x:c>
      <x:c r="H290" s="14" t="n">
        <x:f>F290/G290-1</x:f>
        <x:v>-0.08549424909684977</x:v>
      </x:c>
      <x:c r="I290" s="14" t="n">
        <x:f>F290/F289-1</x:f>
        <x:v>-0.00045843275535828454</x:v>
      </x:c>
      <x:c r="J290" s="12" t="n">
        <x:v>0</x:v>
      </x:c>
      <x:c r="K290" s="12" t="n">
        <x:v>0</x:v>
      </x:c>
      <x:c r="L290" s="12" t="n">
        <x:v>0</x:v>
      </x:c>
      <x:c r="M290" s="2" t="str">
        <x:v>持有</x:v>
      </x:c>
    </x:row>
    <x:row r="291" ht="23" customHeight="1">
      <x:c r="A291" s="11" t="d">
        <x:v>2016-02-22T00:00:00.000Z</x:v>
      </x:c>
      <x:c r="B291" s="12" t="n">
        <x:v>2047.82832</x:v>
      </x:c>
      <x:c r="C291" s="13" t="n">
        <x:v>484</x:v>
      </x:c>
      <x:c r="D291" s="12" t="n">
        <x:v>94273.52</x:v>
      </x:c>
      <x:c r="E291" s="12" t="n">
        <x:v>0</x:v>
      </x:c>
      <x:c r="F291" s="12" t="n">
        <x:f>SUM(B291,D291:E291)</x:f>
        <x:v>96321.34832</x:v>
      </x:c>
      <x:c r="G291" s="12" t="n">
        <x:f>MAX(G290,F291)</x:f>
        <x:v>103854.818</x:v>
      </x:c>
      <x:c r="H291" s="14" t="n">
        <x:f>F291/G291-1</x:f>
        <x:v>-0.07253847077176523</x:v>
      </x:c>
      <x:c r="I291" s="14" t="n">
        <x:f>F291/F290-1</x:f>
        <x:v>0.014166973047779807</x:v>
      </x:c>
      <x:c r="J291" s="12" t="n">
        <x:v>0</x:v>
      </x:c>
      <x:c r="K291" s="12" t="n">
        <x:v>0</x:v>
      </x:c>
      <x:c r="L291" s="12" t="n">
        <x:v>0</x:v>
      </x:c>
      <x:c r="M291" s="2" t="str">
        <x:v>持有</x:v>
      </x:c>
    </x:row>
    <x:row r="292" ht="23" customHeight="1">
      <x:c r="A292" s="11" t="d">
        <x:v>2016-02-23T00:00:00.000Z</x:v>
      </x:c>
      <x:c r="B292" s="12" t="n">
        <x:v>2047.82832</x:v>
      </x:c>
      <x:c r="C292" s="13" t="n">
        <x:v>484</x:v>
      </x:c>
      <x:c r="D292" s="12" t="n">
        <x:v>93082.87999999999</x:v>
      </x:c>
      <x:c r="E292" s="12" t="n">
        <x:v>0</x:v>
      </x:c>
      <x:c r="F292" s="12" t="n">
        <x:f>SUM(B292,D292:E292)</x:f>
        <x:v>95130.70831999999</x:v>
      </x:c>
      <x:c r="G292" s="12" t="n">
        <x:f>MAX(G291,F292)</x:f>
        <x:v>103854.818</x:v>
      </x:c>
      <x:c r="H292" s="14" t="n">
        <x:f>F292/G292-1</x:f>
        <x:v>-0.08400293648389046</x:v>
      </x:c>
      <x:c r="I292" s="14" t="n">
        <x:f>F292/F291-1</x:f>
        <x:v>-0.01236112264587963</x:v>
      </x:c>
      <x:c r="J292" s="12" t="n">
        <x:v>0</x:v>
      </x:c>
      <x:c r="K292" s="12" t="n">
        <x:v>0</x:v>
      </x:c>
      <x:c r="L292" s="12" t="n">
        <x:v>0</x:v>
      </x:c>
      <x:c r="M292" s="2" t="str">
        <x:v>持有</x:v>
      </x:c>
    </x:row>
    <x:row r="293" ht="23" customHeight="1">
      <x:c r="A293" s="11" t="d">
        <x:v>2016-02-24T00:00:00.000Z</x:v>
      </x:c>
      <x:c r="B293" s="12" t="n">
        <x:v>2047.82832</x:v>
      </x:c>
      <x:c r="C293" s="13" t="n">
        <x:v>484</x:v>
      </x:c>
      <x:c r="D293" s="12" t="n">
        <x:v>93508.79999999999</x:v>
      </x:c>
      <x:c r="E293" s="12" t="n">
        <x:v>0</x:v>
      </x:c>
      <x:c r="F293" s="12" t="n">
        <x:f>SUM(B293,D293:E293)</x:f>
        <x:v>95556.62831999999</x:v>
      </x:c>
      <x:c r="G293" s="12" t="n">
        <x:f>MAX(G292,F293)</x:f>
        <x:v>103854.818</x:v>
      </x:c>
      <x:c r="H293" s="14" t="n">
        <x:f>F293/G293-1</x:f>
        <x:v>-0.0799018267982523</x:v>
      </x:c>
      <x:c r="I293" s="14" t="n">
        <x:f>F293/F292-1</x:f>
        <x:v>0.004477208332847704</x:v>
      </x:c>
      <x:c r="J293" s="12" t="n">
        <x:v>0</x:v>
      </x:c>
      <x:c r="K293" s="12" t="n">
        <x:v>0</x:v>
      </x:c>
      <x:c r="L293" s="12" t="n">
        <x:v>0</x:v>
      </x:c>
      <x:c r="M293" s="2" t="str">
        <x:v>持有</x:v>
      </x:c>
    </x:row>
    <x:row r="294" ht="23" customHeight="1">
      <x:c r="A294" s="11" t="d">
        <x:v>2016-02-25T00:00:00.000Z</x:v>
      </x:c>
      <x:c r="B294" s="12" t="n">
        <x:v>2047.82832</x:v>
      </x:c>
      <x:c r="C294" s="13" t="n">
        <x:v>484</x:v>
      </x:c>
      <x:c r="D294" s="12" t="n">
        <x:v>94641.36</x:v>
      </x:c>
      <x:c r="E294" s="12" t="n">
        <x:v>0</x:v>
      </x:c>
      <x:c r="F294" s="12" t="n">
        <x:f>SUM(B294,D294:E294)</x:f>
        <x:v>96689.18832</x:v>
      </x:c>
      <x:c r="G294" s="12" t="n">
        <x:f>MAX(G293,F294)</x:f>
        <x:v>103854.818</x:v>
      </x:c>
      <x:c r="H294" s="14" t="n">
        <x:f>F294/G294-1</x:f>
        <x:v>-0.06899660331598678</x:v>
      </x:c>
      <x:c r="I294" s="14" t="n">
        <x:f>F294/F293-1</x:f>
        <x:v>0.011852239032621448</x:v>
      </x:c>
      <x:c r="J294" s="12" t="n">
        <x:v>0</x:v>
      </x:c>
      <x:c r="K294" s="12" t="n">
        <x:v>0</x:v>
      </x:c>
      <x:c r="L294" s="12" t="n">
        <x:v>0</x:v>
      </x:c>
      <x:c r="M294" s="2" t="str">
        <x:v>持有</x:v>
      </x:c>
    </x:row>
    <x:row r="295" ht="23" customHeight="1">
      <x:c r="A295" s="11" t="d">
        <x:v>2016-02-26T00:00:00.000Z</x:v>
      </x:c>
      <x:c r="B295" s="12" t="n">
        <x:v>2047.82832</x:v>
      </x:c>
      <x:c r="C295" s="13" t="n">
        <x:v>484</x:v>
      </x:c>
      <x:c r="D295" s="12" t="n">
        <x:v>94423.56</x:v>
      </x:c>
      <x:c r="E295" s="12" t="n">
        <x:v>0</x:v>
      </x:c>
      <x:c r="F295" s="12" t="n">
        <x:f>SUM(B295,D295:E295)</x:f>
        <x:v>96471.38832</x:v>
      </x:c>
      <x:c r="G295" s="12" t="n">
        <x:f>MAX(G294,F295)</x:f>
        <x:v>103854.818</x:v>
      </x:c>
      <x:c r="H295" s="14" t="n">
        <x:f>F295/G295-1</x:f>
        <x:v>-0.07109376167796089</x:v>
      </x:c>
      <x:c r="I295" s="14" t="n">
        <x:f>F295/F294-1</x:f>
        <x:v>-0.0022525786366017764</x:v>
      </x:c>
      <x:c r="J295" s="12" t="n">
        <x:v>0</x:v>
      </x:c>
      <x:c r="K295" s="12" t="n">
        <x:v>0</x:v>
      </x:c>
      <x:c r="L295" s="12" t="n">
        <x:v>0</x:v>
      </x:c>
      <x:c r="M295" s="2" t="str">
        <x:v>持有</x:v>
      </x:c>
    </x:row>
    <x:row r="296" ht="23" customHeight="1">
      <x:c r="A296" s="11" t="d">
        <x:v>2016-02-29T00:00:00.000Z</x:v>
      </x:c>
      <x:c r="B296" s="12" t="n">
        <x:v>2047.82832</x:v>
      </x:c>
      <x:c r="C296" s="13" t="n">
        <x:v>484</x:v>
      </x:c>
      <x:c r="D296" s="12" t="n">
        <x:v>93683.04000000001</x:v>
      </x:c>
      <x:c r="E296" s="12" t="n">
        <x:v>0</x:v>
      </x:c>
      <x:c r="F296" s="12" t="n">
        <x:f>SUM(B296,D296:E296)</x:f>
        <x:v>95730.86832000001</x:v>
      </x:c>
      <x:c r="G296" s="12" t="n">
        <x:f>MAX(G295,F296)</x:f>
        <x:v>103854.818</x:v>
      </x:c>
      <x:c r="H296" s="14" t="n">
        <x:f>F296/G296-1</x:f>
        <x:v>-0.07822410010867276</x:v>
      </x:c>
      <x:c r="I296" s="14" t="n">
        <x:f>F296/F295-1</x:f>
        <x:v>-0.007676058289361909</x:v>
      </x:c>
      <x:c r="J296" s="12" t="n">
        <x:v>0</x:v>
      </x:c>
      <x:c r="K296" s="12" t="n">
        <x:v>0</x:v>
      </x:c>
      <x:c r="L296" s="12" t="n">
        <x:v>0</x:v>
      </x:c>
      <x:c r="M296" s="2" t="str">
        <x:v>持有</x:v>
      </x:c>
    </x:row>
    <x:row r="297" ht="23" customHeight="1">
      <x:c r="A297" s="11" t="d">
        <x:v>2016-03-01T00:00:00.000Z</x:v>
      </x:c>
      <x:c r="B297" s="12" t="n">
        <x:v>2047.82832</x:v>
      </x:c>
      <x:c r="C297" s="13" t="n">
        <x:v>484</x:v>
      </x:c>
      <x:c r="D297" s="12" t="n">
        <x:v>95885.24</x:v>
      </x:c>
      <x:c r="E297" s="12" t="n">
        <x:v>0</x:v>
      </x:c>
      <x:c r="F297" s="12" t="n">
        <x:f>SUM(B297,D297:E297)</x:f>
        <x:v>97933.06832</x:v>
      </x:c>
      <x:c r="G297" s="12" t="n">
        <x:f>MAX(G296,F297)</x:f>
        <x:v>103854.818</x:v>
      </x:c>
      <x:c r="H297" s="14" t="n">
        <x:f>F297/G297-1</x:f>
        <x:v>-0.05701949889315672</x:v>
      </x:c>
      <x:c r="I297" s="14" t="n">
        <x:f>F297/F296-1</x:f>
        <x:v>0.023004074220226434</x:v>
      </x:c>
      <x:c r="J297" s="12" t="n">
        <x:v>0</x:v>
      </x:c>
      <x:c r="K297" s="12" t="n">
        <x:v>0</x:v>
      </x:c>
      <x:c r="L297" s="12" t="n">
        <x:v>0</x:v>
      </x:c>
      <x:c r="M297" s="2" t="str">
        <x:v>持有</x:v>
      </x:c>
    </x:row>
    <x:row r="298" ht="23" customHeight="1">
      <x:c r="A298" s="11" t="d">
        <x:v>2016-03-02T00:00:00.000Z</x:v>
      </x:c>
      <x:c r="B298" s="12" t="n">
        <x:v>2047.82832</x:v>
      </x:c>
      <x:c r="C298" s="13" t="n">
        <x:v>484</x:v>
      </x:c>
      <x:c r="D298" s="12" t="n">
        <x:v>96316</x:v>
      </x:c>
      <x:c r="E298" s="12" t="n">
        <x:v>0</x:v>
      </x:c>
      <x:c r="F298" s="12" t="n">
        <x:f>SUM(B298,D298:E298)</x:f>
        <x:v>98363.82832</x:v>
      </x:c>
      <x:c r="G298" s="12" t="n">
        <x:f>MAX(G297,F298)</x:f>
        <x:v>103854.818</x:v>
      </x:c>
      <x:c r="H298" s="14" t="n">
        <x:f>F298/G298-1</x:f>
        <x:v>-0.05287178568836348</x:v>
      </x:c>
      <x:c r="I298" s="14" t="n">
        <x:f>F298/F297-1</x:f>
        <x:v>0.00439851428521032</x:v>
      </x:c>
      <x:c r="J298" s="12" t="n">
        <x:v>0</x:v>
      </x:c>
      <x:c r="K298" s="12" t="n">
        <x:v>0</x:v>
      </x:c>
      <x:c r="L298" s="12" t="n">
        <x:v>0</x:v>
      </x:c>
      <x:c r="M298" s="2" t="str">
        <x:v>持有</x:v>
      </x:c>
    </x:row>
    <x:row r="299" ht="23" customHeight="1">
      <x:c r="A299" s="11" t="d">
        <x:v>2016-03-03T00:00:00.000Z</x:v>
      </x:c>
      <x:c r="B299" s="12" t="n">
        <x:v>2047.82832</x:v>
      </x:c>
      <x:c r="C299" s="13" t="n">
        <x:v>484</x:v>
      </x:c>
      <x:c r="D299" s="12" t="n">
        <x:v>96693.52</x:v>
      </x:c>
      <x:c r="E299" s="12" t="n">
        <x:v>0</x:v>
      </x:c>
      <x:c r="F299" s="12" t="n">
        <x:f>SUM(B299,D299:E299)</x:f>
        <x:v>98741.34832</x:v>
      </x:c>
      <x:c r="G299" s="12" t="n">
        <x:f>MAX(G298,F299)</x:f>
        <x:v>103854.818</x:v>
      </x:c>
      <x:c r="H299" s="14" t="n">
        <x:f>F299/G299-1</x:f>
        <x:v>-0.049236711194274974</x:v>
      </x:c>
      <x:c r="I299" s="14" t="n">
        <x:f>F299/F298-1</x:f>
        <x:v>0.0038379962070187457</x:v>
      </x:c>
      <x:c r="J299" s="12" t="n">
        <x:v>0</x:v>
      </x:c>
      <x:c r="K299" s="12" t="n">
        <x:v>0</x:v>
      </x:c>
      <x:c r="L299" s="12" t="n">
        <x:v>0</x:v>
      </x:c>
      <x:c r="M299" s="2" t="str">
        <x:v>持有</x:v>
      </x:c>
    </x:row>
    <x:row r="300" ht="23" customHeight="1">
      <x:c r="A300" s="11" t="d">
        <x:v>2016-03-04T00:00:00.000Z</x:v>
      </x:c>
      <x:c r="B300" s="12" t="n">
        <x:v>2047.82832</x:v>
      </x:c>
      <x:c r="C300" s="13" t="n">
        <x:v>484</x:v>
      </x:c>
      <x:c r="D300" s="12" t="n">
        <x:v>97008.12000000001</x:v>
      </x:c>
      <x:c r="E300" s="12" t="n">
        <x:v>0</x:v>
      </x:c>
      <x:c r="F300" s="12" t="n">
        <x:f>SUM(B300,D300:E300)</x:f>
        <x:v>99055.94832000001</x:v>
      </x:c>
      <x:c r="G300" s="12" t="n">
        <x:f>MAX(G299,F300)</x:f>
        <x:v>103854.818</x:v>
      </x:c>
      <x:c r="H300" s="14" t="n">
        <x:f>F300/G300-1</x:f>
        <x:v>-0.046207482449201254</x:v>
      </x:c>
      <x:c r="I300" s="14" t="n">
        <x:f>F300/F299-1</x:f>
        <x:v>0.0031861019254106893</x:v>
      </x:c>
      <x:c r="J300" s="12" t="n">
        <x:v>0</x:v>
      </x:c>
      <x:c r="K300" s="12" t="n">
        <x:v>0</x:v>
      </x:c>
      <x:c r="L300" s="12" t="n">
        <x:v>0</x:v>
      </x:c>
      <x:c r="M300" s="2" t="str">
        <x:v>持有</x:v>
      </x:c>
    </x:row>
    <x:row r="301" ht="23" customHeight="1">
      <x:c r="A301" s="11" t="d">
        <x:v>2016-03-07T00:00:00.000Z</x:v>
      </x:c>
      <x:c r="B301" s="12" t="n">
        <x:v>2047.82832</x:v>
      </x:c>
      <x:c r="C301" s="13" t="n">
        <x:v>484</x:v>
      </x:c>
      <x:c r="D301" s="12" t="n">
        <x:v>97085.56</x:v>
      </x:c>
      <x:c r="E301" s="12" t="n">
        <x:v>0</x:v>
      </x:c>
      <x:c r="F301" s="12" t="n">
        <x:f>SUM(B301,D301:E301)</x:f>
        <x:v>99133.38832</x:v>
      </x:c>
      <x:c r="G301" s="12" t="n">
        <x:f>MAX(G300,F301)</x:f>
        <x:v>103854.818</x:v>
      </x:c>
      <x:c r="H301" s="14" t="n">
        <x:f>F301/G301-1</x:f>
        <x:v>-0.04546182614272165</x:v>
      </x:c>
      <x:c r="I301" s="14" t="n">
        <x:f>F301/F300-1</x:f>
        <x:v>0.000781780411104771</x:v>
      </x:c>
      <x:c r="J301" s="12" t="n">
        <x:v>0</x:v>
      </x:c>
      <x:c r="K301" s="12" t="n">
        <x:v>0</x:v>
      </x:c>
      <x:c r="L301" s="12" t="n">
        <x:v>0</x:v>
      </x:c>
      <x:c r="M301" s="2" t="str">
        <x:v>持有</x:v>
      </x:c>
    </x:row>
    <x:row r="302" ht="23" customHeight="1">
      <x:c r="A302" s="11" t="d">
        <x:v>2016-03-08T00:00:00.000Z</x:v>
      </x:c>
      <x:c r="B302" s="12" t="n">
        <x:v>2047.82832</x:v>
      </x:c>
      <x:c r="C302" s="13" t="n">
        <x:v>484</x:v>
      </x:c>
      <x:c r="D302" s="12" t="n">
        <x:v>96025.6</x:v>
      </x:c>
      <x:c r="E302" s="12" t="n">
        <x:v>0</x:v>
      </x:c>
      <x:c r="F302" s="12" t="n">
        <x:f>SUM(B302,D302:E302)</x:f>
        <x:v>98073.42832</x:v>
      </x:c>
      <x:c r="G302" s="12" t="n">
        <x:f>MAX(G301,F302)</x:f>
        <x:v>103854.818</x:v>
      </x:c>
      <x:c r="H302" s="14" t="n">
        <x:f>F302/G302-1</x:f>
        <x:v>-0.055667996837662326</x:v>
      </x:c>
      <x:c r="I302" s="14" t="n">
        <x:f>F302/F301-1</x:f>
        <x:v>-0.010692260377285434</x:v>
      </x:c>
      <x:c r="J302" s="12" t="n">
        <x:v>0</x:v>
      </x:c>
      <x:c r="K302" s="12" t="n">
        <x:v>0</x:v>
      </x:c>
      <x:c r="L302" s="12" t="n">
        <x:v>0</x:v>
      </x:c>
      <x:c r="M302" s="2" t="str">
        <x:v>持有</x:v>
      </x:c>
    </x:row>
    <x:row r="303" ht="23" customHeight="1">
      <x:c r="A303" s="11" t="d">
        <x:v>2016-03-09T00:00:00.000Z</x:v>
      </x:c>
      <x:c r="B303" s="12" t="n">
        <x:v>2047.82832</x:v>
      </x:c>
      <x:c r="C303" s="13" t="n">
        <x:v>484</x:v>
      </x:c>
      <x:c r="D303" s="12" t="n">
        <x:v>96499.92</x:v>
      </x:c>
      <x:c r="E303" s="12" t="n">
        <x:v>0</x:v>
      </x:c>
      <x:c r="F303" s="12" t="n">
        <x:f>SUM(B303,D303:E303)</x:f>
        <x:v>98547.74832</x:v>
      </x:c>
      <x:c r="G303" s="12" t="n">
        <x:f>MAX(G302,F303)</x:f>
        <x:v>103854.818</x:v>
      </x:c>
      <x:c r="H303" s="14" t="n">
        <x:f>F303/G303-1</x:f>
        <x:v>-0.051100851960474314</x:v>
      </x:c>
      <x:c r="I303" s="14" t="n">
        <x:f>F303/F302-1</x:f>
        <x:v>0.004836376255272334</x:v>
      </x:c>
      <x:c r="J303" s="12" t="n">
        <x:v>0</x:v>
      </x:c>
      <x:c r="K303" s="12" t="n">
        <x:v>0</x:v>
      </x:c>
      <x:c r="L303" s="12" t="n">
        <x:v>0</x:v>
      </x:c>
      <x:c r="M303" s="2" t="str">
        <x:v>持有</x:v>
      </x:c>
    </x:row>
    <x:row r="304" ht="23" customHeight="1">
      <x:c r="A304" s="11" t="d">
        <x:v>2016-03-10T00:00:00.000Z</x:v>
      </x:c>
      <x:c r="B304" s="12" t="n">
        <x:v>2047.82832</x:v>
      </x:c>
      <x:c r="C304" s="13" t="n">
        <x:v>484</x:v>
      </x:c>
      <x:c r="D304" s="12" t="n">
        <x:v>96577.36</x:v>
      </x:c>
      <x:c r="E304" s="12" t="n">
        <x:v>0</x:v>
      </x:c>
      <x:c r="F304" s="12" t="n">
        <x:f>SUM(B304,D304:E304)</x:f>
        <x:v>98625.18832</x:v>
      </x:c>
      <x:c r="G304" s="12" t="n">
        <x:f>MAX(G303,F304)</x:f>
        <x:v>103854.818</x:v>
      </x:c>
      <x:c r="H304" s="14" t="n">
        <x:f>F304/G304-1</x:f>
        <x:v>-0.0503551956539946</x:v>
      </x:c>
      <x:c r="I304" s="14" t="n">
        <x:f>F304/F303-1</x:f>
        <x:v>0.0007858119674997166</x:v>
      </x:c>
      <x:c r="J304" s="12" t="n">
        <x:v>0</x:v>
      </x:c>
      <x:c r="K304" s="12" t="n">
        <x:v>0</x:v>
      </x:c>
      <x:c r="L304" s="12" t="n">
        <x:v>0</x:v>
      </x:c>
      <x:c r="M304" s="2" t="str">
        <x:v>持有</x:v>
      </x:c>
    </x:row>
    <x:row r="305" ht="23" customHeight="1">
      <x:c r="A305" s="11" t="d">
        <x:v>2016-03-11T00:00:00.000Z</x:v>
      </x:c>
      <x:c r="B305" s="12" t="n">
        <x:v>2047.82832</x:v>
      </x:c>
      <x:c r="C305" s="13" t="n">
        <x:v>484</x:v>
      </x:c>
      <x:c r="D305" s="12" t="n">
        <x:v>98135.84</x:v>
      </x:c>
      <x:c r="E305" s="12" t="n">
        <x:v>0</x:v>
      </x:c>
      <x:c r="F305" s="12" t="n">
        <x:f>SUM(B305,D305:E305)</x:f>
        <x:v>100183.66832</x:v>
      </x:c>
      <x:c r="G305" s="12" t="n">
        <x:f>MAX(G304,F305)</x:f>
        <x:v>103854.818</x:v>
      </x:c>
      <x:c r="H305" s="14" t="n">
        <x:f>F305/G305-1</x:f>
        <x:v>-0.035348862486090926</x:v>
      </x:c>
      <x:c r="I305" s="14" t="n">
        <x:f>F305/F304-1</x:f>
        <x:v>0.015802048407181246</x:v>
      </x:c>
      <x:c r="J305" s="12" t="n">
        <x:v>0</x:v>
      </x:c>
      <x:c r="K305" s="12" t="n">
        <x:v>0</x:v>
      </x:c>
      <x:c r="L305" s="12" t="n">
        <x:v>0</x:v>
      </x:c>
      <x:c r="M305" s="2" t="str">
        <x:v>持有</x:v>
      </x:c>
    </x:row>
    <x:row r="306" ht="23" customHeight="1">
      <x:c r="A306" s="11" t="d">
        <x:v>2016-03-14T00:00:00.000Z</x:v>
      </x:c>
      <x:c r="B306" s="12" t="n">
        <x:v>2047.82832</x:v>
      </x:c>
      <x:c r="C306" s="13" t="n">
        <x:v>484</x:v>
      </x:c>
      <x:c r="D306" s="12" t="n">
        <x:v>98010</x:v>
      </x:c>
      <x:c r="E306" s="12" t="n">
        <x:v>0</x:v>
      </x:c>
      <x:c r="F306" s="12" t="n">
        <x:f>SUM(B306,D306:E306)</x:f>
        <x:v>100057.82832</x:v>
      </x:c>
      <x:c r="G306" s="12" t="n">
        <x:f>MAX(G305,F306)</x:f>
        <x:v>103854.818</x:v>
      </x:c>
      <x:c r="H306" s="14" t="n">
        <x:f>F306/G306-1</x:f>
        <x:v>-0.03656055398412039</x:v>
      </x:c>
      <x:c r="I306" s="14" t="n">
        <x:f>F306/F305-1</x:f>
        <x:v>-0.001256092955171595</x:v>
      </x:c>
      <x:c r="J306" s="12" t="n">
        <x:v>0</x:v>
      </x:c>
      <x:c r="K306" s="12" t="n">
        <x:v>0</x:v>
      </x:c>
      <x:c r="L306" s="12" t="n">
        <x:v>0</x:v>
      </x:c>
      <x:c r="M306" s="2" t="str">
        <x:v>持有</x:v>
      </x:c>
    </x:row>
    <x:row r="307" ht="23" customHeight="1">
      <x:c r="A307" s="11" t="d">
        <x:v>2016-03-15T00:00:00.000Z</x:v>
      </x:c>
      <x:c r="B307" s="12" t="n">
        <x:v>2047.82832</x:v>
      </x:c>
      <x:c r="C307" s="13" t="n">
        <x:v>484</x:v>
      </x:c>
      <x:c r="D307" s="12" t="n">
        <x:v>97850.28</x:v>
      </x:c>
      <x:c r="E307" s="12" t="n">
        <x:v>0</x:v>
      </x:c>
      <x:c r="F307" s="12" t="n">
        <x:f>SUM(B307,D307:E307)</x:f>
        <x:v>99898.10832</x:v>
      </x:c>
      <x:c r="G307" s="12" t="n">
        <x:f>MAX(G306,F307)</x:f>
        <x:v>103854.818</x:v>
      </x:c>
      <x:c r="H307" s="14" t="n">
        <x:f>F307/G307-1</x:f>
        <x:v>-0.038098470116234795</x:v>
      </x:c>
      <x:c r="I307" s="14" t="n">
        <x:f>F307/F306-1</x:f>
        <x:v>-0.0015962768998862842</x:v>
      </x:c>
      <x:c r="J307" s="12" t="n">
        <x:v>0</x:v>
      </x:c>
      <x:c r="K307" s="12" t="n">
        <x:v>0</x:v>
      </x:c>
      <x:c r="L307" s="12" t="n">
        <x:v>0</x:v>
      </x:c>
      <x:c r="M307" s="2" t="str">
        <x:v>持有</x:v>
      </x:c>
    </x:row>
    <x:row r="308" ht="23" customHeight="1">
      <x:c r="A308" s="11" t="d">
        <x:v>2016-03-16T00:00:00.000Z</x:v>
      </x:c>
      <x:c r="B308" s="12" t="n">
        <x:v>2047.82832</x:v>
      </x:c>
      <x:c r="C308" s="13" t="n">
        <x:v>484</x:v>
      </x:c>
      <x:c r="D308" s="12" t="n">
        <x:v>98416.56</x:v>
      </x:c>
      <x:c r="E308" s="12" t="n">
        <x:v>0</x:v>
      </x:c>
      <x:c r="F308" s="12" t="n">
        <x:f>SUM(B308,D308:E308)</x:f>
        <x:v>100464.38832</x:v>
      </x:c>
      <x:c r="G308" s="12" t="n">
        <x:f>MAX(G307,F308)</x:f>
        <x:v>103854.818</x:v>
      </x:c>
      <x:c r="H308" s="14" t="n">
        <x:f>F308/G308-1</x:f>
        <x:v>-0.03264585837510203</x:v>
      </x:c>
      <x:c r="I308" s="14" t="n">
        <x:f>F308/F307-1</x:f>
        <x:v>0.005668575807121989</x:v>
      </x:c>
      <x:c r="J308" s="12" t="n">
        <x:v>0</x:v>
      </x:c>
      <x:c r="K308" s="12" t="n">
        <x:v>0</x:v>
      </x:c>
      <x:c r="L308" s="12" t="n">
        <x:v>0</x:v>
      </x:c>
      <x:c r="M308" s="2" t="str">
        <x:v>持有</x:v>
      </x:c>
    </x:row>
    <x:row r="309" ht="23" customHeight="1">
      <x:c r="A309" s="11" t="d">
        <x:v>2016-03-17T00:00:00.000Z</x:v>
      </x:c>
      <x:c r="B309" s="12" t="n">
        <x:v>2047.82832</x:v>
      </x:c>
      <x:c r="C309" s="13" t="n">
        <x:v>484</x:v>
      </x:c>
      <x:c r="D309" s="12" t="n">
        <x:v>99040.92</x:v>
      </x:c>
      <x:c r="E309" s="12" t="n">
        <x:v>0</x:v>
      </x:c>
      <x:c r="F309" s="12" t="n">
        <x:f>SUM(B309,D309:E309)</x:f>
        <x:v>101088.74832</x:v>
      </x:c>
      <x:c r="G309" s="12" t="n">
        <x:f>MAX(G308,F309)</x:f>
        <x:v>103854.818</x:v>
      </x:c>
      <x:c r="H309" s="14" t="n">
        <x:f>F309/G309-1</x:f>
        <x:v>-0.026634004404109568</x:v>
      </x:c>
      <x:c r="I309" s="14" t="n">
        <x:f>F309/F308-1</x:f>
        <x:v>0.006214739475756126</x:v>
      </x:c>
      <x:c r="J309" s="12" t="n">
        <x:v>0</x:v>
      </x:c>
      <x:c r="K309" s="12" t="n">
        <x:v>0</x:v>
      </x:c>
      <x:c r="L309" s="12" t="n">
        <x:v>0</x:v>
      </x:c>
      <x:c r="M309" s="2" t="str">
        <x:v>持有</x:v>
      </x:c>
    </x:row>
    <x:row r="310" ht="23" customHeight="1">
      <x:c r="A310" s="11" t="d">
        <x:v>2016-03-18T00:00:00.000Z</x:v>
      </x:c>
      <x:c r="B310" s="12" t="n">
        <x:v>2047.82832</x:v>
      </x:c>
      <x:c r="C310" s="13" t="n">
        <x:v>484</x:v>
      </x:c>
      <x:c r="D310" s="12" t="n">
        <x:v>98919.92</x:v>
      </x:c>
      <x:c r="E310" s="12" t="n">
        <x:v>508.008336</x:v>
      </x:c>
      <x:c r="F310" s="12" t="n">
        <x:f>SUM(B310,D310:E310)</x:f>
        <x:v>101475.756656</x:v>
      </x:c>
      <x:c r="G310" s="12" t="n">
        <x:f>MAX(G309,F310)</x:f>
        <x:v>103854.818</x:v>
      </x:c>
      <x:c r="H310" s="14" t="n">
        <x:f>F310/G310-1</x:f>
        <x:v>-0.022907568371069664</x:v>
      </x:c>
      <x:c r="I310" s="14" t="n">
        <x:f>F310/F309-1</x:f>
        <x:v>0.0038284017007996773</x:v>
      </x:c>
      <x:c r="J310" s="12" t="n">
        <x:v>508.008336</x:v>
      </x:c>
      <x:c r="K310" s="12" t="n">
        <x:v>0</x:v>
      </x:c>
      <x:c r="L310" s="12" t="n">
        <x:v>0</x:v>
      </x:c>
      <x:c r="M310" s="2" t="str">
        <x:v>持有</x:v>
      </x:c>
    </x:row>
    <x:row r="311" ht="23" customHeight="1">
      <x:c r="A311" s="11" t="d">
        <x:v>2016-03-21T00:00:00.000Z</x:v>
      </x:c>
      <x:c r="B311" s="12" t="n">
        <x:v>2047.82832</x:v>
      </x:c>
      <x:c r="C311" s="13" t="n">
        <x:v>484</x:v>
      </x:c>
      <x:c r="D311" s="12" t="n">
        <x:v>99060.28</x:v>
      </x:c>
      <x:c r="E311" s="12" t="n">
        <x:v>508.008336</x:v>
      </x:c>
      <x:c r="F311" s="12" t="n">
        <x:f>SUM(B311,D311:E311)</x:f>
        <x:v>101616.116656</x:v>
      </x:c>
      <x:c r="G311" s="12" t="n">
        <x:f>MAX(G310,F311)</x:f>
        <x:v>103854.818</x:v>
      </x:c>
      <x:c r="H311" s="14" t="n">
        <x:f>F311/G311-1</x:f>
        <x:v>-0.021556066315575273</x:v>
      </x:c>
      <x:c r="I311" s="14" t="n">
        <x:f>F311/F310-1</x:f>
        <x:v>0.001383187518136042</x:v>
      </x:c>
      <x:c r="J311" s="12" t="n">
        <x:v>0</x:v>
      </x:c>
      <x:c r="K311" s="12" t="n">
        <x:v>0</x:v>
      </x:c>
      <x:c r="L311" s="12" t="n">
        <x:v>0</x:v>
      </x:c>
      <x:c r="M311" s="2" t="str">
        <x:v>持有</x:v>
      </x:c>
    </x:row>
    <x:row r="312" ht="23" customHeight="1">
      <x:c r="A312" s="11" t="d">
        <x:v>2016-03-22T00:00:00.000Z</x:v>
      </x:c>
      <x:c r="B312" s="12" t="n">
        <x:v>2047.82832</x:v>
      </x:c>
      <x:c r="C312" s="13" t="n">
        <x:v>484</x:v>
      </x:c>
      <x:c r="D312" s="12" t="n">
        <x:v>99007.04000000001</x:v>
      </x:c>
      <x:c r="E312" s="12" t="n">
        <x:v>508.008336</x:v>
      </x:c>
      <x:c r="F312" s="12" t="n">
        <x:f>SUM(B312,D312:E312)</x:f>
        <x:v>101562.87665600001</x:v>
      </x:c>
      <x:c r="G312" s="12" t="n">
        <x:f>MAX(G311,F312)</x:f>
        <x:v>103854.818</x:v>
      </x:c>
      <x:c r="H312" s="14" t="n">
        <x:f>F312/G312-1</x:f>
        <x:v>-0.02206870502628</x:v>
      </x:c>
      <x:c r="I312" s="14" t="n">
        <x:f>F312/F311-1</x:f>
        <x:v>-0.0005239326373809305</x:v>
      </x:c>
      <x:c r="J312" s="12" t="n">
        <x:v>0</x:v>
      </x:c>
      <x:c r="K312" s="12" t="n">
        <x:v>0</x:v>
      </x:c>
      <x:c r="L312" s="12" t="n">
        <x:v>0</x:v>
      </x:c>
      <x:c r="M312" s="2" t="str">
        <x:v>持有</x:v>
      </x:c>
    </x:row>
    <x:row r="313" ht="23" customHeight="1">
      <x:c r="A313" s="11" t="d">
        <x:v>2016-03-23T00:00:00.000Z</x:v>
      </x:c>
      <x:c r="B313" s="12" t="n">
        <x:v>2047.82832</x:v>
      </x:c>
      <x:c r="C313" s="13" t="n">
        <x:v>484</x:v>
      </x:c>
      <x:c r="D313" s="12" t="n">
        <x:v>98353.64</x:v>
      </x:c>
      <x:c r="E313" s="12" t="n">
        <x:v>508.008336</x:v>
      </x:c>
      <x:c r="F313" s="12" t="n">
        <x:f>SUM(B313,D313:E313)</x:f>
        <x:v>100909.476656</x:v>
      </x:c>
      <x:c r="G313" s="12" t="n">
        <x:f>MAX(G312,F313)</x:f>
        <x:v>103854.818</x:v>
      </x:c>
      <x:c r="H313" s="14" t="n">
        <x:f>F313/G313-1</x:f>
        <x:v>-0.028360180112202427</x:v>
      </x:c>
      <x:c r="I313" s="14" t="n">
        <x:f>F313/F312-1</x:f>
        <x:v>-0.006433453063889871</x:v>
      </x:c>
      <x:c r="J313" s="12" t="n">
        <x:v>0</x:v>
      </x:c>
      <x:c r="K313" s="12" t="n">
        <x:v>0</x:v>
      </x:c>
      <x:c r="L313" s="12" t="n">
        <x:v>0</x:v>
      </x:c>
      <x:c r="M313" s="2" t="str">
        <x:v>持有</x:v>
      </x:c>
    </x:row>
    <x:row r="314" ht="23" customHeight="1">
      <x:c r="A314" s="11" t="d">
        <x:v>2016-03-24T00:00:00.000Z</x:v>
      </x:c>
      <x:c r="B314" s="12" t="n">
        <x:v>2047.82832</x:v>
      </x:c>
      <x:c r="C314" s="13" t="n">
        <x:v>484</x:v>
      </x:c>
      <x:c r="D314" s="12" t="n">
        <x:v>98310.08</x:v>
      </x:c>
      <x:c r="E314" s="12" t="n">
        <x:v>508.008336</x:v>
      </x:c>
      <x:c r="F314" s="12" t="n">
        <x:f>SUM(B314,D314:E314)</x:f>
        <x:v>100865.916656</x:v>
      </x:c>
      <x:c r="G314" s="12" t="n">
        <x:f>MAX(G313,F314)</x:f>
        <x:v>103854.818</x:v>
      </x:c>
      <x:c r="H314" s="14" t="n">
        <x:f>F314/G314-1</x:f>
        <x:v>-0.028779611784597203</x:v>
      </x:c>
      <x:c r="I314" s="14" t="n">
        <x:f>F314/F313-1</x:f>
        <x:v>-0.0004316740255079221</x:v>
      </x:c>
      <x:c r="J314" s="12" t="n">
        <x:v>0</x:v>
      </x:c>
      <x:c r="K314" s="12" t="n">
        <x:v>0</x:v>
      </x:c>
      <x:c r="L314" s="12" t="n">
        <x:v>0</x:v>
      </x:c>
      <x:c r="M314" s="2" t="str">
        <x:v>持有</x:v>
      </x:c>
    </x:row>
    <x:row r="315" ht="23" customHeight="1">
      <x:c r="A315" s="11" t="d">
        <x:v>2016-03-28T00:00:00.000Z</x:v>
      </x:c>
      <x:c r="B315" s="12" t="n">
        <x:v>2047.82832</x:v>
      </x:c>
      <x:c r="C315" s="13" t="n">
        <x:v>484</x:v>
      </x:c>
      <x:c r="D315" s="12" t="n">
        <x:v>98368.16</x:v>
      </x:c>
      <x:c r="E315" s="12" t="n">
        <x:v>508.008336</x:v>
      </x:c>
      <x:c r="F315" s="12" t="n">
        <x:f>SUM(B315,D315:E315)</x:f>
        <x:v>100923.996656</x:v>
      </x:c>
      <x:c r="G315" s="12" t="n">
        <x:f>MAX(G314,F315)</x:f>
        <x:v>103854.818</x:v>
      </x:c>
      <x:c r="H315" s="14" t="n">
        <x:f>F315/G315-1</x:f>
        <x:v>-0.02822036955473739</x:v>
      </x:c>
      <x:c r="I315" s="14" t="n">
        <x:f>F315/F314-1</x:f>
        <x:v>0.000575813931261715</x:v>
      </x:c>
      <x:c r="J315" s="12" t="n">
        <x:v>0</x:v>
      </x:c>
      <x:c r="K315" s="12" t="n">
        <x:v>0</x:v>
      </x:c>
      <x:c r="L315" s="12" t="n">
        <x:v>0</x:v>
      </x:c>
      <x:c r="M315" s="2" t="str">
        <x:v>持有</x:v>
      </x:c>
    </x:row>
    <x:row r="316" ht="23" customHeight="1">
      <x:c r="A316" s="11" t="d">
        <x:v>2016-03-29T00:00:00.000Z</x:v>
      </x:c>
      <x:c r="B316" s="12" t="n">
        <x:v>2047.82832</x:v>
      </x:c>
      <x:c r="C316" s="13" t="n">
        <x:v>484</x:v>
      </x:c>
      <x:c r="D316" s="12" t="n">
        <x:v>99278.08</x:v>
      </x:c>
      <x:c r="E316" s="12" t="n">
        <x:v>508.008336</x:v>
      </x:c>
      <x:c r="F316" s="12" t="n">
        <x:f>SUM(B316,D316:E316)</x:f>
        <x:v>101833.916656</x:v>
      </x:c>
      <x:c r="G316" s="12" t="n">
        <x:f>MAX(G315,F316)</x:f>
        <x:v>103854.818</x:v>
      </x:c>
      <x:c r="H316" s="14" t="n">
        <x:f>F316/G316-1</x:f>
        <x:v>-0.019458907953601168</x:v>
      </x:c>
      <x:c r="I316" s="14" t="n">
        <x:f>F316/F315-1</x:f>
        <x:v>0.009015893446050027</x:v>
      </x:c>
      <x:c r="J316" s="12" t="n">
        <x:v>0</x:v>
      </x:c>
      <x:c r="K316" s="12" t="n">
        <x:v>0</x:v>
      </x:c>
      <x:c r="L316" s="12" t="n">
        <x:v>0</x:v>
      </x:c>
      <x:c r="M316" s="2" t="str">
        <x:v>持有</x:v>
      </x:c>
    </x:row>
    <x:row r="317" ht="23" customHeight="1">
      <x:c r="A317" s="11" t="d">
        <x:v>2016-03-30T00:00:00.000Z</x:v>
      </x:c>
      <x:c r="B317" s="12" t="n">
        <x:v>2047.82832</x:v>
      </x:c>
      <x:c r="C317" s="13" t="n">
        <x:v>484</x:v>
      </x:c>
      <x:c r="D317" s="12" t="n">
        <x:v>99713.68000000001</x:v>
      </x:c>
      <x:c r="E317" s="12" t="n">
        <x:v>508.008336</x:v>
      </x:c>
      <x:c r="F317" s="12" t="n">
        <x:f>SUM(B317,D317:E317)</x:f>
        <x:v>102269.516656</x:v>
      </x:c>
      <x:c r="G317" s="12" t="n">
        <x:f>MAX(G316,F317)</x:f>
        <x:v>103854.818</x:v>
      </x:c>
      <x:c r="H317" s="14" t="n">
        <x:f>F317/G317-1</x:f>
        <x:v>-0.015264591229652846</x:v>
      </x:c>
      <x:c r="I317" s="14" t="n">
        <x:f>F317/F316-1</x:f>
        <x:v>0.0042775532386865045</x:v>
      </x:c>
      <x:c r="J317" s="12" t="n">
        <x:v>0</x:v>
      </x:c>
      <x:c r="K317" s="12" t="n">
        <x:v>0</x:v>
      </x:c>
      <x:c r="L317" s="12" t="n">
        <x:v>0</x:v>
      </x:c>
      <x:c r="M317" s="2" t="str">
        <x:v>持有</x:v>
      </x:c>
    </x:row>
    <x:row r="318" ht="23" customHeight="1">
      <x:c r="A318" s="11" t="d">
        <x:v>2016-03-31T00:00:00.000Z</x:v>
      </x:c>
      <x:c r="B318" s="12" t="n">
        <x:v>2047.82832</x:v>
      </x:c>
      <x:c r="C318" s="13" t="n">
        <x:v>484</x:v>
      </x:c>
      <x:c r="D318" s="12" t="n">
        <x:v>99471.68000000001</x:v>
      </x:c>
      <x:c r="E318" s="12" t="n">
        <x:v>508.008336</x:v>
      </x:c>
      <x:c r="F318" s="12" t="n">
        <x:f>SUM(B318,D318:E318)</x:f>
        <x:v>102027.516656</x:v>
      </x:c>
      <x:c r="G318" s="12" t="n">
        <x:f>MAX(G317,F318)</x:f>
        <x:v>103854.818</x:v>
      </x:c>
      <x:c r="H318" s="14" t="n">
        <x:f>F318/G318-1</x:f>
        <x:v>-0.017594767187401827</x:v>
      </x:c>
      <x:c r="I318" s="14" t="n">
        <x:f>F318/F317-1</x:f>
        <x:v>-0.002366296506651211</x:v>
      </x:c>
      <x:c r="J318" s="12" t="n">
        <x:v>0</x:v>
      </x:c>
      <x:c r="K318" s="12" t="n">
        <x:v>0</x:v>
      </x:c>
      <x:c r="L318" s="12" t="n">
        <x:v>0</x:v>
      </x:c>
      <x:c r="M318" s="2" t="str">
        <x:v>持有</x:v>
      </x:c>
    </x:row>
    <x:row r="319" ht="23" customHeight="1">
      <x:c r="A319" s="11" t="d">
        <x:v>2016-04-01T00:00:00.000Z</x:v>
      </x:c>
      <x:c r="B319" s="12" t="n">
        <x:v>2047.82832</x:v>
      </x:c>
      <x:c r="C319" s="13" t="n">
        <x:v>484</x:v>
      </x:c>
      <x:c r="D319" s="12" t="n">
        <x:v>100149.28</x:v>
      </x:c>
      <x:c r="E319" s="12" t="n">
        <x:v>508.008336</x:v>
      </x:c>
      <x:c r="F319" s="12" t="n">
        <x:f>SUM(B319,D319:E319)</x:f>
        <x:v>102705.116656</x:v>
      </x:c>
      <x:c r="G319" s="12" t="n">
        <x:f>MAX(G318,F319)</x:f>
        <x:v>103854.818</x:v>
      </x:c>
      <x:c r="H319" s="14" t="n">
        <x:f>F319/G319-1</x:f>
        <x:v>-0.011070274505704747</x:v>
      </x:c>
      <x:c r="I319" s="14" t="n">
        <x:f>F319/F318-1</x:f>
        <x:v>0.006641345611543281</x:v>
      </x:c>
      <x:c r="J319" s="12" t="n">
        <x:v>0</x:v>
      </x:c>
      <x:c r="K319" s="12" t="n">
        <x:v>0</x:v>
      </x:c>
      <x:c r="L319" s="12" t="n">
        <x:v>0</x:v>
      </x:c>
      <x:c r="M319" s="2" t="str">
        <x:v>持有</x:v>
      </x:c>
    </x:row>
    <x:row r="320" ht="23" customHeight="1">
      <x:c r="A320" s="11" t="d">
        <x:v>2016-04-04T00:00:00.000Z</x:v>
      </x:c>
      <x:c r="B320" s="12" t="n">
        <x:v>2047.82832</x:v>
      </x:c>
      <x:c r="C320" s="13" t="n">
        <x:v>484</x:v>
      </x:c>
      <x:c r="D320" s="12" t="n">
        <x:v>99825</x:v>
      </x:c>
      <x:c r="E320" s="12" t="n">
        <x:v>508.008336</x:v>
      </x:c>
      <x:c r="F320" s="12" t="n">
        <x:f>SUM(B320,D320:E320)</x:f>
        <x:v>102380.836656</x:v>
      </x:c>
      <x:c r="G320" s="12" t="n">
        <x:f>MAX(G319,F320)</x:f>
        <x:v>103854.818</x:v>
      </x:c>
      <x:c r="H320" s="14" t="n">
        <x:f>F320/G320-1</x:f>
        <x:v>-0.014192710289088417</x:v>
      </x:c>
      <x:c r="I320" s="14" t="n">
        <x:f>F320/F319-1</x:f>
        <x:v>-0.003157388945734252</x:v>
      </x:c>
      <x:c r="J320" s="12" t="n">
        <x:v>0</x:v>
      </x:c>
      <x:c r="K320" s="12" t="n">
        <x:v>0</x:v>
      </x:c>
      <x:c r="L320" s="12" t="n">
        <x:v>0</x:v>
      </x:c>
      <x:c r="M320" s="2" t="str">
        <x:v>持有</x:v>
      </x:c>
    </x:row>
    <x:row r="321" ht="23" customHeight="1">
      <x:c r="A321" s="11" t="d">
        <x:v>2016-04-05T00:00:00.000Z</x:v>
      </x:c>
      <x:c r="B321" s="12" t="n">
        <x:v>2047.82832</x:v>
      </x:c>
      <x:c r="C321" s="13" t="n">
        <x:v>484</x:v>
      </x:c>
      <x:c r="D321" s="12" t="n">
        <x:v>98827.95999999999</x:v>
      </x:c>
      <x:c r="E321" s="12" t="n">
        <x:v>508.008336</x:v>
      </x:c>
      <x:c r="F321" s="12" t="n">
        <x:f>SUM(B321,D321:E321)</x:f>
        <x:v>101383.79665599999</x:v>
      </x:c>
      <x:c r="G321" s="12" t="n">
        <x:f>MAX(G320,F321)</x:f>
        <x:v>103854.818</x:v>
      </x:c>
      <x:c r="H321" s="14" t="n">
        <x:f>F321/G321-1</x:f>
        <x:v>-0.023793035235014415</x:v>
      </x:c>
      <x:c r="I321" s="14" t="n">
        <x:f>F321/F320-1</x:f>
        <x:v>-0.009738541240389198</x:v>
      </x:c>
      <x:c r="J321" s="12" t="n">
        <x:v>0</x:v>
      </x:c>
      <x:c r="K321" s="12" t="n">
        <x:v>0</x:v>
      </x:c>
      <x:c r="L321" s="12" t="n">
        <x:v>0</x:v>
      </x:c>
      <x:c r="M321" s="2" t="str">
        <x:v>持有</x:v>
      </x:c>
    </x:row>
    <x:row r="322" ht="23" customHeight="1">
      <x:c r="A322" s="11" t="d">
        <x:v>2016-04-06T00:00:00.000Z</x:v>
      </x:c>
      <x:c r="B322" s="12" t="n">
        <x:v>2047.82832</x:v>
      </x:c>
      <x:c r="C322" s="13" t="n">
        <x:v>484</x:v>
      </x:c>
      <x:c r="D322" s="12" t="n">
        <x:v>99907.28</x:v>
      </x:c>
      <x:c r="E322" s="12" t="n">
        <x:v>508.008336</x:v>
      </x:c>
      <x:c r="F322" s="12" t="n">
        <x:f>SUM(B322,D322:E322)</x:f>
        <x:v>102463.116656</x:v>
      </x:c>
      <x:c r="G322" s="12" t="n">
        <x:f>MAX(G321,F322)</x:f>
        <x:v>103854.818</x:v>
      </x:c>
      <x:c r="H322" s="14" t="n">
        <x:f>F322/G322-1</x:f>
        <x:v>-0.013400450463453728</x:v>
      </x:c>
      <x:c r="I322" s="14" t="n">
        <x:f>F322/F321-1</x:f>
        <x:v>0.010645882632134951</x:v>
      </x:c>
      <x:c r="J322" s="12" t="n">
        <x:v>0</x:v>
      </x:c>
      <x:c r="K322" s="12" t="n">
        <x:v>0</x:v>
      </x:c>
      <x:c r="L322" s="12" t="n">
        <x:v>0</x:v>
      </x:c>
      <x:c r="M322" s="2" t="str">
        <x:v>持有</x:v>
      </x:c>
    </x:row>
    <x:row r="323" ht="23" customHeight="1">
      <x:c r="A323" s="11" t="d">
        <x:v>2016-04-07T00:00:00.000Z</x:v>
      </x:c>
      <x:c r="B323" s="12" t="n">
        <x:v>2047.82832</x:v>
      </x:c>
      <x:c r="C323" s="13" t="n">
        <x:v>484</x:v>
      </x:c>
      <x:c r="D323" s="12" t="n">
        <x:v>98711.79999999999</x:v>
      </x:c>
      <x:c r="E323" s="12" t="n">
        <x:v>508.008336</x:v>
      </x:c>
      <x:c r="F323" s="12" t="n">
        <x:f>SUM(B323,D323:E323)</x:f>
        <x:v>101267.63665599999</x:v>
      </x:c>
      <x:c r="G323" s="12" t="n">
        <x:f>MAX(G322,F323)</x:f>
        <x:v>103854.818</x:v>
      </x:c>
      <x:c r="H323" s="14" t="n">
        <x:f>F323/G323-1</x:f>
        <x:v>-0.02491151969473393</x:v>
      </x:c>
      <x:c r="I323" s="14" t="n">
        <x:f>F323/F322-1</x:f>
        <x:v>-0.011667417886707443</x:v>
      </x:c>
      <x:c r="J323" s="12" t="n">
        <x:v>0</x:v>
      </x:c>
      <x:c r="K323" s="12" t="n">
        <x:v>0</x:v>
      </x:c>
      <x:c r="L323" s="12" t="n">
        <x:v>0</x:v>
      </x:c>
      <x:c r="M323" s="2" t="str">
        <x:v>持有</x:v>
      </x:c>
    </x:row>
    <x:row r="324" ht="23" customHeight="1">
      <x:c r="A324" s="11" t="d">
        <x:v>2016-04-08T00:00:00.000Z</x:v>
      </x:c>
      <x:c r="B324" s="12" t="n">
        <x:v>2047.82832</x:v>
      </x:c>
      <x:c r="C324" s="13" t="n">
        <x:v>484</x:v>
      </x:c>
      <x:c r="D324" s="12" t="n">
        <x:v>98978</x:v>
      </x:c>
      <x:c r="E324" s="12" t="n">
        <x:v>508.008336</x:v>
      </x:c>
      <x:c r="F324" s="12" t="n">
        <x:f>SUM(B324,D324:E324)</x:f>
        <x:v>101533.836656</x:v>
      </x:c>
      <x:c r="G324" s="12" t="n">
        <x:f>MAX(G323,F324)</x:f>
        <x:v>103854.818</x:v>
      </x:c>
      <x:c r="H324" s="14" t="n">
        <x:f>F324/G324-1</x:f>
        <x:v>-0.022348326141209962</x:v>
      </x:c>
      <x:c r="I324" s="14" t="n">
        <x:f>F324/F323-1</x:f>
        <x:v>0.0026286779151791784</x:v>
      </x:c>
      <x:c r="J324" s="12" t="n">
        <x:v>0</x:v>
      </x:c>
      <x:c r="K324" s="12" t="n">
        <x:v>0</x:v>
      </x:c>
      <x:c r="L324" s="12" t="n">
        <x:v>0</x:v>
      </x:c>
      <x:c r="M324" s="2" t="str">
        <x:v>持有</x:v>
      </x:c>
    </x:row>
    <x:row r="325" ht="23" customHeight="1">
      <x:c r="A325" s="11" t="d">
        <x:v>2016-04-11T00:00:00.000Z</x:v>
      </x:c>
      <x:c r="B325" s="12" t="n">
        <x:v>2047.82832</x:v>
      </x:c>
      <x:c r="C325" s="13" t="n">
        <x:v>484</x:v>
      </x:c>
      <x:c r="D325" s="12" t="n">
        <x:v>98745.68000000001</x:v>
      </x:c>
      <x:c r="E325" s="12" t="n">
        <x:v>508.008336</x:v>
      </x:c>
      <x:c r="F325" s="12" t="n">
        <x:f>SUM(B325,D325:E325)</x:f>
        <x:v>101301.516656</x:v>
      </x:c>
      <x:c r="G325" s="12" t="n">
        <x:f>MAX(G324,F325)</x:f>
        <x:v>103854.818</x:v>
      </x:c>
      <x:c r="H325" s="14" t="n">
        <x:f>F325/G325-1</x:f>
        <x:v>-0.024585295060648882</x:v>
      </x:c>
      <x:c r="I325" s="14" t="n">
        <x:f>F325/F324-1</x:f>
        <x:v>-0.002288104218765019</x:v>
      </x:c>
      <x:c r="J325" s="12" t="n">
        <x:v>0</x:v>
      </x:c>
      <x:c r="K325" s="12" t="n">
        <x:v>0</x:v>
      </x:c>
      <x:c r="L325" s="12" t="n">
        <x:v>0</x:v>
      </x:c>
      <x:c r="M325" s="2" t="str">
        <x:v>持有</x:v>
      </x:c>
    </x:row>
    <x:row r="326" ht="23" customHeight="1">
      <x:c r="A326" s="11" t="d">
        <x:v>2016-04-12T00:00:00.000Z</x:v>
      </x:c>
      <x:c r="B326" s="12" t="n">
        <x:v>2047.82832</x:v>
      </x:c>
      <x:c r="C326" s="13" t="n">
        <x:v>484</x:v>
      </x:c>
      <x:c r="D326" s="12" t="n">
        <x:v>99665.28</x:v>
      </x:c>
      <x:c r="E326" s="12" t="n">
        <x:v>508.008336</x:v>
      </x:c>
      <x:c r="F326" s="12" t="n">
        <x:f>SUM(B326,D326:E326)</x:f>
        <x:v>102221.116656</x:v>
      </x:c>
      <x:c r="G326" s="12" t="n">
        <x:f>MAX(G325,F326)</x:f>
        <x:v>103854.818</x:v>
      </x:c>
      <x:c r="H326" s="14" t="n">
        <x:f>F326/G326-1</x:f>
        <x:v>-0.01573062642120271</x:v>
      </x:c>
      <x:c r="I326" s="14" t="n">
        <x:f>F326/F325-1</x:f>
        <x:v>0.009077850266771215</x:v>
      </x:c>
      <x:c r="J326" s="12" t="n">
        <x:v>0</x:v>
      </x:c>
      <x:c r="K326" s="12" t="n">
        <x:v>0</x:v>
      </x:c>
      <x:c r="L326" s="12" t="n">
        <x:v>0</x:v>
      </x:c>
      <x:c r="M326" s="2" t="str">
        <x:v>持有</x:v>
      </x:c>
    </x:row>
    <x:row r="327" ht="23" customHeight="1">
      <x:c r="A327" s="11" t="d">
        <x:v>2016-04-13T00:00:00.000Z</x:v>
      </x:c>
      <x:c r="B327" s="12" t="n">
        <x:v>2047.82832</x:v>
      </x:c>
      <x:c r="C327" s="13" t="n">
        <x:v>484</x:v>
      </x:c>
      <x:c r="D327" s="12" t="n">
        <x:v>100672</x:v>
      </x:c>
      <x:c r="E327" s="12" t="n">
        <x:v>508.008336</x:v>
      </x:c>
      <x:c r="F327" s="12" t="n">
        <x:f>SUM(B327,D327:E327)</x:f>
        <x:v>103227.836656</x:v>
      </x:c>
      <x:c r="G327" s="12" t="n">
        <x:f>MAX(G326,F327)</x:f>
        <x:v>103854.818</x:v>
      </x:c>
      <x:c r="H327" s="14" t="n">
        <x:f>F327/G327-1</x:f>
        <x:v>-0.006037094436966761</x:v>
      </x:c>
      <x:c r="I327" s="14" t="n">
        <x:f>F327/F326-1</x:f>
        <x:v>0.009848454340289248</x:v>
      </x:c>
      <x:c r="J327" s="12" t="n">
        <x:v>0</x:v>
      </x:c>
      <x:c r="K327" s="12" t="n">
        <x:v>0</x:v>
      </x:c>
      <x:c r="L327" s="12" t="n">
        <x:v>0</x:v>
      </x:c>
      <x:c r="M327" s="2" t="str">
        <x:v>持有</x:v>
      </x:c>
    </x:row>
    <x:row r="328" ht="23" customHeight="1">
      <x:c r="A328" s="11" t="d">
        <x:v>2016-04-14T00:00:00.000Z</x:v>
      </x:c>
      <x:c r="B328" s="12" t="n">
        <x:v>2047.82832</x:v>
      </x:c>
      <x:c r="C328" s="13" t="n">
        <x:v>484</x:v>
      </x:c>
      <x:c r="D328" s="12" t="n">
        <x:v>100676.84</x:v>
      </x:c>
      <x:c r="E328" s="12" t="n">
        <x:v>508.008336</x:v>
      </x:c>
      <x:c r="F328" s="12" t="n">
        <x:f>SUM(B328,D328:E328)</x:f>
        <x:v>103232.676656</x:v>
      </x:c>
      <x:c r="G328" s="12" t="n">
        <x:f>MAX(G327,F328)</x:f>
        <x:v>103854.818</x:v>
      </x:c>
      <x:c r="H328" s="14" t="n">
        <x:f>F328/G328-1</x:f>
        <x:v>-0.005990490917811897</x:v>
      </x:c>
      <x:c r="I328" s="14" t="n">
        <x:f>F328/F327-1</x:f>
        <x:v>0.00004688657785334449</x:v>
      </x:c>
      <x:c r="J328" s="12" t="n">
        <x:v>0</x:v>
      </x:c>
      <x:c r="K328" s="12" t="n">
        <x:v>0</x:v>
      </x:c>
      <x:c r="L328" s="12" t="n">
        <x:v>0</x:v>
      </x:c>
      <x:c r="M328" s="2" t="str">
        <x:v>持有</x:v>
      </x:c>
    </x:row>
    <x:row r="329" ht="23" customHeight="1">
      <x:c r="A329" s="11" t="d">
        <x:v>2016-04-15T00:00:00.000Z</x:v>
      </x:c>
      <x:c r="B329" s="12" t="n">
        <x:v>2047.82832</x:v>
      </x:c>
      <x:c r="C329" s="13" t="n">
        <x:v>484</x:v>
      </x:c>
      <x:c r="D329" s="12" t="n">
        <x:v>100565.52</x:v>
      </x:c>
      <x:c r="E329" s="12" t="n">
        <x:v>508.008336</x:v>
      </x:c>
      <x:c r="F329" s="12" t="n">
        <x:f>SUM(B329,D329:E329)</x:f>
        <x:v>103121.356656</x:v>
      </x:c>
      <x:c r="G329" s="12" t="n">
        <x:f>MAX(G328,F329)</x:f>
        <x:v>103854.818</x:v>
      </x:c>
      <x:c r="H329" s="14" t="n">
        <x:f>F329/G329-1</x:f>
        <x:v>-0.007062371858376326</x:v>
      </x:c>
      <x:c r="I329" s="14" t="n">
        <x:f>F329/F328-1</x:f>
        <x:v>-0.0010783407309193915</x:v>
      </x:c>
      <x:c r="J329" s="12" t="n">
        <x:v>0</x:v>
      </x:c>
      <x:c r="K329" s="12" t="n">
        <x:v>0</x:v>
      </x:c>
      <x:c r="L329" s="12" t="n">
        <x:v>0</x:v>
      </x:c>
      <x:c r="M329" s="2" t="str">
        <x:v>持有</x:v>
      </x:c>
    </x:row>
    <x:row r="330" ht="23" customHeight="1">
      <x:c r="A330" s="11" t="d">
        <x:v>2016-04-18T00:00:00.000Z</x:v>
      </x:c>
      <x:c r="B330" s="12" t="n">
        <x:v>2047.82832</x:v>
      </x:c>
      <x:c r="C330" s="13" t="n">
        <x:v>484</x:v>
      </x:c>
      <x:c r="D330" s="12" t="n">
        <x:v>101272.16</x:v>
      </x:c>
      <x:c r="E330" s="12" t="n">
        <x:v>508.008336</x:v>
      </x:c>
      <x:c r="F330" s="12" t="n">
        <x:f>SUM(B330,D330:E330)</x:f>
        <x:v>103827.996656</x:v>
      </x:c>
      <x:c r="G330" s="12" t="n">
        <x:f>MAX(G329,F330)</x:f>
        <x:v>103854.818</x:v>
      </x:c>
      <x:c r="H330" s="14" t="n">
        <x:f>F330/G330-1</x:f>
        <x:v>-0.00025825806174917254</x:v>
      </x:c>
      <x:c r="I330" s="14" t="n">
        <x:f>F330/F329-1</x:f>
        <x:v>0.006852508761664877</x:v>
      </x:c>
      <x:c r="J330" s="12" t="n">
        <x:v>0</x:v>
      </x:c>
      <x:c r="K330" s="12" t="n">
        <x:v>0</x:v>
      </x:c>
      <x:c r="L330" s="12" t="n">
        <x:v>0</x:v>
      </x:c>
      <x:c r="M330" s="2" t="str">
        <x:v>持有</x:v>
      </x:c>
    </x:row>
    <x:row r="331" ht="23" customHeight="1">
      <x:c r="A331" s="11" t="d">
        <x:v>2016-04-19T00:00:00.000Z</x:v>
      </x:c>
      <x:c r="B331" s="12" t="n">
        <x:v>2047.82832</x:v>
      </x:c>
      <x:c r="C331" s="13" t="n">
        <x:v>484</x:v>
      </x:c>
      <x:c r="D331" s="12" t="n">
        <x:v>101591.6</x:v>
      </x:c>
      <x:c r="E331" s="12" t="n">
        <x:v>508.008336</x:v>
      </x:c>
      <x:c r="F331" s="12" t="n">
        <x:f>SUM(B331,D331:E331)</x:f>
        <x:v>104147.436656</x:v>
      </x:c>
      <x:c r="G331" s="12" t="n">
        <x:f>MAX(G330,F331)</x:f>
        <x:v>104147.436656</x:v>
      </x:c>
      <x:c r="H331" s="14" t="n">
        <x:f>F331/G331-1</x:f>
        <x:v>0</x:v>
      </x:c>
      <x:c r="I331" s="14" t="n">
        <x:f>F331/F330-1</x:f>
        <x:v>0.0030766268279101006</x:v>
      </x:c>
      <x:c r="J331" s="12" t="n">
        <x:v>0</x:v>
      </x:c>
      <x:c r="K331" s="12" t="n">
        <x:v>0</x:v>
      </x:c>
      <x:c r="L331" s="12" t="n">
        <x:v>0</x:v>
      </x:c>
      <x:c r="M331" s="2" t="str">
        <x:v>持有</x:v>
      </x:c>
    </x:row>
    <x:row r="332" ht="23" customHeight="1">
      <x:c r="A332" s="11" t="d">
        <x:v>2016-04-20T00:00:00.000Z</x:v>
      </x:c>
      <x:c r="B332" s="12" t="n">
        <x:v>2047.82832</x:v>
      </x:c>
      <x:c r="C332" s="13" t="n">
        <x:v>484</x:v>
      </x:c>
      <x:c r="D332" s="12" t="n">
        <x:v>101688.4</x:v>
      </x:c>
      <x:c r="E332" s="12" t="n">
        <x:v>508.008336</x:v>
      </x:c>
      <x:c r="F332" s="12" t="n">
        <x:f>SUM(B332,D332:E332)</x:f>
        <x:v>104244.236656</x:v>
      </x:c>
      <x:c r="G332" s="12" t="n">
        <x:f>MAX(G331,F332)</x:f>
        <x:v>104244.236656</x:v>
      </x:c>
      <x:c r="H332" s="14" t="n">
        <x:f>F332/G332-1</x:f>
        <x:v>0</x:v>
      </x:c>
      <x:c r="I332" s="14" t="n">
        <x:f>F332/F331-1</x:f>
        <x:v>0.0009294515842930284</x:v>
      </x:c>
      <x:c r="J332" s="12" t="n">
        <x:v>0</x:v>
      </x:c>
      <x:c r="K332" s="12" t="n">
        <x:v>0</x:v>
      </x:c>
      <x:c r="L332" s="12" t="n">
        <x:v>0</x:v>
      </x:c>
      <x:c r="M332" s="2" t="str">
        <x:v>持有</x:v>
      </x:c>
    </x:row>
    <x:row r="333" ht="23" customHeight="1">
      <x:c r="A333" s="11" t="d">
        <x:v>2016-04-21T00:00:00.000Z</x:v>
      </x:c>
      <x:c r="B333" s="12" t="n">
        <x:v>2047.82832</x:v>
      </x:c>
      <x:c r="C333" s="13" t="n">
        <x:v>484</x:v>
      </x:c>
      <x:c r="D333" s="12" t="n">
        <x:v>101141.48</x:v>
      </x:c>
      <x:c r="E333" s="12" t="n">
        <x:v>508.008336</x:v>
      </x:c>
      <x:c r="F333" s="12" t="n">
        <x:f>SUM(B333,D333:E333)</x:f>
        <x:v>103697.316656</x:v>
      </x:c>
      <x:c r="G333" s="12" t="n">
        <x:f>MAX(G332,F333)</x:f>
        <x:v>104244.236656</x:v>
      </x:c>
      <x:c r="H333" s="14" t="n">
        <x:f>F333/G333-1</x:f>
        <x:v>-0.0052465250602276026</x:v>
      </x:c>
      <x:c r="I333" s="14" t="n">
        <x:f>F333/F332-1</x:f>
        <x:v>-0.0052465250602276026</x:v>
      </x:c>
      <x:c r="J333" s="12" t="n">
        <x:v>0</x:v>
      </x:c>
      <x:c r="K333" s="12" t="n">
        <x:v>0</x:v>
      </x:c>
      <x:c r="L333" s="12" t="n">
        <x:v>0</x:v>
      </x:c>
      <x:c r="M333" s="2" t="str">
        <x:v>持有</x:v>
      </x:c>
    </x:row>
    <x:row r="334" ht="23" customHeight="1">
      <x:c r="A334" s="11" t="d">
        <x:v>2016-04-22T00:00:00.000Z</x:v>
      </x:c>
      <x:c r="B334" s="12" t="n">
        <x:v>2047.82832</x:v>
      </x:c>
      <x:c r="C334" s="13" t="n">
        <x:v>484</x:v>
      </x:c>
      <x:c r="D334" s="12" t="n">
        <x:v>101141.48</x:v>
      </x:c>
      <x:c r="E334" s="12" t="n">
        <x:v>508.008336</x:v>
      </x:c>
      <x:c r="F334" s="12" t="n">
        <x:f>SUM(B334,D334:E334)</x:f>
        <x:v>103697.316656</x:v>
      </x:c>
      <x:c r="G334" s="12" t="n">
        <x:f>MAX(G333,F334)</x:f>
        <x:v>104244.236656</x:v>
      </x:c>
      <x:c r="H334" s="14" t="n">
        <x:f>F334/G334-1</x:f>
        <x:v>-0.0052465250602276026</x:v>
      </x:c>
      <x:c r="I334" s="14" t="n">
        <x:f>F334/F333-1</x:f>
        <x:v>0</x:v>
      </x:c>
      <x:c r="J334" s="12" t="n">
        <x:v>0</x:v>
      </x:c>
      <x:c r="K334" s="12" t="n">
        <x:v>0</x:v>
      </x:c>
      <x:c r="L334" s="12" t="n">
        <x:v>0</x:v>
      </x:c>
      <x:c r="M334" s="2" t="str">
        <x:v>持有</x:v>
      </x:c>
    </x:row>
    <x:row r="335" ht="23" customHeight="1">
      <x:c r="A335" s="11" t="d">
        <x:v>2016-04-25T00:00:00.000Z</x:v>
      </x:c>
      <x:c r="B335" s="12" t="n">
        <x:v>2047.82832</x:v>
      </x:c>
      <x:c r="C335" s="13" t="n">
        <x:v>484</x:v>
      </x:c>
      <x:c r="D335" s="12" t="n">
        <x:v>100967.24</x:v>
      </x:c>
      <x:c r="E335" s="12" t="n">
        <x:v>508.008336</x:v>
      </x:c>
      <x:c r="F335" s="12" t="n">
        <x:f>SUM(B335,D335:E335)</x:f>
        <x:v>103523.076656</x:v>
      </x:c>
      <x:c r="G335" s="12" t="n">
        <x:f>MAX(G334,F335)</x:f>
        <x:v>104244.236656</x:v>
      </x:c>
      <x:c r="H335" s="14" t="n">
        <x:f>F335/G335-1</x:f>
        <x:v>-0.006917984371450414</x:v>
      </x:c>
      <x:c r="I335" s="14" t="n">
        <x:f>F335/F334-1</x:f>
        <x:v>-0.0016802749156760166</x:v>
      </x:c>
      <x:c r="J335" s="12" t="n">
        <x:v>0</x:v>
      </x:c>
      <x:c r="K335" s="12" t="n">
        <x:v>0</x:v>
      </x:c>
      <x:c r="L335" s="12" t="n">
        <x:v>0</x:v>
      </x:c>
      <x:c r="M335" s="2" t="str">
        <x:v>持有</x:v>
      </x:c>
    </x:row>
    <x:row r="336" ht="23" customHeight="1">
      <x:c r="A336" s="11" t="d">
        <x:v>2016-04-26T00:00:00.000Z</x:v>
      </x:c>
      <x:c r="B336" s="12" t="n">
        <x:v>2047.82832</x:v>
      </x:c>
      <x:c r="C336" s="13" t="n">
        <x:v>484</x:v>
      </x:c>
      <x:c r="D336" s="12" t="n">
        <x:v>101117.28</x:v>
      </x:c>
      <x:c r="E336" s="12" t="n">
        <x:v>508.008336</x:v>
      </x:c>
      <x:c r="F336" s="12" t="n">
        <x:f>SUM(B336,D336:E336)</x:f>
        <x:v>103673.116656</x:v>
      </x:c>
      <x:c r="G336" s="12" t="n">
        <x:f>MAX(G335,F336)</x:f>
        <x:v>104244.236656</x:v>
      </x:c>
      <x:c r="H336" s="14" t="n">
        <x:f>F336/G336-1</x:f>
        <x:v>-0.005478672186786326</x:v>
      </x:c>
      <x:c r="I336" s="14" t="n">
        <x:f>F336/F335-1</x:f>
        <x:v>0.0014493386870499947</x:v>
      </x:c>
      <x:c r="J336" s="12" t="n">
        <x:v>0</x:v>
      </x:c>
      <x:c r="K336" s="12" t="n">
        <x:v>0</x:v>
      </x:c>
      <x:c r="L336" s="12" t="n">
        <x:v>0</x:v>
      </x:c>
      <x:c r="M336" s="2" t="str">
        <x:v>持有</x:v>
      </x:c>
    </x:row>
    <x:row r="337" ht="23" customHeight="1">
      <x:c r="A337" s="11" t="d">
        <x:v>2016-04-27T00:00:00.000Z</x:v>
      </x:c>
      <x:c r="B337" s="12" t="n">
        <x:v>2047.82832</x:v>
      </x:c>
      <x:c r="C337" s="13" t="n">
        <x:v>484</x:v>
      </x:c>
      <x:c r="D337" s="12" t="n">
        <x:v>101325.4</x:v>
      </x:c>
      <x:c r="E337" s="12" t="n">
        <x:v>508.008336</x:v>
      </x:c>
      <x:c r="F337" s="12" t="n">
        <x:f>SUM(B337,D337:E337)</x:f>
        <x:v>103881.236656</x:v>
      </x:c>
      <x:c r="G337" s="12" t="n">
        <x:f>MAX(G336,F337)</x:f>
        <x:v>104244.236656</x:v>
      </x:c>
      <x:c r="H337" s="14" t="n">
        <x:f>F337/G337-1</x:f>
        <x:v>-0.0034822068983811905</x:v>
      </x:c>
      <x:c r="I337" s="14" t="n">
        <x:f>F337/F336-1</x:f>
        <x:v>0.0020074635229745397</x:v>
      </x:c>
      <x:c r="J337" s="12" t="n">
        <x:v>0</x:v>
      </x:c>
      <x:c r="K337" s="12" t="n">
        <x:v>0</x:v>
      </x:c>
      <x:c r="L337" s="12" t="n">
        <x:v>0</x:v>
      </x:c>
      <x:c r="M337" s="2" t="str">
        <x:v>持有</x:v>
      </x:c>
    </x:row>
    <x:row r="338" ht="23" customHeight="1">
      <x:c r="A338" s="11" t="d">
        <x:v>2016-04-28T00:00:00.000Z</x:v>
      </x:c>
      <x:c r="B338" s="12" t="n">
        <x:v>2047.82832</x:v>
      </x:c>
      <x:c r="C338" s="13" t="n">
        <x:v>484</x:v>
      </x:c>
      <x:c r="D338" s="12" t="n">
        <x:v>100405.79999999999</x:v>
      </x:c>
      <x:c r="E338" s="12" t="n">
        <x:v>508.008336</x:v>
      </x:c>
      <x:c r="F338" s="12" t="n">
        <x:f>SUM(B338,D338:E338)</x:f>
        <x:v>102961.63665599999</x:v>
      </x:c>
      <x:c r="G338" s="12" t="n">
        <x:f>MAX(G337,F338)</x:f>
        <x:v>104244.236656</x:v>
      </x:c>
      <x:c r="H338" s="14" t="n">
        <x:f>F338/G338-1</x:f>
        <x:v>-0.012303797707613473</x:v>
      </x:c>
      <x:c r="I338" s="14" t="n">
        <x:f>F338/F337-1</x:f>
        <x:v>-0.008852416755927184</x:v>
      </x:c>
      <x:c r="J338" s="12" t="n">
        <x:v>0</x:v>
      </x:c>
      <x:c r="K338" s="12" t="n">
        <x:v>0</x:v>
      </x:c>
      <x:c r="L338" s="12" t="n">
        <x:v>0</x:v>
      </x:c>
      <x:c r="M338" s="2" t="str">
        <x:v>持有</x:v>
      </x:c>
    </x:row>
    <x:row r="339" ht="23" customHeight="1">
      <x:c r="A339" s="11" t="d">
        <x:v>2016-04-29T00:00:00.000Z</x:v>
      </x:c>
      <x:c r="B339" s="12" t="n">
        <x:v>2555.836656</x:v>
      </x:c>
      <x:c r="C339" s="13" t="n">
        <x:v>484</x:v>
      </x:c>
      <x:c r="D339" s="12" t="n">
        <x:v>99863.72</x:v>
      </x:c>
      <x:c r="E339" s="12" t="n">
        <x:v>0</x:v>
      </x:c>
      <x:c r="F339" s="12" t="n">
        <x:f>SUM(B339,D339:E339)</x:f>
        <x:v>102419.556656</x:v>
      </x:c>
      <x:c r="G339" s="12" t="n">
        <x:f>MAX(G338,F339)</x:f>
        <x:v>104244.236656</x:v>
      </x:c>
      <x:c r="H339" s="14" t="n">
        <x:f>F339/G339-1</x:f>
        <x:v>-0.01750389334252922</x:v>
      </x:c>
      <x:c r="I339" s="14" t="n">
        <x:f>F339/F338-1</x:f>
        <x:v>-0.005264873574330475</x:v>
      </x:c>
      <x:c r="J339" s="12" t="n">
        <x:v>0</x:v>
      </x:c>
      <x:c r="K339" s="12" t="n">
        <x:v>508.008336</x:v>
      </x:c>
      <x:c r="L339" s="12" t="n">
        <x:v>0</x:v>
      </x:c>
      <x:c r="M339" s="2" t="str">
        <x:v>持有</x:v>
      </x:c>
    </x:row>
    <x:row r="340" ht="23" customHeight="1">
      <x:c r="A340" s="11" t="d">
        <x:v>2016-05-02T00:00:00.000Z</x:v>
      </x:c>
      <x:c r="B340" s="12" t="n">
        <x:v>2555.836656</x:v>
      </x:c>
      <x:c r="C340" s="13" t="n">
        <x:v>484</x:v>
      </x:c>
      <x:c r="D340" s="12" t="n">
        <x:v>100657.48</x:v>
      </x:c>
      <x:c r="E340" s="12" t="n">
        <x:v>0</x:v>
      </x:c>
      <x:c r="F340" s="12" t="n">
        <x:f>SUM(B340,D340:E340)</x:f>
        <x:v>103213.316656</x:v>
      </x:c>
      <x:c r="G340" s="12" t="n">
        <x:f>MAX(G339,F340)</x:f>
        <x:v>104244.236656</x:v>
      </x:c>
      <x:c r="H340" s="14" t="n">
        <x:f>F340/G340-1</x:f>
        <x:v>-0.009889467591402412</x:v>
      </x:c>
      <x:c r="I340" s="14" t="n">
        <x:f>F340/F339-1</x:f>
        <x:v>0.007750082366261513</x:v>
      </x:c>
      <x:c r="J340" s="12" t="n">
        <x:v>0</x:v>
      </x:c>
      <x:c r="K340" s="12" t="n">
        <x:v>0</x:v>
      </x:c>
      <x:c r="L340" s="12" t="n">
        <x:v>0</x:v>
      </x:c>
      <x:c r="M340" s="2" t="str">
        <x:v>持有</x:v>
      </x:c>
    </x:row>
    <x:row r="341" ht="23" customHeight="1">
      <x:c r="A341" s="11" t="d">
        <x:v>2016-05-03T00:00:00.000Z</x:v>
      </x:c>
      <x:c r="B341" s="12" t="n">
        <x:v>2555.836656</x:v>
      </x:c>
      <x:c r="C341" s="13" t="n">
        <x:v>484</x:v>
      </x:c>
      <x:c r="D341" s="12" t="n">
        <x:v>99781.44</x:v>
      </x:c>
      <x:c r="E341" s="12" t="n">
        <x:v>0</x:v>
      </x:c>
      <x:c r="F341" s="12" t="n">
        <x:f>SUM(B341,D341:E341)</x:f>
        <x:v>102337.276656</x:v>
      </x:c>
      <x:c r="G341" s="12" t="n">
        <x:f>MAX(G340,F341)</x:f>
        <x:v>104244.236656</x:v>
      </x:c>
      <x:c r="H341" s="14" t="n">
        <x:f>F341/G341-1</x:f>
        <x:v>-0.01829319357282888</x:v>
      </x:c>
      <x:c r="I341" s="14" t="n">
        <x:f>F341/F340-1</x:f>
        <x:v>-0.008487664464070566</x:v>
      </x:c>
      <x:c r="J341" s="12" t="n">
        <x:v>0</x:v>
      </x:c>
      <x:c r="K341" s="12" t="n">
        <x:v>0</x:v>
      </x:c>
      <x:c r="L341" s="12" t="n">
        <x:v>0</x:v>
      </x:c>
      <x:c r="M341" s="2" t="str">
        <x:v>持有</x:v>
      </x:c>
    </x:row>
    <x:row r="342" ht="23" customHeight="1">
      <x:c r="A342" s="11" t="d">
        <x:v>2016-05-04T00:00:00.000Z</x:v>
      </x:c>
      <x:c r="B342" s="12" t="n">
        <x:v>2555.836656</x:v>
      </x:c>
      <x:c r="C342" s="13" t="n">
        <x:v>484</x:v>
      </x:c>
      <x:c r="D342" s="12" t="n">
        <x:v>99224.84</x:v>
      </x:c>
      <x:c r="E342" s="12" t="n">
        <x:v>0</x:v>
      </x:c>
      <x:c r="F342" s="12" t="n">
        <x:f>SUM(B342,D342:E342)</x:f>
        <x:v>101780.676656</x:v>
      </x:c>
      <x:c r="G342" s="12" t="n">
        <x:f>MAX(G341,F342)</x:f>
        <x:v>104244.236656</x:v>
      </x:c>
      <x:c r="H342" s="14" t="n">
        <x:f>F342/G342-1</x:f>
        <x:v>-0.023632577483679973</x:v>
      </x:c>
      <x:c r="I342" s="14" t="n">
        <x:f>F342/F341-1</x:f>
        <x:v>-0.0054388783656124096</x:v>
      </x:c>
      <x:c r="J342" s="12" t="n">
        <x:v>0</x:v>
      </x:c>
      <x:c r="K342" s="12" t="n">
        <x:v>0</x:v>
      </x:c>
      <x:c r="L342" s="12" t="n">
        <x:v>0</x:v>
      </x:c>
      <x:c r="M342" s="2" t="str">
        <x:v>持有</x:v>
      </x:c>
    </x:row>
    <x:row r="343" ht="23" customHeight="1">
      <x:c r="A343" s="11" t="d">
        <x:v>2016-05-05T00:00:00.000Z</x:v>
      </x:c>
      <x:c r="B343" s="12" t="n">
        <x:v>2555.836656</x:v>
      </x:c>
      <x:c r="C343" s="13" t="n">
        <x:v>484</x:v>
      </x:c>
      <x:c r="D343" s="12" t="n">
        <x:v>99205.48</x:v>
      </x:c>
      <x:c r="E343" s="12" t="n">
        <x:v>0</x:v>
      </x:c>
      <x:c r="F343" s="12" t="n">
        <x:f>SUM(B343,D343:E343)</x:f>
        <x:v>101761.316656</x:v>
      </x:c>
      <x:c r="G343" s="12" t="n">
        <x:f>MAX(G342,F343)</x:f>
        <x:v>104244.236656</x:v>
      </x:c>
      <x:c r="H343" s="14" t="n">
        <x:f>F343/G343-1</x:f>
        <x:v>-0.023818295184927063</x:v>
      </x:c>
      <x:c r="I343" s="14" t="n">
        <x:f>F343/F342-1</x:f>
        <x:v>-0.00019021292288545766</x:v>
      </x:c>
      <x:c r="J343" s="12" t="n">
        <x:v>0</x:v>
      </x:c>
      <x:c r="K343" s="12" t="n">
        <x:v>0</x:v>
      </x:c>
      <x:c r="L343" s="12" t="n">
        <x:v>0</x:v>
      </x:c>
      <x:c r="M343" s="2" t="str">
        <x:v>持有</x:v>
      </x:c>
    </x:row>
    <x:row r="344" ht="23" customHeight="1">
      <x:c r="A344" s="11" t="d">
        <x:v>2016-05-06T00:00:00.000Z</x:v>
      </x:c>
      <x:c r="B344" s="12" t="n">
        <x:v>2555.836656</x:v>
      </x:c>
      <x:c r="C344" s="13" t="n">
        <x:v>484</x:v>
      </x:c>
      <x:c r="D344" s="12" t="n">
        <x:v>99568.48</x:v>
      </x:c>
      <x:c r="E344" s="12" t="n">
        <x:v>0</x:v>
      </x:c>
      <x:c r="F344" s="12" t="n">
        <x:f>SUM(B344,D344:E344)</x:f>
        <x:v>102124.316656</x:v>
      </x:c>
      <x:c r="G344" s="12" t="n">
        <x:f>MAX(G343,F344)</x:f>
        <x:v>104244.236656</x:v>
      </x:c>
      <x:c r="H344" s="14" t="n">
        <x:f>F344/G344-1</x:f>
        <x:v>-0.020336088286545873</x:v>
      </x:c>
      <x:c r="I344" s="14" t="n">
        <x:f>F344/F343-1</x:f>
        <x:v>0.0035671708260920365</x:v>
      </x:c>
      <x:c r="J344" s="12" t="n">
        <x:v>0</x:v>
      </x:c>
      <x:c r="K344" s="12" t="n">
        <x:v>0</x:v>
      </x:c>
      <x:c r="L344" s="12" t="n">
        <x:v>0</x:v>
      </x:c>
      <x:c r="M344" s="2" t="str">
        <x:v>持有</x:v>
      </x:c>
    </x:row>
    <x:row r="345" ht="23" customHeight="1">
      <x:c r="A345" s="11" t="d">
        <x:v>2016-05-09T00:00:00.000Z</x:v>
      </x:c>
      <x:c r="B345" s="12" t="n">
        <x:v>2555.836656</x:v>
      </x:c>
      <x:c r="C345" s="13" t="n">
        <x:v>484</x:v>
      </x:c>
      <x:c r="D345" s="12" t="n">
        <x:v>99650.76</x:v>
      </x:c>
      <x:c r="E345" s="12" t="n">
        <x:v>0</x:v>
      </x:c>
      <x:c r="F345" s="12" t="n">
        <x:f>SUM(B345,D345:E345)</x:f>
        <x:v>102206.596656</x:v>
      </x:c>
      <x:c r="G345" s="12" t="n">
        <x:f>MAX(G344,F345)</x:f>
        <x:v>104244.236656</x:v>
      </x:c>
      <x:c r="H345" s="14" t="n">
        <x:f>F345/G345-1</x:f>
        <x:v>-0.01954678805624621</x:v>
      </x:c>
      <x:c r="I345" s="14" t="n">
        <x:f>F345/F344-1</x:f>
        <x:v>0.0008056847056039373</x:v>
      </x:c>
      <x:c r="J345" s="12" t="n">
        <x:v>0</x:v>
      </x:c>
      <x:c r="K345" s="12" t="n">
        <x:v>0</x:v>
      </x:c>
      <x:c r="L345" s="12" t="n">
        <x:v>0</x:v>
      </x:c>
      <x:c r="M345" s="2" t="str">
        <x:v>持有</x:v>
      </x:c>
    </x:row>
    <x:row r="346" ht="23" customHeight="1">
      <x:c r="A346" s="11" t="d">
        <x:v>2016-05-10T00:00:00.000Z</x:v>
      </x:c>
      <x:c r="B346" s="12" t="n">
        <x:v>2555.836656</x:v>
      </x:c>
      <x:c r="C346" s="13" t="n">
        <x:v>484</x:v>
      </x:c>
      <x:c r="D346" s="12" t="n">
        <x:v>100889.79999999999</x:v>
      </x:c>
      <x:c r="E346" s="12" t="n">
        <x:v>0</x:v>
      </x:c>
      <x:c r="F346" s="12" t="n">
        <x:f>SUM(B346,D346:E346)</x:f>
        <x:v>103445.63665599999</x:v>
      </x:c>
      <x:c r="G346" s="12" t="n">
        <x:f>MAX(G345,F346)</x:f>
        <x:v>104244.236656</x:v>
      </x:c>
      <x:c r="H346" s="14" t="n">
        <x:f>F346/G346-1</x:f>
        <x:v>-0.007660855176438552</x:v>
      </x:c>
      <x:c r="I346" s="14" t="n">
        <x:f>F346/F345-1</x:f>
        <x:v>0.012122896569682906</x:v>
      </x:c>
      <x:c r="J346" s="12" t="n">
        <x:v>0</x:v>
      </x:c>
      <x:c r="K346" s="12" t="n">
        <x:v>0</x:v>
      </x:c>
      <x:c r="L346" s="12" t="n">
        <x:v>0</x:v>
      </x:c>
      <x:c r="M346" s="2" t="str">
        <x:v>持有</x:v>
      </x:c>
    </x:row>
    <x:row r="347" ht="23" customHeight="1">
      <x:c r="A347" s="11" t="d">
        <x:v>2016-05-11T00:00:00.000Z</x:v>
      </x:c>
      <x:c r="B347" s="12" t="n">
        <x:v>2555.836656</x:v>
      </x:c>
      <x:c r="C347" s="13" t="n">
        <x:v>484</x:v>
      </x:c>
      <x:c r="D347" s="12" t="n">
        <x:v>99946</x:v>
      </x:c>
      <x:c r="E347" s="12" t="n">
        <x:v>0</x:v>
      </x:c>
      <x:c r="F347" s="12" t="n">
        <x:f>SUM(B347,D347:E347)</x:f>
        <x:v>102501.836656</x:v>
      </x:c>
      <x:c r="G347" s="12" t="n">
        <x:f>MAX(G346,F347)</x:f>
        <x:v>104244.236656</x:v>
      </x:c>
      <x:c r="H347" s="14" t="n">
        <x:f>F347/G347-1</x:f>
        <x:v>-0.016714593112229448</x:v>
      </x:c>
      <x:c r="I347" s="14" t="n">
        <x:f>F347/F346-1</x:f>
        <x:v>-0.009123632765087208</x:v>
      </x:c>
      <x:c r="J347" s="12" t="n">
        <x:v>0</x:v>
      </x:c>
      <x:c r="K347" s="12" t="n">
        <x:v>0</x:v>
      </x:c>
      <x:c r="L347" s="12" t="n">
        <x:v>0</x:v>
      </x:c>
      <x:c r="M347" s="2" t="str">
        <x:v>持有</x:v>
      </x:c>
    </x:row>
    <x:row r="348" ht="23" customHeight="1">
      <x:c r="A348" s="11" t="d">
        <x:v>2016-05-12T00:00:00.000Z</x:v>
      </x:c>
      <x:c r="B348" s="12" t="n">
        <x:v>2555.836656</x:v>
      </x:c>
      <x:c r="C348" s="13" t="n">
        <x:v>484</x:v>
      </x:c>
      <x:c r="D348" s="12" t="n">
        <x:v>99975.04000000001</x:v>
      </x:c>
      <x:c r="E348" s="12" t="n">
        <x:v>0</x:v>
      </x:c>
      <x:c r="F348" s="12" t="n">
        <x:f>SUM(B348,D348:E348)</x:f>
        <x:v>102530.87665600001</x:v>
      </x:c>
      <x:c r="G348" s="12" t="n">
        <x:f>MAX(G347,F348)</x:f>
        <x:v>104244.236656</x:v>
      </x:c>
      <x:c r="H348" s="14" t="n">
        <x:f>F348/G348-1</x:f>
        <x:v>-0.016436016560358868</x:v>
      </x:c>
      <x:c r="I348" s="14" t="n">
        <x:f>F348/F347-1</x:f>
        <x:v>0.0002833119966179076</x:v>
      </x:c>
      <x:c r="J348" s="12" t="n">
        <x:v>0</x:v>
      </x:c>
      <x:c r="K348" s="12" t="n">
        <x:v>0</x:v>
      </x:c>
      <x:c r="L348" s="12" t="n">
        <x:v>0</x:v>
      </x:c>
      <x:c r="M348" s="2" t="str">
        <x:v>持有</x:v>
      </x:c>
    </x:row>
    <x:row r="349" ht="23" customHeight="1">
      <x:c r="A349" s="11" t="d">
        <x:v>2016-05-13T00:00:00.000Z</x:v>
      </x:c>
      <x:c r="B349" s="12" t="n">
        <x:v>2555.836656</x:v>
      </x:c>
      <x:c r="C349" s="13" t="n">
        <x:v>484</x:v>
      </x:c>
      <x:c r="D349" s="12" t="n">
        <x:v>99103.84</x:v>
      </x:c>
      <x:c r="E349" s="12" t="n">
        <x:v>0</x:v>
      </x:c>
      <x:c r="F349" s="12" t="n">
        <x:f>SUM(B349,D349:E349)</x:f>
        <x:v>101659.676656</x:v>
      </x:c>
      <x:c r="G349" s="12" t="n">
        <x:f>MAX(G348,F349)</x:f>
        <x:v>104244.236656</x:v>
      </x:c>
      <x:c r="H349" s="14" t="n">
        <x:f>F349/G349-1</x:f>
        <x:v>-0.024793313116473703</x:v>
      </x:c>
      <x:c r="I349" s="14" t="n">
        <x:f>F349/F348-1</x:f>
        <x:v>-0.008496952609924113</x:v>
      </x:c>
      <x:c r="J349" s="12" t="n">
        <x:v>0</x:v>
      </x:c>
      <x:c r="K349" s="12" t="n">
        <x:v>0</x:v>
      </x:c>
      <x:c r="L349" s="12" t="n">
        <x:v>0</x:v>
      </x:c>
      <x:c r="M349" s="2" t="str">
        <x:v>持有</x:v>
      </x:c>
    </x:row>
    <x:row r="350" ht="23" customHeight="1">
      <x:c r="A350" s="11" t="d">
        <x:v>2016-05-16T00:00:00.000Z</x:v>
      </x:c>
      <x:c r="B350" s="12" t="n">
        <x:v>2555.836656</x:v>
      </x:c>
      <x:c r="C350" s="13" t="n">
        <x:v>484</x:v>
      </x:c>
      <x:c r="D350" s="12" t="n">
        <x:v>100081.52</x:v>
      </x:c>
      <x:c r="E350" s="12" t="n">
        <x:v>0</x:v>
      </x:c>
      <x:c r="F350" s="12" t="n">
        <x:f>SUM(B350,D350:E350)</x:f>
        <x:v>102637.356656</x:v>
      </x:c>
      <x:c r="G350" s="12" t="n">
        <x:f>MAX(G349,F350)</x:f>
        <x:v>104244.236656</x:v>
      </x:c>
      <x:c r="H350" s="14" t="n">
        <x:f>F350/G350-1</x:f>
        <x:v>-0.015414569203500483</x:v>
      </x:c>
      <x:c r="I350" s="14" t="n">
        <x:f>F350/F349-1</x:f>
        <x:v>0.00961718581211235</x:v>
      </x:c>
      <x:c r="J350" s="12" t="n">
        <x:v>0</x:v>
      </x:c>
      <x:c r="K350" s="12" t="n">
        <x:v>0</x:v>
      </x:c>
      <x:c r="L350" s="12" t="n">
        <x:v>0</x:v>
      </x:c>
      <x:c r="M350" s="2" t="str">
        <x:v>持有</x:v>
      </x:c>
    </x:row>
    <x:row r="351" ht="23" customHeight="1">
      <x:c r="A351" s="11" t="d">
        <x:v>2016-05-17T00:00:00.000Z</x:v>
      </x:c>
      <x:c r="B351" s="12" t="n">
        <x:v>2555.836656</x:v>
      </x:c>
      <x:c r="C351" s="13" t="n">
        <x:v>484</x:v>
      </x:c>
      <x:c r="D351" s="12" t="n">
        <x:v>99147.4</x:v>
      </x:c>
      <x:c r="E351" s="12" t="n">
        <x:v>0</x:v>
      </x:c>
      <x:c r="F351" s="12" t="n">
        <x:f>SUM(B351,D351:E351)</x:f>
        <x:v>101703.236656</x:v>
      </x:c>
      <x:c r="G351" s="12" t="n">
        <x:f>MAX(G350,F351)</x:f>
        <x:v>104244.236656</x:v>
      </x:c>
      <x:c r="H351" s="14" t="n">
        <x:f>F351/G351-1</x:f>
        <x:v>-0.024375448288668</x:v>
      </x:c>
      <x:c r="I351" s="14" t="n">
        <x:f>F351/F350-1</x:f>
        <x:v>-0.009101169695268085</x:v>
      </x:c>
      <x:c r="J351" s="12" t="n">
        <x:v>0</x:v>
      </x:c>
      <x:c r="K351" s="12" t="n">
        <x:v>0</x:v>
      </x:c>
      <x:c r="L351" s="12" t="n">
        <x:v>0</x:v>
      </x:c>
      <x:c r="M351" s="2" t="str">
        <x:v>持有</x:v>
      </x:c>
    </x:row>
    <x:row r="352" ht="23" customHeight="1">
      <x:c r="A352" s="11" t="d">
        <x:v>2016-05-18T00:00:00.000Z</x:v>
      </x:c>
      <x:c r="B352" s="12" t="n">
        <x:v>2555.836656</x:v>
      </x:c>
      <x:c r="C352" s="13" t="n">
        <x:v>484</x:v>
      </x:c>
      <x:c r="D352" s="12" t="n">
        <x:v>99176.44</x:v>
      </x:c>
      <x:c r="E352" s="12" t="n">
        <x:v>0</x:v>
      </x:c>
      <x:c r="F352" s="12" t="n">
        <x:f>SUM(B352,D352:E352)</x:f>
        <x:v>101732.276656</x:v>
      </x:c>
      <x:c r="G352" s="12" t="n">
        <x:f>MAX(G351,F352)</x:f>
        <x:v>104244.236656</x:v>
      </x:c>
      <x:c r="H352" s="14" t="n">
        <x:f>F352/G352-1</x:f>
        <x:v>-0.02409687173679742</x:v>
      </x:c>
      <x:c r="I352" s="14" t="n">
        <x:f>F352/F351-1</x:f>
        <x:v>0.00028553663536023954</x:v>
      </x:c>
      <x:c r="J352" s="12" t="n">
        <x:v>0</x:v>
      </x:c>
      <x:c r="K352" s="12" t="n">
        <x:v>0</x:v>
      </x:c>
      <x:c r="L352" s="12" t="n">
        <x:v>0</x:v>
      </x:c>
      <x:c r="M352" s="2" t="str">
        <x:v>持有</x:v>
      </x:c>
    </x:row>
    <x:row r="353" ht="23" customHeight="1">
      <x:c r="A353" s="11" t="d">
        <x:v>2016-05-19T00:00:00.000Z</x:v>
      </x:c>
      <x:c r="B353" s="12" t="n">
        <x:v>2555.836656</x:v>
      </x:c>
      <x:c r="C353" s="13" t="n">
        <x:v>484</x:v>
      </x:c>
      <x:c r="D353" s="12" t="n">
        <x:v>98832.79999999999</x:v>
      </x:c>
      <x:c r="E353" s="12" t="n">
        <x:v>0</x:v>
      </x:c>
      <x:c r="F353" s="12" t="n">
        <x:f>SUM(B353,D353:E353)</x:f>
        <x:v>101388.63665599999</x:v>
      </x:c>
      <x:c r="G353" s="12" t="n">
        <x:f>MAX(G352,F353)</x:f>
        <x:v>104244.236656</x:v>
      </x:c>
      <x:c r="H353" s="14" t="n">
        <x:f>F353/G353-1</x:f>
        <x:v>-0.027393360933931743</x:v>
      </x:c>
      <x:c r="I353" s="14" t="n">
        <x:f>F353/F352-1</x:f>
        <x:v>-0.003377885674985981</x:v>
      </x:c>
      <x:c r="J353" s="12" t="n">
        <x:v>0</x:v>
      </x:c>
      <x:c r="K353" s="12" t="n">
        <x:v>0</x:v>
      </x:c>
      <x:c r="L353" s="12" t="n">
        <x:v>0</x:v>
      </x:c>
      <x:c r="M353" s="2" t="str">
        <x:v>持有</x:v>
      </x:c>
    </x:row>
    <x:row r="354" ht="23" customHeight="1">
      <x:c r="A354" s="11" t="d">
        <x:v>2016-05-20T00:00:00.000Z</x:v>
      </x:c>
      <x:c r="B354" s="12" t="n">
        <x:v>2555.836656</x:v>
      </x:c>
      <x:c r="C354" s="13" t="n">
        <x:v>484</x:v>
      </x:c>
      <x:c r="D354" s="12" t="n">
        <x:v>99457.16</x:v>
      </x:c>
      <x:c r="E354" s="12" t="n">
        <x:v>0</x:v>
      </x:c>
      <x:c r="F354" s="12" t="n">
        <x:f>SUM(B354,D354:E354)</x:f>
        <x:v>102012.996656</x:v>
      </x:c>
      <x:c r="G354" s="12" t="n">
        <x:f>MAX(G353,F354)</x:f>
        <x:v>104244.236656</x:v>
      </x:c>
      <x:c r="H354" s="14" t="n">
        <x:f>F354/G354-1</x:f>
        <x:v>-0.021403965068716002</x:v>
      </x:c>
      <x:c r="I354" s="14" t="n">
        <x:f>F354/F353-1</x:f>
        <x:v>0.006158086552819464</x:v>
      </x:c>
      <x:c r="J354" s="12" t="n">
        <x:v>0</x:v>
      </x:c>
      <x:c r="K354" s="12" t="n">
        <x:v>0</x:v>
      </x:c>
      <x:c r="L354" s="12" t="n">
        <x:v>0</x:v>
      </x:c>
      <x:c r="M354" s="2" t="str">
        <x:v>持有</x:v>
      </x:c>
    </x:row>
    <x:row r="355" ht="23" customHeight="1">
      <x:c r="A355" s="11" t="d">
        <x:v>2016-05-23T00:00:00.000Z</x:v>
      </x:c>
      <x:c r="B355" s="12" t="n">
        <x:v>2555.836656</x:v>
      </x:c>
      <x:c r="C355" s="13" t="n">
        <x:v>484</x:v>
      </x:c>
      <x:c r="D355" s="12" t="n">
        <x:v>99321.64</x:v>
      </x:c>
      <x:c r="E355" s="12" t="n">
        <x:v>0</x:v>
      </x:c>
      <x:c r="F355" s="12" t="n">
        <x:f>SUM(B355,D355:E355)</x:f>
        <x:v>101877.476656</x:v>
      </x:c>
      <x:c r="G355" s="12" t="n">
        <x:f>MAX(G354,F355)</x:f>
        <x:v>104244.236656</x:v>
      </x:c>
      <x:c r="H355" s="14" t="n">
        <x:f>F355/G355-1</x:f>
        <x:v>-0.022703988977445078</x:v>
      </x:c>
      <x:c r="I355" s="14" t="n">
        <x:f>F355/F354-1</x:f>
        <x:v>-0.0013284581812353924</x:v>
      </x:c>
      <x:c r="J355" s="12" t="n">
        <x:v>0</x:v>
      </x:c>
      <x:c r="K355" s="12" t="n">
        <x:v>0</x:v>
      </x:c>
      <x:c r="L355" s="12" t="n">
        <x:v>0</x:v>
      </x:c>
      <x:c r="M355" s="2" t="str">
        <x:v>持有</x:v>
      </x:c>
    </x:row>
    <x:row r="356" ht="23" customHeight="1">
      <x:c r="A356" s="11" t="d">
        <x:v>2016-05-24T00:00:00.000Z</x:v>
      </x:c>
      <x:c r="B356" s="12" t="n">
        <x:v>2555.836656</x:v>
      </x:c>
      <x:c r="C356" s="13" t="n">
        <x:v>484</x:v>
      </x:c>
      <x:c r="D356" s="12" t="n">
        <x:v>100609.08</x:v>
      </x:c>
      <x:c r="E356" s="12" t="n">
        <x:v>0</x:v>
      </x:c>
      <x:c r="F356" s="12" t="n">
        <x:f>SUM(B356,D356:E356)</x:f>
        <x:v>103164.916656</x:v>
      </x:c>
      <x:c r="G356" s="12" t="n">
        <x:f>MAX(G355,F356)</x:f>
        <x:v>104244.236656</x:v>
      </x:c>
      <x:c r="H356" s="14" t="n">
        <x:f>F356/G356-1</x:f>
        <x:v>-0.01035376184451986</x:v>
      </x:c>
      <x:c r="I356" s="14" t="n">
        <x:f>F356/F355-1</x:f>
        <x:v>0.01263714063459953</x:v>
      </x:c>
      <x:c r="J356" s="12" t="n">
        <x:v>0</x:v>
      </x:c>
      <x:c r="K356" s="12" t="n">
        <x:v>0</x:v>
      </x:c>
      <x:c r="L356" s="12" t="n">
        <x:v>0</x:v>
      </x:c>
      <x:c r="M356" s="2" t="str">
        <x:v>持有</x:v>
      </x:c>
    </x:row>
    <x:row r="357" ht="23" customHeight="1">
      <x:c r="A357" s="11" t="d">
        <x:v>2016-05-25T00:00:00.000Z</x:v>
      </x:c>
      <x:c r="B357" s="12" t="n">
        <x:v>2555.836656</x:v>
      </x:c>
      <x:c r="C357" s="13" t="n">
        <x:v>484</x:v>
      </x:c>
      <x:c r="D357" s="12" t="n">
        <x:v>101291.52</x:v>
      </x:c>
      <x:c r="E357" s="12" t="n">
        <x:v>0</x:v>
      </x:c>
      <x:c r="F357" s="12" t="n">
        <x:f>SUM(B357,D357:E357)</x:f>
        <x:v>103847.356656</x:v>
      </x:c>
      <x:c r="G357" s="12" t="n">
        <x:f>MAX(G356,F357)</x:f>
        <x:v>104244.236656</x:v>
      </x:c>
      <x:c r="H357" s="14" t="n">
        <x:f>F357/G357-1</x:f>
        <x:v>-0.003807212875563293</x:v>
      </x:c>
      <x:c r="I357" s="14" t="n">
        <x:f>F357/F356-1</x:f>
        <x:v>0.006615039512662735</x:v>
      </x:c>
      <x:c r="J357" s="12" t="n">
        <x:v>0</x:v>
      </x:c>
      <x:c r="K357" s="12" t="n">
        <x:v>0</x:v>
      </x:c>
      <x:c r="L357" s="12" t="n">
        <x:v>0</x:v>
      </x:c>
      <x:c r="M357" s="2" t="str">
        <x:v>持有</x:v>
      </x:c>
    </x:row>
    <x:row r="358" ht="23" customHeight="1">
      <x:c r="A358" s="11" t="d">
        <x:v>2016-05-26T00:00:00.000Z</x:v>
      </x:c>
      <x:c r="B358" s="12" t="n">
        <x:v>2555.836656</x:v>
      </x:c>
      <x:c r="C358" s="13" t="n">
        <x:v>484</x:v>
      </x:c>
      <x:c r="D358" s="12" t="n">
        <x:v>101320.56</x:v>
      </x:c>
      <x:c r="E358" s="12" t="n">
        <x:v>0</x:v>
      </x:c>
      <x:c r="F358" s="12" t="n">
        <x:f>SUM(B358,D358:E358)</x:f>
        <x:v>103876.396656</x:v>
      </x:c>
      <x:c r="G358" s="12" t="n">
        <x:f>MAX(G357,F358)</x:f>
        <x:v>104244.236656</x:v>
      </x:c>
      <x:c r="H358" s="14" t="n">
        <x:f>F358/G358-1</x:f>
        <x:v>-0.003528636323692824</x:v>
      </x:c>
      <x:c r="I358" s="14" t="n">
        <x:f>F358/F357-1</x:f>
        <x:v>0.0002796412054684172</x:v>
      </x:c>
      <x:c r="J358" s="12" t="n">
        <x:v>0</x:v>
      </x:c>
      <x:c r="K358" s="12" t="n">
        <x:v>0</x:v>
      </x:c>
      <x:c r="L358" s="12" t="n">
        <x:v>0</x:v>
      </x:c>
      <x:c r="M358" s="2" t="str">
        <x:v>持有</x:v>
      </x:c>
    </x:row>
    <x:row r="359" ht="23" customHeight="1">
      <x:c r="A359" s="11" t="d">
        <x:v>2016-05-27T00:00:00.000Z</x:v>
      </x:c>
      <x:c r="B359" s="12" t="n">
        <x:v>2555.836656</x:v>
      </x:c>
      <x:c r="C359" s="13" t="n">
        <x:v>484</x:v>
      </x:c>
      <x:c r="D359" s="12" t="n">
        <x:v>101756.16</x:v>
      </x:c>
      <x:c r="E359" s="12" t="n">
        <x:v>0</x:v>
      </x:c>
      <x:c r="F359" s="12" t="n">
        <x:f>SUM(B359,D359:E359)</x:f>
        <x:v>104311.996656</x:v>
      </x:c>
      <x:c r="G359" s="12" t="n">
        <x:f>MAX(G358,F359)</x:f>
        <x:v>104311.996656</x:v>
      </x:c>
      <x:c r="H359" s="14" t="n">
        <x:f>F359/G359-1</x:f>
        <x:v>0</x:v>
      </x:c>
      <x:c r="I359" s="14" t="n">
        <x:f>F359/F358-1</x:f>
        <x:v>0.004193445421894593</x:v>
      </x:c>
      <x:c r="J359" s="12" t="n">
        <x:v>0</x:v>
      </x:c>
      <x:c r="K359" s="12" t="n">
        <x:v>0</x:v>
      </x:c>
      <x:c r="L359" s="12" t="n">
        <x:v>0</x:v>
      </x:c>
      <x:c r="M359" s="2" t="str">
        <x:v>持有</x:v>
      </x:c>
    </x:row>
    <x:row r="360" ht="23" customHeight="1">
      <x:c r="A360" s="11" t="d">
        <x:v>2016-05-31T00:00:00.000Z</x:v>
      </x:c>
      <x:c r="B360" s="12" t="n">
        <x:v>2555.836656</x:v>
      </x:c>
      <x:c r="C360" s="13" t="n">
        <x:v>484</x:v>
      </x:c>
      <x:c r="D360" s="12" t="n">
        <x:v>101562.56</x:v>
      </x:c>
      <x:c r="E360" s="12" t="n">
        <x:v>0</x:v>
      </x:c>
      <x:c r="F360" s="12" t="n">
        <x:f>SUM(B360,D360:E360)</x:f>
        <x:v>104118.396656</x:v>
      </x:c>
      <x:c r="G360" s="12" t="n">
        <x:f>MAX(G359,F360)</x:f>
        <x:v>104311.996656</x:v>
      </x:c>
      <x:c r="H360" s="14" t="n">
        <x:f>F360/G360-1</x:f>
        <x:v>-0.0018559706093869144</x:v>
      </x:c>
      <x:c r="I360" s="14" t="n">
        <x:f>F360/F359-1</x:f>
        <x:v>-0.0018559706093869144</x:v>
      </x:c>
      <x:c r="J360" s="12" t="n">
        <x:v>0</x:v>
      </x:c>
      <x:c r="K360" s="12" t="n">
        <x:v>0</x:v>
      </x:c>
      <x:c r="L360" s="12" t="n">
        <x:v>0</x:v>
      </x:c>
      <x:c r="M360" s="2" t="str">
        <x:v>持有</x:v>
      </x:c>
    </x:row>
    <x:row r="361" ht="23" customHeight="1">
      <x:c r="A361" s="11" t="d">
        <x:v>2016-06-01T00:00:00.000Z</x:v>
      </x:c>
      <x:c r="B361" s="12" t="n">
        <x:v>2555.836656</x:v>
      </x:c>
      <x:c r="C361" s="13" t="n">
        <x:v>484</x:v>
      </x:c>
      <x:c r="D361" s="12" t="n">
        <x:v>101770.68000000001</x:v>
      </x:c>
      <x:c r="E361" s="12" t="n">
        <x:v>0</x:v>
      </x:c>
      <x:c r="F361" s="12" t="n">
        <x:f>SUM(B361,D361:E361)</x:f>
        <x:v>104326.516656</x:v>
      </x:c>
      <x:c r="G361" s="12" t="n">
        <x:f>MAX(G360,F361)</x:f>
        <x:v>104326.516656</x:v>
      </x:c>
      <x:c r="H361" s="14" t="n">
        <x:f>F361/G361-1</x:f>
        <x:v>0</x:v>
      </x:c>
      <x:c r="I361" s="14" t="n">
        <x:f>F361/F360-1</x:f>
        <x:v>0.0019988782644013714</x:v>
      </x:c>
      <x:c r="J361" s="12" t="n">
        <x:v>0</x:v>
      </x:c>
      <x:c r="K361" s="12" t="n">
        <x:v>0</x:v>
      </x:c>
      <x:c r="L361" s="12" t="n">
        <x:v>0</x:v>
      </x:c>
      <x:c r="M361" s="2" t="str">
        <x:v>持有</x:v>
      </x:c>
    </x:row>
    <x:row r="362" ht="23" customHeight="1">
      <x:c r="A362" s="11" t="d">
        <x:v>2016-06-02T00:00:00.000Z</x:v>
      </x:c>
      <x:c r="B362" s="12" t="n">
        <x:v>2555.836656</x:v>
      </x:c>
      <x:c r="C362" s="13" t="n">
        <x:v>484</x:v>
      </x:c>
      <x:c r="D362" s="12" t="n">
        <x:v>102080.44</x:v>
      </x:c>
      <x:c r="E362" s="12" t="n">
        <x:v>0</x:v>
      </x:c>
      <x:c r="F362" s="12" t="n">
        <x:f>SUM(B362,D362:E362)</x:f>
        <x:v>104636.276656</x:v>
      </x:c>
      <x:c r="G362" s="12" t="n">
        <x:f>MAX(G361,F362)</x:f>
        <x:v>104636.276656</x:v>
      </x:c>
      <x:c r="H362" s="14" t="n">
        <x:f>F362/G362-1</x:f>
        <x:v>0</x:v>
      </x:c>
      <x:c r="I362" s="14" t="n">
        <x:f>F362/F361-1</x:f>
        <x:v>0.00296913967732082</x:v>
      </x:c>
      <x:c r="J362" s="12" t="n">
        <x:v>0</x:v>
      </x:c>
      <x:c r="K362" s="12" t="n">
        <x:v>0</x:v>
      </x:c>
      <x:c r="L362" s="12" t="n">
        <x:v>0</x:v>
      </x:c>
      <x:c r="M362" s="2" t="str">
        <x:v>持有</x:v>
      </x:c>
    </x:row>
    <x:row r="363" ht="23" customHeight="1">
      <x:c r="A363" s="11" t="d">
        <x:v>2016-06-03T00:00:00.000Z</x:v>
      </x:c>
      <x:c r="B363" s="12" t="n">
        <x:v>2555.836656</x:v>
      </x:c>
      <x:c r="C363" s="13" t="n">
        <x:v>484</x:v>
      </x:c>
      <x:c r="D363" s="12" t="n">
        <x:v>101775.52</x:v>
      </x:c>
      <x:c r="E363" s="12" t="n">
        <x:v>0</x:v>
      </x:c>
      <x:c r="F363" s="12" t="n">
        <x:f>SUM(B363,D363:E363)</x:f>
        <x:v>104331.356656</x:v>
      </x:c>
      <x:c r="G363" s="12" t="n">
        <x:f>MAX(G362,F363)</x:f>
        <x:v>104636.276656</x:v>
      </x:c>
      <x:c r="H363" s="14" t="n">
        <x:f>F363/G363-1</x:f>
        <x:v>-0.002914094516211163</x:v>
      </x:c>
      <x:c r="I363" s="14" t="n">
        <x:f>F363/F362-1</x:f>
        <x:v>-0.002914094516211163</x:v>
      </x:c>
      <x:c r="J363" s="12" t="n">
        <x:v>0</x:v>
      </x:c>
      <x:c r="K363" s="12" t="n">
        <x:v>0</x:v>
      </x:c>
      <x:c r="L363" s="12" t="n">
        <x:v>0</x:v>
      </x:c>
      <x:c r="M363" s="2" t="str">
        <x:v>持有</x:v>
      </x:c>
    </x:row>
    <x:row r="364" ht="23" customHeight="1">
      <x:c r="A364" s="11" t="d">
        <x:v>2016-06-06T00:00:00.000Z</x:v>
      </x:c>
      <x:c r="B364" s="12" t="n">
        <x:v>2555.836656</x:v>
      </x:c>
      <x:c r="C364" s="13" t="n">
        <x:v>484</x:v>
      </x:c>
      <x:c r="D364" s="12" t="n">
        <x:v>102293.4</x:v>
      </x:c>
      <x:c r="E364" s="12" t="n">
        <x:v>0</x:v>
      </x:c>
      <x:c r="F364" s="12" t="n">
        <x:f>SUM(B364,D364:E364)</x:f>
        <x:v>104849.236656</x:v>
      </x:c>
      <x:c r="G364" s="12" t="n">
        <x:f>MAX(G363,F364)</x:f>
        <x:v>104849.236656</x:v>
      </x:c>
      <x:c r="H364" s="14" t="n">
        <x:f>F364/G364-1</x:f>
        <x:v>0</x:v>
      </x:c>
      <x:c r="I364" s="14" t="n">
        <x:f>F364/F363-1</x:f>
        <x:v>0.004963800113397809</x:v>
      </x:c>
      <x:c r="J364" s="12" t="n">
        <x:v>0</x:v>
      </x:c>
      <x:c r="K364" s="12" t="n">
        <x:v>0</x:v>
      </x:c>
      <x:c r="L364" s="12" t="n">
        <x:v>0</x:v>
      </x:c>
      <x:c r="M364" s="2" t="str">
        <x:v>持有</x:v>
      </x:c>
    </x:row>
    <x:row r="365" ht="23" customHeight="1">
      <x:c r="A365" s="11" t="d">
        <x:v>2016-06-07T00:00:00.000Z</x:v>
      </x:c>
      <x:c r="B365" s="12" t="n">
        <x:v>2555.836656</x:v>
      </x:c>
      <x:c r="C365" s="13" t="n">
        <x:v>484</x:v>
      </x:c>
      <x:c r="D365" s="12" t="n">
        <x:v>102453.12000000001</x:v>
      </x:c>
      <x:c r="E365" s="12" t="n">
        <x:v>0</x:v>
      </x:c>
      <x:c r="F365" s="12" t="n">
        <x:f>SUM(B365,D365:E365)</x:f>
        <x:v>105008.95665600001</x:v>
      </x:c>
      <x:c r="G365" s="12" t="n">
        <x:f>MAX(G364,F365)</x:f>
        <x:v>105008.95665600001</x:v>
      </x:c>
      <x:c r="H365" s="14" t="n">
        <x:f>F365/G365-1</x:f>
        <x:v>0</x:v>
      </x:c>
      <x:c r="I365" s="14" t="n">
        <x:f>F365/F364-1</x:f>
        <x:v>0.0015233301175481273</x:v>
      </x:c>
      <x:c r="J365" s="12" t="n">
        <x:v>0</x:v>
      </x:c>
      <x:c r="K365" s="12" t="n">
        <x:v>0</x:v>
      </x:c>
      <x:c r="L365" s="12" t="n">
        <x:v>0</x:v>
      </x:c>
      <x:c r="M365" s="2" t="str">
        <x:v>持有</x:v>
      </x:c>
    </x:row>
    <x:row r="366" ht="23" customHeight="1">
      <x:c r="A366" s="11" t="d">
        <x:v>2016-06-08T00:00:00.000Z</x:v>
      </x:c>
      <x:c r="B366" s="12" t="n">
        <x:v>2555.836656</x:v>
      </x:c>
      <x:c r="C366" s="13" t="n">
        <x:v>484</x:v>
      </x:c>
      <x:c r="D366" s="12" t="n">
        <x:v>102787.08</x:v>
      </x:c>
      <x:c r="E366" s="12" t="n">
        <x:v>0</x:v>
      </x:c>
      <x:c r="F366" s="12" t="n">
        <x:f>SUM(B366,D366:E366)</x:f>
        <x:v>105342.916656</x:v>
      </x:c>
      <x:c r="G366" s="12" t="n">
        <x:f>MAX(G365,F366)</x:f>
        <x:v>105342.916656</x:v>
      </x:c>
      <x:c r="H366" s="14" t="n">
        <x:f>F366/G366-1</x:f>
        <x:v>0</x:v>
      </x:c>
      <x:c r="I366" s="14" t="n">
        <x:f>F366/F365-1</x:f>
        <x:v>0.003180300144244086</x:v>
      </x:c>
      <x:c r="J366" s="12" t="n">
        <x:v>0</x:v>
      </x:c>
      <x:c r="K366" s="12" t="n">
        <x:v>0</x:v>
      </x:c>
      <x:c r="L366" s="12" t="n">
        <x:v>0</x:v>
      </x:c>
      <x:c r="M366" s="2" t="str">
        <x:v>持有</x:v>
      </x:c>
    </x:row>
    <x:row r="367" ht="23" customHeight="1">
      <x:c r="A367" s="11" t="d">
        <x:v>2016-06-09T00:00:00.000Z</x:v>
      </x:c>
      <x:c r="B367" s="12" t="n">
        <x:v>2555.836656</x:v>
      </x:c>
      <x:c r="C367" s="13" t="n">
        <x:v>484</x:v>
      </x:c>
      <x:c r="D367" s="12" t="n">
        <x:v>102646.72</x:v>
      </x:c>
      <x:c r="E367" s="12" t="n">
        <x:v>0</x:v>
      </x:c>
      <x:c r="F367" s="12" t="n">
        <x:f>SUM(B367,D367:E367)</x:f>
        <x:v>105202.556656</x:v>
      </x:c>
      <x:c r="G367" s="12" t="n">
        <x:f>MAX(G366,F367)</x:f>
        <x:v>105342.916656</x:v>
      </x:c>
      <x:c r="H367" s="14" t="n">
        <x:f>F367/G367-1</x:f>
        <x:v>-0.0013324104216551058</x:v>
      </x:c>
      <x:c r="I367" s="14" t="n">
        <x:f>F367/F366-1</x:f>
        <x:v>-0.0013324104216551058</x:v>
      </x:c>
      <x:c r="J367" s="12" t="n">
        <x:v>0</x:v>
      </x:c>
      <x:c r="K367" s="12" t="n">
        <x:v>0</x:v>
      </x:c>
      <x:c r="L367" s="12" t="n">
        <x:v>0</x:v>
      </x:c>
      <x:c r="M367" s="2" t="str">
        <x:v>持有</x:v>
      </x:c>
    </x:row>
    <x:row r="368" ht="23" customHeight="1">
      <x:c r="A368" s="11" t="d">
        <x:v>2016-06-10T00:00:00.000Z</x:v>
      </x:c>
      <x:c r="B368" s="12" t="n">
        <x:v>2555.836656</x:v>
      </x:c>
      <x:c r="C368" s="13" t="n">
        <x:v>484</x:v>
      </x:c>
      <x:c r="D368" s="12" t="n">
        <x:v>101673.87999999999</x:v>
      </x:c>
      <x:c r="E368" s="12" t="n">
        <x:v>0</x:v>
      </x:c>
      <x:c r="F368" s="12" t="n">
        <x:f>SUM(B368,D368:E368)</x:f>
        <x:v>104229.71665599999</x:v>
      </x:c>
      <x:c r="G368" s="12" t="n">
        <x:f>MAX(G367,F368)</x:f>
        <x:v>105342.916656</x:v>
      </x:c>
      <x:c r="H368" s="14" t="n">
        <x:f>F368/G368-1</x:f>
        <x:v>-0.010567392999333736</x:v>
      </x:c>
      <x:c r="I368" s="14" t="n">
        <x:f>F368/F367-1</x:f>
        <x:v>-0.009247303781609428</x:v>
      </x:c>
      <x:c r="J368" s="12" t="n">
        <x:v>0</x:v>
      </x:c>
      <x:c r="K368" s="12" t="n">
        <x:v>0</x:v>
      </x:c>
      <x:c r="L368" s="12" t="n">
        <x:v>0</x:v>
      </x:c>
      <x:c r="M368" s="2" t="str">
        <x:v>持有</x:v>
      </x:c>
    </x:row>
    <x:row r="369" ht="23" customHeight="1">
      <x:c r="A369" s="11" t="d">
        <x:v>2016-06-13T00:00:00.000Z</x:v>
      </x:c>
      <x:c r="B369" s="12" t="n">
        <x:v>2555.836656</x:v>
      </x:c>
      <x:c r="C369" s="13" t="n">
        <x:v>484</x:v>
      </x:c>
      <x:c r="D369" s="12" t="n">
        <x:v>100889.79999999999</x:v>
      </x:c>
      <x:c r="E369" s="12" t="n">
        <x:v>0</x:v>
      </x:c>
      <x:c r="F369" s="12" t="n">
        <x:f>SUM(B369,D369:E369)</x:f>
        <x:v>103445.63665599999</x:v>
      </x:c>
      <x:c r="G369" s="12" t="n">
        <x:f>MAX(G368,F369)</x:f>
        <x:v>105342.916656</x:v>
      </x:c>
      <x:c r="H369" s="14" t="n">
        <x:f>F369/G369-1</x:f>
        <x:v>-0.018010513285820928</x:v>
      </x:c>
      <x:c r="I369" s="14" t="n">
        <x:f>F369/F368-1</x:f>
        <x:v>-0.0075226147125371234</x:v>
      </x:c>
      <x:c r="J369" s="12" t="n">
        <x:v>0</x:v>
      </x:c>
      <x:c r="K369" s="12" t="n">
        <x:v>0</x:v>
      </x:c>
      <x:c r="L369" s="12" t="n">
        <x:v>0</x:v>
      </x:c>
      <x:c r="M369" s="2" t="str">
        <x:v>持有</x:v>
      </x:c>
    </x:row>
    <x:row r="370" ht="23" customHeight="1">
      <x:c r="A370" s="11" t="d">
        <x:v>2016-06-14T00:00:00.000Z</x:v>
      </x:c>
      <x:c r="B370" s="12" t="n">
        <x:v>2555.836656</x:v>
      </x:c>
      <x:c r="C370" s="13" t="n">
        <x:v>484</x:v>
      </x:c>
      <x:c r="D370" s="12" t="n">
        <x:v>100691.36</x:v>
      </x:c>
      <x:c r="E370" s="12" t="n">
        <x:v>0</x:v>
      </x:c>
      <x:c r="F370" s="12" t="n">
        <x:f>SUM(B370,D370:E370)</x:f>
        <x:v>103247.196656</x:v>
      </x:c>
      <x:c r="G370" s="12" t="n">
        <x:f>MAX(G369,F370)</x:f>
        <x:v>105342.916656</x:v>
      </x:c>
      <x:c r="H370" s="14" t="n">
        <x:f>F370/G370-1</x:f>
        <x:v>-0.019894265950919365</x:v>
      </x:c>
      <x:c r="I370" s="14" t="n">
        <x:f>F370/F369-1</x:f>
        <x:v>-0.0019183022736849464</x:v>
      </x:c>
      <x:c r="J370" s="12" t="n">
        <x:v>0</x:v>
      </x:c>
      <x:c r="K370" s="12" t="n">
        <x:v>0</x:v>
      </x:c>
      <x:c r="L370" s="12" t="n">
        <x:v>0</x:v>
      </x:c>
      <x:c r="M370" s="2" t="str">
        <x:v>持有</x:v>
      </x:c>
    </x:row>
    <x:row r="371" ht="23" customHeight="1">
      <x:c r="A371" s="11" t="d">
        <x:v>2016-06-15T00:00:00.000Z</x:v>
      </x:c>
      <x:c r="B371" s="12" t="n">
        <x:v>2555.836656</x:v>
      </x:c>
      <x:c r="C371" s="13" t="n">
        <x:v>484</x:v>
      </x:c>
      <x:c r="D371" s="12" t="n">
        <x:v>100551</x:v>
      </x:c>
      <x:c r="E371" s="12" t="n">
        <x:v>0</x:v>
      </x:c>
      <x:c r="F371" s="12" t="n">
        <x:f>SUM(B371,D371:E371)</x:f>
        <x:v>103106.836656</x:v>
      </x:c>
      <x:c r="G371" s="12" t="n">
        <x:f>MAX(G370,F371)</x:f>
        <x:v>105342.916656</x:v>
      </x:c>
      <x:c r="H371" s="14" t="n">
        <x:f>F371/G371-1</x:f>
        <x:v>-0.02122667637257447</x:v>
      </x:c>
      <x:c r="I371" s="14" t="n">
        <x:f>F371/F370-1</x:f>
        <x:v>-0.001359455796825726</x:v>
      </x:c>
      <x:c r="J371" s="12" t="n">
        <x:v>0</x:v>
      </x:c>
      <x:c r="K371" s="12" t="n">
        <x:v>0</x:v>
      </x:c>
      <x:c r="L371" s="12" t="n">
        <x:v>0</x:v>
      </x:c>
      <x:c r="M371" s="2" t="str">
        <x:v>持有</x:v>
      </x:c>
    </x:row>
    <x:row r="372" ht="23" customHeight="1">
      <x:c r="A372" s="11" t="d">
        <x:v>2016-06-16T00:00:00.000Z</x:v>
      </x:c>
      <x:c r="B372" s="12" t="n">
        <x:v>2555.836656</x:v>
      </x:c>
      <x:c r="C372" s="13" t="n">
        <x:v>484</x:v>
      </x:c>
      <x:c r="D372" s="12" t="n">
        <x:v>100851.08</x:v>
      </x:c>
      <x:c r="E372" s="12" t="n">
        <x:v>0</x:v>
      </x:c>
      <x:c r="F372" s="12" t="n">
        <x:f>SUM(B372,D372:E372)</x:f>
        <x:v>103406.916656</x:v>
      </x:c>
      <x:c r="G372" s="12" t="n">
        <x:f>MAX(G371,F372)</x:f>
        <x:v>105342.916656</x:v>
      </x:c>
      <x:c r="H372" s="14" t="n">
        <x:f>F372/G372-1</x:f>
        <x:v>-0.018378074781449816</x:v>
      </x:c>
      <x:c r="I372" s="14" t="n">
        <x:f>F372/F371-1</x:f>
        <x:v>0.002910379270010699</x:v>
      </x:c>
      <x:c r="J372" s="12" t="n">
        <x:v>0</x:v>
      </x:c>
      <x:c r="K372" s="12" t="n">
        <x:v>0</x:v>
      </x:c>
      <x:c r="L372" s="12" t="n">
        <x:v>0</x:v>
      </x:c>
      <x:c r="M372" s="2" t="str">
        <x:v>持有</x:v>
      </x:c>
    </x:row>
    <x:row r="373" ht="23" customHeight="1">
      <x:c r="A373" s="11" t="d">
        <x:v>2016-06-17T00:00:00.000Z</x:v>
      </x:c>
      <x:c r="B373" s="12" t="n">
        <x:v>2555.836656</x:v>
      </x:c>
      <x:c r="C373" s="13" t="n">
        <x:v>484</x:v>
      </x:c>
      <x:c r="D373" s="12" t="n">
        <x:v>99955.68000000001</x:v>
      </x:c>
      <x:c r="E373" s="12" t="n">
        <x:v>521.965928</x:v>
      </x:c>
      <x:c r="F373" s="12" t="n">
        <x:f>SUM(B373,D373:E373)</x:f>
        <x:v>103033.48258400001</x:v>
      </x:c>
      <x:c r="G373" s="12" t="n">
        <x:f>MAX(G372,F373)</x:f>
        <x:v>105342.916656</x:v>
      </x:c>
      <x:c r="H373" s="14" t="n">
        <x:f>F373/G373-1</x:f>
        <x:v>-0.021923012437006117</x:v>
      </x:c>
      <x:c r="I373" s="14" t="n">
        <x:f>F373/F372-1</x:f>
        <x:v>-0.0036113065167804326</x:v>
      </x:c>
      <x:c r="J373" s="12" t="n">
        <x:v>521.965928</x:v>
      </x:c>
      <x:c r="K373" s="12" t="n">
        <x:v>0</x:v>
      </x:c>
      <x:c r="L373" s="12" t="n">
        <x:v>0</x:v>
      </x:c>
      <x:c r="M373" s="2" t="str">
        <x:v>持有</x:v>
      </x:c>
    </x:row>
    <x:row r="374" ht="23" customHeight="1">
      <x:c r="A374" s="11" t="d">
        <x:v>2016-06-20T00:00:00.000Z</x:v>
      </x:c>
      <x:c r="B374" s="12" t="n">
        <x:v>2555.836656</x:v>
      </x:c>
      <x:c r="C374" s="13" t="n">
        <x:v>484</x:v>
      </x:c>
      <x:c r="D374" s="12" t="n">
        <x:v>100599.4</x:v>
      </x:c>
      <x:c r="E374" s="12" t="n">
        <x:v>521.965928</x:v>
      </x:c>
      <x:c r="F374" s="12" t="n">
        <x:f>SUM(B374,D374:E374)</x:f>
        <x:v>103677.202584</x:v>
      </x:c>
      <x:c r="G374" s="12" t="n">
        <x:f>MAX(G373,F374)</x:f>
        <x:v>105342.916656</x:v>
      </x:c>
      <x:c r="H374" s="14" t="n">
        <x:f>F374/G374-1</x:f>
        <x:v>-0.015812302572174253</x:v>
      </x:c>
      <x:c r="I374" s="14" t="n">
        <x:f>F374/F373-1</x:f>
        <x:v>0.006247677782561523</x:v>
      </x:c>
      <x:c r="J374" s="12" t="n">
        <x:v>0</x:v>
      </x:c>
      <x:c r="K374" s="12" t="n">
        <x:v>0</x:v>
      </x:c>
      <x:c r="L374" s="12" t="n">
        <x:v>0</x:v>
      </x:c>
      <x:c r="M374" s="2" t="str">
        <x:v>持有</x:v>
      </x:c>
    </x:row>
    <x:row r="375" ht="23" customHeight="1">
      <x:c r="A375" s="11" t="d">
        <x:v>2016-06-21T00:00:00.000Z</x:v>
      </x:c>
      <x:c r="B375" s="12" t="n">
        <x:v>2555.836656</x:v>
      </x:c>
      <x:c r="C375" s="13" t="n">
        <x:v>484</x:v>
      </x:c>
      <x:c r="D375" s="12" t="n">
        <x:v>100884.95999999999</x:v>
      </x:c>
      <x:c r="E375" s="12" t="n">
        <x:v>521.965928</x:v>
      </x:c>
      <x:c r="F375" s="12" t="n">
        <x:f>SUM(B375,D375:E375)</x:f>
        <x:v>103962.762584</x:v>
      </x:c>
      <x:c r="G375" s="12" t="n">
        <x:f>MAX(G374,F375)</x:f>
        <x:v>105342.916656</x:v>
      </x:c>
      <x:c r="H375" s="14" t="n">
        <x:f>F375/G375-1</x:f>
        <x:v>-0.013101536541910375</x:v>
      </x:c>
      <x:c r="I375" s="14" t="n">
        <x:f>F375/F374-1</x:f>
        <x:v>0.002754318142106804</x:v>
      </x:c>
      <x:c r="J375" s="12" t="n">
        <x:v>0</x:v>
      </x:c>
      <x:c r="K375" s="12" t="n">
        <x:v>0</x:v>
      </x:c>
      <x:c r="L375" s="12" t="n">
        <x:v>0</x:v>
      </x:c>
      <x:c r="M375" s="2" t="str">
        <x:v>持有</x:v>
      </x:c>
    </x:row>
    <x:row r="376" ht="23" customHeight="1">
      <x:c r="A376" s="11" t="d">
        <x:v>2016-06-22T00:00:00.000Z</x:v>
      </x:c>
      <x:c r="B376" s="12" t="n">
        <x:v>2555.836656</x:v>
      </x:c>
      <x:c r="C376" s="13" t="n">
        <x:v>484</x:v>
      </x:c>
      <x:c r="D376" s="12" t="n">
        <x:v>100720.4</x:v>
      </x:c>
      <x:c r="E376" s="12" t="n">
        <x:v>521.965928</x:v>
      </x:c>
      <x:c r="F376" s="12" t="n">
        <x:f>SUM(B376,D376:E376)</x:f>
        <x:v>103798.202584</x:v>
      </x:c>
      <x:c r="G376" s="12" t="n">
        <x:f>MAX(G375,F376)</x:f>
        <x:v>105342.916656</x:v>
      </x:c>
      <x:c r="H376" s="14" t="n">
        <x:f>F376/G376-1</x:f>
        <x:v>-0.01466367289833359</x:v>
      </x:c>
      <x:c r="I376" s="14" t="n">
        <x:f>F376/F375-1</x:f>
        <x:v>-0.0015828744437897946</x:v>
      </x:c>
      <x:c r="J376" s="12" t="n">
        <x:v>0</x:v>
      </x:c>
      <x:c r="K376" s="12" t="n">
        <x:v>0</x:v>
      </x:c>
      <x:c r="L376" s="12" t="n">
        <x:v>0</x:v>
      </x:c>
      <x:c r="M376" s="2" t="str">
        <x:v>持有</x:v>
      </x:c>
    </x:row>
    <x:row r="377" ht="23" customHeight="1">
      <x:c r="A377" s="11" t="d">
        <x:v>2016-06-23T00:00:00.000Z</x:v>
      </x:c>
      <x:c r="B377" s="12" t="n">
        <x:v>2555.836656</x:v>
      </x:c>
      <x:c r="C377" s="13" t="n">
        <x:v>484</x:v>
      </x:c>
      <x:c r="D377" s="12" t="n">
        <x:v>102032.04000000001</x:v>
      </x:c>
      <x:c r="E377" s="12" t="n">
        <x:v>521.965928</x:v>
      </x:c>
      <x:c r="F377" s="12" t="n">
        <x:f>SUM(B377,D377:E377)</x:f>
        <x:v>105109.84258400001</x:v>
      </x:c>
      <x:c r="G377" s="12" t="n">
        <x:f>MAX(G376,F377)</x:f>
        <x:v>105342.916656</x:v>
      </x:c>
      <x:c r="H377" s="14" t="n">
        <x:f>F377/G377-1</x:f>
        <x:v>-0.002212527233901196</x:v>
      </x:c>
      <x:c r="I377" s="14" t="n">
        <x:f>F377/F376-1</x:f>
        <x:v>0.012636442321229513</x:v>
      </x:c>
      <x:c r="J377" s="12" t="n">
        <x:v>0</x:v>
      </x:c>
      <x:c r="K377" s="12" t="n">
        <x:v>0</x:v>
      </x:c>
      <x:c r="L377" s="12" t="n">
        <x:v>0</x:v>
      </x:c>
      <x:c r="M377" s="2" t="str">
        <x:v>持有</x:v>
      </x:c>
    </x:row>
    <x:row r="378" ht="23" customHeight="1">
      <x:c r="A378" s="11" t="d">
        <x:v>2016-06-24T00:00:00.000Z</x:v>
      </x:c>
      <x:c r="B378" s="12" t="n">
        <x:v>2555.836656</x:v>
      </x:c>
      <x:c r="C378" s="13" t="n">
        <x:v>484</x:v>
      </x:c>
      <x:c r="D378" s="12" t="n">
        <x:v>98368.16</x:v>
      </x:c>
      <x:c r="E378" s="12" t="n">
        <x:v>521.965928</x:v>
      </x:c>
      <x:c r="F378" s="12" t="n">
        <x:f>SUM(B378,D378:E378)</x:f>
        <x:v>101445.96258400001</x:v>
      </x:c>
      <x:c r="G378" s="12" t="n">
        <x:f>MAX(G377,F378)</x:f>
        <x:v>105342.916656</x:v>
      </x:c>
      <x:c r="H378" s="14" t="n">
        <x:f>F378/G378-1</x:f>
        <x:v>-0.036993033757794946</x:v>
      </x:c>
      <x:c r="I378" s="14" t="n">
        <x:f>F378/F377-1</x:f>
        <x:v>-0.03485762997953268</x:v>
      </x:c>
      <x:c r="J378" s="12" t="n">
        <x:v>0</x:v>
      </x:c>
      <x:c r="K378" s="12" t="n">
        <x:v>0</x:v>
      </x:c>
      <x:c r="L378" s="12" t="n">
        <x:v>0</x:v>
      </x:c>
      <x:c r="M378" s="2" t="str">
        <x:v>持有</x:v>
      </x:c>
    </x:row>
    <x:row r="379" ht="23" customHeight="1">
      <x:c r="A379" s="11" t="d">
        <x:v>2016-06-27T00:00:00.000Z</x:v>
      </x:c>
      <x:c r="B379" s="12" t="n">
        <x:v>2555.836656</x:v>
      </x:c>
      <x:c r="C379" s="13" t="n">
        <x:v>484</x:v>
      </x:c>
      <x:c r="D379" s="12" t="n">
        <x:v>96606.4</x:v>
      </x:c>
      <x:c r="E379" s="12" t="n">
        <x:v>521.965928</x:v>
      </x:c>
      <x:c r="F379" s="12" t="n">
        <x:f>SUM(B379,D379:E379)</x:f>
        <x:v>99684.202584</x:v>
      </x:c>
      <x:c r="G379" s="12" t="n">
        <x:f>MAX(G378,F379)</x:f>
        <x:v>105342.916656</x:v>
      </x:c>
      <x:c r="H379" s="14" t="n">
        <x:f>F379/G379-1</x:f>
        <x:v>-0.053717081808914435</x:v>
      </x:c>
      <x:c r="I379" s="14" t="n">
        <x:f>F379/F378-1</x:f>
        <x:v>-0.017366487094458982</x:v>
      </x:c>
      <x:c r="J379" s="12" t="n">
        <x:v>0</x:v>
      </x:c>
      <x:c r="K379" s="12" t="n">
        <x:v>0</x:v>
      </x:c>
      <x:c r="L379" s="12" t="n">
        <x:v>0</x:v>
      </x:c>
      <x:c r="M379" s="2" t="str">
        <x:v>持有</x:v>
      </x:c>
    </x:row>
    <x:row r="380" ht="23" customHeight="1">
      <x:c r="A380" s="11" t="d">
        <x:v>2016-06-28T00:00:00.000Z</x:v>
      </x:c>
      <x:c r="B380" s="12" t="n">
        <x:v>2555.836656</x:v>
      </x:c>
      <x:c r="C380" s="13" t="n">
        <x:v>484</x:v>
      </x:c>
      <x:c r="D380" s="12" t="n">
        <x:v>98348.79999999999</x:v>
      </x:c>
      <x:c r="E380" s="12" t="n">
        <x:v>521.965928</x:v>
      </x:c>
      <x:c r="F380" s="12" t="n">
        <x:f>SUM(B380,D380:E380)</x:f>
        <x:v>101426.602584</x:v>
      </x:c>
      <x:c r="G380" s="12" t="n">
        <x:f>MAX(G379,F380)</x:f>
        <x:v>105342.916656</x:v>
      </x:c>
      <x:c r="H380" s="14" t="n">
        <x:f>F380/G380-1</x:f>
        <x:v>-0.03717681450560961</x:v>
      </x:c>
      <x:c r="I380" s="14" t="n">
        <x:f>F380/F379-1</x:f>
        <x:v>0.017479198858332046</x:v>
      </x:c>
      <x:c r="J380" s="12" t="n">
        <x:v>0</x:v>
      </x:c>
      <x:c r="K380" s="12" t="n">
        <x:v>0</x:v>
      </x:c>
      <x:c r="L380" s="12" t="n">
        <x:v>0</x:v>
      </x:c>
      <x:c r="M380" s="2" t="str">
        <x:v>持有</x:v>
      </x:c>
    </x:row>
    <x:row r="381" ht="23" customHeight="1">
      <x:c r="A381" s="11" t="d">
        <x:v>2016-06-29T00:00:00.000Z</x:v>
      </x:c>
      <x:c r="B381" s="12" t="n">
        <x:v>2555.836656</x:v>
      </x:c>
      <x:c r="C381" s="13" t="n">
        <x:v>484</x:v>
      </x:c>
      <x:c r="D381" s="12" t="n">
        <x:v>100023.44</x:v>
      </x:c>
      <x:c r="E381" s="12" t="n">
        <x:v>521.965928</x:v>
      </x:c>
      <x:c r="F381" s="12" t="n">
        <x:f>SUM(B381,D381:E381)</x:f>
        <x:v>103101.242584</x:v>
      </x:c>
      <x:c r="G381" s="12" t="n">
        <x:f>MAX(G380,F381)</x:f>
        <x:v>105342.916656</x:v>
      </x:c>
      <x:c r="H381" s="14" t="n">
        <x:f>F381/G381-1</x:f>
        <x:v>-0.021279779819655453</x:v>
      </x:c>
      <x:c r="I381" s="14" t="n">
        <x:f>F381/F380-1</x:f>
        <x:v>0.01651085570585975</x:v>
      </x:c>
      <x:c r="J381" s="12" t="n">
        <x:v>0</x:v>
      </x:c>
      <x:c r="K381" s="12" t="n">
        <x:v>0</x:v>
      </x:c>
      <x:c r="L381" s="12" t="n">
        <x:v>0</x:v>
      </x:c>
      <x:c r="M381" s="2" t="str">
        <x:v>持有</x:v>
      </x:c>
    </x:row>
    <x:row r="382" ht="23" customHeight="1">
      <x:c r="A382" s="11" t="d">
        <x:v>2016-06-30T00:00:00.000Z</x:v>
      </x:c>
      <x:c r="B382" s="12" t="n">
        <x:v>2555.836656</x:v>
      </x:c>
      <x:c r="C382" s="13" t="n">
        <x:v>484</x:v>
      </x:c>
      <x:c r="D382" s="12" t="n">
        <x:v>101388.31999999999</x:v>
      </x:c>
      <x:c r="E382" s="12" t="n">
        <x:v>521.965928</x:v>
      </x:c>
      <x:c r="F382" s="12" t="n">
        <x:f>SUM(B382,D382:E382)</x:f>
        <x:v>104466.122584</x:v>
      </x:c>
      <x:c r="G382" s="12" t="n">
        <x:f>MAX(G381,F382)</x:f>
        <x:v>105342.916656</x:v>
      </x:c>
      <x:c r="H382" s="14" t="n">
        <x:f>F382/G382-1</x:f>
        <x:v>-0.008323237098733394</x:v>
      </x:c>
      <x:c r="I382" s="14" t="n">
        <x:f>F382/F381-1</x:f>
        <x:v>0.013238249761034382</x:v>
      </x:c>
      <x:c r="J382" s="12" t="n">
        <x:v>0</x:v>
      </x:c>
      <x:c r="K382" s="12" t="n">
        <x:v>0</x:v>
      </x:c>
      <x:c r="L382" s="12" t="n">
        <x:v>0</x:v>
      </x:c>
      <x:c r="M382" s="2" t="str">
        <x:v>持有</x:v>
      </x:c>
    </x:row>
    <x:row r="383" ht="23" customHeight="1">
      <x:c r="A383" s="11" t="d">
        <x:v>2016-07-01T00:00:00.000Z</x:v>
      </x:c>
      <x:c r="B383" s="12" t="n">
        <x:v>2555.836656</x:v>
      </x:c>
      <x:c r="C383" s="13" t="n">
        <x:v>484</x:v>
      </x:c>
      <x:c r="D383" s="12" t="n">
        <x:v>101601.28</x:v>
      </x:c>
      <x:c r="E383" s="12" t="n">
        <x:v>521.965928</x:v>
      </x:c>
      <x:c r="F383" s="12" t="n">
        <x:f>SUM(B383,D383:E383)</x:f>
        <x:v>104679.082584</x:v>
      </x:c>
      <x:c r="G383" s="12" t="n">
        <x:f>MAX(G382,F383)</x:f>
        <x:v>105342.916656</x:v>
      </x:c>
      <x:c r="H383" s="14" t="n">
        <x:f>F383/G383-1</x:f>
        <x:v>-0.006301648872773957</x:v>
      </x:c>
      <x:c r="I383" s="14" t="n">
        <x:f>F383/F382-1</x:f>
        <x:v>0.0020385556076207845</x:v>
      </x:c>
      <x:c r="J383" s="12" t="n">
        <x:v>0</x:v>
      </x:c>
      <x:c r="K383" s="12" t="n">
        <x:v>0</x:v>
      </x:c>
      <x:c r="L383" s="12" t="n">
        <x:v>0</x:v>
      </x:c>
      <x:c r="M383" s="2" t="str">
        <x:v>持有</x:v>
      </x:c>
    </x:row>
    <x:row r="384" ht="23" customHeight="1">
      <x:c r="A384" s="11" t="d">
        <x:v>2016-07-05T00:00:00.000Z</x:v>
      </x:c>
      <x:c r="B384" s="12" t="n">
        <x:v>2555.836656</x:v>
      </x:c>
      <x:c r="C384" s="13" t="n">
        <x:v>484</x:v>
      </x:c>
      <x:c r="D384" s="12" t="n">
        <x:v>100870.44</x:v>
      </x:c>
      <x:c r="E384" s="12" t="n">
        <x:v>521.965928</x:v>
      </x:c>
      <x:c r="F384" s="12" t="n">
        <x:f>SUM(B384,D384:E384)</x:f>
        <x:v>103948.242584</x:v>
      </x:c>
      <x:c r="G384" s="12" t="n">
        <x:f>MAX(G383,F384)</x:f>
        <x:v>105342.916656</x:v>
      </x:c>
      <x:c r="H384" s="14" t="n">
        <x:f>F384/G384-1</x:f>
        <x:v>-0.013239372102771152</x:v>
      </x:c>
      <x:c r="I384" s="14" t="n">
        <x:f>F384/F383-1</x:f>
        <x:v>-0.006981719575288925</x:v>
      </x:c>
      <x:c r="J384" s="12" t="n">
        <x:v>0</x:v>
      </x:c>
      <x:c r="K384" s="12" t="n">
        <x:v>0</x:v>
      </x:c>
      <x:c r="L384" s="12" t="n">
        <x:v>0</x:v>
      </x:c>
      <x:c r="M384" s="2" t="str">
        <x:v>持有</x:v>
      </x:c>
    </x:row>
    <x:row r="385" ht="23" customHeight="1">
      <x:c r="A385" s="11" t="d">
        <x:v>2016-07-06T00:00:00.000Z</x:v>
      </x:c>
      <x:c r="B385" s="12" t="n">
        <x:v>2555.836656</x:v>
      </x:c>
      <x:c r="C385" s="13" t="n">
        <x:v>484</x:v>
      </x:c>
      <x:c r="D385" s="12" t="n">
        <x:v>101475.44</x:v>
      </x:c>
      <x:c r="E385" s="12" t="n">
        <x:v>521.965928</x:v>
      </x:c>
      <x:c r="F385" s="12" t="n">
        <x:f>SUM(B385,D385:E385)</x:f>
        <x:v>104553.242584</x:v>
      </x:c>
      <x:c r="G385" s="12" t="n">
        <x:f>MAX(G384,F385)</x:f>
        <x:v>105342.916656</x:v>
      </x:c>
      <x:c r="H385" s="14" t="n">
        <x:f>F385/G385-1</x:f>
        <x:v>-0.007496223733568064</x:v>
      </x:c>
      <x:c r="I385" s="14" t="n">
        <x:f>F385/F384-1</x:f>
        <x:v>0.005820204218566882</x:v>
      </x:c>
      <x:c r="J385" s="12" t="n">
        <x:v>0</x:v>
      </x:c>
      <x:c r="K385" s="12" t="n">
        <x:v>0</x:v>
      </x:c>
      <x:c r="L385" s="12" t="n">
        <x:v>0</x:v>
      </x:c>
      <x:c r="M385" s="2" t="str">
        <x:v>持有</x:v>
      </x:c>
    </x:row>
    <x:row r="386" ht="23" customHeight="1">
      <x:c r="A386" s="11" t="d">
        <x:v>2016-07-07T00:00:00.000Z</x:v>
      </x:c>
      <x:c r="B386" s="12" t="n">
        <x:v>2555.836656</x:v>
      </x:c>
      <x:c r="C386" s="13" t="n">
        <x:v>484</x:v>
      </x:c>
      <x:c r="D386" s="12" t="n">
        <x:v>101412.52</x:v>
      </x:c>
      <x:c r="E386" s="12" t="n">
        <x:v>521.965928</x:v>
      </x:c>
      <x:c r="F386" s="12" t="n">
        <x:f>SUM(B386,D386:E386)</x:f>
        <x:v>104490.32258400001</x:v>
      </x:c>
      <x:c r="G386" s="12" t="n">
        <x:f>MAX(G385,F386)</x:f>
        <x:v>105342.916656</x:v>
      </x:c>
      <x:c r="H386" s="14" t="n">
        <x:f>F386/G386-1</x:f>
        <x:v>-0.008093511163965172</x:v>
      </x:c>
      <x:c r="I386" s="14" t="n">
        <x:f>F386/F385-1</x:f>
        <x:v>-0.0006017986477028225</x:v>
      </x:c>
      <x:c r="J386" s="12" t="n">
        <x:v>0</x:v>
      </x:c>
      <x:c r="K386" s="12" t="n">
        <x:v>0</x:v>
      </x:c>
      <x:c r="L386" s="12" t="n">
        <x:v>0</x:v>
      </x:c>
      <x:c r="M386" s="2" t="str">
        <x:v>持有</x:v>
      </x:c>
    </x:row>
    <x:row r="387" ht="23" customHeight="1">
      <x:c r="A387" s="11" t="d">
        <x:v>2016-07-08T00:00:00.000Z</x:v>
      </x:c>
      <x:c r="B387" s="12" t="n">
        <x:v>2555.836656</x:v>
      </x:c>
      <x:c r="C387" s="13" t="n">
        <x:v>484</x:v>
      </x:c>
      <x:c r="D387" s="12" t="n">
        <x:v>102922.6</x:v>
      </x:c>
      <x:c r="E387" s="12" t="n">
        <x:v>521.965928</x:v>
      </x:c>
      <x:c r="F387" s="12" t="n">
        <x:f>SUM(B387,D387:E387)</x:f>
        <x:v>106000.40258400001</x:v>
      </x:c>
      <x:c r="G387" s="12" t="n">
        <x:f>MAX(G386,F387)</x:f>
        <x:v>106000.40258400001</x:v>
      </x:c>
      <x:c r="H387" s="14" t="n">
        <x:f>F387/G387-1</x:f>
        <x:v>0</x:v>
      </x:c>
      <x:c r="I387" s="14" t="n">
        <x:f>F387/F386-1</x:f>
        <x:v>0.014451864657476277</x:v>
      </x:c>
      <x:c r="J387" s="12" t="n">
        <x:v>0</x:v>
      </x:c>
      <x:c r="K387" s="12" t="n">
        <x:v>0</x:v>
      </x:c>
      <x:c r="L387" s="12" t="n">
        <x:v>0</x:v>
      </x:c>
      <x:c r="M387" s="2" t="str">
        <x:v>持有</x:v>
      </x:c>
    </x:row>
    <x:row r="388" ht="23" customHeight="1">
      <x:c r="A388" s="11" t="d">
        <x:v>2016-07-11T00:00:00.000Z</x:v>
      </x:c>
      <x:c r="B388" s="12" t="n">
        <x:v>2555.836656</x:v>
      </x:c>
      <x:c r="C388" s="13" t="n">
        <x:v>484</x:v>
      </x:c>
      <x:c r="D388" s="12" t="n">
        <x:v>103285.6</x:v>
      </x:c>
      <x:c r="E388" s="12" t="n">
        <x:v>521.965928</x:v>
      </x:c>
      <x:c r="F388" s="12" t="n">
        <x:f>SUM(B388,D388:E388)</x:f>
        <x:v>106363.40258400001</x:v>
      </x:c>
      <x:c r="G388" s="12" t="n">
        <x:f>MAX(G387,F388)</x:f>
        <x:v>106363.40258400001</x:v>
      </x:c>
      <x:c r="H388" s="14" t="n">
        <x:f>F388/G388-1</x:f>
        <x:v>0</x:v>
      </x:c>
      <x:c r="I388" s="14" t="n">
        <x:f>F388/F387-1</x:f>
        <x:v>0.0034245152957068647</x:v>
      </x:c>
      <x:c r="J388" s="12" t="n">
        <x:v>0</x:v>
      </x:c>
      <x:c r="K388" s="12" t="n">
        <x:v>0</x:v>
      </x:c>
      <x:c r="L388" s="12" t="n">
        <x:v>0</x:v>
      </x:c>
      <x:c r="M388" s="2" t="str">
        <x:v>持有</x:v>
      </x:c>
    </x:row>
    <x:row r="389" ht="23" customHeight="1">
      <x:c r="A389" s="11" t="d">
        <x:v>2016-07-12T00:00:00.000Z</x:v>
      </x:c>
      <x:c r="B389" s="12" t="n">
        <x:v>2555.836656</x:v>
      </x:c>
      <x:c r="C389" s="13" t="n">
        <x:v>484</x:v>
      </x:c>
      <x:c r="D389" s="12" t="n">
        <x:v>104035.79999999999</x:v>
      </x:c>
      <x:c r="E389" s="12" t="n">
        <x:v>521.965928</x:v>
      </x:c>
      <x:c r="F389" s="12" t="n">
        <x:f>SUM(B389,D389:E389)</x:f>
        <x:v>107113.602584</x:v>
      </x:c>
      <x:c r="G389" s="12" t="n">
        <x:f>MAX(G388,F389)</x:f>
        <x:v>107113.602584</x:v>
      </x:c>
      <x:c r="H389" s="14" t="n">
        <x:f>F389/G389-1</x:f>
        <x:v>0</x:v>
      </x:c>
      <x:c r="I389" s="14" t="n">
        <x:f>F389/F388-1</x:f>
        <x:v>0.007053177895540941</x:v>
      </x:c>
      <x:c r="J389" s="12" t="n">
        <x:v>0</x:v>
      </x:c>
      <x:c r="K389" s="12" t="n">
        <x:v>0</x:v>
      </x:c>
      <x:c r="L389" s="12" t="n">
        <x:v>0</x:v>
      </x:c>
      <x:c r="M389" s="2" t="str">
        <x:v>持有</x:v>
      </x:c>
    </x:row>
    <x:row r="390" ht="23" customHeight="1">
      <x:c r="A390" s="11" t="d">
        <x:v>2016-07-13T00:00:00.000Z</x:v>
      </x:c>
      <x:c r="B390" s="12" t="n">
        <x:v>2555.836656</x:v>
      </x:c>
      <x:c r="C390" s="13" t="n">
        <x:v>484</x:v>
      </x:c>
      <x:c r="D390" s="12" t="n">
        <x:v>104021.28</x:v>
      </x:c>
      <x:c r="E390" s="12" t="n">
        <x:v>521.965928</x:v>
      </x:c>
      <x:c r="F390" s="12" t="n">
        <x:f>SUM(B390,D390:E390)</x:f>
        <x:v>107099.082584</x:v>
      </x:c>
      <x:c r="G390" s="12" t="n">
        <x:f>MAX(G389,F390)</x:f>
        <x:v>107113.602584</x:v>
      </x:c>
      <x:c r="H390" s="14" t="n">
        <x:f>F390/G390-1</x:f>
        <x:v>-0.00013555701283229915</x:v>
      </x:c>
      <x:c r="I390" s="14" t="n">
        <x:f>F390/F389-1</x:f>
        <x:v>-0.00013555701283229915</x:v>
      </x:c>
      <x:c r="J390" s="12" t="n">
        <x:v>0</x:v>
      </x:c>
      <x:c r="K390" s="12" t="n">
        <x:v>0</x:v>
      </x:c>
      <x:c r="L390" s="12" t="n">
        <x:v>0</x:v>
      </x:c>
      <x:c r="M390" s="2" t="str">
        <x:v>持有</x:v>
      </x:c>
    </x:row>
    <x:row r="391" ht="23" customHeight="1">
      <x:c r="A391" s="11" t="d">
        <x:v>2016-07-14T00:00:00.000Z</x:v>
      </x:c>
      <x:c r="B391" s="12" t="n">
        <x:v>2555.836656</x:v>
      </x:c>
      <x:c r="C391" s="13" t="n">
        <x:v>484</x:v>
      </x:c>
      <x:c r="D391" s="12" t="n">
        <x:v>104602.08</x:v>
      </x:c>
      <x:c r="E391" s="12" t="n">
        <x:v>521.965928</x:v>
      </x:c>
      <x:c r="F391" s="12" t="n">
        <x:f>SUM(B391,D391:E391)</x:f>
        <x:v>107679.882584</x:v>
      </x:c>
      <x:c r="G391" s="12" t="n">
        <x:f>MAX(G390,F391)</x:f>
        <x:v>107679.882584</x:v>
      </x:c>
      <x:c r="H391" s="14" t="n">
        <x:f>F391/G391-1</x:f>
        <x:v>0</x:v>
      </x:c>
      <x:c r="I391" s="14" t="n">
        <x:f>F391/F390-1</x:f>
        <x:v>0.0054230156410954855</x:v>
      </x:c>
      <x:c r="J391" s="12" t="n">
        <x:v>0</x:v>
      </x:c>
      <x:c r="K391" s="12" t="n">
        <x:v>0</x:v>
      </x:c>
      <x:c r="L391" s="12" t="n">
        <x:v>0</x:v>
      </x:c>
      <x:c r="M391" s="2" t="str">
        <x:v>持有</x:v>
      </x:c>
    </x:row>
    <x:row r="392" ht="23" customHeight="1">
      <x:c r="A392" s="11" t="d">
        <x:v>2016-07-15T00:00:00.000Z</x:v>
      </x:c>
      <x:c r="B392" s="12" t="n">
        <x:v>2555.836656</x:v>
      </x:c>
      <x:c r="C392" s="13" t="n">
        <x:v>484</x:v>
      </x:c>
      <x:c r="D392" s="12" t="n">
        <x:v>104461.72</x:v>
      </x:c>
      <x:c r="E392" s="12" t="n">
        <x:v>521.965928</x:v>
      </x:c>
      <x:c r="F392" s="12" t="n">
        <x:f>SUM(B392,D392:E392)</x:f>
        <x:v>107539.522584</x:v>
      </x:c>
      <x:c r="G392" s="12" t="n">
        <x:f>MAX(G391,F392)</x:f>
        <x:v>107679.882584</x:v>
      </x:c>
      <x:c r="H392" s="14" t="n">
        <x:f>F392/G392-1</x:f>
        <x:v>-0.0013034932489873752</x:v>
      </x:c>
      <x:c r="I392" s="14" t="n">
        <x:f>F392/F391-1</x:f>
        <x:v>-0.0013034932489873752</x:v>
      </x:c>
      <x:c r="J392" s="12" t="n">
        <x:v>0</x:v>
      </x:c>
      <x:c r="K392" s="12" t="n">
        <x:v>0</x:v>
      </x:c>
      <x:c r="L392" s="12" t="n">
        <x:v>0</x:v>
      </x:c>
      <x:c r="M392" s="2" t="str">
        <x:v>持有</x:v>
      </x:c>
    </x:row>
    <x:row r="393" ht="23" customHeight="1">
      <x:c r="A393" s="11" t="d">
        <x:v>2016-07-18T00:00:00.000Z</x:v>
      </x:c>
      <x:c r="B393" s="12" t="n">
        <x:v>2555.836656</x:v>
      </x:c>
      <x:c r="C393" s="13" t="n">
        <x:v>484</x:v>
      </x:c>
      <x:c r="D393" s="12" t="n">
        <x:v>104742.44</x:v>
      </x:c>
      <x:c r="E393" s="12" t="n">
        <x:v>521.965928</x:v>
      </x:c>
      <x:c r="F393" s="12" t="n">
        <x:f>SUM(B393,D393:E393)</x:f>
        <x:v>107820.242584</x:v>
      </x:c>
      <x:c r="G393" s="12" t="n">
        <x:f>MAX(G392,F393)</x:f>
        <x:v>107820.242584</x:v>
      </x:c>
      <x:c r="H393" s="14" t="n">
        <x:f>F393/G393-1</x:f>
        <x:v>0</x:v>
      </x:c>
      <x:c r="I393" s="14" t="n">
        <x:f>F393/F392-1</x:f>
        <x:v>0.0026103891225732756</x:v>
      </x:c>
      <x:c r="J393" s="12" t="n">
        <x:v>0</x:v>
      </x:c>
      <x:c r="K393" s="12" t="n">
        <x:v>0</x:v>
      </x:c>
      <x:c r="L393" s="12" t="n">
        <x:v>0</x:v>
      </x:c>
      <x:c r="M393" s="2" t="str">
        <x:v>持有</x:v>
      </x:c>
    </x:row>
    <x:row r="394" ht="23" customHeight="1">
      <x:c r="A394" s="11" t="d">
        <x:v>2016-07-19T00:00:00.000Z</x:v>
      </x:c>
      <x:c r="B394" s="12" t="n">
        <x:v>2555.836656</x:v>
      </x:c>
      <x:c r="C394" s="13" t="n">
        <x:v>484</x:v>
      </x:c>
      <x:c r="D394" s="12" t="n">
        <x:v>104635.95999999999</x:v>
      </x:c>
      <x:c r="E394" s="12" t="n">
        <x:v>521.965928</x:v>
      </x:c>
      <x:c r="F394" s="12" t="n">
        <x:f>SUM(B394,D394:E394)</x:f>
        <x:v>107713.762584</x:v>
      </x:c>
      <x:c r="G394" s="12" t="n">
        <x:f>MAX(G393,F394)</x:f>
        <x:v>107820.242584</x:v>
      </x:c>
      <x:c r="H394" s="14" t="n">
        <x:f>F394/G394-1</x:f>
        <x:v>-0.0009875696571267634</x:v>
      </x:c>
      <x:c r="I394" s="14" t="n">
        <x:f>F394/F393-1</x:f>
        <x:v>-0.0009875696571267634</x:v>
      </x:c>
      <x:c r="J394" s="12" t="n">
        <x:v>0</x:v>
      </x:c>
      <x:c r="K394" s="12" t="n">
        <x:v>0</x:v>
      </x:c>
      <x:c r="L394" s="12" t="n">
        <x:v>0</x:v>
      </x:c>
      <x:c r="M394" s="2" t="str">
        <x:v>持有</x:v>
      </x:c>
    </x:row>
    <x:row r="395" ht="23" customHeight="1">
      <x:c r="A395" s="11" t="d">
        <x:v>2016-07-20T00:00:00.000Z</x:v>
      </x:c>
      <x:c r="B395" s="12" t="n">
        <x:v>2555.836656</x:v>
      </x:c>
      <x:c r="C395" s="13" t="n">
        <x:v>484</x:v>
      </x:c>
      <x:c r="D395" s="12" t="n">
        <x:v>105071.56</x:v>
      </x:c>
      <x:c r="E395" s="12" t="n">
        <x:v>521.965928</x:v>
      </x:c>
      <x:c r="F395" s="12" t="n">
        <x:f>SUM(B395,D395:E395)</x:f>
        <x:v>108149.362584</x:v>
      </x:c>
      <x:c r="G395" s="12" t="n">
        <x:f>MAX(G394,F395)</x:f>
        <x:v>108149.362584</x:v>
      </x:c>
      <x:c r="H395" s="14" t="n">
        <x:f>F395/G395-1</x:f>
        <x:v>0</x:v>
      </x:c>
      <x:c r="I395" s="14" t="n">
        <x:f>F395/F394-1</x:f>
        <x:v>0.004044051470770027</x:v>
      </x:c>
      <x:c r="J395" s="12" t="n">
        <x:v>0</x:v>
      </x:c>
      <x:c r="K395" s="12" t="n">
        <x:v>0</x:v>
      </x:c>
      <x:c r="L395" s="12" t="n">
        <x:v>0</x:v>
      </x:c>
      <x:c r="M395" s="2" t="str">
        <x:v>持有</x:v>
      </x:c>
    </x:row>
    <x:row r="396" ht="23" customHeight="1">
      <x:c r="A396" s="11" t="d">
        <x:v>2016-07-21T00:00:00.000Z</x:v>
      </x:c>
      <x:c r="B396" s="12" t="n">
        <x:v>2555.836656</x:v>
      </x:c>
      <x:c r="C396" s="13" t="n">
        <x:v>484</x:v>
      </x:c>
      <x:c r="D396" s="12" t="n">
        <x:v>104674.68000000001</x:v>
      </x:c>
      <x:c r="E396" s="12" t="n">
        <x:v>521.965928</x:v>
      </x:c>
      <x:c r="F396" s="12" t="n">
        <x:f>SUM(B396,D396:E396)</x:f>
        <x:v>107752.48258400001</x:v>
      </x:c>
      <x:c r="G396" s="12" t="n">
        <x:f>MAX(G395,F396)</x:f>
        <x:v>108149.362584</x:v>
      </x:c>
      <x:c r="H396" s="14" t="n">
        <x:f>F396/G396-1</x:f>
        <x:v>-0.003669739613044287</x:v>
      </x:c>
      <x:c r="I396" s="14" t="n">
        <x:f>F396/F395-1</x:f>
        <x:v>-0.003669739613044287</x:v>
      </x:c>
      <x:c r="J396" s="12" t="n">
        <x:v>0</x:v>
      </x:c>
      <x:c r="K396" s="12" t="n">
        <x:v>0</x:v>
      </x:c>
      <x:c r="L396" s="12" t="n">
        <x:v>0</x:v>
      </x:c>
      <x:c r="M396" s="2" t="str">
        <x:v>持有</x:v>
      </x:c>
    </x:row>
    <x:row r="397" ht="23" customHeight="1">
      <x:c r="A397" s="11" t="d">
        <x:v>2016-07-22T00:00:00.000Z</x:v>
      </x:c>
      <x:c r="B397" s="12" t="n">
        <x:v>2555.836656</x:v>
      </x:c>
      <x:c r="C397" s="13" t="n">
        <x:v>484</x:v>
      </x:c>
      <x:c r="D397" s="12" t="n">
        <x:v>105144.16</x:v>
      </x:c>
      <x:c r="E397" s="12" t="n">
        <x:v>521.965928</x:v>
      </x:c>
      <x:c r="F397" s="12" t="n">
        <x:f>SUM(B397,D397:E397)</x:f>
        <x:v>108221.96258400001</x:v>
      </x:c>
      <x:c r="G397" s="12" t="n">
        <x:f>MAX(G396,F397)</x:f>
        <x:v>108221.96258400001</x:v>
      </x:c>
      <x:c r="H397" s="14" t="n">
        <x:f>F397/G397-1</x:f>
        <x:v>0</x:v>
      </x:c>
      <x:c r="I397" s="14" t="n">
        <x:f>F397/F396-1</x:f>
        <x:v>0.004357022583066694</x:v>
      </x:c>
      <x:c r="J397" s="12" t="n">
        <x:v>0</x:v>
      </x:c>
      <x:c r="K397" s="12" t="n">
        <x:v>0</x:v>
      </x:c>
      <x:c r="L397" s="12" t="n">
        <x:v>0</x:v>
      </x:c>
      <x:c r="M397" s="2" t="str">
        <x:v>持有</x:v>
      </x:c>
    </x:row>
    <x:row r="398" ht="23" customHeight="1">
      <x:c r="A398" s="11" t="d">
        <x:v>2016-07-25T00:00:00.000Z</x:v>
      </x:c>
      <x:c r="B398" s="12" t="n">
        <x:v>2555.836656</x:v>
      </x:c>
      <x:c r="C398" s="13" t="n">
        <x:v>484</x:v>
      </x:c>
      <x:c r="D398" s="12" t="n">
        <x:v>104858.6</x:v>
      </x:c>
      <x:c r="E398" s="12" t="n">
        <x:v>521.965928</x:v>
      </x:c>
      <x:c r="F398" s="12" t="n">
        <x:f>SUM(B398,D398:E398)</x:f>
        <x:v>107936.40258400001</x:v>
      </x:c>
      <x:c r="G398" s="12" t="n">
        <x:f>MAX(G397,F398)</x:f>
        <x:v>108221.96258400001</x:v>
      </x:c>
      <x:c r="H398" s="14" t="n">
        <x:f>F398/G398-1</x:f>
        <x:v>-0.0026386510943039454</x:v>
      </x:c>
      <x:c r="I398" s="14" t="n">
        <x:f>F398/F397-1</x:f>
        <x:v>-0.0026386510943039454</x:v>
      </x:c>
      <x:c r="J398" s="12" t="n">
        <x:v>0</x:v>
      </x:c>
      <x:c r="K398" s="12" t="n">
        <x:v>0</x:v>
      </x:c>
      <x:c r="L398" s="12" t="n">
        <x:v>0</x:v>
      </x:c>
      <x:c r="M398" s="2" t="str">
        <x:v>持有</x:v>
      </x:c>
    </x:row>
    <x:row r="399" ht="23" customHeight="1">
      <x:c r="A399" s="11" t="d">
        <x:v>2016-07-26T00:00:00.000Z</x:v>
      </x:c>
      <x:c r="B399" s="12" t="n">
        <x:v>2555.836656</x:v>
      </x:c>
      <x:c r="C399" s="13" t="n">
        <x:v>484</x:v>
      </x:c>
      <x:c r="D399" s="12" t="n">
        <x:v>104907</x:v>
      </x:c>
      <x:c r="E399" s="12" t="n">
        <x:v>521.965928</x:v>
      </x:c>
      <x:c r="F399" s="12" t="n">
        <x:f>SUM(B399,D399:E399)</x:f>
        <x:v>107984.802584</x:v>
      </x:c>
      <x:c r="G399" s="12" t="n">
        <x:f>MAX(G398,F399)</x:f>
        <x:v>108221.96258400001</x:v>
      </x:c>
      <x:c r="H399" s="14" t="n">
        <x:f>F399/G399-1</x:f>
        <x:v>-0.0021914220952694574</x:v>
      </x:c>
      <x:c r="I399" s="14" t="n">
        <x:f>F399/F398-1</x:f>
        <x:v>0.0004484122023831194</x:v>
      </x:c>
      <x:c r="J399" s="12" t="n">
        <x:v>0</x:v>
      </x:c>
      <x:c r="K399" s="12" t="n">
        <x:v>0</x:v>
      </x:c>
      <x:c r="L399" s="12" t="n">
        <x:v>0</x:v>
      </x:c>
      <x:c r="M399" s="2" t="str">
        <x:v>持有</x:v>
      </x:c>
    </x:row>
    <x:row r="400" ht="23" customHeight="1">
      <x:c r="A400" s="11" t="d">
        <x:v>2016-07-27T00:00:00.000Z</x:v>
      </x:c>
      <x:c r="B400" s="12" t="n">
        <x:v>2555.836656</x:v>
      </x:c>
      <x:c r="C400" s="13" t="n">
        <x:v>484</x:v>
      </x:c>
      <x:c r="D400" s="12" t="n">
        <x:v>104795.68000000001</x:v>
      </x:c>
      <x:c r="E400" s="12" t="n">
        <x:v>521.965928</x:v>
      </x:c>
      <x:c r="F400" s="12" t="n">
        <x:f>SUM(B400,D400:E400)</x:f>
        <x:v>107873.48258400001</x:v>
      </x:c>
      <x:c r="G400" s="12" t="n">
        <x:f>MAX(G399,F400)</x:f>
        <x:v>108221.96258400001</x:v>
      </x:c>
      <x:c r="H400" s="14" t="n">
        <x:f>F400/G400-1</x:f>
        <x:v>-0.003220048793048935</x:v>
      </x:c>
      <x:c r="I400" s="14" t="n">
        <x:f>F400/F399-1</x:f>
        <x:v>-0.0010308858037073598</x:v>
      </x:c>
      <x:c r="J400" s="12" t="n">
        <x:v>0</x:v>
      </x:c>
      <x:c r="K400" s="12" t="n">
        <x:v>0</x:v>
      </x:c>
      <x:c r="L400" s="12" t="n">
        <x:v>0</x:v>
      </x:c>
      <x:c r="M400" s="2" t="str">
        <x:v>持有</x:v>
      </x:c>
    </x:row>
    <x:row r="401" ht="23" customHeight="1">
      <x:c r="A401" s="11" t="d">
        <x:v>2016-07-28T00:00:00.000Z</x:v>
      </x:c>
      <x:c r="B401" s="12" t="n">
        <x:v>2555.836656</x:v>
      </x:c>
      <x:c r="C401" s="13" t="n">
        <x:v>484</x:v>
      </x:c>
      <x:c r="D401" s="12" t="n">
        <x:v>104916.68000000001</x:v>
      </x:c>
      <x:c r="E401" s="12" t="n">
        <x:v>521.965928</x:v>
      </x:c>
      <x:c r="F401" s="12" t="n">
        <x:f>SUM(B401,D401:E401)</x:f>
        <x:v>107994.48258400001</x:v>
      </x:c>
      <x:c r="G401" s="12" t="n">
        <x:f>MAX(G400,F401)</x:f>
        <x:v>108221.96258400001</x:v>
      </x:c>
      <x:c r="H401" s="14" t="n">
        <x:f>F401/G401-1</x:f>
        <x:v>-0.002101976295462493</x:v>
      </x:c>
      <x:c r="I401" s="14" t="n">
        <x:f>F401/F400-1</x:f>
        <x:v>0.00112168437600757</x:v>
      </x:c>
      <x:c r="J401" s="12" t="n">
        <x:v>0</x:v>
      </x:c>
      <x:c r="K401" s="12" t="n">
        <x:v>0</x:v>
      </x:c>
      <x:c r="L401" s="12" t="n">
        <x:v>0</x:v>
      </x:c>
      <x:c r="M401" s="2" t="str">
        <x:v>持有</x:v>
      </x:c>
    </x:row>
    <x:row r="402" ht="23" customHeight="1">
      <x:c r="A402" s="11" t="d">
        <x:v>2016-07-29T00:00:00.000Z</x:v>
      </x:c>
      <x:c r="B402" s="12" t="n">
        <x:v>3077.802584</x:v>
      </x:c>
      <x:c r="C402" s="13" t="n">
        <x:v>484</x:v>
      </x:c>
      <x:c r="D402" s="12" t="n">
        <x:v>105086.08</x:v>
      </x:c>
      <x:c r="E402" s="12" t="n">
        <x:v>0</x:v>
      </x:c>
      <x:c r="F402" s="12" t="n">
        <x:f>SUM(B402,D402:E402)</x:f>
        <x:v>108163.882584</x:v>
      </x:c>
      <x:c r="G402" s="12" t="n">
        <x:f>MAX(G401,F402)</x:f>
        <x:v>108221.96258400001</x:v>
      </x:c>
      <x:c r="H402" s="14" t="n">
        <x:f>F402/G402-1</x:f>
        <x:v>-0.0005366747988415632</x:v>
      </x:c>
      <x:c r="I402" s="14" t="n">
        <x:f>F402/F401-1</x:f>
        <x:v>0.0015685986538083174</x:v>
      </x:c>
      <x:c r="J402" s="12" t="n">
        <x:v>0</x:v>
      </x:c>
      <x:c r="K402" s="12" t="n">
        <x:v>521.965928</x:v>
      </x:c>
      <x:c r="L402" s="12" t="n">
        <x:v>0</x:v>
      </x:c>
      <x:c r="M402" s="2" t="str">
        <x:v>持有</x:v>
      </x:c>
    </x:row>
    <x:row r="403" ht="23" customHeight="1">
      <x:c r="A403" s="11" t="d">
        <x:v>2016-08-01T00:00:00.000Z</x:v>
      </x:c>
      <x:c r="B403" s="12" t="n">
        <x:v>3077.802584</x:v>
      </x:c>
      <x:c r="C403" s="13" t="n">
        <x:v>484</x:v>
      </x:c>
      <x:c r="D403" s="12" t="n">
        <x:v>104998.95999999999</x:v>
      </x:c>
      <x:c r="E403" s="12" t="n">
        <x:v>0</x:v>
      </x:c>
      <x:c r="F403" s="12" t="n">
        <x:f>SUM(B403,D403:E403)</x:f>
        <x:v>108076.762584</x:v>
      </x:c>
      <x:c r="G403" s="12" t="n">
        <x:f>MAX(G402,F403)</x:f>
        <x:v>108221.96258400001</x:v>
      </x:c>
      <x:c r="H403" s="14" t="n">
        <x:f>F403/G403-1</x:f>
        <x:v>-0.001341686997103797</x:v>
      </x:c>
      <x:c r="I403" s="14" t="n">
        <x:f>F403/F402-1</x:f>
        <x:v>-0.0008054444600058552</x:v>
      </x:c>
      <x:c r="J403" s="12" t="n">
        <x:v>0</x:v>
      </x:c>
      <x:c r="K403" s="12" t="n">
        <x:v>0</x:v>
      </x:c>
      <x:c r="L403" s="12" t="n">
        <x:v>0</x:v>
      </x:c>
      <x:c r="M403" s="2" t="str">
        <x:v>持有</x:v>
      </x:c>
    </x:row>
    <x:row r="404" ht="23" customHeight="1">
      <x:c r="A404" s="11" t="d">
        <x:v>2016-08-02T00:00:00.000Z</x:v>
      </x:c>
      <x:c r="B404" s="12" t="n">
        <x:v>3077.802584</x:v>
      </x:c>
      <x:c r="C404" s="13" t="n">
        <x:v>484</x:v>
      </x:c>
      <x:c r="D404" s="12" t="n">
        <x:v>104326.20000000001</x:v>
      </x:c>
      <x:c r="E404" s="12" t="n">
        <x:v>0</x:v>
      </x:c>
      <x:c r="F404" s="12" t="n">
        <x:f>SUM(B404,D404:E404)</x:f>
        <x:v>107404.00258400002</x:v>
      </x:c>
      <x:c r="G404" s="12" t="n">
        <x:f>MAX(G403,F404)</x:f>
        <x:v>108221.96258400001</x:v>
      </x:c>
      <x:c r="H404" s="14" t="n">
        <x:f>F404/G404-1</x:f>
        <x:v>-0.007558170083684312</x:v>
      </x:c>
      <x:c r="I404" s="14" t="n">
        <x:f>F404/F403-1</x:f>
        <x:v>-0.006224834866580098</x:v>
      </x:c>
      <x:c r="J404" s="12" t="n">
        <x:v>0</x:v>
      </x:c>
      <x:c r="K404" s="12" t="n">
        <x:v>0</x:v>
      </x:c>
      <x:c r="L404" s="12" t="n">
        <x:v>0</x:v>
      </x:c>
      <x:c r="M404" s="2" t="str">
        <x:v>持有</x:v>
      </x:c>
    </x:row>
    <x:row r="405" ht="23" customHeight="1">
      <x:c r="A405" s="11" t="d">
        <x:v>2016-08-03T00:00:00.000Z</x:v>
      </x:c>
      <x:c r="B405" s="12" t="n">
        <x:v>3077.802584</x:v>
      </x:c>
      <x:c r="C405" s="13" t="n">
        <x:v>484</x:v>
      </x:c>
      <x:c r="D405" s="12" t="n">
        <x:v>104631.12000000001</x:v>
      </x:c>
      <x:c r="E405" s="12" t="n">
        <x:v>0</x:v>
      </x:c>
      <x:c r="F405" s="12" t="n">
        <x:f>SUM(B405,D405:E405)</x:f>
        <x:v>107708.92258400001</x:v>
      </x:c>
      <x:c r="G405" s="12" t="n">
        <x:f>MAX(G404,F405)</x:f>
        <x:v>108221.96258400001</x:v>
      </x:c>
      <x:c r="H405" s="14" t="n">
        <x:f>F405/G405-1</x:f>
        <x:v>-0.004740627389766439</x:v>
      </x:c>
      <x:c r="I405" s="14" t="n">
        <x:f>F405/F404-1</x:f>
        <x:v>0.0028390003413654163</x:v>
      </x:c>
      <x:c r="J405" s="12" t="n">
        <x:v>0</x:v>
      </x:c>
      <x:c r="K405" s="12" t="n">
        <x:v>0</x:v>
      </x:c>
      <x:c r="L405" s="12" t="n">
        <x:v>0</x:v>
      </x:c>
      <x:c r="M405" s="2" t="str">
        <x:v>持有</x:v>
      </x:c>
    </x:row>
    <x:row r="406" ht="23" customHeight="1">
      <x:c r="A406" s="11" t="d">
        <x:v>2016-08-04T00:00:00.000Z</x:v>
      </x:c>
      <x:c r="B406" s="12" t="n">
        <x:v>3077.802584</x:v>
      </x:c>
      <x:c r="C406" s="13" t="n">
        <x:v>484</x:v>
      </x:c>
      <x:c r="D406" s="12" t="n">
        <x:v>104742.44</x:v>
      </x:c>
      <x:c r="E406" s="12" t="n">
        <x:v>0</x:v>
      </x:c>
      <x:c r="F406" s="12" t="n">
        <x:f>SUM(B406,D406:E406)</x:f>
        <x:v>107820.242584</x:v>
      </x:c>
      <x:c r="G406" s="12" t="n">
        <x:f>MAX(G405,F406)</x:f>
        <x:v>108221.96258400001</x:v>
      </x:c>
      <x:c r="H406" s="14" t="n">
        <x:f>F406/G406-1</x:f>
        <x:v>-0.003712000691987072</x:v>
      </x:c>
      <x:c r="I406" s="14" t="n">
        <x:f>F406/F405-1</x:f>
        <x:v>0.0010335262606788742</x:v>
      </x:c>
      <x:c r="J406" s="12" t="n">
        <x:v>0</x:v>
      </x:c>
      <x:c r="K406" s="12" t="n">
        <x:v>0</x:v>
      </x:c>
      <x:c r="L406" s="12" t="n">
        <x:v>0</x:v>
      </x:c>
      <x:c r="M406" s="2" t="str">
        <x:v>持有</x:v>
      </x:c>
    </x:row>
    <x:row r="407" ht="23" customHeight="1">
      <x:c r="A407" s="11" t="d">
        <x:v>2016-08-05T00:00:00.000Z</x:v>
      </x:c>
      <x:c r="B407" s="12" t="n">
        <x:v>3077.802584</x:v>
      </x:c>
      <x:c r="C407" s="13" t="n">
        <x:v>484</x:v>
      </x:c>
      <x:c r="D407" s="12" t="n">
        <x:v>105599.12000000001</x:v>
      </x:c>
      <x:c r="E407" s="12" t="n">
        <x:v>0</x:v>
      </x:c>
      <x:c r="F407" s="12" t="n">
        <x:f>SUM(B407,D407:E407)</x:f>
        <x:v>108676.92258400001</x:v>
      </x:c>
      <x:c r="G407" s="12" t="n">
        <x:f>MAX(G406,F407)</x:f>
        <x:v>108676.92258400001</x:v>
      </x:c>
      <x:c r="H407" s="14" t="n">
        <x:f>F407/G407-1</x:f>
        <x:v>0</x:v>
      </x:c>
      <x:c r="I407" s="14" t="n">
        <x:f>F407/F406-1</x:f>
        <x:v>0.007945446786883137</x:v>
      </x:c>
      <x:c r="J407" s="12" t="n">
        <x:v>0</x:v>
      </x:c>
      <x:c r="K407" s="12" t="n">
        <x:v>0</x:v>
      </x:c>
      <x:c r="L407" s="12" t="n">
        <x:v>0</x:v>
      </x:c>
      <x:c r="M407" s="2" t="str">
        <x:v>持有</x:v>
      </x:c>
    </x:row>
    <x:row r="408" ht="23" customHeight="1">
      <x:c r="A408" s="11" t="d">
        <x:v>2016-08-08T00:00:00.000Z</x:v>
      </x:c>
      <x:c r="B408" s="12" t="n">
        <x:v>3077.802584</x:v>
      </x:c>
      <x:c r="C408" s="13" t="n">
        <x:v>484</x:v>
      </x:c>
      <x:c r="D408" s="12" t="n">
        <x:v>105536.20000000001</x:v>
      </x:c>
      <x:c r="E408" s="12" t="n">
        <x:v>0</x:v>
      </x:c>
      <x:c r="F408" s="12" t="n">
        <x:f>SUM(B408,D408:E408)</x:f>
        <x:v>108614.00258400002</x:v>
      </x:c>
      <x:c r="G408" s="12" t="n">
        <x:f>MAX(G407,F408)</x:f>
        <x:v>108676.92258400001</x:v>
      </x:c>
      <x:c r="H408" s="14" t="n">
        <x:f>F408/G408-1</x:f>
        <x:v>-0.0005789637625354116</x:v>
      </x:c>
      <x:c r="I408" s="14" t="n">
        <x:f>F408/F407-1</x:f>
        <x:v>-0.0005789637625354116</x:v>
      </x:c>
      <x:c r="J408" s="12" t="n">
        <x:v>0</x:v>
      </x:c>
      <x:c r="K408" s="12" t="n">
        <x:v>0</x:v>
      </x:c>
      <x:c r="L408" s="12" t="n">
        <x:v>0</x:v>
      </x:c>
      <x:c r="M408" s="2" t="str">
        <x:v>持有</x:v>
      </x:c>
    </x:row>
    <x:row r="409" ht="23" customHeight="1">
      <x:c r="A409" s="11" t="d">
        <x:v>2016-08-09T00:00:00.000Z</x:v>
      </x:c>
      <x:c r="B409" s="12" t="n">
        <x:v>3077.802584</x:v>
      </x:c>
      <x:c r="C409" s="13" t="n">
        <x:v>484</x:v>
      </x:c>
      <x:c r="D409" s="12" t="n">
        <x:v>105599.12000000001</x:v>
      </x:c>
      <x:c r="E409" s="12" t="n">
        <x:v>0</x:v>
      </x:c>
      <x:c r="F409" s="12" t="n">
        <x:f>SUM(B409,D409:E409)</x:f>
        <x:v>108676.92258400001</x:v>
      </x:c>
      <x:c r="G409" s="12" t="n">
        <x:f>MAX(G408,F409)</x:f>
        <x:v>108676.92258400001</x:v>
      </x:c>
      <x:c r="H409" s="14" t="n">
        <x:f>F409/G409-1</x:f>
        <x:v>0</x:v>
      </x:c>
      <x:c r="I409" s="14" t="n">
        <x:f>F409/F408-1</x:f>
        <x:v>0.0005792991557542759</x:v>
      </x:c>
      <x:c r="J409" s="12" t="n">
        <x:v>0</x:v>
      </x:c>
      <x:c r="K409" s="12" t="n">
        <x:v>0</x:v>
      </x:c>
      <x:c r="L409" s="12" t="n">
        <x:v>0</x:v>
      </x:c>
      <x:c r="M409" s="2" t="str">
        <x:v>持有</x:v>
      </x:c>
    </x:row>
    <x:row r="410" ht="23" customHeight="1">
      <x:c r="A410" s="11" t="d">
        <x:v>2016-08-10T00:00:00.000Z</x:v>
      </x:c>
      <x:c r="B410" s="12" t="n">
        <x:v>3077.802584</x:v>
      </x:c>
      <x:c r="C410" s="13" t="n">
        <x:v>484</x:v>
      </x:c>
      <x:c r="D410" s="12" t="n">
        <x:v>105337.76</x:v>
      </x:c>
      <x:c r="E410" s="12" t="n">
        <x:v>0</x:v>
      </x:c>
      <x:c r="F410" s="12" t="n">
        <x:f>SUM(B410,D410:E410)</x:f>
        <x:v>108415.562584</x:v>
      </x:c>
      <x:c r="G410" s="12" t="n">
        <x:f>MAX(G409,F410)</x:f>
        <x:v>108676.92258400001</x:v>
      </x:c>
      <x:c r="H410" s="14" t="n">
        <x:f>F410/G410-1</x:f>
        <x:v>-0.0024049263982240943</x:v>
      </x:c>
      <x:c r="I410" s="14" t="n">
        <x:f>F410/F409-1</x:f>
        <x:v>-0.0024049263982240943</x:v>
      </x:c>
      <x:c r="J410" s="12" t="n">
        <x:v>0</x:v>
      </x:c>
      <x:c r="K410" s="12" t="n">
        <x:v>0</x:v>
      </x:c>
      <x:c r="L410" s="12" t="n">
        <x:v>0</x:v>
      </x:c>
      <x:c r="M410" s="2" t="str">
        <x:v>持有</x:v>
      </x:c>
    </x:row>
    <x:row r="411" ht="23" customHeight="1">
      <x:c r="A411" s="11" t="d">
        <x:v>2016-08-11T00:00:00.000Z</x:v>
      </x:c>
      <x:c r="B411" s="12" t="n">
        <x:v>3077.802584</x:v>
      </x:c>
      <x:c r="C411" s="13" t="n">
        <x:v>484</x:v>
      </x:c>
      <x:c r="D411" s="12" t="n">
        <x:v>105826.6</x:v>
      </x:c>
      <x:c r="E411" s="12" t="n">
        <x:v>0</x:v>
      </x:c>
      <x:c r="F411" s="12" t="n">
        <x:f>SUM(B411,D411:E411)</x:f>
        <x:v>108904.40258400001</x:v>
      </x:c>
      <x:c r="G411" s="12" t="n">
        <x:f>MAX(G410,F411)</x:f>
        <x:v>108904.40258400001</x:v>
      </x:c>
      <x:c r="H411" s="14" t="n">
        <x:f>F411/G411-1</x:f>
        <x:v>0</x:v>
      </x:c>
      <x:c r="I411" s="14" t="n">
        <x:f>F411/F410-1</x:f>
        <x:v>0.004508946763258859</x:v>
      </x:c>
      <x:c r="J411" s="12" t="n">
        <x:v>0</x:v>
      </x:c>
      <x:c r="K411" s="12" t="n">
        <x:v>0</x:v>
      </x:c>
      <x:c r="L411" s="12" t="n">
        <x:v>0</x:v>
      </x:c>
      <x:c r="M411" s="2" t="str">
        <x:v>持有</x:v>
      </x:c>
    </x:row>
    <x:row r="412" ht="23" customHeight="1">
      <x:c r="A412" s="11" t="d">
        <x:v>2016-08-12T00:00:00.000Z</x:v>
      </x:c>
      <x:c r="B412" s="12" t="n">
        <x:v>3077.802584</x:v>
      </x:c>
      <x:c r="C412" s="13" t="n">
        <x:v>484</x:v>
      </x:c>
      <x:c r="D412" s="12" t="n">
        <x:v>105734.64</x:v>
      </x:c>
      <x:c r="E412" s="12" t="n">
        <x:v>0</x:v>
      </x:c>
      <x:c r="F412" s="12" t="n">
        <x:f>SUM(B412,D412:E412)</x:f>
        <x:v>108812.442584</x:v>
      </x:c>
      <x:c r="G412" s="12" t="n">
        <x:f>MAX(G411,F412)</x:f>
        <x:v>108904.40258400001</x:v>
      </x:c>
      <x:c r="H412" s="14" t="n">
        <x:f>F412/G412-1</x:f>
        <x:v>-0.0008444103068200315</x:v>
      </x:c>
      <x:c r="I412" s="14" t="n">
        <x:f>F412/F411-1</x:f>
        <x:v>-0.0008444103068200315</x:v>
      </x:c>
      <x:c r="J412" s="12" t="n">
        <x:v>0</x:v>
      </x:c>
      <x:c r="K412" s="12" t="n">
        <x:v>0</x:v>
      </x:c>
      <x:c r="L412" s="12" t="n">
        <x:v>0</x:v>
      </x:c>
      <x:c r="M412" s="2" t="str">
        <x:v>持有</x:v>
      </x:c>
    </x:row>
    <x:row r="413" ht="23" customHeight="1">
      <x:c r="A413" s="11" t="d">
        <x:v>2016-08-15T00:00:00.000Z</x:v>
      </x:c>
      <x:c r="B413" s="12" t="n">
        <x:v>3077.802584</x:v>
      </x:c>
      <x:c r="C413" s="13" t="n">
        <x:v>484</x:v>
      </x:c>
      <x:c r="D413" s="12" t="n">
        <x:v>106039.56</x:v>
      </x:c>
      <x:c r="E413" s="12" t="n">
        <x:v>0</x:v>
      </x:c>
      <x:c r="F413" s="12" t="n">
        <x:f>SUM(B413,D413:E413)</x:f>
        <x:v>109117.362584</x:v>
      </x:c>
      <x:c r="G413" s="12" t="n">
        <x:f>MAX(G412,F413)</x:f>
        <x:v>109117.362584</x:v>
      </x:c>
      <x:c r="H413" s="14" t="n">
        <x:f>F413/G413-1</x:f>
        <x:v>0</x:v>
      </x:c>
      <x:c r="I413" s="14" t="n">
        <x:f>F413/F412-1</x:f>
        <x:v>0.0028022530581888194</x:v>
      </x:c>
      <x:c r="J413" s="12" t="n">
        <x:v>0</x:v>
      </x:c>
      <x:c r="K413" s="12" t="n">
        <x:v>0</x:v>
      </x:c>
      <x:c r="L413" s="12" t="n">
        <x:v>0</x:v>
      </x:c>
      <x:c r="M413" s="2" t="str">
        <x:v>持有</x:v>
      </x:c>
    </x:row>
    <x:row r="414" ht="23" customHeight="1">
      <x:c r="A414" s="11" t="d">
        <x:v>2016-08-16T00:00:00.000Z</x:v>
      </x:c>
      <x:c r="B414" s="12" t="n">
        <x:v>3077.802584</x:v>
      </x:c>
      <x:c r="C414" s="13" t="n">
        <x:v>484</x:v>
      </x:c>
      <x:c r="D414" s="12" t="n">
        <x:v>105492.64</x:v>
      </x:c>
      <x:c r="E414" s="12" t="n">
        <x:v>0</x:v>
      </x:c>
      <x:c r="F414" s="12" t="n">
        <x:f>SUM(B414,D414:E414)</x:f>
        <x:v>108570.442584</x:v>
      </x:c>
      <x:c r="G414" s="12" t="n">
        <x:f>MAX(G413,F414)</x:f>
        <x:v>109117.362584</x:v>
      </x:c>
      <x:c r="H414" s="14" t="n">
        <x:f>F414/G414-1</x:f>
        <x:v>-0.005012217918839212</x:v>
      </x:c>
      <x:c r="I414" s="14" t="n">
        <x:f>F414/F413-1</x:f>
        <x:v>-0.005012217918839212</x:v>
      </x:c>
      <x:c r="J414" s="12" t="n">
        <x:v>0</x:v>
      </x:c>
      <x:c r="K414" s="12" t="n">
        <x:v>0</x:v>
      </x:c>
      <x:c r="L414" s="12" t="n">
        <x:v>0</x:v>
      </x:c>
      <x:c r="M414" s="2" t="str">
        <x:v>持有</x:v>
      </x:c>
    </x:row>
    <x:row r="415" ht="23" customHeight="1">
      <x:c r="A415" s="11" t="d">
        <x:v>2016-08-17T00:00:00.000Z</x:v>
      </x:c>
      <x:c r="B415" s="12" t="n">
        <x:v>3077.802584</x:v>
      </x:c>
      <x:c r="C415" s="13" t="n">
        <x:v>484</x:v>
      </x:c>
      <x:c r="D415" s="12" t="n">
        <x:v>105691.08</x:v>
      </x:c>
      <x:c r="E415" s="12" t="n">
        <x:v>0</x:v>
      </x:c>
      <x:c r="F415" s="12" t="n">
        <x:f>SUM(B415,D415:E415)</x:f>
        <x:v>108768.882584</x:v>
      </x:c>
      <x:c r="G415" s="12" t="n">
        <x:f>MAX(G414,F415)</x:f>
        <x:v>109117.362584</x:v>
      </x:c>
      <x:c r="H415" s="14" t="n">
        <x:f>F415/G415-1</x:f>
        <x:v>-0.003193625576605519</x:v>
      </x:c>
      <x:c r="I415" s="14" t="n">
        <x:f>F415/F414-1</x:f>
        <x:v>0.0018277534407808993</x:v>
      </x:c>
      <x:c r="J415" s="12" t="n">
        <x:v>0</x:v>
      </x:c>
      <x:c r="K415" s="12" t="n">
        <x:v>0</x:v>
      </x:c>
      <x:c r="L415" s="12" t="n">
        <x:v>0</x:v>
      </x:c>
      <x:c r="M415" s="2" t="str">
        <x:v>持有</x:v>
      </x:c>
    </x:row>
    <x:row r="416" ht="23" customHeight="1">
      <x:c r="A416" s="11" t="d">
        <x:v>2016-08-18T00:00:00.000Z</x:v>
      </x:c>
      <x:c r="B416" s="12" t="n">
        <x:v>3077.802584</x:v>
      </x:c>
      <x:c r="C416" s="13" t="n">
        <x:v>484</x:v>
      </x:c>
      <x:c r="D416" s="12" t="n">
        <x:v>105928.24</x:v>
      </x:c>
      <x:c r="E416" s="12" t="n">
        <x:v>0</x:v>
      </x:c>
      <x:c r="F416" s="12" t="n">
        <x:f>SUM(B416,D416:E416)</x:f>
        <x:v>109006.04258400001</x:v>
      </x:c>
      <x:c r="G416" s="12" t="n">
        <x:f>MAX(G415,F416)</x:f>
        <x:v>109117.362584</x:v>
      </x:c>
      <x:c r="H416" s="14" t="n">
        <x:f>F416/G416-1</x:f>
        <x:v>-0.0010201859480822861</x:v>
      </x:c>
      <x:c r="I416" s="14" t="n">
        <x:f>F416/F415-1</x:f>
        <x:v>0.002180403019373278</x:v>
      </x:c>
      <x:c r="J416" s="12" t="n">
        <x:v>0</x:v>
      </x:c>
      <x:c r="K416" s="12" t="n">
        <x:v>0</x:v>
      </x:c>
      <x:c r="L416" s="12" t="n">
        <x:v>0</x:v>
      </x:c>
      <x:c r="M416" s="2" t="str">
        <x:v>持有</x:v>
      </x:c>
    </x:row>
    <x:row r="417" ht="23" customHeight="1">
      <x:c r="A417" s="11" t="d">
        <x:v>2016-08-19T00:00:00.000Z</x:v>
      </x:c>
      <x:c r="B417" s="12" t="n">
        <x:v>3077.802584</x:v>
      </x:c>
      <x:c r="C417" s="13" t="n">
        <x:v>484</x:v>
      </x:c>
      <x:c r="D417" s="12" t="n">
        <x:v>105773.36</x:v>
      </x:c>
      <x:c r="E417" s="12" t="n">
        <x:v>0</x:v>
      </x:c>
      <x:c r="F417" s="12" t="n">
        <x:f>SUM(B417,D417:E417)</x:f>
        <x:v>108851.162584</x:v>
      </x:c>
      <x:c r="G417" s="12" t="n">
        <x:f>MAX(G416,F417)</x:f>
        <x:v>109117.362584</x:v>
      </x:c>
      <x:c r="H417" s="14" t="n">
        <x:f>F417/G417-1</x:f>
        <x:v>-0.0024395750932403315</x:v>
      </x:c>
      <x:c r="I417" s="14" t="n">
        <x:f>F417/F416-1</x:f>
        <x:v>-0.0014208386647983628</x:v>
      </x:c>
      <x:c r="J417" s="12" t="n">
        <x:v>0</x:v>
      </x:c>
      <x:c r="K417" s="12" t="n">
        <x:v>0</x:v>
      </x:c>
      <x:c r="L417" s="12" t="n">
        <x:v>0</x:v>
      </x:c>
      <x:c r="M417" s="2" t="str">
        <x:v>持有</x:v>
      </x:c>
    </x:row>
    <x:row r="418" ht="23" customHeight="1">
      <x:c r="A418" s="11" t="d">
        <x:v>2016-08-22T00:00:00.000Z</x:v>
      </x:c>
      <x:c r="B418" s="12" t="n">
        <x:v>3077.802584</x:v>
      </x:c>
      <x:c r="C418" s="13" t="n">
        <x:v>484</x:v>
      </x:c>
      <x:c r="D418" s="12" t="n">
        <x:v>105768.52</x:v>
      </x:c>
      <x:c r="E418" s="12" t="n">
        <x:v>0</x:v>
      </x:c>
      <x:c r="F418" s="12" t="n">
        <x:f>SUM(B418,D418:E418)</x:f>
        <x:v>108846.32258400001</x:v>
      </x:c>
      <x:c r="G418" s="12" t="n">
        <x:f>MAX(G417,F418)</x:f>
        <x:v>109117.362584</x:v>
      </x:c>
      <x:c r="H418" s="14" t="n">
        <x:f>F418/G418-1</x:f>
        <x:v>-0.0024839310040264406</x:v>
      </x:c>
      <x:c r="I418" s="14" t="n">
        <x:f>F418/F417-1</x:f>
        <x:v>-0.00004446438499228211</x:v>
      </x:c>
      <x:c r="J418" s="12" t="n">
        <x:v>0</x:v>
      </x:c>
      <x:c r="K418" s="12" t="n">
        <x:v>0</x:v>
      </x:c>
      <x:c r="L418" s="12" t="n">
        <x:v>0</x:v>
      </x:c>
      <x:c r="M418" s="2" t="str">
        <x:v>持有</x:v>
      </x:c>
    </x:row>
    <x:row r="419" ht="23" customHeight="1">
      <x:c r="A419" s="11" t="d">
        <x:v>2016-08-23T00:00:00.000Z</x:v>
      </x:c>
      <x:c r="B419" s="12" t="n">
        <x:v>3077.802584</x:v>
      </x:c>
      <x:c r="C419" s="13" t="n">
        <x:v>484</x:v>
      </x:c>
      <x:c r="D419" s="12" t="n">
        <x:v>105981.48</x:v>
      </x:c>
      <x:c r="E419" s="12" t="n">
        <x:v>0</x:v>
      </x:c>
      <x:c r="F419" s="12" t="n">
        <x:f>SUM(B419,D419:E419)</x:f>
        <x:v>109059.282584</x:v>
      </x:c>
      <x:c r="G419" s="12" t="n">
        <x:f>MAX(G418,F419)</x:f>
        <x:v>109117.362584</x:v>
      </x:c>
      <x:c r="H419" s="14" t="n">
        <x:f>F419/G419-1</x:f>
        <x:v>-0.0005322709294343086</x:v>
      </x:c>
      <x:c r="I419" s="14" t="n">
        <x:f>F419/F418-1</x:f>
        <x:v>0.0019565199351190277</x:v>
      </x:c>
      <x:c r="J419" s="12" t="n">
        <x:v>0</x:v>
      </x:c>
      <x:c r="K419" s="12" t="n">
        <x:v>0</x:v>
      </x:c>
      <x:c r="L419" s="12" t="n">
        <x:v>0</x:v>
      </x:c>
      <x:c r="M419" s="2" t="str">
        <x:v>持有</x:v>
      </x:c>
    </x:row>
    <x:row r="420" ht="23" customHeight="1">
      <x:c r="A420" s="11" t="d">
        <x:v>2016-08-24T00:00:00.000Z</x:v>
      </x:c>
      <x:c r="B420" s="12" t="n">
        <x:v>3077.802584</x:v>
      </x:c>
      <x:c r="C420" s="13" t="n">
        <x:v>484</x:v>
      </x:c>
      <x:c r="D420" s="12" t="n">
        <x:v>105439.4</x:v>
      </x:c>
      <x:c r="E420" s="12" t="n">
        <x:v>0</x:v>
      </x:c>
      <x:c r="F420" s="12" t="n">
        <x:f>SUM(B420,D420:E420)</x:f>
        <x:v>108517.202584</x:v>
      </x:c>
      <x:c r="G420" s="12" t="n">
        <x:f>MAX(G419,F420)</x:f>
        <x:v>109117.362584</x:v>
      </x:c>
      <x:c r="H420" s="14" t="n">
        <x:f>F420/G420-1</x:f>
        <x:v>-0.005500132937487301</x:v>
      </x:c>
      <x:c r="I420" s="14" t="n">
        <x:f>F420/F419-1</x:f>
        <x:v>-0.004970507664787571</x:v>
      </x:c>
      <x:c r="J420" s="12" t="n">
        <x:v>0</x:v>
      </x:c>
      <x:c r="K420" s="12" t="n">
        <x:v>0</x:v>
      </x:c>
      <x:c r="L420" s="12" t="n">
        <x:v>0</x:v>
      </x:c>
      <x:c r="M420" s="2" t="str">
        <x:v>持有</x:v>
      </x:c>
    </x:row>
    <x:row r="421" ht="23" customHeight="1">
      <x:c r="A421" s="11" t="d">
        <x:v>2016-08-25T00:00:00.000Z</x:v>
      </x:c>
      <x:c r="B421" s="12" t="n">
        <x:v>3077.802584</x:v>
      </x:c>
      <x:c r="C421" s="13" t="n">
        <x:v>484</x:v>
      </x:c>
      <x:c r="D421" s="12" t="n">
        <x:v>105366.79999999999</x:v>
      </x:c>
      <x:c r="E421" s="12" t="n">
        <x:v>0</x:v>
      </x:c>
      <x:c r="F421" s="12" t="n">
        <x:f>SUM(B421,D421:E421)</x:f>
        <x:v>108444.602584</x:v>
      </x:c>
      <x:c r="G421" s="12" t="n">
        <x:f>MAX(G420,F421)</x:f>
        <x:v>109117.362584</x:v>
      </x:c>
      <x:c r="H421" s="14" t="n">
        <x:f>F421/G421-1</x:f>
        <x:v>-0.006165471599280159</x:v>
      </x:c>
      <x:c r="I421" s="14" t="n">
        <x:f>F421/F420-1</x:f>
        <x:v>-0.0006690183516646631</x:v>
      </x:c>
      <x:c r="J421" s="12" t="n">
        <x:v>0</x:v>
      </x:c>
      <x:c r="K421" s="12" t="n">
        <x:v>0</x:v>
      </x:c>
      <x:c r="L421" s="12" t="n">
        <x:v>0</x:v>
      </x:c>
      <x:c r="M421" s="2" t="str">
        <x:v>持有</x:v>
      </x:c>
    </x:row>
    <x:row r="422" ht="23" customHeight="1">
      <x:c r="A422" s="11" t="d">
        <x:v>2016-08-26T00:00:00.000Z</x:v>
      </x:c>
      <x:c r="B422" s="12" t="n">
        <x:v>3077.802584</x:v>
      </x:c>
      <x:c r="C422" s="13" t="n">
        <x:v>484</x:v>
      </x:c>
      <x:c r="D422" s="12" t="n">
        <x:v>105168.36</x:v>
      </x:c>
      <x:c r="E422" s="12" t="n">
        <x:v>0</x:v>
      </x:c>
      <x:c r="F422" s="12" t="n">
        <x:f>SUM(B422,D422:E422)</x:f>
        <x:v>108246.162584</x:v>
      </x:c>
      <x:c r="G422" s="12" t="n">
        <x:f>MAX(G421,F422)</x:f>
        <x:v>109117.362584</x:v>
      </x:c>
      <x:c r="H422" s="14" t="n">
        <x:f>F422/G422-1</x:f>
        <x:v>-0.007984063941513742</x:v>
      </x:c>
      <x:c r="I422" s="14" t="n">
        <x:f>F422/F421-1</x:f>
        <x:v>-0.001829874380758434</x:v>
      </x:c>
      <x:c r="J422" s="12" t="n">
        <x:v>0</x:v>
      </x:c>
      <x:c r="K422" s="12" t="n">
        <x:v>0</x:v>
      </x:c>
      <x:c r="L422" s="12" t="n">
        <x:v>0</x:v>
      </x:c>
      <x:c r="M422" s="2" t="str">
        <x:v>持有</x:v>
      </x:c>
    </x:row>
    <x:row r="423" ht="23" customHeight="1">
      <x:c r="A423" s="11" t="d">
        <x:v>2016-08-29T00:00:00.000Z</x:v>
      </x:c>
      <x:c r="B423" s="12" t="n">
        <x:v>3077.802584</x:v>
      </x:c>
      <x:c r="C423" s="13" t="n">
        <x:v>484</x:v>
      </x:c>
      <x:c r="D423" s="12" t="n">
        <x:v>105686.24</x:v>
      </x:c>
      <x:c r="E423" s="12" t="n">
        <x:v>0</x:v>
      </x:c>
      <x:c r="F423" s="12" t="n">
        <x:f>SUM(B423,D423:E423)</x:f>
        <x:v>108764.04258400001</x:v>
      </x:c>
      <x:c r="G423" s="12" t="n">
        <x:f>MAX(G422,F423)</x:f>
        <x:v>109117.362584</x:v>
      </x:c>
      <x:c r="H423" s="14" t="n">
        <x:f>F423/G423-1</x:f>
        <x:v>-0.003237981487391628</x:v>
      </x:c>
      <x:c r="I423" s="14" t="n">
        <x:f>F423/F422-1</x:f>
        <x:v>0.004784280455190526</x:v>
      </x:c>
      <x:c r="J423" s="12" t="n">
        <x:v>0</x:v>
      </x:c>
      <x:c r="K423" s="12" t="n">
        <x:v>0</x:v>
      </x:c>
      <x:c r="L423" s="12" t="n">
        <x:v>0</x:v>
      </x:c>
      <x:c r="M423" s="2" t="str">
        <x:v>持有</x:v>
      </x:c>
    </x:row>
    <x:row r="424" ht="23" customHeight="1">
      <x:c r="A424" s="11" t="d">
        <x:v>2016-08-30T00:00:00.000Z</x:v>
      </x:c>
      <x:c r="B424" s="12" t="n">
        <x:v>3077.802584</x:v>
      </x:c>
      <x:c r="C424" s="13" t="n">
        <x:v>484</x:v>
      </x:c>
      <x:c r="D424" s="12" t="n">
        <x:v>105512</x:v>
      </x:c>
      <x:c r="E424" s="12" t="n">
        <x:v>0</x:v>
      </x:c>
      <x:c r="F424" s="12" t="n">
        <x:f>SUM(B424,D424:E424)</x:f>
        <x:v>108589.802584</x:v>
      </x:c>
      <x:c r="G424" s="12" t="n">
        <x:f>MAX(G423,F424)</x:f>
        <x:v>109117.362584</x:v>
      </x:c>
      <x:c r="H424" s="14" t="n">
        <x:f>F424/G424-1</x:f>
        <x:v>-0.004834794275694443</x:v>
      </x:c>
      <x:c r="I424" s="14" t="n">
        <x:f>F424/F423-1</x:f>
        <x:v>-0.0016020000347581886</x:v>
      </x:c>
      <x:c r="J424" s="12" t="n">
        <x:v>0</x:v>
      </x:c>
      <x:c r="K424" s="12" t="n">
        <x:v>0</x:v>
      </x:c>
      <x:c r="L424" s="12" t="n">
        <x:v>0</x:v>
      </x:c>
      <x:c r="M424" s="2" t="str">
        <x:v>持有</x:v>
      </x:c>
    </x:row>
    <x:row r="425" ht="23" customHeight="1">
      <x:c r="A425" s="11" t="d">
        <x:v>2016-08-31T00:00:00.000Z</x:v>
      </x:c>
      <x:c r="B425" s="12" t="n">
        <x:v>3077.802584</x:v>
      </x:c>
      <x:c r="C425" s="13" t="n">
        <x:v>484</x:v>
      </x:c>
      <x:c r="D425" s="12" t="n">
        <x:v>105211.92</x:v>
      </x:c>
      <x:c r="E425" s="12" t="n">
        <x:v>0</x:v>
      </x:c>
      <x:c r="F425" s="12" t="n">
        <x:f>SUM(B425,D425:E425)</x:f>
        <x:v>108289.722584</x:v>
      </x:c>
      <x:c r="G425" s="12" t="n">
        <x:f>MAX(G424,F425)</x:f>
        <x:v>109117.362584</x:v>
      </x:c>
      <x:c r="H425" s="14" t="n">
        <x:f>F425/G425-1</x:f>
        <x:v>-0.007584860744438093</x:v>
      </x:c>
      <x:c r="I425" s="14" t="n">
        <x:f>F425/F424-1</x:f>
        <x:v>-0.0027634270701235586</x:v>
      </x:c>
      <x:c r="J425" s="12" t="n">
        <x:v>0</x:v>
      </x:c>
      <x:c r="K425" s="12" t="n">
        <x:v>0</x:v>
      </x:c>
      <x:c r="L425" s="12" t="n">
        <x:v>0</x:v>
      </x:c>
      <x:c r="M425" s="2" t="str">
        <x:v>持有</x:v>
      </x:c>
    </x:row>
    <x:row r="426" ht="23" customHeight="1">
      <x:c r="A426" s="11" t="d">
        <x:v>2016-09-01T00:00:00.000Z</x:v>
      </x:c>
      <x:c r="B426" s="12" t="n">
        <x:v>3077.802584</x:v>
      </x:c>
      <x:c r="C426" s="13" t="n">
        <x:v>484</x:v>
      </x:c>
      <x:c r="D426" s="12" t="n">
        <x:v>105216.76</x:v>
      </x:c>
      <x:c r="E426" s="12" t="n">
        <x:v>0</x:v>
      </x:c>
      <x:c r="F426" s="12" t="n">
        <x:f>SUM(B426,D426:E426)</x:f>
        <x:v>108294.562584</x:v>
      </x:c>
      <x:c r="G426" s="12" t="n">
        <x:f>MAX(G425,F426)</x:f>
        <x:v>109117.362584</x:v>
      </x:c>
      <x:c r="H426" s="14" t="n">
        <x:f>F426/G426-1</x:f>
        <x:v>-0.007540504833651984</x:v>
      </x:c>
      <x:c r="I426" s="14" t="n">
        <x:f>F426/F425-1</x:f>
        <x:v>0.000044694915496190646</x:v>
      </x:c>
      <x:c r="J426" s="12" t="n">
        <x:v>0</x:v>
      </x:c>
      <x:c r="K426" s="12" t="n">
        <x:v>0</x:v>
      </x:c>
      <x:c r="L426" s="12" t="n">
        <x:v>0</x:v>
      </x:c>
      <x:c r="M426" s="2" t="str">
        <x:v>持有</x:v>
      </x:c>
    </x:row>
    <x:row r="427" ht="23" customHeight="1">
      <x:c r="A427" s="11" t="d">
        <x:v>2016-09-02T00:00:00.000Z</x:v>
      </x:c>
      <x:c r="B427" s="12" t="n">
        <x:v>3077.802584</x:v>
      </x:c>
      <x:c r="C427" s="13" t="n">
        <x:v>484</x:v>
      </x:c>
      <x:c r="D427" s="12" t="n">
        <x:v>105691.08</x:v>
      </x:c>
      <x:c r="E427" s="12" t="n">
        <x:v>0</x:v>
      </x:c>
      <x:c r="F427" s="12" t="n">
        <x:f>SUM(B427,D427:E427)</x:f>
        <x:v>108768.882584</x:v>
      </x:c>
      <x:c r="G427" s="12" t="n">
        <x:f>MAX(G426,F427)</x:f>
        <x:v>109117.362584</x:v>
      </x:c>
      <x:c r="H427" s="14" t="n">
        <x:f>F427/G427-1</x:f>
        <x:v>-0.003193625576605519</x:v>
      </x:c>
      <x:c r="I427" s="14" t="n">
        <x:f>F427/F426-1</x:f>
        <x:v>0.004379905959102093</x:v>
      </x:c>
      <x:c r="J427" s="12" t="n">
        <x:v>0</x:v>
      </x:c>
      <x:c r="K427" s="12" t="n">
        <x:v>0</x:v>
      </x:c>
      <x:c r="L427" s="12" t="n">
        <x:v>0</x:v>
      </x:c>
      <x:c r="M427" s="2" t="str">
        <x:v>持有</x:v>
      </x:c>
    </x:row>
    <x:row r="428" ht="23" customHeight="1">
      <x:c r="A428" s="11" t="d">
        <x:v>2016-09-06T00:00:00.000Z</x:v>
      </x:c>
      <x:c r="B428" s="12" t="n">
        <x:v>3077.802584</x:v>
      </x:c>
      <x:c r="C428" s="13" t="n">
        <x:v>484</x:v>
      </x:c>
      <x:c r="D428" s="12" t="n">
        <x:v>106010.52</x:v>
      </x:c>
      <x:c r="E428" s="12" t="n">
        <x:v>0</x:v>
      </x:c>
      <x:c r="F428" s="12" t="n">
        <x:f>SUM(B428,D428:E428)</x:f>
        <x:v>109088.32258400001</x:v>
      </x:c>
      <x:c r="G428" s="12" t="n">
        <x:f>MAX(G427,F428)</x:f>
        <x:v>109117.362584</x:v>
      </x:c>
      <x:c r="H428" s="14" t="n">
        <x:f>F428/G428-1</x:f>
        <x:v>-0.0002661354647170988</x:v>
      </x:c>
      <x:c r="I428" s="14" t="n">
        <x:f>F428/F427-1</x:f>
        <x:v>0.0029368693730331685</x:v>
      </x:c>
      <x:c r="J428" s="12" t="n">
        <x:v>0</x:v>
      </x:c>
      <x:c r="K428" s="12" t="n">
        <x:v>0</x:v>
      </x:c>
      <x:c r="L428" s="12" t="n">
        <x:v>0</x:v>
      </x:c>
      <x:c r="M428" s="2" t="str">
        <x:v>持有</x:v>
      </x:c>
    </x:row>
    <x:row r="429" ht="23" customHeight="1">
      <x:c r="A429" s="11" t="d">
        <x:v>2016-09-07T00:00:00.000Z</x:v>
      </x:c>
      <x:c r="B429" s="12" t="n">
        <x:v>3077.802584</x:v>
      </x:c>
      <x:c r="C429" s="13" t="n">
        <x:v>484</x:v>
      </x:c>
      <x:c r="D429" s="12" t="n">
        <x:v>106000.84</x:v>
      </x:c>
      <x:c r="E429" s="12" t="n">
        <x:v>0</x:v>
      </x:c>
      <x:c r="F429" s="12" t="n">
        <x:f>SUM(B429,D429:E429)</x:f>
        <x:v>109078.642584</x:v>
      </x:c>
      <x:c r="G429" s="12" t="n">
        <x:f>MAX(G428,F429)</x:f>
        <x:v>109117.362584</x:v>
      </x:c>
      <x:c r="H429" s="14" t="n">
        <x:f>F429/G429-1</x:f>
        <x:v>-0.0003548472862895391</x:v>
      </x:c>
      <x:c r="I429" s="14" t="n">
        <x:f>F429/F428-1</x:f>
        <x:v>-0.00008873543721921173</x:v>
      </x:c>
      <x:c r="J429" s="12" t="n">
        <x:v>0</x:v>
      </x:c>
      <x:c r="K429" s="12" t="n">
        <x:v>0</x:v>
      </x:c>
      <x:c r="L429" s="12" t="n">
        <x:v>0</x:v>
      </x:c>
      <x:c r="M429" s="2" t="str">
        <x:v>持有</x:v>
      </x:c>
    </x:row>
    <x:row r="430" ht="23" customHeight="1">
      <x:c r="A430" s="11" t="d">
        <x:v>2016-09-08T00:00:00.000Z</x:v>
      </x:c>
      <x:c r="B430" s="12" t="n">
        <x:v>3077.802584</x:v>
      </x:c>
      <x:c r="C430" s="13" t="n">
        <x:v>484</x:v>
      </x:c>
      <x:c r="D430" s="12" t="n">
        <x:v>105758.84</x:v>
      </x:c>
      <x:c r="E430" s="12" t="n">
        <x:v>0</x:v>
      </x:c>
      <x:c r="F430" s="12" t="n">
        <x:f>SUM(B430,D430:E430)</x:f>
        <x:v>108836.642584</x:v>
      </x:c>
      <x:c r="G430" s="12" t="n">
        <x:f>MAX(G429,F430)</x:f>
        <x:v>109117.362584</x:v>
      </x:c>
      <x:c r="H430" s="14" t="n">
        <x:f>F430/G430-1</x:f>
        <x:v>-0.002572642825598881</x:v>
      </x:c>
      <x:c r="I430" s="14" t="n">
        <x:f>F430/F429-1</x:f>
        <x:v>-0.0022185827973943972</x:v>
      </x:c>
      <x:c r="J430" s="12" t="n">
        <x:v>0</x:v>
      </x:c>
      <x:c r="K430" s="12" t="n">
        <x:v>0</x:v>
      </x:c>
      <x:c r="L430" s="12" t="n">
        <x:v>0</x:v>
      </x:c>
      <x:c r="M430" s="2" t="str">
        <x:v>持有</x:v>
      </x:c>
    </x:row>
    <x:row r="431" ht="23" customHeight="1">
      <x:c r="A431" s="11" t="d">
        <x:v>2016-09-09T00:00:00.000Z</x:v>
      </x:c>
      <x:c r="B431" s="12" t="n">
        <x:v>3077.802584</x:v>
      </x:c>
      <x:c r="C431" s="13" t="n">
        <x:v>484</x:v>
      </x:c>
      <x:c r="D431" s="12" t="n">
        <x:v>103227.52</x:v>
      </x:c>
      <x:c r="E431" s="12" t="n">
        <x:v>0</x:v>
      </x:c>
      <x:c r="F431" s="12" t="n">
        <x:f>SUM(B431,D431:E431)</x:f>
        <x:v>106305.32258400001</x:v>
      </x:c>
      <x:c r="G431" s="12" t="n">
        <x:f>MAX(G430,F431)</x:f>
        <x:v>109117.362584</x:v>
      </x:c>
      <x:c r="H431" s="14" t="n">
        <x:f>F431/G431-1</x:f>
        <x:v>-0.02577078416677503</x:v>
      </x:c>
      <x:c r="I431" s="14" t="n">
        <x:f>F431/F430-1</x:f>
        <x:v>-0.023257975805770714</x:v>
      </x:c>
      <x:c r="J431" s="12" t="n">
        <x:v>0</x:v>
      </x:c>
      <x:c r="K431" s="12" t="n">
        <x:v>0</x:v>
      </x:c>
      <x:c r="L431" s="12" t="n">
        <x:v>0</x:v>
      </x:c>
      <x:c r="M431" s="2" t="str">
        <x:v>持有</x:v>
      </x:c>
    </x:row>
    <x:row r="432" ht="23" customHeight="1">
      <x:c r="A432" s="11" t="d">
        <x:v>2016-09-12T00:00:00.000Z</x:v>
      </x:c>
      <x:c r="B432" s="12" t="n">
        <x:v>3077.802584</x:v>
      </x:c>
      <x:c r="C432" s="13" t="n">
        <x:v>484</x:v>
      </x:c>
      <x:c r="D432" s="12" t="n">
        <x:v>104708.56</x:v>
      </x:c>
      <x:c r="E432" s="12" t="n">
        <x:v>0</x:v>
      </x:c>
      <x:c r="F432" s="12" t="n">
        <x:f>SUM(B432,D432:E432)</x:f>
        <x:v>107786.362584</x:v>
      </x:c>
      <x:c r="G432" s="12" t="n">
        <x:f>MAX(G431,F432)</x:f>
        <x:v>109117.362584</x:v>
      </x:c>
      <x:c r="H432" s="14" t="n">
        <x:f>F432/G432-1</x:f>
        <x:v>-0.012197875466201658</x:v>
      </x:c>
      <x:c r="I432" s="14" t="n">
        <x:f>F432/F431-1</x:f>
        <x:v>0.013931945870628626</x:v>
      </x:c>
      <x:c r="J432" s="12" t="n">
        <x:v>0</x:v>
      </x:c>
      <x:c r="K432" s="12" t="n">
        <x:v>0</x:v>
      </x:c>
      <x:c r="L432" s="12" t="n">
        <x:v>0</x:v>
      </x:c>
      <x:c r="M432" s="2" t="str">
        <x:v>持有</x:v>
      </x:c>
    </x:row>
    <x:row r="433" ht="23" customHeight="1">
      <x:c r="A433" s="11" t="d">
        <x:v>2016-09-13T00:00:00.000Z</x:v>
      </x:c>
      <x:c r="B433" s="12" t="n">
        <x:v>3077.802584</x:v>
      </x:c>
      <x:c r="C433" s="13" t="n">
        <x:v>484</x:v>
      </x:c>
      <x:c r="D433" s="12" t="n">
        <x:v>103203.31999999999</x:v>
      </x:c>
      <x:c r="E433" s="12" t="n">
        <x:v>0</x:v>
      </x:c>
      <x:c r="F433" s="12" t="n">
        <x:f>SUM(B433,D433:E433)</x:f>
        <x:v>106281.122584</x:v>
      </x:c>
      <x:c r="G433" s="12" t="n">
        <x:f>MAX(G432,F433)</x:f>
        <x:v>109117.362584</x:v>
      </x:c>
      <x:c r="H433" s="14" t="n">
        <x:f>F433/G433-1</x:f>
        <x:v>-0.02599256372070602</x:v>
      </x:c>
      <x:c r="I433" s="14" t="n">
        <x:f>F433/F432-1</x:f>
        <x:v>-0.013965031975422093</x:v>
      </x:c>
      <x:c r="J433" s="12" t="n">
        <x:v>0</x:v>
      </x:c>
      <x:c r="K433" s="12" t="n">
        <x:v>0</x:v>
      </x:c>
      <x:c r="L433" s="12" t="n">
        <x:v>0</x:v>
      </x:c>
      <x:c r="M433" s="2" t="str">
        <x:v>持有</x:v>
      </x:c>
    </x:row>
    <x:row r="434" ht="23" customHeight="1">
      <x:c r="A434" s="11" t="d">
        <x:v>2016-09-14T00:00:00.000Z</x:v>
      </x:c>
      <x:c r="B434" s="12" t="n">
        <x:v>3077.802584</x:v>
      </x:c>
      <x:c r="C434" s="13" t="n">
        <x:v>484</x:v>
      </x:c>
      <x:c r="D434" s="12" t="n">
        <x:v>103164.6</x:v>
      </x:c>
      <x:c r="E434" s="12" t="n">
        <x:v>0</x:v>
      </x:c>
      <x:c r="F434" s="12" t="n">
        <x:f>SUM(B434,D434:E434)</x:f>
        <x:v>106242.40258400001</x:v>
      </x:c>
      <x:c r="G434" s="12" t="n">
        <x:f>MAX(G433,F434)</x:f>
        <x:v>109117.362584</x:v>
      </x:c>
      <x:c r="H434" s="14" t="n">
        <x:f>F434/G434-1</x:f>
        <x:v>-0.026347411006995447</x:v>
      </x:c>
      <x:c r="I434" s="14" t="n">
        <x:f>F434/F433-1</x:f>
        <x:v>-0.0003643168142996034</x:v>
      </x:c>
      <x:c r="J434" s="12" t="n">
        <x:v>0</x:v>
      </x:c>
      <x:c r="K434" s="12" t="n">
        <x:v>0</x:v>
      </x:c>
      <x:c r="L434" s="12" t="n">
        <x:v>0</x:v>
      </x:c>
      <x:c r="M434" s="2" t="str">
        <x:v>持有</x:v>
      </x:c>
    </x:row>
    <x:row r="435" ht="23" customHeight="1">
      <x:c r="A435" s="11" t="d">
        <x:v>2016-09-15T00:00:00.000Z</x:v>
      </x:c>
      <x:c r="B435" s="12" t="n">
        <x:v>3077.802584</x:v>
      </x:c>
      <x:c r="C435" s="13" t="n">
        <x:v>484</x:v>
      </x:c>
      <x:c r="D435" s="12" t="n">
        <x:v>104195.52</x:v>
      </x:c>
      <x:c r="E435" s="12" t="n">
        <x:v>0</x:v>
      </x:c>
      <x:c r="F435" s="12" t="n">
        <x:f>SUM(B435,D435:E435)</x:f>
        <x:v>107273.32258400001</x:v>
      </x:c>
      <x:c r="G435" s="12" t="n">
        <x:f>MAX(G434,F435)</x:f>
        <x:v>109117.362584</x:v>
      </x:c>
      <x:c r="H435" s="14" t="n">
        <x:f>F435/G435-1</x:f>
        <x:v>-0.01689960200953744</x:v>
      </x:c>
      <x:c r="I435" s="14" t="n">
        <x:f>F435/F434-1</x:f>
        <x:v>0.009703470318123797</x:v>
      </x:c>
      <x:c r="J435" s="12" t="n">
        <x:v>0</x:v>
      </x:c>
      <x:c r="K435" s="12" t="n">
        <x:v>0</x:v>
      </x:c>
      <x:c r="L435" s="12" t="n">
        <x:v>0</x:v>
      </x:c>
      <x:c r="M435" s="2" t="str">
        <x:v>持有</x:v>
      </x:c>
    </x:row>
    <x:row r="436" ht="23" customHeight="1">
      <x:c r="A436" s="11" t="d">
        <x:v>2016-09-16T00:00:00.000Z</x:v>
      </x:c>
      <x:c r="B436" s="12" t="n">
        <x:v>3077.802584</x:v>
      </x:c>
      <x:c r="C436" s="13" t="n">
        <x:v>484</x:v>
      </x:c>
      <x:c r="D436" s="12" t="n">
        <x:v>103271.08</x:v>
      </x:c>
      <x:c r="E436" s="12" t="n">
        <x:v>523.720912</x:v>
      </x:c>
      <x:c r="F436" s="12" t="n">
        <x:f>SUM(B436,D436:E436)</x:f>
        <x:v>106872.60349600001</x:v>
      </x:c>
      <x:c r="G436" s="12" t="n">
        <x:f>MAX(G435,F436)</x:f>
        <x:v>109117.362584</x:v>
      </x:c>
      <x:c r="H436" s="14" t="n">
        <x:f>F436/G436-1</x:f>
        <x:v>-0.02057196980244047</x:v>
      </x:c>
      <x:c r="I436" s="14" t="n">
        <x:f>F436/F435-1</x:f>
        <x:v>-0.003735496191853427</x:v>
      </x:c>
      <x:c r="J436" s="12" t="n">
        <x:v>523.720912</x:v>
      </x:c>
      <x:c r="K436" s="12" t="n">
        <x:v>0</x:v>
      </x:c>
      <x:c r="L436" s="12" t="n">
        <x:v>0</x:v>
      </x:c>
      <x:c r="M436" s="2" t="str">
        <x:v>持有</x:v>
      </x:c>
    </x:row>
    <x:row r="437" ht="23" customHeight="1">
      <x:c r="A437" s="11" t="d">
        <x:v>2016-09-19T00:00:00.000Z</x:v>
      </x:c>
      <x:c r="B437" s="12" t="n">
        <x:v>3077.802584</x:v>
      </x:c>
      <x:c r="C437" s="13" t="n">
        <x:v>484</x:v>
      </x:c>
      <x:c r="D437" s="12" t="n">
        <x:v>103290.44</x:v>
      </x:c>
      <x:c r="E437" s="12" t="n">
        <x:v>523.720912</x:v>
      </x:c>
      <x:c r="F437" s="12" t="n">
        <x:f>SUM(B437,D437:E437)</x:f>
        <x:v>106891.96349600001</x:v>
      </x:c>
      <x:c r="G437" s="12" t="n">
        <x:f>MAX(G436,F437)</x:f>
        <x:v>109117.362584</x:v>
      </x:c>
      <x:c r="H437" s="14" t="n">
        <x:f>F437/G437-1</x:f>
        <x:v>-0.0203945461592957</x:v>
      </x:c>
      <x:c r="I437" s="14" t="n">
        <x:f>F437/F436-1</x:f>
        <x:v>0.00018115026084042363</x:v>
      </x:c>
      <x:c r="J437" s="12" t="n">
        <x:v>0</x:v>
      </x:c>
      <x:c r="K437" s="12" t="n">
        <x:v>0</x:v>
      </x:c>
      <x:c r="L437" s="12" t="n">
        <x:v>0</x:v>
      </x:c>
      <x:c r="M437" s="2" t="str">
        <x:v>持有</x:v>
      </x:c>
    </x:row>
    <x:row r="438" ht="23" customHeight="1">
      <x:c r="A438" s="11" t="d">
        <x:v>2016-09-20T00:00:00.000Z</x:v>
      </x:c>
      <x:c r="B438" s="12" t="n">
        <x:v>3077.802584</x:v>
      </x:c>
      <x:c r="C438" s="13" t="n">
        <x:v>484</x:v>
      </x:c>
      <x:c r="D438" s="12" t="n">
        <x:v>103295.28</x:v>
      </x:c>
      <x:c r="E438" s="12" t="n">
        <x:v>523.720912</x:v>
      </x:c>
      <x:c r="F438" s="12" t="n">
        <x:f>SUM(B438,D438:E438)</x:f>
        <x:v>106896.80349600001</x:v>
      </x:c>
      <x:c r="G438" s="12" t="n">
        <x:f>MAX(G437,F438)</x:f>
        <x:v>109117.362584</x:v>
      </x:c>
      <x:c r="H438" s="14" t="n">
        <x:f>F438/G438-1</x:f>
        <x:v>-0.02035019024850948</x:v>
      </x:c>
      <x:c r="I438" s="14" t="n">
        <x:f>F438/F437-1</x:f>
        <x:v>0.00004527936284159928</x:v>
      </x:c>
      <x:c r="J438" s="12" t="n">
        <x:v>0</x:v>
      </x:c>
      <x:c r="K438" s="12" t="n">
        <x:v>0</x:v>
      </x:c>
      <x:c r="L438" s="12" t="n">
        <x:v>0</x:v>
      </x:c>
      <x:c r="M438" s="2" t="str">
        <x:v>持有</x:v>
      </x:c>
    </x:row>
    <x:row r="439" ht="23" customHeight="1">
      <x:c r="A439" s="11" t="d">
        <x:v>2016-09-21T00:00:00.000Z</x:v>
      </x:c>
      <x:c r="B439" s="12" t="n">
        <x:v>3077.802584</x:v>
      </x:c>
      <x:c r="C439" s="13" t="n">
        <x:v>484</x:v>
      </x:c>
      <x:c r="D439" s="12" t="n">
        <x:v>104456.87999999999</x:v>
      </x:c>
      <x:c r="E439" s="12" t="n">
        <x:v>523.720912</x:v>
      </x:c>
      <x:c r="F439" s="12" t="n">
        <x:f>SUM(B439,D439:E439)</x:f>
        <x:v>108058.403496</x:v>
      </x:c>
      <x:c r="G439" s="12" t="n">
        <x:f>MAX(G438,F439)</x:f>
        <x:v>109117.362584</x:v>
      </x:c>
      <x:c r="H439" s="14" t="n">
        <x:f>F439/G439-1</x:f>
        <x:v>-0.00970477165982453</x:v>
      </x:c>
      <x:c r="I439" s="14" t="n">
        <x:f>F439/F438-1</x:f>
        <x:v>0.010866555051325388</x:v>
      </x:c>
      <x:c r="J439" s="12" t="n">
        <x:v>0</x:v>
      </x:c>
      <x:c r="K439" s="12" t="n">
        <x:v>0</x:v>
      </x:c>
      <x:c r="L439" s="12" t="n">
        <x:v>0</x:v>
      </x:c>
      <x:c r="M439" s="2" t="str">
        <x:v>持有</x:v>
      </x:c>
    </x:row>
    <x:row r="440" ht="23" customHeight="1">
      <x:c r="A440" s="11" t="d">
        <x:v>2016-09-22T00:00:00.000Z</x:v>
      </x:c>
      <x:c r="B440" s="12" t="n">
        <x:v>3077.802584</x:v>
      </x:c>
      <x:c r="C440" s="13" t="n">
        <x:v>484</x:v>
      </x:c>
      <x:c r="D440" s="12" t="n">
        <x:v>105115.12000000001</x:v>
      </x:c>
      <x:c r="E440" s="12" t="n">
        <x:v>523.720912</x:v>
      </x:c>
      <x:c r="F440" s="12" t="n">
        <x:f>SUM(B440,D440:E440)</x:f>
        <x:v>108716.64349600002</x:v>
      </x:c>
      <x:c r="G440" s="12" t="n">
        <x:f>MAX(G439,F440)</x:f>
        <x:v>109117.362584</x:v>
      </x:c>
      <x:c r="H440" s="14" t="n">
        <x:f>F440/G440-1</x:f>
        <x:v>-0.0036723677929028087</x:v>
      </x:c>
      <x:c r="I440" s="14" t="n">
        <x:f>F440/F439-1</x:f>
        <x:v>0.0060915206842231395</x:v>
      </x:c>
      <x:c r="J440" s="12" t="n">
        <x:v>0</x:v>
      </x:c>
      <x:c r="K440" s="12" t="n">
        <x:v>0</x:v>
      </x:c>
      <x:c r="L440" s="12" t="n">
        <x:v>0</x:v>
      </x:c>
      <x:c r="M440" s="2" t="str">
        <x:v>持有</x:v>
      </x:c>
    </x:row>
    <x:row r="441" ht="23" customHeight="1">
      <x:c r="A441" s="11" t="d">
        <x:v>2016-09-23T00:00:00.000Z</x:v>
      </x:c>
      <x:c r="B441" s="12" t="n">
        <x:v>3077.802584</x:v>
      </x:c>
      <x:c r="C441" s="13" t="n">
        <x:v>484</x:v>
      </x:c>
      <x:c r="D441" s="12" t="n">
        <x:v>104539.16</x:v>
      </x:c>
      <x:c r="E441" s="12" t="n">
        <x:v>523.720912</x:v>
      </x:c>
      <x:c r="F441" s="12" t="n">
        <x:f>SUM(B441,D441:E441)</x:f>
        <x:v>108140.68349600001</x:v>
      </x:c>
      <x:c r="G441" s="12" t="n">
        <x:f>MAX(G440,F441)</x:f>
        <x:v>109117.362584</x:v>
      </x:c>
      <x:c r="H441" s="14" t="n">
        <x:f>F441/G441-1</x:f>
        <x:v>-0.008950721176459231</x:v>
      </x:c>
      <x:c r="I441" s="14" t="n">
        <x:f>F441/F440-1</x:f>
        <x:v>-0.005297808886283284</x:v>
      </x:c>
      <x:c r="J441" s="12" t="n">
        <x:v>0</x:v>
      </x:c>
      <x:c r="K441" s="12" t="n">
        <x:v>0</x:v>
      </x:c>
      <x:c r="L441" s="12" t="n">
        <x:v>0</x:v>
      </x:c>
      <x:c r="M441" s="2" t="str">
        <x:v>持有</x:v>
      </x:c>
    </x:row>
    <x:row r="442" ht="23" customHeight="1">
      <x:c r="A442" s="11" t="d">
        <x:v>2016-09-26T00:00:00.000Z</x:v>
      </x:c>
      <x:c r="B442" s="12" t="n">
        <x:v>3077.802584</x:v>
      </x:c>
      <x:c r="C442" s="13" t="n">
        <x:v>484</x:v>
      </x:c>
      <x:c r="D442" s="12" t="n">
        <x:v>103692.16</x:v>
      </x:c>
      <x:c r="E442" s="12" t="n">
        <x:v>523.720912</x:v>
      </x:c>
      <x:c r="F442" s="12" t="n">
        <x:f>SUM(B442,D442:E442)</x:f>
        <x:v>107293.68349600001</x:v>
      </x:c>
      <x:c r="G442" s="12" t="n">
        <x:f>MAX(G441,F442)</x:f>
        <x:v>109117.362584</x:v>
      </x:c>
      <x:c r="H442" s="14" t="n">
        <x:f>F442/G442-1</x:f>
        <x:v>-0.016713005564042094</x:v>
      </x:c>
      <x:c r="I442" s="14" t="n">
        <x:f>F442/F441-1</x:f>
        <x:v>-0.007832389925955363</x:v>
      </x:c>
      <x:c r="J442" s="12" t="n">
        <x:v>0</x:v>
      </x:c>
      <x:c r="K442" s="12" t="n">
        <x:v>0</x:v>
      </x:c>
      <x:c r="L442" s="12" t="n">
        <x:v>0</x:v>
      </x:c>
      <x:c r="M442" s="2" t="str">
        <x:v>持有</x:v>
      </x:c>
    </x:row>
    <x:row r="443" ht="23" customHeight="1">
      <x:c r="A443" s="11" t="d">
        <x:v>2016-09-27T00:00:00.000Z</x:v>
      </x:c>
      <x:c r="B443" s="12" t="n">
        <x:v>3077.802584</x:v>
      </x:c>
      <x:c r="C443" s="13" t="n">
        <x:v>484</x:v>
      </x:c>
      <x:c r="D443" s="12" t="n">
        <x:v>104335.87999999999</x:v>
      </x:c>
      <x:c r="E443" s="12" t="n">
        <x:v>523.720912</x:v>
      </x:c>
      <x:c r="F443" s="12" t="n">
        <x:f>SUM(B443,D443:E443)</x:f>
        <x:v>107937.403496</x:v>
      </x:c>
      <x:c r="G443" s="12" t="n">
        <x:f>MAX(G442,F443)</x:f>
        <x:v>109117.362584</x:v>
      </x:c>
      <x:c r="H443" s="14" t="n">
        <x:f>F443/G443-1</x:f>
        <x:v>-0.010813669429479256</x:v>
      </x:c>
      <x:c r="I443" s="14" t="n">
        <x:f>F443/F442-1</x:f>
        <x:v>0.005999607609929569</x:v>
      </x:c>
      <x:c r="J443" s="12" t="n">
        <x:v>0</x:v>
      </x:c>
      <x:c r="K443" s="12" t="n">
        <x:v>0</x:v>
      </x:c>
      <x:c r="L443" s="12" t="n">
        <x:v>0</x:v>
      </x:c>
      <x:c r="M443" s="2" t="str">
        <x:v>持有</x:v>
      </x:c>
    </x:row>
    <x:row r="444" ht="23" customHeight="1">
      <x:c r="A444" s="11" t="d">
        <x:v>2016-09-28T00:00:00.000Z</x:v>
      </x:c>
      <x:c r="B444" s="12" t="n">
        <x:v>3077.802584</x:v>
      </x:c>
      <x:c r="C444" s="13" t="n">
        <x:v>484</x:v>
      </x:c>
      <x:c r="D444" s="12" t="n">
        <x:v>104853.76</x:v>
      </x:c>
      <x:c r="E444" s="12" t="n">
        <x:v>523.720912</x:v>
      </x:c>
      <x:c r="F444" s="12" t="n">
        <x:f>SUM(B444,D444:E444)</x:f>
        <x:v>108455.283496</x:v>
      </x:c>
      <x:c r="G444" s="12" t="n">
        <x:f>MAX(G443,F444)</x:f>
        <x:v>109117.362584</x:v>
      </x:c>
      <x:c r="H444" s="14" t="n">
        <x:f>F444/G444-1</x:f>
        <x:v>-0.006067586975357142</x:v>
      </x:c>
      <x:c r="I444" s="14" t="n">
        <x:f>F444/F443-1</x:f>
        <x:v>0.004797966073171178</x:v>
      </x:c>
      <x:c r="J444" s="12" t="n">
        <x:v>0</x:v>
      </x:c>
      <x:c r="K444" s="12" t="n">
        <x:v>0</x:v>
      </x:c>
      <x:c r="L444" s="12" t="n">
        <x:v>0</x:v>
      </x:c>
      <x:c r="M444" s="2" t="str">
        <x:v>持有</x:v>
      </x:c>
    </x:row>
    <x:row r="445" ht="23" customHeight="1">
      <x:c r="A445" s="11" t="d">
        <x:v>2016-09-29T00:00:00.000Z</x:v>
      </x:c>
      <x:c r="B445" s="12" t="n">
        <x:v>3077.802584</x:v>
      </x:c>
      <x:c r="C445" s="13" t="n">
        <x:v>484</x:v>
      </x:c>
      <x:c r="D445" s="12" t="n">
        <x:v>103905.12000000001</x:v>
      </x:c>
      <x:c r="E445" s="12" t="n">
        <x:v>523.720912</x:v>
      </x:c>
      <x:c r="F445" s="12" t="n">
        <x:f>SUM(B445,D445:E445)</x:f>
        <x:v>107506.64349600002</x:v>
      </x:c>
      <x:c r="G445" s="12" t="n">
        <x:f>MAX(G444,F445)</x:f>
        <x:v>109117.362584</x:v>
      </x:c>
      <x:c r="H445" s="14" t="n">
        <x:f>F445/G445-1</x:f>
        <x:v>-0.01476134548944974</x:v>
      </x:c>
      <x:c r="I445" s="14" t="n">
        <x:f>F445/F444-1</x:f>
        <x:v>-0.008746830669941197</x:v>
      </x:c>
      <x:c r="J445" s="12" t="n">
        <x:v>0</x:v>
      </x:c>
      <x:c r="K445" s="12" t="n">
        <x:v>0</x:v>
      </x:c>
      <x:c r="L445" s="12" t="n">
        <x:v>0</x:v>
      </x:c>
      <x:c r="M445" s="2" t="str">
        <x:v>持有</x:v>
      </x:c>
    </x:row>
    <x:row r="446" ht="23" customHeight="1">
      <x:c r="A446" s="11" t="d">
        <x:v>2016-09-30T00:00:00.000Z</x:v>
      </x:c>
      <x:c r="B446" s="12" t="n">
        <x:v>3077.802584</x:v>
      </x:c>
      <x:c r="C446" s="13" t="n">
        <x:v>484</x:v>
      </x:c>
      <x:c r="D446" s="12" t="n">
        <x:v>104689.20000000001</x:v>
      </x:c>
      <x:c r="E446" s="12" t="n">
        <x:v>523.720912</x:v>
      </x:c>
      <x:c r="F446" s="12" t="n">
        <x:f>SUM(B446,D446:E446)</x:f>
        <x:v>108290.72349600002</x:v>
      </x:c>
      <x:c r="G446" s="12" t="n">
        <x:f>MAX(G445,F446)</x:f>
        <x:v>109117.362584</x:v>
      </x:c>
      <x:c r="H446" s="14" t="n">
        <x:f>F446/G446-1</x:f>
        <x:v>-0.007575687942087295</x:v>
      </x:c>
      <x:c r="I446" s="14" t="n">
        <x:f>F446/F445-1</x:f>
        <x:v>0.00729331671515876</x:v>
      </x:c>
      <x:c r="J446" s="12" t="n">
        <x:v>0</x:v>
      </x:c>
      <x:c r="K446" s="12" t="n">
        <x:v>0</x:v>
      </x:c>
      <x:c r="L446" s="12" t="n">
        <x:v>0</x:v>
      </x:c>
      <x:c r="M446" s="2" t="str">
        <x:v>持有</x:v>
      </x:c>
    </x:row>
    <x:row r="447" ht="23" customHeight="1">
      <x:c r="A447" s="11" t="d">
        <x:v>2016-10-03T00:00:00.000Z</x:v>
      </x:c>
      <x:c r="B447" s="12" t="n">
        <x:v>3077.802584</x:v>
      </x:c>
      <x:c r="C447" s="13" t="n">
        <x:v>484</x:v>
      </x:c>
      <x:c r="D447" s="12" t="n">
        <x:v>104437.52</x:v>
      </x:c>
      <x:c r="E447" s="12" t="n">
        <x:v>523.720912</x:v>
      </x:c>
      <x:c r="F447" s="12" t="n">
        <x:f>SUM(B447,D447:E447)</x:f>
        <x:v>108039.04349600001</x:v>
      </x:c>
      <x:c r="G447" s="12" t="n">
        <x:f>MAX(G446,F447)</x:f>
        <x:v>109117.362584</x:v>
      </x:c>
      <x:c r="H447" s="14" t="n">
        <x:f>F447/G447-1</x:f>
        <x:v>-0.009882195302969188</x:v>
      </x:c>
      <x:c r="I447" s="14" t="n">
        <x:f>F447/F446-1</x:f>
        <x:v>-0.0023241141242288377</x:v>
      </x:c>
      <x:c r="J447" s="12" t="n">
        <x:v>0</x:v>
      </x:c>
      <x:c r="K447" s="12" t="n">
        <x:v>0</x:v>
      </x:c>
      <x:c r="L447" s="12" t="n">
        <x:v>0</x:v>
      </x:c>
      <x:c r="M447" s="2" t="str">
        <x:v>持有</x:v>
      </x:c>
    </x:row>
    <x:row r="448" ht="23" customHeight="1">
      <x:c r="A448" s="11" t="d">
        <x:v>2016-10-04T00:00:00.000Z</x:v>
      </x:c>
      <x:c r="B448" s="12" t="n">
        <x:v>3077.802584</x:v>
      </x:c>
      <x:c r="C448" s="13" t="n">
        <x:v>484</x:v>
      </x:c>
      <x:c r="D448" s="12" t="n">
        <x:v>103905.12000000001</x:v>
      </x:c>
      <x:c r="E448" s="12" t="n">
        <x:v>523.720912</x:v>
      </x:c>
      <x:c r="F448" s="12" t="n">
        <x:f>SUM(B448,D448:E448)</x:f>
        <x:v>107506.64349600002</x:v>
      </x:c>
      <x:c r="G448" s="12" t="n">
        <x:f>MAX(G447,F448)</x:f>
        <x:v>109117.362584</x:v>
      </x:c>
      <x:c r="H448" s="14" t="n">
        <x:f>F448/G448-1</x:f>
        <x:v>-0.01476134548944974</x:v>
      </x:c>
      <x:c r="I448" s="14" t="n">
        <x:f>F448/F447-1</x:f>
        <x:v>-0.004927848144265612</x:v>
      </x:c>
      <x:c r="J448" s="12" t="n">
        <x:v>0</x:v>
      </x:c>
      <x:c r="K448" s="12" t="n">
        <x:v>0</x:v>
      </x:c>
      <x:c r="L448" s="12" t="n">
        <x:v>0</x:v>
      </x:c>
      <x:c r="M448" s="2" t="str">
        <x:v>持有</x:v>
      </x:c>
    </x:row>
    <x:row r="449" ht="23" customHeight="1">
      <x:c r="A449" s="11" t="d">
        <x:v>2016-10-05T00:00:00.000Z</x:v>
      </x:c>
      <x:c r="B449" s="12" t="n">
        <x:v>3077.802584</x:v>
      </x:c>
      <x:c r="C449" s="13" t="n">
        <x:v>484</x:v>
      </x:c>
      <x:c r="D449" s="12" t="n">
        <x:v>104364.92</x:v>
      </x:c>
      <x:c r="E449" s="12" t="n">
        <x:v>523.720912</x:v>
      </x:c>
      <x:c r="F449" s="12" t="n">
        <x:f>SUM(B449,D449:E449)</x:f>
        <x:v>107966.443496</x:v>
      </x:c>
      <x:c r="G449" s="12" t="n">
        <x:f>MAX(G448,F449)</x:f>
        <x:v>109117.362584</x:v>
      </x:c>
      <x:c r="H449" s="14" t="n">
        <x:f>F449/G449-1</x:f>
        <x:v>-0.010547533964762046</x:v>
      </x:c>
      <x:c r="I449" s="14" t="n">
        <x:f>F449/F448-1</x:f>
        <x:v>0.00427694498728437</x:v>
      </x:c>
      <x:c r="J449" s="12" t="n">
        <x:v>0</x:v>
      </x:c>
      <x:c r="K449" s="12" t="n">
        <x:v>0</x:v>
      </x:c>
      <x:c r="L449" s="12" t="n">
        <x:v>0</x:v>
      </x:c>
      <x:c r="M449" s="2" t="str">
        <x:v>持有</x:v>
      </x:c>
    </x:row>
    <x:row r="450" ht="23" customHeight="1">
      <x:c r="A450" s="11" t="d">
        <x:v>2016-10-06T00:00:00.000Z</x:v>
      </x:c>
      <x:c r="B450" s="12" t="n">
        <x:v>3077.802584</x:v>
      </x:c>
      <x:c r="C450" s="13" t="n">
        <x:v>484</x:v>
      </x:c>
      <x:c r="D450" s="12" t="n">
        <x:v>104437.52</x:v>
      </x:c>
      <x:c r="E450" s="12" t="n">
        <x:v>523.720912</x:v>
      </x:c>
      <x:c r="F450" s="12" t="n">
        <x:f>SUM(B450,D450:E450)</x:f>
        <x:v>108039.04349600001</x:v>
      </x:c>
      <x:c r="G450" s="12" t="n">
        <x:f>MAX(G449,F450)</x:f>
        <x:v>109117.362584</x:v>
      </x:c>
      <x:c r="H450" s="14" t="n">
        <x:f>F450/G450-1</x:f>
        <x:v>-0.009882195302969188</x:v>
      </x:c>
      <x:c r="I450" s="14" t="n">
        <x:f>F450/F449-1</x:f>
        <x:v>0.0006724311522097182</x:v>
      </x:c>
      <x:c r="J450" s="12" t="n">
        <x:v>0</x:v>
      </x:c>
      <x:c r="K450" s="12" t="n">
        <x:v>0</x:v>
      </x:c>
      <x:c r="L450" s="12" t="n">
        <x:v>0</x:v>
      </x:c>
      <x:c r="M450" s="2" t="str">
        <x:v>持有</x:v>
      </x:c>
    </x:row>
    <x:row r="451" ht="23" customHeight="1">
      <x:c r="A451" s="11" t="d">
        <x:v>2016-10-07T00:00:00.000Z</x:v>
      </x:c>
      <x:c r="B451" s="12" t="n">
        <x:v>3077.802584</x:v>
      </x:c>
      <x:c r="C451" s="13" t="n">
        <x:v>484</x:v>
      </x:c>
      <x:c r="D451" s="12" t="n">
        <x:v>104079.36</x:v>
      </x:c>
      <x:c r="E451" s="12" t="n">
        <x:v>523.720912</x:v>
      </x:c>
      <x:c r="F451" s="12" t="n">
        <x:f>SUM(B451,D451:E451)</x:f>
        <x:v>107680.88349600001</x:v>
      </x:c>
      <x:c r="G451" s="12" t="n">
        <x:f>MAX(G450,F451)</x:f>
        <x:v>109117.362584</x:v>
      </x:c>
      <x:c r="H451" s="14" t="n">
        <x:f>F451/G451-1</x:f>
        <x:v>-0.013164532701147147</x:v>
      </x:c>
      <x:c r="I451" s="14" t="n">
        <x:f>F451/F450-1</x:f>
        <x:v>-0.003315097842506054</x:v>
      </x:c>
      <x:c r="J451" s="12" t="n">
        <x:v>0</x:v>
      </x:c>
      <x:c r="K451" s="12" t="n">
        <x:v>0</x:v>
      </x:c>
      <x:c r="L451" s="12" t="n">
        <x:v>0</x:v>
      </x:c>
      <x:c r="M451" s="2" t="str">
        <x:v>持有</x:v>
      </x:c>
    </x:row>
    <x:row r="452" ht="23" customHeight="1">
      <x:c r="A452" s="11" t="d">
        <x:v>2016-10-10T00:00:00.000Z</x:v>
      </x:c>
      <x:c r="B452" s="12" t="n">
        <x:v>3077.802584</x:v>
      </x:c>
      <x:c r="C452" s="13" t="n">
        <x:v>484</x:v>
      </x:c>
      <x:c r="D452" s="12" t="n">
        <x:v>104621.44</x:v>
      </x:c>
      <x:c r="E452" s="12" t="n">
        <x:v>523.720912</x:v>
      </x:c>
      <x:c r="F452" s="12" t="n">
        <x:f>SUM(B452,D452:E452)</x:f>
        <x:v>108222.96349600001</x:v>
      </x:c>
      <x:c r="G452" s="12" t="n">
        <x:f>MAX(G451,F452)</x:f>
        <x:v>109117.362584</x:v>
      </x:c>
      <x:c r="H452" s="14" t="n">
        <x:f>F452/G452-1</x:f>
        <x:v>-0.008196670693094044</x:v>
      </x:c>
      <x:c r="I452" s="14" t="n">
        <x:f>F452/F451-1</x:f>
        <x:v>0.005034134030114545</x:v>
      </x:c>
      <x:c r="J452" s="12" t="n">
        <x:v>0</x:v>
      </x:c>
      <x:c r="K452" s="12" t="n">
        <x:v>0</x:v>
      </x:c>
      <x:c r="L452" s="12" t="n">
        <x:v>0</x:v>
      </x:c>
      <x:c r="M452" s="2" t="str">
        <x:v>持有</x:v>
      </x:c>
    </x:row>
    <x:row r="453" ht="23" customHeight="1">
      <x:c r="A453" s="11" t="d">
        <x:v>2016-10-11T00:00:00.000Z</x:v>
      </x:c>
      <x:c r="B453" s="12" t="n">
        <x:v>3077.802584</x:v>
      </x:c>
      <x:c r="C453" s="13" t="n">
        <x:v>484</x:v>
      </x:c>
      <x:c r="D453" s="12" t="n">
        <x:v>103300.12000000001</x:v>
      </x:c>
      <x:c r="E453" s="12" t="n">
        <x:v>523.720912</x:v>
      </x:c>
      <x:c r="F453" s="12" t="n">
        <x:f>SUM(B453,D453:E453)</x:f>
        <x:v>106901.64349600002</x:v>
      </x:c>
      <x:c r="G453" s="12" t="n">
        <x:f>MAX(G452,F453)</x:f>
        <x:v>109117.362584</x:v>
      </x:c>
      <x:c r="H453" s="14" t="n">
        <x:f>F453/G453-1</x:f>
        <x:v>-0.02030583433772326</x:v>
      </x:c>
      <x:c r="I453" s="14" t="n">
        <x:f>F453/F452-1</x:f>
        <x:v>-0.012209238754109952</x:v>
      </x:c>
      <x:c r="J453" s="12" t="n">
        <x:v>0</x:v>
      </x:c>
      <x:c r="K453" s="12" t="n">
        <x:v>0</x:v>
      </x:c>
      <x:c r="L453" s="12" t="n">
        <x:v>0</x:v>
      </x:c>
      <x:c r="M453" s="2" t="str">
        <x:v>持有</x:v>
      </x:c>
    </x:row>
    <x:row r="454" ht="23" customHeight="1">
      <x:c r="A454" s="11" t="d">
        <x:v>2016-10-12T00:00:00.000Z</x:v>
      </x:c>
      <x:c r="B454" s="12" t="n">
        <x:v>3077.802584</x:v>
      </x:c>
      <x:c r="C454" s="13" t="n">
        <x:v>484</x:v>
      </x:c>
      <x:c r="D454" s="12" t="n">
        <x:v>103435.64</x:v>
      </x:c>
      <x:c r="E454" s="12" t="n">
        <x:v>523.720912</x:v>
      </x:c>
      <x:c r="F454" s="12" t="n">
        <x:f>SUM(B454,D454:E454)</x:f>
        <x:v>107037.16349600001</x:v>
      </x:c>
      <x:c r="G454" s="12" t="n">
        <x:f>MAX(G453,F454)</x:f>
        <x:v>109117.362584</x:v>
      </x:c>
      <x:c r="H454" s="14" t="n">
        <x:f>F454/G454-1</x:f>
        <x:v>-0.019063868835710096</x:v>
      </x:c>
      <x:c r="I454" s="14" t="n">
        <x:f>F454/F453-1</x:f>
        <x:v>0.0012677073576055076</x:v>
      </x:c>
      <x:c r="J454" s="12" t="n">
        <x:v>0</x:v>
      </x:c>
      <x:c r="K454" s="12" t="n">
        <x:v>0</x:v>
      </x:c>
      <x:c r="L454" s="12" t="n">
        <x:v>0</x:v>
      </x:c>
      <x:c r="M454" s="2" t="str">
        <x:v>持有</x:v>
      </x:c>
    </x:row>
    <x:row r="455" ht="23" customHeight="1">
      <x:c r="A455" s="11" t="d">
        <x:v>2016-10-13T00:00:00.000Z</x:v>
      </x:c>
      <x:c r="B455" s="12" t="n">
        <x:v>3077.802584</x:v>
      </x:c>
      <x:c r="C455" s="13" t="n">
        <x:v>484</x:v>
      </x:c>
      <x:c r="D455" s="12" t="n">
        <x:v>103096.84</x:v>
      </x:c>
      <x:c r="E455" s="12" t="n">
        <x:v>523.720912</x:v>
      </x:c>
      <x:c r="F455" s="12" t="n">
        <x:f>SUM(B455,D455:E455)</x:f>
        <x:v>106698.363496</x:v>
      </x:c>
      <x:c r="G455" s="12" t="n">
        <x:f>MAX(G454,F455)</x:f>
        <x:v>109117.362584</x:v>
      </x:c>
      <x:c r="H455" s="14" t="n">
        <x:f>F455/G455-1</x:f>
        <x:v>-0.022168782590743286</x:v>
      </x:c>
      <x:c r="I455" s="14" t="n">
        <x:f>F455/F454-1</x:f>
        <x:v>-0.0031652557759779265</x:v>
      </x:c>
      <x:c r="J455" s="12" t="n">
        <x:v>0</x:v>
      </x:c>
      <x:c r="K455" s="12" t="n">
        <x:v>0</x:v>
      </x:c>
      <x:c r="L455" s="12" t="n">
        <x:v>0</x:v>
      </x:c>
      <x:c r="M455" s="2" t="str">
        <x:v>持有</x:v>
      </x:c>
    </x:row>
    <x:row r="456" ht="23" customHeight="1">
      <x:c r="A456" s="11" t="d">
        <x:v>2016-10-14T00:00:00.000Z</x:v>
      </x:c>
      <x:c r="B456" s="12" t="n">
        <x:v>3077.802584</x:v>
      </x:c>
      <x:c r="C456" s="13" t="n">
        <x:v>484</x:v>
      </x:c>
      <x:c r="D456" s="12" t="n">
        <x:v>103150.08</x:v>
      </x:c>
      <x:c r="E456" s="12" t="n">
        <x:v>523.720912</x:v>
      </x:c>
      <x:c r="F456" s="12" t="n">
        <x:f>SUM(B456,D456:E456)</x:f>
        <x:v>106751.60349600001</x:v>
      </x:c>
      <x:c r="G456" s="12" t="n">
        <x:f>MAX(G455,F456)</x:f>
        <x:v>109117.362584</x:v>
      </x:c>
      <x:c r="H456" s="14" t="n">
        <x:f>F456/G456-1</x:f>
        <x:v>-0.021680867572095086</x:v>
      </x:c>
      <x:c r="I456" s="14" t="n">
        <x:f>F456/F455-1</x:f>
        <x:v>0.0004989767251866173</x:v>
      </x:c>
      <x:c r="J456" s="12" t="n">
        <x:v>0</x:v>
      </x:c>
      <x:c r="K456" s="12" t="n">
        <x:v>0</x:v>
      </x:c>
      <x:c r="L456" s="12" t="n">
        <x:v>0</x:v>
      </x:c>
      <x:c r="M456" s="2" t="str">
        <x:v>持有</x:v>
      </x:c>
    </x:row>
    <x:row r="457" ht="23" customHeight="1">
      <x:c r="A457" s="11" t="d">
        <x:v>2016-10-17T00:00:00.000Z</x:v>
      </x:c>
      <x:c r="B457" s="12" t="n">
        <x:v>3077.802584</x:v>
      </x:c>
      <x:c r="C457" s="13" t="n">
        <x:v>484</x:v>
      </x:c>
      <x:c r="D457" s="12" t="n">
        <x:v>102791.92</x:v>
      </x:c>
      <x:c r="E457" s="12" t="n">
        <x:v>523.720912</x:v>
      </x:c>
      <x:c r="F457" s="12" t="n">
        <x:f>SUM(B457,D457:E457)</x:f>
        <x:v>106393.443496</x:v>
      </x:c>
      <x:c r="G457" s="12" t="n">
        <x:f>MAX(G456,F457)</x:f>
        <x:v>109117.362584</x:v>
      </x:c>
      <x:c r="H457" s="14" t="n">
        <x:f>F457/G457-1</x:f>
        <x:v>-0.024963204970273045</x:v>
      </x:c>
      <x:c r="I457" s="14" t="n">
        <x:f>F457/F456-1</x:f>
        <x:v>-0.003355078408854295</x:v>
      </x:c>
      <x:c r="J457" s="12" t="n">
        <x:v>0</x:v>
      </x:c>
      <x:c r="K457" s="12" t="n">
        <x:v>0</x:v>
      </x:c>
      <x:c r="L457" s="12" t="n">
        <x:v>0</x:v>
      </x:c>
      <x:c r="M457" s="2" t="str">
        <x:v>持有</x:v>
      </x:c>
    </x:row>
    <x:row r="458" ht="23" customHeight="1">
      <x:c r="A458" s="11" t="d">
        <x:v>2016-10-18T00:00:00.000Z</x:v>
      </x:c>
      <x:c r="B458" s="12" t="n">
        <x:v>3077.802584</x:v>
      </x:c>
      <x:c r="C458" s="13" t="n">
        <x:v>484</x:v>
      </x:c>
      <x:c r="D458" s="12" t="n">
        <x:v>103435.64</x:v>
      </x:c>
      <x:c r="E458" s="12" t="n">
        <x:v>523.720912</x:v>
      </x:c>
      <x:c r="F458" s="12" t="n">
        <x:f>SUM(B458,D458:E458)</x:f>
        <x:v>107037.16349600001</x:v>
      </x:c>
      <x:c r="G458" s="12" t="n">
        <x:f>MAX(G457,F458)</x:f>
        <x:v>109117.362584</x:v>
      </x:c>
      <x:c r="H458" s="14" t="n">
        <x:f>F458/G458-1</x:f>
        <x:v>-0.019063868835710096</x:v>
      </x:c>
      <x:c r="I458" s="14" t="n">
        <x:f>F458/F457-1</x:f>
        <x:v>0.006050372831707396</x:v>
      </x:c>
      <x:c r="J458" s="12" t="n">
        <x:v>0</x:v>
      </x:c>
      <x:c r="K458" s="12" t="n">
        <x:v>0</x:v>
      </x:c>
      <x:c r="L458" s="12" t="n">
        <x:v>0</x:v>
      </x:c>
      <x:c r="M458" s="2" t="str">
        <x:v>持有</x:v>
      </x:c>
    </x:row>
    <x:row r="459" ht="23" customHeight="1">
      <x:c r="A459" s="11" t="d">
        <x:v>2016-10-19T00:00:00.000Z</x:v>
      </x:c>
      <x:c r="B459" s="12" t="n">
        <x:v>3077.802584</x:v>
      </x:c>
      <x:c r="C459" s="13" t="n">
        <x:v>484</x:v>
      </x:c>
      <x:c r="D459" s="12" t="n">
        <x:v>103711.52</x:v>
      </x:c>
      <x:c r="E459" s="12" t="n">
        <x:v>523.720912</x:v>
      </x:c>
      <x:c r="F459" s="12" t="n">
        <x:f>SUM(B459,D459:E459)</x:f>
        <x:v>107313.04349600001</x:v>
      </x:c>
      <x:c r="G459" s="12" t="n">
        <x:f>MAX(G458,F459)</x:f>
        <x:v>109117.362584</x:v>
      </x:c>
      <x:c r="H459" s="14" t="n">
        <x:f>F459/G459-1</x:f>
        <x:v>-0.016535581920897324</x:v>
      </x:c>
      <x:c r="I459" s="14" t="n">
        <x:f>F459/F458-1</x:f>
        <x:v>0.0025774225604391354</x:v>
      </x:c>
      <x:c r="J459" s="12" t="n">
        <x:v>0</x:v>
      </x:c>
      <x:c r="K459" s="12" t="n">
        <x:v>0</x:v>
      </x:c>
      <x:c r="L459" s="12" t="n">
        <x:v>0</x:v>
      </x:c>
      <x:c r="M459" s="2" t="str">
        <x:v>持有</x:v>
      </x:c>
    </x:row>
    <x:row r="460" ht="23" customHeight="1">
      <x:c r="A460" s="11" t="d">
        <x:v>2016-10-20T00:00:00.000Z</x:v>
      </x:c>
      <x:c r="B460" s="12" t="n">
        <x:v>3077.802584</x:v>
      </x:c>
      <x:c r="C460" s="13" t="n">
        <x:v>484</x:v>
      </x:c>
      <x:c r="D460" s="12" t="n">
        <x:v>103517.92</x:v>
      </x:c>
      <x:c r="E460" s="12" t="n">
        <x:v>523.720912</x:v>
      </x:c>
      <x:c r="F460" s="12" t="n">
        <x:f>SUM(B460,D460:E460)</x:f>
        <x:v>107119.443496</x:v>
      </x:c>
      <x:c r="G460" s="12" t="n">
        <x:f>MAX(G459,F460)</x:f>
        <x:v>109117.362584</x:v>
      </x:c>
      <x:c r="H460" s="14" t="n">
        <x:f>F460/G460-1</x:f>
        <x:v>-0.01830981835234491</x:v>
      </x:c>
      <x:c r="I460" s="14" t="n">
        <x:f>F460/F459-1</x:f>
        <x:v>-0.001804067741375981</x:v>
      </x:c>
      <x:c r="J460" s="12" t="n">
        <x:v>0</x:v>
      </x:c>
      <x:c r="K460" s="12" t="n">
        <x:v>0</x:v>
      </x:c>
      <x:c r="L460" s="12" t="n">
        <x:v>0</x:v>
      </x:c>
      <x:c r="M460" s="2" t="str">
        <x:v>持有</x:v>
      </x:c>
    </x:row>
    <x:row r="461" ht="23" customHeight="1">
      <x:c r="A461" s="11" t="d">
        <x:v>2016-10-21T00:00:00.000Z</x:v>
      </x:c>
      <x:c r="B461" s="12" t="n">
        <x:v>3077.802584</x:v>
      </x:c>
      <x:c r="C461" s="13" t="n">
        <x:v>484</x:v>
      </x:c>
      <x:c r="D461" s="12" t="n">
        <x:v>103566.31999999999</x:v>
      </x:c>
      <x:c r="E461" s="12" t="n">
        <x:v>523.720912</x:v>
      </x:c>
      <x:c r="F461" s="12" t="n">
        <x:f>SUM(B461,D461:E461)</x:f>
        <x:v>107167.843496</x:v>
      </x:c>
      <x:c r="G461" s="12" t="n">
        <x:f>MAX(G460,F461)</x:f>
        <x:v>109117.362584</x:v>
      </x:c>
      <x:c r="H461" s="14" t="n">
        <x:f>F461/G461-1</x:f>
        <x:v>-0.01786625924448304</x:v>
      </x:c>
      <x:c r="I461" s="14" t="n">
        <x:f>F461/F460-1</x:f>
        <x:v>0.00045183207100762957</x:v>
      </x:c>
      <x:c r="J461" s="12" t="n">
        <x:v>0</x:v>
      </x:c>
      <x:c r="K461" s="12" t="n">
        <x:v>0</x:v>
      </x:c>
      <x:c r="L461" s="12" t="n">
        <x:v>0</x:v>
      </x:c>
      <x:c r="M461" s="2" t="str">
        <x:v>持有</x:v>
      </x:c>
    </x:row>
    <x:row r="462" ht="23" customHeight="1">
      <x:c r="A462" s="11" t="d">
        <x:v>2016-10-24T00:00:00.000Z</x:v>
      </x:c>
      <x:c r="B462" s="12" t="n">
        <x:v>3077.802584</x:v>
      </x:c>
      <x:c r="C462" s="13" t="n">
        <x:v>484</x:v>
      </x:c>
      <x:c r="D462" s="12" t="n">
        <x:v>104006.76</x:v>
      </x:c>
      <x:c r="E462" s="12" t="n">
        <x:v>523.720912</x:v>
      </x:c>
      <x:c r="F462" s="12" t="n">
        <x:f>SUM(B462,D462:E462)</x:f>
        <x:v>107608.283496</x:v>
      </x:c>
      <x:c r="G462" s="12" t="n">
        <x:f>MAX(G461,F462)</x:f>
        <x:v>109117.362584</x:v>
      </x:c>
      <x:c r="H462" s="14" t="n">
        <x:f>F462/G462-1</x:f>
        <x:v>-0.013829871362940005</x:v>
      </x:c>
      <x:c r="I462" s="14" t="n">
        <x:f>F462/F461-1</x:f>
        <x:v>0.0041098148999931805</x:v>
      </x:c>
      <x:c r="J462" s="12" t="n">
        <x:v>0</x:v>
      </x:c>
      <x:c r="K462" s="12" t="n">
        <x:v>0</x:v>
      </x:c>
      <x:c r="L462" s="12" t="n">
        <x:v>0</x:v>
      </x:c>
      <x:c r="M462" s="2" t="str">
        <x:v>持有</x:v>
      </x:c>
    </x:row>
    <x:row r="463" ht="23" customHeight="1">
      <x:c r="A463" s="11" t="d">
        <x:v>2016-10-25T00:00:00.000Z</x:v>
      </x:c>
      <x:c r="B463" s="12" t="n">
        <x:v>3077.802584</x:v>
      </x:c>
      <x:c r="C463" s="13" t="n">
        <x:v>484</x:v>
      </x:c>
      <x:c r="D463" s="12" t="n">
        <x:v>103658.28</x:v>
      </x:c>
      <x:c r="E463" s="12" t="n">
        <x:v>523.720912</x:v>
      </x:c>
      <x:c r="F463" s="12" t="n">
        <x:f>SUM(B463,D463:E463)</x:f>
        <x:v>107259.80349600001</x:v>
      </x:c>
      <x:c r="G463" s="12" t="n">
        <x:f>MAX(G462,F463)</x:f>
        <x:v>109117.362584</x:v>
      </x:c>
      <x:c r="H463" s="14" t="n">
        <x:f>F463/G463-1</x:f>
        <x:v>-0.017023496939545413</x:v>
      </x:c>
      <x:c r="I463" s="14" t="n">
        <x:f>F463/F462-1</x:f>
        <x:v>-0.003238412403566926</x:v>
      </x:c>
      <x:c r="J463" s="12" t="n">
        <x:v>0</x:v>
      </x:c>
      <x:c r="K463" s="12" t="n">
        <x:v>0</x:v>
      </x:c>
      <x:c r="L463" s="12" t="n">
        <x:v>0</x:v>
      </x:c>
      <x:c r="M463" s="2" t="str">
        <x:v>持有</x:v>
      </x:c>
    </x:row>
    <x:row r="464" ht="23" customHeight="1">
      <x:c r="A464" s="11" t="d">
        <x:v>2016-10-26T00:00:00.000Z</x:v>
      </x:c>
      <x:c r="B464" s="12" t="n">
        <x:v>3077.802584</x:v>
      </x:c>
      <x:c r="C464" s="13" t="n">
        <x:v>484</x:v>
      </x:c>
      <x:c r="D464" s="12" t="n">
        <x:v>103450.16</x:v>
      </x:c>
      <x:c r="E464" s="12" t="n">
        <x:v>523.720912</x:v>
      </x:c>
      <x:c r="F464" s="12" t="n">
        <x:f>SUM(B464,D464:E464)</x:f>
        <x:v>107051.68349600001</x:v>
      </x:c>
      <x:c r="G464" s="12" t="n">
        <x:f>MAX(G463,F464)</x:f>
        <x:v>109117.362584</x:v>
      </x:c>
      <x:c r="H464" s="14" t="n">
        <x:f>F464/G464-1</x:f>
        <x:v>-0.018930801103351436</x:v>
      </x:c>
      <x:c r="I464" s="14" t="n">
        <x:f>F464/F463-1</x:f>
        <x:v>-0.0019403354585463273</x:v>
      </x:c>
      <x:c r="J464" s="12" t="n">
        <x:v>0</x:v>
      </x:c>
      <x:c r="K464" s="12" t="n">
        <x:v>0</x:v>
      </x:c>
      <x:c r="L464" s="12" t="n">
        <x:v>0</x:v>
      </x:c>
      <x:c r="M464" s="2" t="str">
        <x:v>持有</x:v>
      </x:c>
    </x:row>
    <x:row r="465" ht="23" customHeight="1">
      <x:c r="A465" s="11" t="d">
        <x:v>2016-10-27T00:00:00.000Z</x:v>
      </x:c>
      <x:c r="B465" s="12" t="n">
        <x:v>3077.802584</x:v>
      </x:c>
      <x:c r="C465" s="13" t="n">
        <x:v>484</x:v>
      </x:c>
      <x:c r="D465" s="12" t="n">
        <x:v>103174.28</x:v>
      </x:c>
      <x:c r="E465" s="12" t="n">
        <x:v>523.720912</x:v>
      </x:c>
      <x:c r="F465" s="12" t="n">
        <x:f>SUM(B465,D465:E465)</x:f>
        <x:v>106775.80349600001</x:v>
      </x:c>
      <x:c r="G465" s="12" t="n">
        <x:f>MAX(G464,F465)</x:f>
        <x:v>109117.362584</x:v>
      </x:c>
      <x:c r="H465" s="14" t="n">
        <x:f>F465/G465-1</x:f>
        <x:v>-0.021459088018164207</x:v>
      </x:c>
      <x:c r="I465" s="14" t="n">
        <x:f>F465/F464-1</x:f>
        <x:v>-0.002577072970648908</x:v>
      </x:c>
      <x:c r="J465" s="12" t="n">
        <x:v>0</x:v>
      </x:c>
      <x:c r="K465" s="12" t="n">
        <x:v>0</x:v>
      </x:c>
      <x:c r="L465" s="12" t="n">
        <x:v>0</x:v>
      </x:c>
      <x:c r="M465" s="2" t="str">
        <x:v>持有</x:v>
      </x:c>
    </x:row>
    <x:row r="466" ht="23" customHeight="1">
      <x:c r="A466" s="11" t="d">
        <x:v>2016-10-28T00:00:00.000Z</x:v>
      </x:c>
      <x:c r="B466" s="12" t="n">
        <x:v>3077.802584</x:v>
      </x:c>
      <x:c r="C466" s="13" t="n">
        <x:v>484</x:v>
      </x:c>
      <x:c r="D466" s="12" t="n">
        <x:v>102869.36</x:v>
      </x:c>
      <x:c r="E466" s="12" t="n">
        <x:v>523.720912</x:v>
      </x:c>
      <x:c r="F466" s="12" t="n">
        <x:f>SUM(B466,D466:E466)</x:f>
        <x:v>106470.88349600001</x:v>
      </x:c>
      <x:c r="G466" s="12" t="n">
        <x:f>MAX(G465,F466)</x:f>
        <x:v>109117.362584</x:v>
      </x:c>
      <x:c r="H466" s="14" t="n">
        <x:f>F466/G466-1</x:f>
        <x:v>-0.024253510397694078</x:v>
      </x:c>
      <x:c r="I466" s="14" t="n">
        <x:f>F466/F465-1</x:f>
        <x:v>-0.002855703165103529</x:v>
      </x:c>
      <x:c r="J466" s="12" t="n">
        <x:v>0</x:v>
      </x:c>
      <x:c r="K466" s="12" t="n">
        <x:v>0</x:v>
      </x:c>
      <x:c r="L466" s="12" t="n">
        <x:v>0</x:v>
      </x:c>
      <x:c r="M466" s="2" t="str">
        <x:v>持有</x:v>
      </x:c>
    </x:row>
    <x:row r="467" ht="23" customHeight="1">
      <x:c r="A467" s="11" t="d">
        <x:v>2016-10-31T00:00:00.000Z</x:v>
      </x:c>
      <x:c r="B467" s="12" t="n">
        <x:v>3601.523496</x:v>
      </x:c>
      <x:c r="C467" s="13" t="n">
        <x:v>484</x:v>
      </x:c>
      <x:c r="D467" s="12" t="n">
        <x:v>102874.20000000001</x:v>
      </x:c>
      <x:c r="E467" s="12" t="n">
        <x:v>0</x:v>
      </x:c>
      <x:c r="F467" s="12" t="n">
        <x:f>SUM(B467,D467:E467)</x:f>
        <x:v>106475.723496</x:v>
      </x:c>
      <x:c r="G467" s="12" t="n">
        <x:f>MAX(G466,F467)</x:f>
        <x:v>109117.362584</x:v>
      </x:c>
      <x:c r="H467" s="14" t="n">
        <x:f>F467/G467-1</x:f>
        <x:v>-0.024209154486907858</x:v>
      </x:c>
      <x:c r="I467" s="14" t="n">
        <x:f>F467/F466-1</x:f>
        <x:v>0.0000454584374720568</x:v>
      </x:c>
      <x:c r="J467" s="12" t="n">
        <x:v>0</x:v>
      </x:c>
      <x:c r="K467" s="12" t="n">
        <x:v>523.720912</x:v>
      </x:c>
      <x:c r="L467" s="12" t="n">
        <x:v>0</x:v>
      </x:c>
      <x:c r="M467" s="2" t="str">
        <x:v>持有</x:v>
      </x:c>
    </x:row>
    <x:row r="468" ht="23" customHeight="1">
      <x:c r="A468" s="11" t="d">
        <x:v>2016-11-01T00:00:00.000Z</x:v>
      </x:c>
      <x:c r="B468" s="12" t="n">
        <x:v>3601.523496</x:v>
      </x:c>
      <x:c r="C468" s="13" t="n">
        <x:v>484</x:v>
      </x:c>
      <x:c r="D468" s="12" t="n">
        <x:v>102128.84</x:v>
      </x:c>
      <x:c r="E468" s="12" t="n">
        <x:v>0</x:v>
      </x:c>
      <x:c r="F468" s="12" t="n">
        <x:f>SUM(B468,D468:E468)</x:f>
        <x:v>105730.36349599999</x:v>
      </x:c>
      <x:c r="G468" s="12" t="n">
        <x:f>MAX(G467,F468)</x:f>
        <x:v>109117.362584</x:v>
      </x:c>
      <x:c r="H468" s="14" t="n">
        <x:f>F468/G468-1</x:f>
        <x:v>-0.031039964747980875</x:v>
      </x:c>
      <x:c r="I468" s="14" t="n">
        <x:f>F468/F467-1</x:f>
        <x:v>-0.0070002811488575345</x:v>
      </x:c>
      <x:c r="J468" s="12" t="n">
        <x:v>0</x:v>
      </x:c>
      <x:c r="K468" s="12" t="n">
        <x:v>0</x:v>
      </x:c>
      <x:c r="L468" s="12" t="n">
        <x:v>0</x:v>
      </x:c>
      <x:c r="M468" s="2" t="str">
        <x:v>持有</x:v>
      </x:c>
    </x:row>
    <x:row r="469" ht="23" customHeight="1">
      <x:c r="A469" s="11" t="d">
        <x:v>2016-11-02T00:00:00.000Z</x:v>
      </x:c>
      <x:c r="B469" s="12" t="n">
        <x:v>3601.523496</x:v>
      </x:c>
      <x:c r="C469" s="13" t="n">
        <x:v>484</x:v>
      </x:c>
      <x:c r="D469" s="12" t="n">
        <x:v>101514.16</x:v>
      </x:c>
      <x:c r="E469" s="12" t="n">
        <x:v>0</x:v>
      </x:c>
      <x:c r="F469" s="12" t="n">
        <x:f>SUM(B469,D469:E469)</x:f>
        <x:v>105115.683496</x:v>
      </x:c>
      <x:c r="G469" s="12" t="n">
        <x:f>MAX(G468,F469)</x:f>
        <x:v>109117.362584</x:v>
      </x:c>
      <x:c r="H469" s="14" t="n">
        <x:f>F469/G469-1</x:f>
        <x:v>-0.036673165417826725</x:v>
      </x:c>
      <x:c r="I469" s="14" t="n">
        <x:f>F469/F468-1</x:f>
        <x:v>-0.005813656358263142</x:v>
      </x:c>
      <x:c r="J469" s="12" t="n">
        <x:v>0</x:v>
      </x:c>
      <x:c r="K469" s="12" t="n">
        <x:v>0</x:v>
      </x:c>
      <x:c r="L469" s="12" t="n">
        <x:v>0</x:v>
      </x:c>
      <x:c r="M469" s="2" t="str">
        <x:v>持有</x:v>
      </x:c>
    </x:row>
    <x:row r="470" ht="23" customHeight="1">
      <x:c r="A470" s="11" t="d">
        <x:v>2016-11-03T00:00:00.000Z</x:v>
      </x:c>
      <x:c r="B470" s="12" t="n">
        <x:v>3601.523496</x:v>
      </x:c>
      <x:c r="C470" s="13" t="n">
        <x:v>484</x:v>
      </x:c>
      <x:c r="D470" s="12" t="n">
        <x:v>101049.52</x:v>
      </x:c>
      <x:c r="E470" s="12" t="n">
        <x:v>0</x:v>
      </x:c>
      <x:c r="F470" s="12" t="n">
        <x:f>SUM(B470,D470:E470)</x:f>
        <x:v>104651.043496</x:v>
      </x:c>
      <x:c r="G470" s="12" t="n">
        <x:f>MAX(G469,F470)</x:f>
        <x:v>109117.362584</x:v>
      </x:c>
      <x:c r="H470" s="14" t="n">
        <x:f>F470/G470-1</x:f>
        <x:v>-0.04093133285330075</x:v>
      </x:c>
      <x:c r="I470" s="14" t="n">
        <x:f>F470/F469-1</x:f>
        <x:v>-0.0044202728322427776</x:v>
      </x:c>
      <x:c r="J470" s="12" t="n">
        <x:v>0</x:v>
      </x:c>
      <x:c r="K470" s="12" t="n">
        <x:v>0</x:v>
      </x:c>
      <x:c r="L470" s="12" t="n">
        <x:v>0</x:v>
      </x:c>
      <x:c r="M470" s="2" t="str">
        <x:v>持有</x:v>
      </x:c>
    </x:row>
    <x:row r="471" ht="23" customHeight="1">
      <x:c r="A471" s="11" t="d">
        <x:v>2016-11-04T00:00:00.000Z</x:v>
      </x:c>
      <x:c r="B471" s="12" t="n">
        <x:v>3601.523496</x:v>
      </x:c>
      <x:c r="C471" s="13" t="n">
        <x:v>484</x:v>
      </x:c>
      <x:c r="D471" s="12" t="n">
        <x:v>100938.20000000001</x:v>
      </x:c>
      <x:c r="E471" s="12" t="n">
        <x:v>0</x:v>
      </x:c>
      <x:c r="F471" s="12" t="n">
        <x:f>SUM(B471,D471:E471)</x:f>
        <x:v>104539.723496</x:v>
      </x:c>
      <x:c r="G471" s="12" t="n">
        <x:f>MAX(G470,F471)</x:f>
        <x:v>109117.362584</x:v>
      </x:c>
      <x:c r="H471" s="14" t="n">
        <x:f>F471/G471-1</x:f>
        <x:v>-0.041951518801382925</x:v>
      </x:c>
      <x:c r="I471" s="14" t="n">
        <x:f>F471/F470-1</x:f>
        <x:v>-0.0010637256570140696</x:v>
      </x:c>
      <x:c r="J471" s="12" t="n">
        <x:v>0</x:v>
      </x:c>
      <x:c r="K471" s="12" t="n">
        <x:v>0</x:v>
      </x:c>
      <x:c r="L471" s="12" t="n">
        <x:v>0</x:v>
      </x:c>
      <x:c r="M471" s="2" t="str">
        <x:v>持有</x:v>
      </x:c>
    </x:row>
    <x:row r="472" ht="23" customHeight="1">
      <x:c r="A472" s="11" t="d">
        <x:v>2016-11-07T00:00:00.000Z</x:v>
      </x:c>
      <x:c r="B472" s="12" t="n">
        <x:v>3601.523496</x:v>
      </x:c>
      <x:c r="C472" s="13" t="n">
        <x:v>484</x:v>
      </x:c>
      <x:c r="D472" s="12" t="n">
        <x:v>103164.6</x:v>
      </x:c>
      <x:c r="E472" s="12" t="n">
        <x:v>0</x:v>
      </x:c>
      <x:c r="F472" s="12" t="n">
        <x:f>SUM(B472,D472:E472)</x:f>
        <x:v>106766.123496</x:v>
      </x:c>
      <x:c r="G472" s="12" t="n">
        <x:f>MAX(G471,F472)</x:f>
        <x:v>109117.362584</x:v>
      </x:c>
      <x:c r="H472" s="14" t="n">
        <x:f>F472/G472-1</x:f>
        <x:v>-0.021547799839736648</x:v>
      </x:c>
      <x:c r="I472" s="14" t="n">
        <x:f>F472/F471-1</x:f>
        <x:v>0.02129716748375743</x:v>
      </x:c>
      <x:c r="J472" s="12" t="n">
        <x:v>0</x:v>
      </x:c>
      <x:c r="K472" s="12" t="n">
        <x:v>0</x:v>
      </x:c>
      <x:c r="L472" s="12" t="n">
        <x:v>0</x:v>
      </x:c>
      <x:c r="M472" s="2" t="str">
        <x:v>持有</x:v>
      </x:c>
    </x:row>
    <x:row r="473" ht="23" customHeight="1">
      <x:c r="A473" s="11" t="d">
        <x:v>2016-11-08T00:00:00.000Z</x:v>
      </x:c>
      <x:c r="B473" s="12" t="n">
        <x:v>3601.523496</x:v>
      </x:c>
      <x:c r="C473" s="13" t="n">
        <x:v>484</x:v>
      </x:c>
      <x:c r="D473" s="12" t="n">
        <x:v>103629.24</x:v>
      </x:c>
      <x:c r="E473" s="12" t="n">
        <x:v>0</x:v>
      </x:c>
      <x:c r="F473" s="12" t="n">
        <x:f>SUM(B473,D473:E473)</x:f>
        <x:v>107230.763496</x:v>
      </x:c>
      <x:c r="G473" s="12" t="n">
        <x:f>MAX(G472,F473)</x:f>
        <x:v>109117.362584</x:v>
      </x:c>
      <x:c r="H473" s="14" t="n">
        <x:f>F473/G473-1</x:f>
        <x:v>-0.017289632404262623</x:v>
      </x:c>
      <x:c r="I473" s="14" t="n">
        <x:f>F473/F472-1</x:f>
        <x:v>0.004351942215242044</x:v>
      </x:c>
      <x:c r="J473" s="12" t="n">
        <x:v>0</x:v>
      </x:c>
      <x:c r="K473" s="12" t="n">
        <x:v>0</x:v>
      </x:c>
      <x:c r="L473" s="12" t="n">
        <x:v>0</x:v>
      </x:c>
      <x:c r="M473" s="2" t="str">
        <x:v>持有</x:v>
      </x:c>
    </x:row>
    <x:row r="474" ht="23" customHeight="1">
      <x:c r="A474" s="11" t="d">
        <x:v>2016-11-09T00:00:00.000Z</x:v>
      </x:c>
      <x:c r="B474" s="12" t="n">
        <x:v>3601.523496</x:v>
      </x:c>
      <x:c r="C474" s="13" t="n">
        <x:v>484</x:v>
      </x:c>
      <x:c r="D474" s="12" t="n">
        <x:v>104727.92</x:v>
      </x:c>
      <x:c r="E474" s="12" t="n">
        <x:v>0</x:v>
      </x:c>
      <x:c r="F474" s="12" t="n">
        <x:f>SUM(B474,D474:E474)</x:f>
        <x:v>108329.44349599999</x:v>
      </x:c>
      <x:c r="G474" s="12" t="n">
        <x:f>MAX(G473,F474)</x:f>
        <x:v>109117.362584</x:v>
      </x:c>
      <x:c r="H474" s="14" t="n">
        <x:f>F474/G474-1</x:f>
        <x:v>-0.007220840655798089</x:v>
      </x:c>
      <x:c r="I474" s="14" t="n">
        <x:f>F474/F473-1</x:f>
        <x:v>0.01024594028970971</x:v>
      </x:c>
      <x:c r="J474" s="12" t="n">
        <x:v>0</x:v>
      </x:c>
      <x:c r="K474" s="12" t="n">
        <x:v>0</x:v>
      </x:c>
      <x:c r="L474" s="12" t="n">
        <x:v>0</x:v>
      </x:c>
      <x:c r="M474" s="2" t="str">
        <x:v>持有</x:v>
      </x:c>
    </x:row>
    <x:row r="475" ht="23" customHeight="1">
      <x:c r="A475" s="11" t="d">
        <x:v>2016-11-10T00:00:00.000Z</x:v>
      </x:c>
      <x:c r="B475" s="12" t="n">
        <x:v>3601.523496</x:v>
      </x:c>
      <x:c r="C475" s="13" t="n">
        <x:v>484</x:v>
      </x:c>
      <x:c r="D475" s="12" t="n">
        <x:v>104989.28</x:v>
      </x:c>
      <x:c r="E475" s="12" t="n">
        <x:v>0</x:v>
      </x:c>
      <x:c r="F475" s="12" t="n">
        <x:f>SUM(B475,D475:E475)</x:f>
        <x:v>108590.803496</x:v>
      </x:c>
      <x:c r="G475" s="12" t="n">
        <x:f>MAX(G474,F475)</x:f>
        <x:v>109117.362584</x:v>
      </x:c>
      <x:c r="H475" s="14" t="n">
        <x:f>F475/G475-1</x:f>
        <x:v>-0.004825621473343977</x:v>
      </x:c>
      <x:c r="I475" s="14" t="n">
        <x:f>F475/F474-1</x:f>
        <x:v>0.0024126404748829877</x:v>
      </x:c>
      <x:c r="J475" s="12" t="n">
        <x:v>0</x:v>
      </x:c>
      <x:c r="K475" s="12" t="n">
        <x:v>0</x:v>
      </x:c>
      <x:c r="L475" s="12" t="n">
        <x:v>0</x:v>
      </x:c>
      <x:c r="M475" s="2" t="str">
        <x:v>持有</x:v>
      </x:c>
    </x:row>
    <x:row r="476" ht="23" customHeight="1">
      <x:c r="A476" s="11" t="d">
        <x:v>2016-11-11T00:00:00.000Z</x:v>
      </x:c>
      <x:c r="B476" s="12" t="n">
        <x:v>3601.523496</x:v>
      </x:c>
      <x:c r="C476" s="13" t="n">
        <x:v>484</x:v>
      </x:c>
      <x:c r="D476" s="12" t="n">
        <x:v>104747.28</x:v>
      </x:c>
      <x:c r="E476" s="12" t="n">
        <x:v>0</x:v>
      </x:c>
      <x:c r="F476" s="12" t="n">
        <x:f>SUM(B476,D476:E476)</x:f>
        <x:v>108348.803496</x:v>
      </x:c>
      <x:c r="G476" s="12" t="n">
        <x:f>MAX(G475,F476)</x:f>
        <x:v>109117.362584</x:v>
      </x:c>
      <x:c r="H476" s="14" t="n">
        <x:f>F476/G476-1</x:f>
        <x:v>-0.007043417012653319</x:v>
      </x:c>
      <x:c r="I476" s="14" t="n">
        <x:f>F476/F475-1</x:f>
        <x:v>-0.0022285496764826718</x:v>
      </x:c>
      <x:c r="J476" s="12" t="n">
        <x:v>0</x:v>
      </x:c>
      <x:c r="K476" s="12" t="n">
        <x:v>0</x:v>
      </x:c>
      <x:c r="L476" s="12" t="n">
        <x:v>0</x:v>
      </x:c>
      <x:c r="M476" s="2" t="str">
        <x:v>持有</x:v>
      </x:c>
    </x:row>
    <x:row r="477" ht="23" customHeight="1">
      <x:c r="A477" s="11" t="d">
        <x:v>2016-11-14T00:00:00.000Z</x:v>
      </x:c>
      <x:c r="B477" s="12" t="n">
        <x:v>3601.523496</x:v>
      </x:c>
      <x:c r="C477" s="13" t="n">
        <x:v>484</x:v>
      </x:c>
      <x:c r="D477" s="12" t="n">
        <x:v>104829.56</x:v>
      </x:c>
      <x:c r="E477" s="12" t="n">
        <x:v>0</x:v>
      </x:c>
      <x:c r="F477" s="12" t="n">
        <x:f>SUM(B477,D477:E477)</x:f>
        <x:v>108431.08349599999</x:v>
      </x:c>
      <x:c r="G477" s="12" t="n">
        <x:f>MAX(G476,F477)</x:f>
        <x:v>109117.362584</x:v>
      </x:c>
      <x:c r="H477" s="14" t="n">
        <x:f>F477/G477-1</x:f>
        <x:v>-0.006289366529288132</x:v>
      </x:c>
      <x:c r="I477" s="14" t="n">
        <x:f>F477/F476-1</x:f>
        <x:v>0.0007593992489547396</x:v>
      </x:c>
      <x:c r="J477" s="12" t="n">
        <x:v>0</x:v>
      </x:c>
      <x:c r="K477" s="12" t="n">
        <x:v>0</x:v>
      </x:c>
      <x:c r="L477" s="12" t="n">
        <x:v>0</x:v>
      </x:c>
      <x:c r="M477" s="2" t="str">
        <x:v>持有</x:v>
      </x:c>
    </x:row>
    <x:row r="478" ht="23" customHeight="1">
      <x:c r="A478" s="11" t="d">
        <x:v>2016-11-15T00:00:00.000Z</x:v>
      </x:c>
      <x:c r="B478" s="12" t="n">
        <x:v>3601.523496</x:v>
      </x:c>
      <x:c r="C478" s="13" t="n">
        <x:v>484</x:v>
      </x:c>
      <x:c r="D478" s="12" t="n">
        <x:v>105647.52</x:v>
      </x:c>
      <x:c r="E478" s="12" t="n">
        <x:v>0</x:v>
      </x:c>
      <x:c r="F478" s="12" t="n">
        <x:f>SUM(B478,D478:E478)</x:f>
        <x:v>109249.043496</x:v>
      </x:c>
      <x:c r="G478" s="12" t="n">
        <x:f>MAX(G477,F478)</x:f>
        <x:v>109249.043496</x:v>
      </x:c>
      <x:c r="H478" s="14" t="n">
        <x:f>F478/G478-1</x:f>
        <x:v>0</x:v>
      </x:c>
      <x:c r="I478" s="14" t="n">
        <x:f>F478/F477-1</x:f>
        <x:v>0.007543593346369004</x:v>
      </x:c>
      <x:c r="J478" s="12" t="n">
        <x:v>0</x:v>
      </x:c>
      <x:c r="K478" s="12" t="n">
        <x:v>0</x:v>
      </x:c>
      <x:c r="L478" s="12" t="n">
        <x:v>0</x:v>
      </x:c>
      <x:c r="M478" s="2" t="str">
        <x:v>持有</x:v>
      </x:c>
    </x:row>
    <x:row r="479" ht="23" customHeight="1">
      <x:c r="A479" s="11" t="d">
        <x:v>2016-11-16T00:00:00.000Z</x:v>
      </x:c>
      <x:c r="B479" s="12" t="n">
        <x:v>3601.523496</x:v>
      </x:c>
      <x:c r="C479" s="13" t="n">
        <x:v>484</x:v>
      </x:c>
      <x:c r="D479" s="12" t="n">
        <x:v>105449.08</x:v>
      </x:c>
      <x:c r="E479" s="12" t="n">
        <x:v>0</x:v>
      </x:c>
      <x:c r="F479" s="12" t="n">
        <x:f>SUM(B479,D479:E479)</x:f>
        <x:v>109050.603496</x:v>
      </x:c>
      <x:c r="G479" s="12" t="n">
        <x:f>MAX(G478,F479)</x:f>
        <x:v>109249.043496</x:v>
      </x:c>
      <x:c r="H479" s="14" t="n">
        <x:f>F479/G479-1</x:f>
        <x:v>-0.0018164003422809216</x:v>
      </x:c>
      <x:c r="I479" s="14" t="n">
        <x:f>F479/F478-1</x:f>
        <x:v>-0.0018164003422809216</x:v>
      </x:c>
      <x:c r="J479" s="12" t="n">
        <x:v>0</x:v>
      </x:c>
      <x:c r="K479" s="12" t="n">
        <x:v>0</x:v>
      </x:c>
      <x:c r="L479" s="12" t="n">
        <x:v>0</x:v>
      </x:c>
      <x:c r="M479" s="2" t="str">
        <x:v>持有</x:v>
      </x:c>
    </x:row>
    <x:row r="480" ht="23" customHeight="1">
      <x:c r="A480" s="11" t="d">
        <x:v>2016-11-17T00:00:00.000Z</x:v>
      </x:c>
      <x:c r="B480" s="12" t="n">
        <x:v>3601.523496</x:v>
      </x:c>
      <x:c r="C480" s="13" t="n">
        <x:v>484</x:v>
      </x:c>
      <x:c r="D480" s="12" t="n">
        <x:v>105991.16</x:v>
      </x:c>
      <x:c r="E480" s="12" t="n">
        <x:v>0</x:v>
      </x:c>
      <x:c r="F480" s="12" t="n">
        <x:f>SUM(B480,D480:E480)</x:f>
        <x:v>109592.683496</x:v>
      </x:c>
      <x:c r="G480" s="12" t="n">
        <x:f>MAX(G479,F480)</x:f>
        <x:v>109592.683496</x:v>
      </x:c>
      <x:c r="H480" s="14" t="n">
        <x:f>F480/G480-1</x:f>
        <x:v>0</x:v>
      </x:c>
      <x:c r="I480" s="14" t="n">
        <x:f>F480/F479-1</x:f>
        <x:v>0.00497090325611893</x:v>
      </x:c>
      <x:c r="J480" s="12" t="n">
        <x:v>0</x:v>
      </x:c>
      <x:c r="K480" s="12" t="n">
        <x:v>0</x:v>
      </x:c>
      <x:c r="L480" s="12" t="n">
        <x:v>0</x:v>
      </x:c>
      <x:c r="M480" s="2" t="str">
        <x:v>持有</x:v>
      </x:c>
    </x:row>
    <x:row r="481" ht="23" customHeight="1">
      <x:c r="A481" s="11" t="d">
        <x:v>2016-11-18T00:00:00.000Z</x:v>
      </x:c>
      <x:c r="B481" s="12" t="n">
        <x:v>3601.523496</x:v>
      </x:c>
      <x:c r="C481" s="13" t="n">
        <x:v>484</x:v>
      </x:c>
      <x:c r="D481" s="12" t="n">
        <x:v>105754</x:v>
      </x:c>
      <x:c r="E481" s="12" t="n">
        <x:v>0</x:v>
      </x:c>
      <x:c r="F481" s="12" t="n">
        <x:f>SUM(B481,D481:E481)</x:f>
        <x:v>109355.523496</x:v>
      </x:c>
      <x:c r="G481" s="12" t="n">
        <x:f>MAX(G480,F481)</x:f>
        <x:v>109592.683496</x:v>
      </x:c>
      <x:c r="H481" s="14" t="n">
        <x:f>F481/G481-1</x:f>
        <x:v>-0.0021640130749116526</x:v>
      </x:c>
      <x:c r="I481" s="14" t="n">
        <x:f>F481/F480-1</x:f>
        <x:v>-0.0021640130749116526</x:v>
      </x:c>
      <x:c r="J481" s="12" t="n">
        <x:v>0</x:v>
      </x:c>
      <x:c r="K481" s="12" t="n">
        <x:v>0</x:v>
      </x:c>
      <x:c r="L481" s="12" t="n">
        <x:v>0</x:v>
      </x:c>
      <x:c r="M481" s="2" t="str">
        <x:v>持有</x:v>
      </x:c>
    </x:row>
    <x:row r="482" ht="23" customHeight="1">
      <x:c r="A482" s="11" t="d">
        <x:v>2016-11-21T00:00:00.000Z</x:v>
      </x:c>
      <x:c r="B482" s="12" t="n">
        <x:v>3601.523496</x:v>
      </x:c>
      <x:c r="C482" s="13" t="n">
        <x:v>484</x:v>
      </x:c>
      <x:c r="D482" s="12" t="n">
        <x:v>106552.6</x:v>
      </x:c>
      <x:c r="E482" s="12" t="n">
        <x:v>0</x:v>
      </x:c>
      <x:c r="F482" s="12" t="n">
        <x:f>SUM(B482,D482:E482)</x:f>
        <x:v>110154.123496</x:v>
      </x:c>
      <x:c r="G482" s="12" t="n">
        <x:f>MAX(G481,F482)</x:f>
        <x:v>110154.123496</x:v>
      </x:c>
      <x:c r="H482" s="14" t="n">
        <x:f>F482/G482-1</x:f>
        <x:v>0</x:v>
      </x:c>
      <x:c r="I482" s="14" t="n">
        <x:f>F482/F481-1</x:f>
        <x:v>0.007302786127938221</x:v>
      </x:c>
      <x:c r="J482" s="12" t="n">
        <x:v>0</x:v>
      </x:c>
      <x:c r="K482" s="12" t="n">
        <x:v>0</x:v>
      </x:c>
      <x:c r="L482" s="12" t="n">
        <x:v>0</x:v>
      </x:c>
      <x:c r="M482" s="2" t="str">
        <x:v>持有</x:v>
      </x:c>
    </x:row>
    <x:row r="483" ht="23" customHeight="1">
      <x:c r="A483" s="11" t="d">
        <x:v>2016-11-22T00:00:00.000Z</x:v>
      </x:c>
      <x:c r="B483" s="12" t="n">
        <x:v>3601.523496</x:v>
      </x:c>
      <x:c r="C483" s="13" t="n">
        <x:v>484</x:v>
      </x:c>
      <x:c r="D483" s="12" t="n">
        <x:v>106760.72</x:v>
      </x:c>
      <x:c r="E483" s="12" t="n">
        <x:v>0</x:v>
      </x:c>
      <x:c r="F483" s="12" t="n">
        <x:f>SUM(B483,D483:E483)</x:f>
        <x:v>110362.243496</x:v>
      </x:c>
      <x:c r="G483" s="12" t="n">
        <x:f>MAX(G482,F483)</x:f>
        <x:v>110362.243496</x:v>
      </x:c>
      <x:c r="H483" s="14" t="n">
        <x:f>F483/G483-1</x:f>
        <x:v>0</x:v>
      </x:c>
      <x:c r="I483" s="14" t="n">
        <x:f>F483/F482-1</x:f>
        <x:v>0.0018893527849417335</x:v>
      </x:c>
      <x:c r="J483" s="12" t="n">
        <x:v>0</x:v>
      </x:c>
      <x:c r="K483" s="12" t="n">
        <x:v>0</x:v>
      </x:c>
      <x:c r="L483" s="12" t="n">
        <x:v>0</x:v>
      </x:c>
      <x:c r="M483" s="2" t="str">
        <x:v>持有</x:v>
      </x:c>
    </x:row>
    <x:row r="484" ht="23" customHeight="1">
      <x:c r="A484" s="11" t="d">
        <x:v>2016-11-23T00:00:00.000Z</x:v>
      </x:c>
      <x:c r="B484" s="12" t="n">
        <x:v>3601.523496</x:v>
      </x:c>
      <x:c r="C484" s="13" t="n">
        <x:v>484</x:v>
      </x:c>
      <x:c r="D484" s="12" t="n">
        <x:v>106818.79999999999</x:v>
      </x:c>
      <x:c r="E484" s="12" t="n">
        <x:v>0</x:v>
      </x:c>
      <x:c r="F484" s="12" t="n">
        <x:f>SUM(B484,D484:E484)</x:f>
        <x:v>110420.32349599998</x:v>
      </x:c>
      <x:c r="G484" s="12" t="n">
        <x:f>MAX(G483,F484)</x:f>
        <x:v>110420.32349599998</x:v>
      </x:c>
      <x:c r="H484" s="14" t="n">
        <x:f>F484/G484-1</x:f>
        <x:v>0</x:v>
      </x:c>
      <x:c r="I484" s="14" t="n">
        <x:f>F484/F483-1</x:f>
        <x:v>0.00052626693840363</x:v>
      </x:c>
      <x:c r="J484" s="12" t="n">
        <x:v>0</x:v>
      </x:c>
      <x:c r="K484" s="12" t="n">
        <x:v>0</x:v>
      </x:c>
      <x:c r="L484" s="12" t="n">
        <x:v>0</x:v>
      </x:c>
      <x:c r="M484" s="2" t="str">
        <x:v>持有</x:v>
      </x:c>
    </x:row>
    <x:row r="485" ht="23" customHeight="1">
      <x:c r="A485" s="11" t="d">
        <x:v>2016-11-25T00:00:00.000Z</x:v>
      </x:c>
      <x:c r="B485" s="12" t="n">
        <x:v>3601.523496</x:v>
      </x:c>
      <x:c r="C485" s="13" t="n">
        <x:v>484</x:v>
      </x:c>
      <x:c r="D485" s="12" t="n">
        <x:v>107215.68000000001</x:v>
      </x:c>
      <x:c r="E485" s="12" t="n">
        <x:v>0</x:v>
      </x:c>
      <x:c r="F485" s="12" t="n">
        <x:f>SUM(B485,D485:E485)</x:f>
        <x:v>110817.203496</x:v>
      </x:c>
      <x:c r="G485" s="12" t="n">
        <x:f>MAX(G484,F485)</x:f>
        <x:v>110817.203496</x:v>
      </x:c>
      <x:c r="H485" s="14" t="n">
        <x:f>F485/G485-1</x:f>
        <x:v>0</x:v>
      </x:c>
      <x:c r="I485" s="14" t="n">
        <x:f>F485/F484-1</x:f>
        <x:v>0.003594265869130586</x:v>
      </x:c>
      <x:c r="J485" s="12" t="n">
        <x:v>0</x:v>
      </x:c>
      <x:c r="K485" s="12" t="n">
        <x:v>0</x:v>
      </x:c>
      <x:c r="L485" s="12" t="n">
        <x:v>0</x:v>
      </x:c>
      <x:c r="M485" s="2" t="str">
        <x:v>持有</x:v>
      </x:c>
    </x:row>
    <x:row r="486" ht="23" customHeight="1">
      <x:c r="A486" s="11" t="d">
        <x:v>2016-11-28T00:00:00.000Z</x:v>
      </x:c>
      <x:c r="B486" s="12" t="n">
        <x:v>3601.523496</x:v>
      </x:c>
      <x:c r="C486" s="13" t="n">
        <x:v>484</x:v>
      </x:c>
      <x:c r="D486" s="12" t="n">
        <x:v>106712.31999999999</x:v>
      </x:c>
      <x:c r="E486" s="12" t="n">
        <x:v>0</x:v>
      </x:c>
      <x:c r="F486" s="12" t="n">
        <x:f>SUM(B486,D486:E486)</x:f>
        <x:v>110313.84349599999</x:v>
      </x:c>
      <x:c r="G486" s="12" t="n">
        <x:f>MAX(G485,F486)</x:f>
        <x:v>110817.203496</x:v>
      </x:c>
      <x:c r="H486" s="14" t="n">
        <x:f>F486/G486-1</x:f>
        <x:v>-0.004542255030088205</x:v>
      </x:c>
      <x:c r="I486" s="14" t="n">
        <x:f>F486/F485-1</x:f>
        <x:v>-0.004542255030088205</x:v>
      </x:c>
      <x:c r="J486" s="12" t="n">
        <x:v>0</x:v>
      </x:c>
      <x:c r="K486" s="12" t="n">
        <x:v>0</x:v>
      </x:c>
      <x:c r="L486" s="12" t="n">
        <x:v>0</x:v>
      </x:c>
      <x:c r="M486" s="2" t="str">
        <x:v>持有</x:v>
      </x:c>
    </x:row>
    <x:row r="487" ht="23" customHeight="1">
      <x:c r="A487" s="11" t="d">
        <x:v>2016-11-29T00:00:00.000Z</x:v>
      </x:c>
      <x:c r="B487" s="12" t="n">
        <x:v>3601.523496</x:v>
      </x:c>
      <x:c r="C487" s="13" t="n">
        <x:v>484</x:v>
      </x:c>
      <x:c r="D487" s="12" t="n">
        <x:v>106920.44</x:v>
      </x:c>
      <x:c r="E487" s="12" t="n">
        <x:v>0</x:v>
      </x:c>
      <x:c r="F487" s="12" t="n">
        <x:f>SUM(B487,D487:E487)</x:f>
        <x:v>110521.963496</x:v>
      </x:c>
      <x:c r="G487" s="12" t="n">
        <x:f>MAX(G486,F487)</x:f>
        <x:v>110817.203496</x:v>
      </x:c>
      <x:c r="H487" s="14" t="n">
        <x:f>F487/G487-1</x:f>
        <x:v>-0.002664207277263242</x:v>
      </x:c>
      <x:c r="I487" s="14" t="n">
        <x:f>F487/F486-1</x:f>
        <x:v>0.0018866172495164424</x:v>
      </x:c>
      <x:c r="J487" s="12" t="n">
        <x:v>0</x:v>
      </x:c>
      <x:c r="K487" s="12" t="n">
        <x:v>0</x:v>
      </x:c>
      <x:c r="L487" s="12" t="n">
        <x:v>0</x:v>
      </x:c>
      <x:c r="M487" s="2" t="str">
        <x:v>持有</x:v>
      </x:c>
    </x:row>
    <x:row r="488" ht="23" customHeight="1">
      <x:c r="A488" s="11" t="d">
        <x:v>2016-11-30T00:00:00.000Z</x:v>
      </x:c>
      <x:c r="B488" s="12" t="n">
        <x:v>3601.523496</x:v>
      </x:c>
      <x:c r="C488" s="13" t="n">
        <x:v>484</x:v>
      </x:c>
      <x:c r="D488" s="12" t="n">
        <x:v>106663.92</x:v>
      </x:c>
      <x:c r="E488" s="12" t="n">
        <x:v>0</x:v>
      </x:c>
      <x:c r="F488" s="12" t="n">
        <x:f>SUM(B488,D488:E488)</x:f>
        <x:v>110265.44349599999</x:v>
      </x:c>
      <x:c r="G488" s="12" t="n">
        <x:f>MAX(G487,F488)</x:f>
        <x:v>110817.203496</x:v>
      </x:c>
      <x:c r="H488" s="14" t="n">
        <x:f>F488/G488-1</x:f>
        <x:v>-0.004979010321442767</x:v>
      </x:c>
      <x:c r="I488" s="14" t="n">
        <x:f>F488/F487-1</x:f>
        <x:v>-0.0023209866336593166</x:v>
      </x:c>
      <x:c r="J488" s="12" t="n">
        <x:v>0</x:v>
      </x:c>
      <x:c r="K488" s="12" t="n">
        <x:v>0</x:v>
      </x:c>
      <x:c r="L488" s="12" t="n">
        <x:v>0</x:v>
      </x:c>
      <x:c r="M488" s="2" t="str">
        <x:v>持有</x:v>
      </x:c>
    </x:row>
    <x:row r="489" ht="23" customHeight="1">
      <x:c r="A489" s="11" t="d">
        <x:v>2016-12-01T00:00:00.000Z</x:v>
      </x:c>
      <x:c r="B489" s="12" t="n">
        <x:v>3601.523496</x:v>
      </x:c>
      <x:c r="C489" s="13" t="n">
        <x:v>484</x:v>
      </x:c>
      <x:c r="D489" s="12" t="n">
        <x:v>106271.87999999999</x:v>
      </x:c>
      <x:c r="E489" s="12" t="n">
        <x:v>0</x:v>
      </x:c>
      <x:c r="F489" s="12" t="n">
        <x:f>SUM(B489,D489:E489)</x:f>
        <x:v>109873.40349599998</x:v>
      </x:c>
      <x:c r="G489" s="12" t="n">
        <x:f>MAX(G488,F489)</x:f>
        <x:v>110817.203496</x:v>
      </x:c>
      <x:c r="H489" s="14" t="n">
        <x:f>F489/G489-1</x:f>
        <x:v>-0.008516728181415356</x:v>
      </x:c>
      <x:c r="I489" s="14" t="n">
        <x:f>F489/F488-1</x:f>
        <x:v>-0.003555420334515169</x:v>
      </x:c>
      <x:c r="J489" s="12" t="n">
        <x:v>0</x:v>
      </x:c>
      <x:c r="K489" s="12" t="n">
        <x:v>0</x:v>
      </x:c>
      <x:c r="L489" s="12" t="n">
        <x:v>0</x:v>
      </x:c>
      <x:c r="M489" s="2" t="str">
        <x:v>持有</x:v>
      </x:c>
    </x:row>
    <x:row r="490" ht="23" customHeight="1">
      <x:c r="A490" s="11" t="d">
        <x:v>2016-12-02T00:00:00.000Z</x:v>
      </x:c>
      <x:c r="B490" s="12" t="n">
        <x:v>3601.523496</x:v>
      </x:c>
      <x:c r="C490" s="13" t="n">
        <x:v>484</x:v>
      </x:c>
      <x:c r="D490" s="12" t="n">
        <x:v>106325.12000000001</x:v>
      </x:c>
      <x:c r="E490" s="12" t="n">
        <x:v>0</x:v>
      </x:c>
      <x:c r="F490" s="12" t="n">
        <x:f>SUM(B490,D490:E490)</x:f>
        <x:v>109926.643496</x:v>
      </x:c>
      <x:c r="G490" s="12" t="n">
        <x:f>MAX(G489,F490)</x:f>
        <x:v>110817.203496</x:v>
      </x:c>
      <x:c r="H490" s="14" t="n">
        <x:f>F490/G490-1</x:f>
        <x:v>-0.008036297360925038</x:v>
      </x:c>
      <x:c r="I490" s="14" t="n">
        <x:f>F490/F489-1</x:f>
        <x:v>0.000484557666423413</x:v>
      </x:c>
      <x:c r="J490" s="12" t="n">
        <x:v>0</x:v>
      </x:c>
      <x:c r="K490" s="12" t="n">
        <x:v>0</x:v>
      </x:c>
      <x:c r="L490" s="12" t="n">
        <x:v>0</x:v>
      </x:c>
      <x:c r="M490" s="2" t="str">
        <x:v>持有</x:v>
      </x:c>
    </x:row>
    <x:row r="491" ht="23" customHeight="1">
      <x:c r="A491" s="11" t="d">
        <x:v>2016-12-05T00:00:00.000Z</x:v>
      </x:c>
      <x:c r="B491" s="12" t="n">
        <x:v>3601.523496</x:v>
      </x:c>
      <x:c r="C491" s="13" t="n">
        <x:v>484</x:v>
      </x:c>
      <x:c r="D491" s="12" t="n">
        <x:v>106964</x:v>
      </x:c>
      <x:c r="E491" s="12" t="n">
        <x:v>0</x:v>
      </x:c>
      <x:c r="F491" s="12" t="n">
        <x:f>SUM(B491,D491:E491)</x:f>
        <x:v>110565.523496</x:v>
      </x:c>
      <x:c r="G491" s="12" t="n">
        <x:f>MAX(G490,F491)</x:f>
        <x:v>110817.203496</x:v>
      </x:c>
      <x:c r="H491" s="14" t="n">
        <x:f>F491/G491-1</x:f>
        <x:v>-0.0022711275150441024</x:v>
      </x:c>
      <x:c r="I491" s="14" t="n">
        <x:f>F491/F490-1</x:f>
        <x:v>0.005811875808099609</x:v>
      </x:c>
      <x:c r="J491" s="12" t="n">
        <x:v>0</x:v>
      </x:c>
      <x:c r="K491" s="12" t="n">
        <x:v>0</x:v>
      </x:c>
      <x:c r="L491" s="12" t="n">
        <x:v>0</x:v>
      </x:c>
      <x:c r="M491" s="2" t="str">
        <x:v>持有</x:v>
      </x:c>
    </x:row>
    <x:row r="492" ht="23" customHeight="1">
      <x:c r="A492" s="11" t="d">
        <x:v>2016-12-06T00:00:00.000Z</x:v>
      </x:c>
      <x:c r="B492" s="12" t="n">
        <x:v>3601.523496</x:v>
      </x:c>
      <x:c r="C492" s="13" t="n">
        <x:v>484</x:v>
      </x:c>
      <x:c r="D492" s="12" t="n">
        <x:v>107302.79999999999</x:v>
      </x:c>
      <x:c r="E492" s="12" t="n">
        <x:v>0</x:v>
      </x:c>
      <x:c r="F492" s="12" t="n">
        <x:f>SUM(B492,D492:E492)</x:f>
        <x:v>110904.32349599998</x:v>
      </x:c>
      <x:c r="G492" s="12" t="n">
        <x:f>MAX(G491,F492)</x:f>
        <x:v>110904.32349599998</x:v>
      </x:c>
      <x:c r="H492" s="14" t="n">
        <x:f>F492/G492-1</x:f>
        <x:v>0</x:v>
      </x:c>
      <x:c r="I492" s="14" t="n">
        <x:f>F492/F491-1</x:f>
        <x:v>0.003064246333643439</x:v>
      </x:c>
      <x:c r="J492" s="12" t="n">
        <x:v>0</x:v>
      </x:c>
      <x:c r="K492" s="12" t="n">
        <x:v>0</x:v>
      </x:c>
      <x:c r="L492" s="12" t="n">
        <x:v>0</x:v>
      </x:c>
      <x:c r="M492" s="2" t="str">
        <x:v>持有</x:v>
      </x:c>
    </x:row>
    <x:row r="493" ht="23" customHeight="1">
      <x:c r="A493" s="11" t="d">
        <x:v>2016-12-07T00:00:00.000Z</x:v>
      </x:c>
      <x:c r="B493" s="12" t="n">
        <x:v>3601.523496</x:v>
      </x:c>
      <x:c r="C493" s="13" t="n">
        <x:v>484</x:v>
      </x:c>
      <x:c r="D493" s="12" t="n">
        <x:v>108706.4</x:v>
      </x:c>
      <x:c r="E493" s="12" t="n">
        <x:v>0</x:v>
      </x:c>
      <x:c r="F493" s="12" t="n">
        <x:f>SUM(B493,D493:E493)</x:f>
        <x:v>112307.92349599999</x:v>
      </x:c>
      <x:c r="G493" s="12" t="n">
        <x:f>MAX(G492,F493)</x:f>
        <x:v>112307.92349599999</x:v>
      </x:c>
      <x:c r="H493" s="14" t="n">
        <x:f>F493/G493-1</x:f>
        <x:v>0</x:v>
      </x:c>
      <x:c r="I493" s="14" t="n">
        <x:f>F493/F492-1</x:f>
        <x:v>0.01265595385062368</x:v>
      </x:c>
      <x:c r="J493" s="12" t="n">
        <x:v>0</x:v>
      </x:c>
      <x:c r="K493" s="12" t="n">
        <x:v>0</x:v>
      </x:c>
      <x:c r="L493" s="12" t="n">
        <x:v>0</x:v>
      </x:c>
      <x:c r="M493" s="2" t="str">
        <x:v>持有</x:v>
      </x:c>
    </x:row>
    <x:row r="494" ht="23" customHeight="1">
      <x:c r="A494" s="11" t="d">
        <x:v>2016-12-08T00:00:00.000Z</x:v>
      </x:c>
      <x:c r="B494" s="12" t="n">
        <x:v>3601.523496</x:v>
      </x:c>
      <x:c r="C494" s="13" t="n">
        <x:v>484</x:v>
      </x:c>
      <x:c r="D494" s="12" t="n">
        <x:v>108972.6</x:v>
      </x:c>
      <x:c r="E494" s="12" t="n">
        <x:v>0</x:v>
      </x:c>
      <x:c r="F494" s="12" t="n">
        <x:f>SUM(B494,D494:E494)</x:f>
        <x:v>112574.123496</x:v>
      </x:c>
      <x:c r="G494" s="12" t="n">
        <x:f>MAX(G493,F494)</x:f>
        <x:v>112574.123496</x:v>
      </x:c>
      <x:c r="H494" s="14" t="n">
        <x:f>F494/G494-1</x:f>
        <x:v>0</x:v>
      </x:c>
      <x:c r="I494" s="14" t="n">
        <x:f>F494/F493-1</x:f>
        <x:v>0.0023702690933422588</x:v>
      </x:c>
      <x:c r="J494" s="12" t="n">
        <x:v>0</x:v>
      </x:c>
      <x:c r="K494" s="12" t="n">
        <x:v>0</x:v>
      </x:c>
      <x:c r="L494" s="12" t="n">
        <x:v>0</x:v>
      </x:c>
      <x:c r="M494" s="2" t="str">
        <x:v>持有</x:v>
      </x:c>
    </x:row>
    <x:row r="495" ht="23" customHeight="1">
      <x:c r="A495" s="11" t="d">
        <x:v>2016-12-09T00:00:00.000Z</x:v>
      </x:c>
      <x:c r="B495" s="12" t="n">
        <x:v>3601.523496</x:v>
      </x:c>
      <x:c r="C495" s="13" t="n">
        <x:v>484</x:v>
      </x:c>
      <x:c r="D495" s="12" t="n">
        <x:v>109630.84</x:v>
      </x:c>
      <x:c r="E495" s="12" t="n">
        <x:v>0</x:v>
      </x:c>
      <x:c r="F495" s="12" t="n">
        <x:f>SUM(B495,D495:E495)</x:f>
        <x:v>113232.36349599999</x:v>
      </x:c>
      <x:c r="G495" s="12" t="n">
        <x:f>MAX(G494,F495)</x:f>
        <x:v>113232.36349599999</x:v>
      </x:c>
      <x:c r="H495" s="14" t="n">
        <x:f>F495/G495-1</x:f>
        <x:v>0</x:v>
      </x:c>
      <x:c r="I495" s="14" t="n">
        <x:f>F495/F494-1</x:f>
        <x:v>0.005847169665268437</x:v>
      </x:c>
      <x:c r="J495" s="12" t="n">
        <x:v>0</x:v>
      </x:c>
      <x:c r="K495" s="12" t="n">
        <x:v>0</x:v>
      </x:c>
      <x:c r="L495" s="12" t="n">
        <x:v>0</x:v>
      </x:c>
      <x:c r="M495" s="2" t="str">
        <x:v>持有</x:v>
      </x:c>
    </x:row>
    <x:row r="496" ht="23" customHeight="1">
      <x:c r="A496" s="11" t="d">
        <x:v>2016-12-12T00:00:00.000Z</x:v>
      </x:c>
      <x:c r="B496" s="12" t="n">
        <x:v>3601.523496</x:v>
      </x:c>
      <x:c r="C496" s="13" t="n">
        <x:v>484</x:v>
      </x:c>
      <x:c r="D496" s="12" t="n">
        <x:v>109505</x:v>
      </x:c>
      <x:c r="E496" s="12" t="n">
        <x:v>0</x:v>
      </x:c>
      <x:c r="F496" s="12" t="n">
        <x:f>SUM(B496,D496:E496)</x:f>
        <x:v>113106.523496</x:v>
      </x:c>
      <x:c r="G496" s="12" t="n">
        <x:f>MAX(G495,F496)</x:f>
        <x:v>113232.36349599999</x:v>
      </x:c>
      <x:c r="H496" s="14" t="n">
        <x:f>F496/G496-1</x:f>
        <x:v>-0.0011113430481776154</x:v>
      </x:c>
      <x:c r="I496" s="14" t="n">
        <x:f>F496/F495-1</x:f>
        <x:v>-0.0011113430481776154</x:v>
      </x:c>
      <x:c r="J496" s="12" t="n">
        <x:v>0</x:v>
      </x:c>
      <x:c r="K496" s="12" t="n">
        <x:v>0</x:v>
      </x:c>
      <x:c r="L496" s="12" t="n">
        <x:v>0</x:v>
      </x:c>
      <x:c r="M496" s="2" t="str">
        <x:v>持有</x:v>
      </x:c>
    </x:row>
    <x:row r="497" ht="23" customHeight="1">
      <x:c r="A497" s="11" t="d">
        <x:v>2016-12-13T00:00:00.000Z</x:v>
      </x:c>
      <x:c r="B497" s="12" t="n">
        <x:v>3601.523496</x:v>
      </x:c>
      <x:c r="C497" s="13" t="n">
        <x:v>484</x:v>
      </x:c>
      <x:c r="D497" s="12" t="n">
        <x:v>110235.84</x:v>
      </x:c>
      <x:c r="E497" s="12" t="n">
        <x:v>0</x:v>
      </x:c>
      <x:c r="F497" s="12" t="n">
        <x:f>SUM(B497,D497:E497)</x:f>
        <x:v>113837.36349599999</x:v>
      </x:c>
      <x:c r="G497" s="12" t="n">
        <x:f>MAX(G496,F497)</x:f>
        <x:v>113837.36349599999</x:v>
      </x:c>
      <x:c r="H497" s="14" t="n">
        <x:f>F497/G497-1</x:f>
        <x:v>0</x:v>
      </x:c>
      <x:c r="I497" s="14" t="n">
        <x:f>F497/F496-1</x:f>
        <x:v>0.006461519436815166</x:v>
      </x:c>
      <x:c r="J497" s="12" t="n">
        <x:v>0</x:v>
      </x:c>
      <x:c r="K497" s="12" t="n">
        <x:v>0</x:v>
      </x:c>
      <x:c r="L497" s="12" t="n">
        <x:v>0</x:v>
      </x:c>
      <x:c r="M497" s="2" t="str">
        <x:v>持有</x:v>
      </x:c>
    </x:row>
    <x:row r="498" ht="23" customHeight="1">
      <x:c r="A498" s="11" t="d">
        <x:v>2016-12-14T00:00:00.000Z</x:v>
      </x:c>
      <x:c r="B498" s="12" t="n">
        <x:v>3601.523496</x:v>
      </x:c>
      <x:c r="C498" s="13" t="n">
        <x:v>484</x:v>
      </x:c>
      <x:c r="D498" s="12" t="n">
        <x:v>109325.92</x:v>
      </x:c>
      <x:c r="E498" s="12" t="n">
        <x:v>0</x:v>
      </x:c>
      <x:c r="F498" s="12" t="n">
        <x:f>SUM(B498,D498:E498)</x:f>
        <x:v>112927.44349599999</x:v>
      </x:c>
      <x:c r="G498" s="12" t="n">
        <x:f>MAX(G497,F498)</x:f>
        <x:v>113837.36349599999</x:v>
      </x:c>
      <x:c r="H498" s="14" t="n">
        <x:f>F498/G498-1</x:f>
        <x:v>-0.00799315771251119</x:v>
      </x:c>
      <x:c r="I498" s="14" t="n">
        <x:f>F498/F497-1</x:f>
        <x:v>-0.00799315771251119</x:v>
      </x:c>
      <x:c r="J498" s="12" t="n">
        <x:v>0</x:v>
      </x:c>
      <x:c r="K498" s="12" t="n">
        <x:v>0</x:v>
      </x:c>
      <x:c r="L498" s="12" t="n">
        <x:v>0</x:v>
      </x:c>
      <x:c r="M498" s="2" t="str">
        <x:v>持有</x:v>
      </x:c>
    </x:row>
    <x:row r="499" ht="23" customHeight="1">
      <x:c r="A499" s="11" t="d">
        <x:v>2016-12-15T00:00:00.000Z</x:v>
      </x:c>
      <x:c r="B499" s="12" t="n">
        <x:v>3601.523496</x:v>
      </x:c>
      <x:c r="C499" s="13" t="n">
        <x:v>484</x:v>
      </x:c>
      <x:c r="D499" s="12" t="n">
        <x:v>109776.04000000001</x:v>
      </x:c>
      <x:c r="E499" s="12" t="n">
        <x:v>0</x:v>
      </x:c>
      <x:c r="F499" s="12" t="n">
        <x:f>SUM(B499,D499:E499)</x:f>
        <x:v>113377.563496</x:v>
      </x:c>
      <x:c r="G499" s="12" t="n">
        <x:f>MAX(G498,F499)</x:f>
        <x:v>113837.36349599999</x:v>
      </x:c>
      <x:c r="H499" s="14" t="n">
        <x:f>F499/G499-1</x:f>
        <x:v>-0.004039095652598634</x:v>
      </x:c>
      <x:c r="I499" s="14" t="n">
        <x:f>F499/F498-1</x:f>
        <x:v>0.003985922164402522</x:v>
      </x:c>
      <x:c r="J499" s="12" t="n">
        <x:v>0</x:v>
      </x:c>
      <x:c r="K499" s="12" t="n">
        <x:v>0</x:v>
      </x:c>
      <x:c r="L499" s="12" t="n">
        <x:v>0</x:v>
      </x:c>
      <x:c r="M499" s="2" t="str">
        <x:v>持有</x:v>
      </x:c>
    </x:row>
    <x:row r="500" ht="23" customHeight="1">
      <x:c r="A500" s="11" t="d">
        <x:v>2016-12-16T00:00:00.000Z</x:v>
      </x:c>
      <x:c r="B500" s="12" t="n">
        <x:v>3601.523496</x:v>
      </x:c>
      <x:c r="C500" s="13" t="n">
        <x:v>484</x:v>
      </x:c>
      <x:c r="D500" s="12" t="n">
        <x:v>108919.36</x:v>
      </x:c>
      <x:c r="E500" s="12" t="n">
        <x:v>643.20212</x:v>
      </x:c>
      <x:c r="F500" s="12" t="n">
        <x:f>SUM(B500,D500:E500)</x:f>
        <x:v>113164.085616</x:v>
      </x:c>
      <x:c r="G500" s="12" t="n">
        <x:f>MAX(G499,F500)</x:f>
        <x:v>113837.36349599999</x:v>
      </x:c>
      <x:c r="H500" s="14" t="n">
        <x:f>F500/G500-1</x:f>
        <x:v>-0.005914383988905869</x:v>
      </x:c>
      <x:c r="I500" s="14" t="n">
        <x:f>F500/F499-1</x:f>
        <x:v>-0.0018828935233515809</x:v>
      </x:c>
      <x:c r="J500" s="12" t="n">
        <x:v>643.20212</x:v>
      </x:c>
      <x:c r="K500" s="12" t="n">
        <x:v>0</x:v>
      </x:c>
      <x:c r="L500" s="12" t="n">
        <x:v>0</x:v>
      </x:c>
      <x:c r="M500" s="2" t="str">
        <x:v>持有</x:v>
      </x:c>
    </x:row>
    <x:row r="501" ht="23" customHeight="1">
      <x:c r="A501" s="11" t="d">
        <x:v>2016-12-19T00:00:00.000Z</x:v>
      </x:c>
      <x:c r="B501" s="12" t="n">
        <x:v>3601.523496</x:v>
      </x:c>
      <x:c r="C501" s="13" t="n">
        <x:v>484</x:v>
      </x:c>
      <x:c r="D501" s="12" t="n">
        <x:v>109156.52</x:v>
      </x:c>
      <x:c r="E501" s="12" t="n">
        <x:v>643.20212</x:v>
      </x:c>
      <x:c r="F501" s="12" t="n">
        <x:f>SUM(B501,D501:E501)</x:f>
        <x:v>113401.245616</x:v>
      </x:c>
      <x:c r="G501" s="12" t="n">
        <x:f>MAX(G500,F501)</x:f>
        <x:v>113837.36349599999</x:v>
      </x:c>
      <x:c r="H501" s="14" t="n">
        <x:f>F501/G501-1</x:f>
        <x:v>-0.003831060968091715</x:v>
      </x:c>
      <x:c r="I501" s="14" t="n">
        <x:f>F501/F500-1</x:f>
        <x:v>0.0020957179012144334</x:v>
      </x:c>
      <x:c r="J501" s="12" t="n">
        <x:v>0</x:v>
      </x:c>
      <x:c r="K501" s="12" t="n">
        <x:v>0</x:v>
      </x:c>
      <x:c r="L501" s="12" t="n">
        <x:v>0</x:v>
      </x:c>
      <x:c r="M501" s="2" t="str">
        <x:v>持有</x:v>
      </x:c>
    </x:row>
    <x:row r="502" ht="23" customHeight="1">
      <x:c r="A502" s="11" t="d">
        <x:v>2016-12-20T00:00:00.000Z</x:v>
      </x:c>
      <x:c r="B502" s="12" t="n">
        <x:v>3601.523496</x:v>
      </x:c>
      <x:c r="C502" s="13" t="n">
        <x:v>484</x:v>
      </x:c>
      <x:c r="D502" s="12" t="n">
        <x:v>109577.6</x:v>
      </x:c>
      <x:c r="E502" s="12" t="n">
        <x:v>643.20212</x:v>
      </x:c>
      <x:c r="F502" s="12" t="n">
        <x:f>SUM(B502,D502:E502)</x:f>
        <x:v>113822.325616</x:v>
      </x:c>
      <x:c r="G502" s="12" t="n">
        <x:f>MAX(G501,F502)</x:f>
        <x:v>113837.36349599999</x:v>
      </x:c>
      <x:c r="H502" s="14" t="n">
        <x:f>F502/G502-1</x:f>
        <x:v>-0.000132099686238063</x:v>
      </x:c>
      <x:c r="I502" s="14" t="n">
        <x:f>F502/F501-1</x:f>
        <x:v>0.003713186726589157</x:v>
      </x:c>
      <x:c r="J502" s="12" t="n">
        <x:v>0</x:v>
      </x:c>
      <x:c r="K502" s="12" t="n">
        <x:v>0</x:v>
      </x:c>
      <x:c r="L502" s="12" t="n">
        <x:v>0</x:v>
      </x:c>
      <x:c r="M502" s="2" t="str">
        <x:v>持有</x:v>
      </x:c>
    </x:row>
    <x:row r="503" ht="23" customHeight="1">
      <x:c r="A503" s="11" t="d">
        <x:v>2016-12-21T00:00:00.000Z</x:v>
      </x:c>
      <x:c r="B503" s="12" t="n">
        <x:v>3601.523496</x:v>
      </x:c>
      <x:c r="C503" s="13" t="n">
        <x:v>484</x:v>
      </x:c>
      <x:c r="D503" s="12" t="n">
        <x:v>109272.68000000001</x:v>
      </x:c>
      <x:c r="E503" s="12" t="n">
        <x:v>643.20212</x:v>
      </x:c>
      <x:c r="F503" s="12" t="n">
        <x:f>SUM(B503,D503:E503)</x:f>
        <x:v>113517.405616</x:v>
      </x:c>
      <x:c r="G503" s="12" t="n">
        <x:f>MAX(G502,F503)</x:f>
        <x:v>113837.36349599999</x:v>
      </x:c>
      <x:c r="H503" s="14" t="n">
        <x:f>F503/G503-1</x:f>
        <x:v>-0.0028106578558562134</x:v>
      </x:c>
      <x:c r="I503" s="14" t="n">
        <x:f>F503/F502-1</x:f>
        <x:v>-0.002678912053059812</x:v>
      </x:c>
      <x:c r="J503" s="12" t="n">
        <x:v>0</x:v>
      </x:c>
      <x:c r="K503" s="12" t="n">
        <x:v>0</x:v>
      </x:c>
      <x:c r="L503" s="12" t="n">
        <x:v>0</x:v>
      </x:c>
      <x:c r="M503" s="2" t="str">
        <x:v>持有</x:v>
      </x:c>
    </x:row>
    <x:row r="504" ht="23" customHeight="1">
      <x:c r="A504" s="11" t="d">
        <x:v>2016-12-22T00:00:00.000Z</x:v>
      </x:c>
      <x:c r="B504" s="12" t="n">
        <x:v>3601.523496</x:v>
      </x:c>
      <x:c r="C504" s="13" t="n">
        <x:v>484</x:v>
      </x:c>
      <x:c r="D504" s="12" t="n">
        <x:v>109083.92</x:v>
      </x:c>
      <x:c r="E504" s="12" t="n">
        <x:v>643.20212</x:v>
      </x:c>
      <x:c r="F504" s="12" t="n">
        <x:f>SUM(B504,D504:E504)</x:f>
        <x:v>113328.645616</x:v>
      </x:c>
      <x:c r="G504" s="12" t="n">
        <x:f>MAX(G503,F504)</x:f>
        <x:v>113837.36349599999</x:v>
      </x:c>
      <x:c r="H504" s="14" t="n">
        <x:f>F504/G504-1</x:f>
        <x:v>-0.004468812913238862</x:v>
      </x:c>
      <x:c r="I504" s="14" t="n">
        <x:f>F504/F503-1</x:f>
        <x:v>-0.0016628286999311737</x:v>
      </x:c>
      <x:c r="J504" s="12" t="n">
        <x:v>0</x:v>
      </x:c>
      <x:c r="K504" s="12" t="n">
        <x:v>0</x:v>
      </x:c>
      <x:c r="L504" s="12" t="n">
        <x:v>0</x:v>
      </x:c>
      <x:c r="M504" s="2" t="str">
        <x:v>持有</x:v>
      </x:c>
    </x:row>
    <x:row r="505" ht="23" customHeight="1">
      <x:c r="A505" s="11" t="d">
        <x:v>2016-12-23T00:00:00.000Z</x:v>
      </x:c>
      <x:c r="B505" s="12" t="n">
        <x:v>3601.523496</x:v>
      </x:c>
      <x:c r="C505" s="13" t="n">
        <x:v>484</x:v>
      </x:c>
      <x:c r="D505" s="12" t="n">
        <x:v>109243.64</x:v>
      </x:c>
      <x:c r="E505" s="12" t="n">
        <x:v>643.20212</x:v>
      </x:c>
      <x:c r="F505" s="12" t="n">
        <x:f>SUM(B505,D505:E505)</x:f>
        <x:v>113488.365616</x:v>
      </x:c>
      <x:c r="G505" s="12" t="n">
        <x:f>MAX(G504,F505)</x:f>
        <x:v>113837.36349599999</x:v>
      </x:c>
      <x:c r="H505" s="14" t="n">
        <x:f>F505/G505-1</x:f>
        <x:v>-0.0030657586339151166</x:v>
      </x:c>
      <x:c r="I505" s="14" t="n">
        <x:f>F505/F504-1</x:f>
        <x:v>0.0014093524115799116</x:v>
      </x:c>
      <x:c r="J505" s="12" t="n">
        <x:v>0</x:v>
      </x:c>
      <x:c r="K505" s="12" t="n">
        <x:v>0</x:v>
      </x:c>
      <x:c r="L505" s="12" t="n">
        <x:v>0</x:v>
      </x:c>
      <x:c r="M505" s="2" t="str">
        <x:v>持有</x:v>
      </x:c>
    </x:row>
    <x:row r="506" ht="23" customHeight="1">
      <x:c r="A506" s="11" t="d">
        <x:v>2016-12-27T00:00:00.000Z</x:v>
      </x:c>
      <x:c r="B506" s="12" t="n">
        <x:v>3601.523496</x:v>
      </x:c>
      <x:c r="C506" s="13" t="n">
        <x:v>484</x:v>
      </x:c>
      <x:c r="D506" s="12" t="n">
        <x:v>109514.68000000001</x:v>
      </x:c>
      <x:c r="E506" s="12" t="n">
        <x:v>643.20212</x:v>
      </x:c>
      <x:c r="F506" s="12" t="n">
        <x:f>SUM(B506,D506:E506)</x:f>
        <x:v>113759.405616</x:v>
      </x:c>
      <x:c r="G506" s="12" t="n">
        <x:f>MAX(G505,F506)</x:f>
        <x:v>113837.36349599999</x:v>
      </x:c>
      <x:c r="H506" s="14" t="n">
        <x:f>F506/G506-1</x:f>
        <x:v>-0.0006848180386989089</x:v>
      </x:c>
      <x:c r="I506" s="14" t="n">
        <x:f>F506/F505-1</x:f>
        <x:v>0.0023882624313853462</x:v>
      </x:c>
      <x:c r="J506" s="12" t="n">
        <x:v>0</x:v>
      </x:c>
      <x:c r="K506" s="12" t="n">
        <x:v>0</x:v>
      </x:c>
      <x:c r="L506" s="12" t="n">
        <x:v>0</x:v>
      </x:c>
      <x:c r="M506" s="2" t="str">
        <x:v>持有</x:v>
      </x:c>
    </x:row>
    <x:row r="507" ht="23" customHeight="1">
      <x:c r="A507" s="11" t="d">
        <x:v>2016-12-28T00:00:00.000Z</x:v>
      </x:c>
      <x:c r="B507" s="12" t="n">
        <x:v>3601.523496</x:v>
      </x:c>
      <x:c r="C507" s="13" t="n">
        <x:v>484</x:v>
      </x:c>
      <x:c r="D507" s="12" t="n">
        <x:v>108609.6</x:v>
      </x:c>
      <x:c r="E507" s="12" t="n">
        <x:v>643.20212</x:v>
      </x:c>
      <x:c r="F507" s="12" t="n">
        <x:f>SUM(B507,D507:E507)</x:f>
        <x:v>112854.325616</x:v>
      </x:c>
      <x:c r="G507" s="12" t="n">
        <x:f>MAX(G506,F507)</x:f>
        <x:v>113837.36349599999</x:v>
      </x:c>
      <x:c r="H507" s="14" t="n">
        <x:f>F507/G507-1</x:f>
        <x:v>-0.008635458954867059</x:v>
      </x:c>
      <x:c r="I507" s="14" t="n">
        <x:f>F507/F506-1</x:f>
        <x:v>-0.007956089389699716</x:v>
      </x:c>
      <x:c r="J507" s="12" t="n">
        <x:v>0</x:v>
      </x:c>
      <x:c r="K507" s="12" t="n">
        <x:v>0</x:v>
      </x:c>
      <x:c r="L507" s="12" t="n">
        <x:v>0</x:v>
      </x:c>
      <x:c r="M507" s="2" t="str">
        <x:v>持有</x:v>
      </x:c>
    </x:row>
    <x:row r="508" ht="23" customHeight="1">
      <x:c r="A508" s="11" t="d">
        <x:v>2016-12-29T00:00:00.000Z</x:v>
      </x:c>
      <x:c r="B508" s="12" t="n">
        <x:v>3601.523496</x:v>
      </x:c>
      <x:c r="C508" s="13" t="n">
        <x:v>484</x:v>
      </x:c>
      <x:c r="D508" s="12" t="n">
        <x:v>108585.4</x:v>
      </x:c>
      <x:c r="E508" s="12" t="n">
        <x:v>643.20212</x:v>
      </x:c>
      <x:c r="F508" s="12" t="n">
        <x:f>SUM(B508,D508:E508)</x:f>
        <x:v>112830.12561599999</x:v>
      </x:c>
      <x:c r="G508" s="12" t="n">
        <x:f>MAX(G507,F508)</x:f>
        <x:v>113837.36349599999</x:v>
      </x:c>
      <x:c r="H508" s="14" t="n">
        <x:f>F508/G508-1</x:f>
        <x:v>-0.008848042936582923</x:v>
      </x:c>
      <x:c r="I508" s="14" t="n">
        <x:f>F508/F507-1</x:f>
        <x:v>-0.00021443573268387084</x:v>
      </x:c>
      <x:c r="J508" s="12" t="n">
        <x:v>0</x:v>
      </x:c>
      <x:c r="K508" s="12" t="n">
        <x:v>0</x:v>
      </x:c>
      <x:c r="L508" s="12" t="n">
        <x:v>0</x:v>
      </x:c>
      <x:c r="M508" s="2" t="str">
        <x:v>持有</x:v>
      </x:c>
    </x:row>
    <x:row r="509" ht="23" customHeight="1">
      <x:c r="A509" s="11" t="d">
        <x:v>2016-12-30T00:00:00.000Z</x:v>
      </x:c>
      <x:c r="B509" s="12" t="n">
        <x:v>3601.523496</x:v>
      </x:c>
      <x:c r="C509" s="13" t="n">
        <x:v>484</x:v>
      </x:c>
      <x:c r="D509" s="12" t="n">
        <x:v>108188.52</x:v>
      </x:c>
      <x:c r="E509" s="12" t="n">
        <x:v>643.20212</x:v>
      </x:c>
      <x:c r="F509" s="12" t="n">
        <x:f>SUM(B509,D509:E509)</x:f>
        <x:v>112433.245616</x:v>
      </x:c>
      <x:c r="G509" s="12" t="n">
        <x:f>MAX(G508,F509)</x:f>
        <x:v>113837.36349599999</x:v>
      </x:c>
      <x:c r="H509" s="14" t="n">
        <x:f>F509/G509-1</x:f>
        <x:v>-0.012334420236720711</x:v>
      </x:c>
      <x:c r="I509" s="14" t="n">
        <x:f>F509/F508-1</x:f>
        <x:v>-0.003517500293766518</x:v>
      </x:c>
      <x:c r="J509" s="12" t="n">
        <x:v>0</x:v>
      </x:c>
      <x:c r="K509" s="12" t="n">
        <x:v>0</x:v>
      </x:c>
      <x:c r="L509" s="12" t="n">
        <x:v>0</x:v>
      </x:c>
      <x:c r="M509" s="2" t="str">
        <x:v>持有</x:v>
      </x:c>
    </x:row>
    <x:row r="510" ht="23" customHeight="1">
      <x:c r="A510" s="11" t="d">
        <x:v>2017-01-03T00:00:00.000Z</x:v>
      </x:c>
      <x:c r="B510" s="12" t="n">
        <x:v>3601.523496</x:v>
      </x:c>
      <x:c r="C510" s="13" t="n">
        <x:v>484</x:v>
      </x:c>
      <x:c r="D510" s="12" t="n">
        <x:v>109016.16</x:v>
      </x:c>
      <x:c r="E510" s="12" t="n">
        <x:v>643.20212</x:v>
      </x:c>
      <x:c r="F510" s="12" t="n">
        <x:f>SUM(B510,D510:E510)</x:f>
        <x:v>113260.885616</x:v>
      </x:c>
      <x:c r="G510" s="12" t="n">
        <x:f>MAX(G509,F510)</x:f>
        <x:v>113837.36349599999</x:v>
      </x:c>
      <x:c r="H510" s="14" t="n">
        <x:f>F510/G510-1</x:f>
        <x:v>-0.0050640480620428585</x:v>
      </x:c>
      <x:c r="I510" s="14" t="n">
        <x:f>F510/F509-1</x:f>
        <x:v>0.007361167913151556</x:v>
      </x:c>
      <x:c r="J510" s="12" t="n">
        <x:v>0</x:v>
      </x:c>
      <x:c r="K510" s="12" t="n">
        <x:v>0</x:v>
      </x:c>
      <x:c r="L510" s="12" t="n">
        <x:v>0</x:v>
      </x:c>
      <x:c r="M510" s="2" t="str">
        <x:v>持有</x:v>
      </x:c>
    </x:row>
    <x:row r="511" ht="23" customHeight="1">
      <x:c r="A511" s="11" t="d">
        <x:v>2017-01-04T00:00:00.000Z</x:v>
      </x:c>
      <x:c r="B511" s="12" t="n">
        <x:v>3601.523496</x:v>
      </x:c>
      <x:c r="C511" s="13" t="n">
        <x:v>484</x:v>
      </x:c>
      <x:c r="D511" s="12" t="n">
        <x:v>109664.72</x:v>
      </x:c>
      <x:c r="E511" s="12" t="n">
        <x:v>643.20212</x:v>
      </x:c>
      <x:c r="F511" s="12" t="n">
        <x:f>SUM(B511,D511:E511)</x:f>
        <x:v>113909.445616</x:v>
      </x:c>
      <x:c r="G511" s="12" t="n">
        <x:f>MAX(G510,F511)</x:f>
        <x:v>113909.445616</x:v>
      </x:c>
      <x:c r="H511" s="14" t="n">
        <x:f>F511/G511-1</x:f>
        <x:v>0</x:v>
      </x:c>
      <x:c r="I511" s="14" t="n">
        <x:f>F511/F510-1</x:f>
        <x:v>0.005726248708657344</x:v>
      </x:c>
      <x:c r="J511" s="12" t="n">
        <x:v>0</x:v>
      </x:c>
      <x:c r="K511" s="12" t="n">
        <x:v>0</x:v>
      </x:c>
      <x:c r="L511" s="12" t="n">
        <x:v>0</x:v>
      </x:c>
      <x:c r="M511" s="2" t="str">
        <x:v>持有</x:v>
      </x:c>
    </x:row>
    <x:row r="512" ht="23" customHeight="1">
      <x:c r="A512" s="11" t="d">
        <x:v>2017-01-05T00:00:00.000Z</x:v>
      </x:c>
      <x:c r="B512" s="12" t="n">
        <x:v>3601.523496</x:v>
      </x:c>
      <x:c r="C512" s="13" t="n">
        <x:v>484</x:v>
      </x:c>
      <x:c r="D512" s="12" t="n">
        <x:v>109577.6</x:v>
      </x:c>
      <x:c r="E512" s="12" t="n">
        <x:v>643.20212</x:v>
      </x:c>
      <x:c r="F512" s="12" t="n">
        <x:f>SUM(B512,D512:E512)</x:f>
        <x:v>113822.325616</x:v>
      </x:c>
      <x:c r="G512" s="12" t="n">
        <x:f>MAX(G511,F512)</x:f>
        <x:v>113909.445616</x:v>
      </x:c>
      <x:c r="H512" s="14" t="n">
        <x:f>F512/G512-1</x:f>
        <x:v>-0.00076481804936257</x:v>
      </x:c>
      <x:c r="I512" s="14" t="n">
        <x:f>F512/F511-1</x:f>
        <x:v>-0.00076481804936257</x:v>
      </x:c>
      <x:c r="J512" s="12" t="n">
        <x:v>0</x:v>
      </x:c>
      <x:c r="K512" s="12" t="n">
        <x:v>0</x:v>
      </x:c>
      <x:c r="L512" s="12" t="n">
        <x:v>0</x:v>
      </x:c>
      <x:c r="M512" s="2" t="str">
        <x:v>持有</x:v>
      </x:c>
    </x:row>
    <x:row r="513" ht="23" customHeight="1">
      <x:c r="A513" s="11" t="d">
        <x:v>2017-01-06T00:00:00.000Z</x:v>
      </x:c>
      <x:c r="B513" s="12" t="n">
        <x:v>3601.523496</x:v>
      </x:c>
      <x:c r="C513" s="13" t="n">
        <x:v>484</x:v>
      </x:c>
      <x:c r="D513" s="12" t="n">
        <x:v>109969.64</x:v>
      </x:c>
      <x:c r="E513" s="12" t="n">
        <x:v>643.20212</x:v>
      </x:c>
      <x:c r="F513" s="12" t="n">
        <x:f>SUM(B513,D513:E513)</x:f>
        <x:v>114214.365616</x:v>
      </x:c>
      <x:c r="G513" s="12" t="n">
        <x:f>MAX(G512,F513)</x:f>
        <x:v>114214.365616</x:v>
      </x:c>
      <x:c r="H513" s="14" t="n">
        <x:f>F513/G513-1</x:f>
        <x:v>0</x:v>
      </x:c>
      <x:c r="I513" s="14" t="n">
        <x:f>F513/F512-1</x:f>
        <x:v>0.0034443154967911394</x:v>
      </x:c>
      <x:c r="J513" s="12" t="n">
        <x:v>0</x:v>
      </x:c>
      <x:c r="K513" s="12" t="n">
        <x:v>0</x:v>
      </x:c>
      <x:c r="L513" s="12" t="n">
        <x:v>0</x:v>
      </x:c>
      <x:c r="M513" s="2" t="str">
        <x:v>持有</x:v>
      </x:c>
    </x:row>
    <x:row r="514" ht="23" customHeight="1">
      <x:c r="A514" s="11" t="d">
        <x:v>2017-01-09T00:00:00.000Z</x:v>
      </x:c>
      <x:c r="B514" s="12" t="n">
        <x:v>3601.523496</x:v>
      </x:c>
      <x:c r="C514" s="13" t="n">
        <x:v>484</x:v>
      </x:c>
      <x:c r="D514" s="12" t="n">
        <x:v>109606.64</x:v>
      </x:c>
      <x:c r="E514" s="12" t="n">
        <x:v>643.20212</x:v>
      </x:c>
      <x:c r="F514" s="12" t="n">
        <x:f>SUM(B514,D514:E514)</x:f>
        <x:v>113851.365616</x:v>
      </x:c>
      <x:c r="G514" s="12" t="n">
        <x:f>MAX(G513,F514)</x:f>
        <x:v>114214.365616</x:v>
      </x:c>
      <x:c r="H514" s="14" t="n">
        <x:f>F514/G514-1</x:f>
        <x:v>-0.003178234174328276</x:v>
      </x:c>
      <x:c r="I514" s="14" t="n">
        <x:f>F514/F513-1</x:f>
        <x:v>-0.003178234174328276</x:v>
      </x:c>
      <x:c r="J514" s="12" t="n">
        <x:v>0</x:v>
      </x:c>
      <x:c r="K514" s="12" t="n">
        <x:v>0</x:v>
      </x:c>
      <x:c r="L514" s="12" t="n">
        <x:v>0</x:v>
      </x:c>
      <x:c r="M514" s="2" t="str">
        <x:v>持有</x:v>
      </x:c>
    </x:row>
    <x:row r="515" ht="23" customHeight="1">
      <x:c r="A515" s="11" t="d">
        <x:v>2017-01-10T00:00:00.000Z</x:v>
      </x:c>
      <x:c r="B515" s="12" t="n">
        <x:v>3601.523496</x:v>
      </x:c>
      <x:c r="C515" s="13" t="n">
        <x:v>484</x:v>
      </x:c>
      <x:c r="D515" s="12" t="n">
        <x:v>109606.64</x:v>
      </x:c>
      <x:c r="E515" s="12" t="n">
        <x:v>643.20212</x:v>
      </x:c>
      <x:c r="F515" s="12" t="n">
        <x:f>SUM(B515,D515:E515)</x:f>
        <x:v>113851.365616</x:v>
      </x:c>
      <x:c r="G515" s="12" t="n">
        <x:f>MAX(G514,F515)</x:f>
        <x:v>114214.365616</x:v>
      </x:c>
      <x:c r="H515" s="14" t="n">
        <x:f>F515/G515-1</x:f>
        <x:v>-0.003178234174328276</x:v>
      </x:c>
      <x:c r="I515" s="14" t="n">
        <x:f>F515/F514-1</x:f>
        <x:v>0</x:v>
      </x:c>
      <x:c r="J515" s="12" t="n">
        <x:v>0</x:v>
      </x:c>
      <x:c r="K515" s="12" t="n">
        <x:v>0</x:v>
      </x:c>
      <x:c r="L515" s="12" t="n">
        <x:v>0</x:v>
      </x:c>
      <x:c r="M515" s="2" t="str">
        <x:v>持有</x:v>
      </x:c>
    </x:row>
    <x:row r="516" ht="23" customHeight="1">
      <x:c r="A516" s="11" t="d">
        <x:v>2017-01-11T00:00:00.000Z</x:v>
      </x:c>
      <x:c r="B516" s="12" t="n">
        <x:v>3601.523496</x:v>
      </x:c>
      <x:c r="C516" s="13" t="n">
        <x:v>484</x:v>
      </x:c>
      <x:c r="D516" s="12" t="n">
        <x:v>109916.4</x:v>
      </x:c>
      <x:c r="E516" s="12" t="n">
        <x:v>643.20212</x:v>
      </x:c>
      <x:c r="F516" s="12" t="n">
        <x:f>SUM(B516,D516:E516)</x:f>
        <x:v>114161.12561599999</x:v>
      </x:c>
      <x:c r="G516" s="12" t="n">
        <x:f>MAX(G515,F516)</x:f>
        <x:v>114214.365616</x:v>
      </x:c>
      <x:c r="H516" s="14" t="n">
        <x:f>F516/G516-1</x:f>
        <x:v>-0.00046614101223485527</x:v>
      </x:c>
      <x:c r="I516" s="14" t="n">
        <x:f>F516/F515-1</x:f>
        <x:v>0.002720740311932257</x:v>
      </x:c>
      <x:c r="J516" s="12" t="n">
        <x:v>0</x:v>
      </x:c>
      <x:c r="K516" s="12" t="n">
        <x:v>0</x:v>
      </x:c>
      <x:c r="L516" s="12" t="n">
        <x:v>0</x:v>
      </x:c>
      <x:c r="M516" s="2" t="str">
        <x:v>持有</x:v>
      </x:c>
    </x:row>
    <x:row r="517" ht="23" customHeight="1">
      <x:c r="A517" s="11" t="d">
        <x:v>2017-01-12T00:00:00.000Z</x:v>
      </x:c>
      <x:c r="B517" s="12" t="n">
        <x:v>3601.523496</x:v>
      </x:c>
      <x:c r="C517" s="13" t="n">
        <x:v>484</x:v>
      </x:c>
      <x:c r="D517" s="12" t="n">
        <x:v>109640.52</x:v>
      </x:c>
      <x:c r="E517" s="12" t="n">
        <x:v>643.20212</x:v>
      </x:c>
      <x:c r="F517" s="12" t="n">
        <x:f>SUM(B517,D517:E517)</x:f>
        <x:v>113885.245616</x:v>
      </x:c>
      <x:c r="G517" s="12" t="n">
        <x:f>MAX(G516,F517)</x:f>
        <x:v>114214.365616</x:v>
      </x:c>
      <x:c r="H517" s="14" t="n">
        <x:f>F517/G517-1</x:f>
        <x:v>-0.0028815989847242873</x:v>
      </x:c>
      <x:c r="I517" s="14" t="n">
        <x:f>F517/F516-1</x:f>
        <x:v>-0.0024165844416071947</x:v>
      </x:c>
      <x:c r="J517" s="12" t="n">
        <x:v>0</x:v>
      </x:c>
      <x:c r="K517" s="12" t="n">
        <x:v>0</x:v>
      </x:c>
      <x:c r="L517" s="12" t="n">
        <x:v>0</x:v>
      </x:c>
      <x:c r="M517" s="2" t="str">
        <x:v>持有</x:v>
      </x:c>
    </x:row>
    <x:row r="518" ht="23" customHeight="1">
      <x:c r="A518" s="11" t="d">
        <x:v>2017-01-13T00:00:00.000Z</x:v>
      </x:c>
      <x:c r="B518" s="12" t="n">
        <x:v>3601.523496</x:v>
      </x:c>
      <x:c r="C518" s="13" t="n">
        <x:v>484</x:v>
      </x:c>
      <x:c r="D518" s="12" t="n">
        <x:v>109892.20000000001</x:v>
      </x:c>
      <x:c r="E518" s="12" t="n">
        <x:v>643.20212</x:v>
      </x:c>
      <x:c r="F518" s="12" t="n">
        <x:f>SUM(B518,D518:E518)</x:f>
        <x:v>114136.92561600001</x:v>
      </x:c>
      <x:c r="G518" s="12" t="n">
        <x:f>MAX(G517,F518)</x:f>
        <x:v>114214.365616</x:v>
      </x:c>
      <x:c r="H518" s="14" t="n">
        <x:f>F518/G518-1</x:f>
        <x:v>-0.0006780232905232442</x:v>
      </x:c>
      <x:c r="I518" s="14" t="n">
        <x:f>F518/F517-1</x:f>
        <x:v>0.002209943866202213</x:v>
      </x:c>
      <x:c r="J518" s="12" t="n">
        <x:v>0</x:v>
      </x:c>
      <x:c r="K518" s="12" t="n">
        <x:v>0</x:v>
      </x:c>
      <x:c r="L518" s="12" t="n">
        <x:v>0</x:v>
      </x:c>
      <x:c r="M518" s="2" t="str">
        <x:v>持有</x:v>
      </x:c>
    </x:row>
    <x:row r="519" ht="23" customHeight="1">
      <x:c r="A519" s="11" t="d">
        <x:v>2017-01-17T00:00:00.000Z</x:v>
      </x:c>
      <x:c r="B519" s="12" t="n">
        <x:v>3601.523496</x:v>
      </x:c>
      <x:c r="C519" s="13" t="n">
        <x:v>484</x:v>
      </x:c>
      <x:c r="D519" s="12" t="n">
        <x:v>109505</x:v>
      </x:c>
      <x:c r="E519" s="12" t="n">
        <x:v>643.20212</x:v>
      </x:c>
      <x:c r="F519" s="12" t="n">
        <x:f>SUM(B519,D519:E519)</x:f>
        <x:v>113749.725616</x:v>
      </x:c>
      <x:c r="G519" s="12" t="n">
        <x:f>MAX(G518,F519)</x:f>
        <x:v>114214.365616</x:v>
      </x:c>
      <x:c r="H519" s="14" t="n">
        <x:f>F519/G519-1</x:f>
        <x:v>-0.004068139743140242</x:v>
      </x:c>
      <x:c r="I519" s="14" t="n">
        <x:f>F519/F518-1</x:f>
        <x:v>-0.003392416590076164</x:v>
      </x:c>
      <x:c r="J519" s="12" t="n">
        <x:v>0</x:v>
      </x:c>
      <x:c r="K519" s="12" t="n">
        <x:v>0</x:v>
      </x:c>
      <x:c r="L519" s="12" t="n">
        <x:v>0</x:v>
      </x:c>
      <x:c r="M519" s="2" t="str">
        <x:v>持有</x:v>
      </x:c>
    </x:row>
    <x:row r="520" ht="23" customHeight="1">
      <x:c r="A520" s="11" t="d">
        <x:v>2017-01-18T00:00:00.000Z</x:v>
      </x:c>
      <x:c r="B520" s="12" t="n">
        <x:v>3601.523496</x:v>
      </x:c>
      <x:c r="C520" s="13" t="n">
        <x:v>484</x:v>
      </x:c>
      <x:c r="D520" s="12" t="n">
        <x:v>109747</x:v>
      </x:c>
      <x:c r="E520" s="12" t="n">
        <x:v>643.20212</x:v>
      </x:c>
      <x:c r="F520" s="12" t="n">
        <x:f>SUM(B520,D520:E520)</x:f>
        <x:v>113991.725616</x:v>
      </x:c>
      <x:c r="G520" s="12" t="n">
        <x:f>MAX(G519,F520)</x:f>
        <x:v>114214.365616</x:v>
      </x:c>
      <x:c r="H520" s="14" t="n">
        <x:f>F520/G520-1</x:f>
        <x:v>-0.0019493169602546878</x:v>
      </x:c>
      <x:c r="I520" s="14" t="n">
        <x:f>F520/F519-1</x:f>
        <x:v>0.0021274776593041</x:v>
      </x:c>
      <x:c r="J520" s="12" t="n">
        <x:v>0</x:v>
      </x:c>
      <x:c r="K520" s="12" t="n">
        <x:v>0</x:v>
      </x:c>
      <x:c r="L520" s="12" t="n">
        <x:v>0</x:v>
      </x:c>
      <x:c r="M520" s="2" t="str">
        <x:v>持有</x:v>
      </x:c>
    </x:row>
    <x:row r="521" ht="23" customHeight="1">
      <x:c r="A521" s="11" t="d">
        <x:v>2017-01-19T00:00:00.000Z</x:v>
      </x:c>
      <x:c r="B521" s="12" t="n">
        <x:v>3601.523496</x:v>
      </x:c>
      <x:c r="C521" s="13" t="n">
        <x:v>484</x:v>
      </x:c>
      <x:c r="D521" s="12" t="n">
        <x:v>109340.44</x:v>
      </x:c>
      <x:c r="E521" s="12" t="n">
        <x:v>643.20212</x:v>
      </x:c>
      <x:c r="F521" s="12" t="n">
        <x:f>SUM(B521,D521:E521)</x:f>
        <x:v>113585.165616</x:v>
      </x:c>
      <x:c r="G521" s="12" t="n">
        <x:f>MAX(G520,F521)</x:f>
        <x:v>114214.365616</x:v>
      </x:c>
      <x:c r="H521" s="14" t="n">
        <x:f>F521/G521-1</x:f>
        <x:v>-0.005508939235502441</x:v>
      </x:c>
      <x:c r="I521" s="14" t="n">
        <x:f>F521/F520-1</x:f>
        <x:v>-0.0035665746597218773</x:v>
      </x:c>
      <x:c r="J521" s="12" t="n">
        <x:v>0</x:v>
      </x:c>
      <x:c r="K521" s="12" t="n">
        <x:v>0</x:v>
      </x:c>
      <x:c r="L521" s="12" t="n">
        <x:v>0</x:v>
      </x:c>
      <x:c r="M521" s="2" t="str">
        <x:v>持有</x:v>
      </x:c>
    </x:row>
    <x:row r="522" ht="23" customHeight="1">
      <x:c r="A522" s="11" t="d">
        <x:v>2017-01-20T00:00:00.000Z</x:v>
      </x:c>
      <x:c r="B522" s="12" t="n">
        <x:v>3601.523496</x:v>
      </x:c>
      <x:c r="C522" s="13" t="n">
        <x:v>484</x:v>
      </x:c>
      <x:c r="D522" s="12" t="n">
        <x:v>109742.16</x:v>
      </x:c>
      <x:c r="E522" s="12" t="n">
        <x:v>643.20212</x:v>
      </x:c>
      <x:c r="F522" s="12" t="n">
        <x:f>SUM(B522,D522:E522)</x:f>
        <x:v>113986.885616</x:v>
      </x:c>
      <x:c r="G522" s="12" t="n">
        <x:f>MAX(G521,F522)</x:f>
        <x:v>114214.365616</x:v>
      </x:c>
      <x:c r="H522" s="14" t="n">
        <x:f>F522/G522-1</x:f>
        <x:v>-0.001991693415912321</x:v>
      </x:c>
      <x:c r="I522" s="14" t="n">
        <x:f>F522/F521-1</x:f>
        <x:v>0.0035367294472070654</x:v>
      </x:c>
      <x:c r="J522" s="12" t="n">
        <x:v>0</x:v>
      </x:c>
      <x:c r="K522" s="12" t="n">
        <x:v>0</x:v>
      </x:c>
      <x:c r="L522" s="12" t="n">
        <x:v>0</x:v>
      </x:c>
      <x:c r="M522" s="2" t="str">
        <x:v>持有</x:v>
      </x:c>
    </x:row>
    <x:row r="523" ht="23" customHeight="1">
      <x:c r="A523" s="11" t="d">
        <x:v>2017-01-23T00:00:00.000Z</x:v>
      </x:c>
      <x:c r="B523" s="12" t="n">
        <x:v>3601.523496</x:v>
      </x:c>
      <x:c r="C523" s="13" t="n">
        <x:v>484</x:v>
      </x:c>
      <x:c r="D523" s="12" t="n">
        <x:v>109456.6</x:v>
      </x:c>
      <x:c r="E523" s="12" t="n">
        <x:v>643.20212</x:v>
      </x:c>
      <x:c r="F523" s="12" t="n">
        <x:f>SUM(B523,D523:E523)</x:f>
        <x:v>113701.325616</x:v>
      </x:c>
      <x:c r="G523" s="12" t="n">
        <x:f>MAX(G522,F523)</x:f>
        <x:v>114214.365616</x:v>
      </x:c>
      <x:c r="H523" s="14" t="n">
        <x:f>F523/G523-1</x:f>
        <x:v>-0.004491904299717242</x:v>
      </x:c>
      <x:c r="I523" s="14" t="n">
        <x:f>F523/F522-1</x:f>
        <x:v>-0.002505200475096725</x:v>
      </x:c>
      <x:c r="J523" s="12" t="n">
        <x:v>0</x:v>
      </x:c>
      <x:c r="K523" s="12" t="n">
        <x:v>0</x:v>
      </x:c>
      <x:c r="L523" s="12" t="n">
        <x:v>0</x:v>
      </x:c>
      <x:c r="M523" s="2" t="str">
        <x:v>持有</x:v>
      </x:c>
    </x:row>
    <x:row r="524" ht="23" customHeight="1">
      <x:c r="A524" s="11" t="d">
        <x:v>2017-01-24T00:00:00.000Z</x:v>
      </x:c>
      <x:c r="B524" s="12" t="n">
        <x:v>3601.523496</x:v>
      </x:c>
      <x:c r="C524" s="13" t="n">
        <x:v>484</x:v>
      </x:c>
      <x:c r="D524" s="12" t="n">
        <x:v>110158.4</x:v>
      </x:c>
      <x:c r="E524" s="12" t="n">
        <x:v>643.20212</x:v>
      </x:c>
      <x:c r="F524" s="12" t="n">
        <x:f>SUM(B524,D524:E524)</x:f>
        <x:v>114403.12561599999</x:v>
      </x:c>
      <x:c r="G524" s="12" t="n">
        <x:f>MAX(G523,F524)</x:f>
        <x:v>114403.12561599999</x:v>
      </x:c>
      <x:c r="H524" s="14" t="n">
        <x:f>F524/G524-1</x:f>
        <x:v>0</x:v>
      </x:c>
      <x:c r="I524" s="14" t="n">
        <x:f>F524/F523-1</x:f>
        <x:v>0.006172311502947281</x:v>
      </x:c>
      <x:c r="J524" s="12" t="n">
        <x:v>0</x:v>
      </x:c>
      <x:c r="K524" s="12" t="n">
        <x:v>0</x:v>
      </x:c>
      <x:c r="L524" s="12" t="n">
        <x:v>0</x:v>
      </x:c>
      <x:c r="M524" s="2" t="str">
        <x:v>持有</x:v>
      </x:c>
    </x:row>
    <x:row r="525" ht="23" customHeight="1">
      <x:c r="A525" s="11" t="d">
        <x:v>2017-01-25T00:00:00.000Z</x:v>
      </x:c>
      <x:c r="B525" s="12" t="n">
        <x:v>3601.523496</x:v>
      </x:c>
      <x:c r="C525" s="13" t="n">
        <x:v>484</x:v>
      </x:c>
      <x:c r="D525" s="12" t="n">
        <x:v>111111.87999999999</x:v>
      </x:c>
      <x:c r="E525" s="12" t="n">
        <x:v>643.20212</x:v>
      </x:c>
      <x:c r="F525" s="12" t="n">
        <x:f>SUM(B525,D525:E525)</x:f>
        <x:v>115356.60561599999</x:v>
      </x:c>
      <x:c r="G525" s="12" t="n">
        <x:f>MAX(G524,F525)</x:f>
        <x:v>115356.60561599999</x:v>
      </x:c>
      <x:c r="H525" s="14" t="n">
        <x:f>F525/G525-1</x:f>
        <x:v>0</x:v>
      </x:c>
      <x:c r="I525" s="14" t="n">
        <x:f>F525/F524-1</x:f>
        <x:v>0.00833438767399075</x:v>
      </x:c>
      <x:c r="J525" s="12" t="n">
        <x:v>0</x:v>
      </x:c>
      <x:c r="K525" s="12" t="n">
        <x:v>0</x:v>
      </x:c>
      <x:c r="L525" s="12" t="n">
        <x:v>0</x:v>
      </x:c>
      <x:c r="M525" s="2" t="str">
        <x:v>持有</x:v>
      </x:c>
    </x:row>
    <x:row r="526" ht="23" customHeight="1">
      <x:c r="A526" s="11" t="d">
        <x:v>2017-01-26T00:00:00.000Z</x:v>
      </x:c>
      <x:c r="B526" s="12" t="n">
        <x:v>3601.523496</x:v>
      </x:c>
      <x:c r="C526" s="13" t="n">
        <x:v>484</x:v>
      </x:c>
      <x:c r="D526" s="12" t="n">
        <x:v>110995.72</x:v>
      </x:c>
      <x:c r="E526" s="12" t="n">
        <x:v>643.20212</x:v>
      </x:c>
      <x:c r="F526" s="12" t="n">
        <x:f>SUM(B526,D526:E526)</x:f>
        <x:v>115240.445616</x:v>
      </x:c>
      <x:c r="G526" s="12" t="n">
        <x:f>MAX(G525,F526)</x:f>
        <x:v>115356.60561599999</x:v>
      </x:c>
      <x:c r="H526" s="14" t="n">
        <x:f>F526/G526-1</x:f>
        <x:v>-0.0010069644419554713</x:v>
      </x:c>
      <x:c r="I526" s="14" t="n">
        <x:f>F526/F525-1</x:f>
        <x:v>-0.0010069644419554713</x:v>
      </x:c>
      <x:c r="J526" s="12" t="n">
        <x:v>0</x:v>
      </x:c>
      <x:c r="K526" s="12" t="n">
        <x:v>0</x:v>
      </x:c>
      <x:c r="L526" s="12" t="n">
        <x:v>0</x:v>
      </x:c>
      <x:c r="M526" s="2" t="str">
        <x:v>持有</x:v>
      </x:c>
    </x:row>
    <x:row r="527" ht="23" customHeight="1">
      <x:c r="A527" s="11" t="d">
        <x:v>2017-01-27T00:00:00.000Z</x:v>
      </x:c>
      <x:c r="B527" s="12" t="n">
        <x:v>3601.523496</x:v>
      </x:c>
      <x:c r="C527" s="13" t="n">
        <x:v>484</x:v>
      </x:c>
      <x:c r="D527" s="12" t="n">
        <x:v>110821.48</x:v>
      </x:c>
      <x:c r="E527" s="12" t="n">
        <x:v>643.20212</x:v>
      </x:c>
      <x:c r="F527" s="12" t="n">
        <x:f>SUM(B527,D527:E527)</x:f>
        <x:v>115066.20561599999</x:v>
      </x:c>
      <x:c r="G527" s="12" t="n">
        <x:f>MAX(G526,F527)</x:f>
        <x:v>115356.60561599999</x:v>
      </x:c>
      <x:c r="H527" s="14" t="n">
        <x:f>F527/G527-1</x:f>
        <x:v>-0.0025174111048887893</x:v>
      </x:c>
      <x:c r="I527" s="14" t="n">
        <x:f>F527/F526-1</x:f>
        <x:v>-0.0015119691621169329</x:v>
      </x:c>
      <x:c r="J527" s="12" t="n">
        <x:v>0</x:v>
      </x:c>
      <x:c r="K527" s="12" t="n">
        <x:v>0</x:v>
      </x:c>
      <x:c r="L527" s="12" t="n">
        <x:v>0</x:v>
      </x:c>
      <x:c r="M527" s="2" t="str">
        <x:v>持有</x:v>
      </x:c>
    </x:row>
    <x:row r="528" ht="23" customHeight="1">
      <x:c r="A528" s="11" t="d">
        <x:v>2017-01-30T00:00:00.000Z</x:v>
      </x:c>
      <x:c r="B528" s="12" t="n">
        <x:v>3601.523496</x:v>
      </x:c>
      <x:c r="C528" s="13" t="n">
        <x:v>484</x:v>
      </x:c>
      <x:c r="D528" s="12" t="n">
        <x:v>110134.20000000001</x:v>
      </x:c>
      <x:c r="E528" s="12" t="n">
        <x:v>643.20212</x:v>
      </x:c>
      <x:c r="F528" s="12" t="n">
        <x:f>SUM(B528,D528:E528)</x:f>
        <x:v>114378.92561600001</x:v>
      </x:c>
      <x:c r="G528" s="12" t="n">
        <x:f>MAX(G527,F528)</x:f>
        <x:v>115356.60561599999</x:v>
      </x:c>
      <x:c r="H528" s="14" t="n">
        <x:f>F528/G528-1</x:f>
        <x:v>-0.008475284053125587</x:v>
      </x:c>
      <x:c r="I528" s="14" t="n">
        <x:f>F528/F527-1</x:f>
        <x:v>-0.005972909216226174</x:v>
      </x:c>
      <x:c r="J528" s="12" t="n">
        <x:v>0</x:v>
      </x:c>
      <x:c r="K528" s="12" t="n">
        <x:v>0</x:v>
      </x:c>
      <x:c r="L528" s="12" t="n">
        <x:v>0</x:v>
      </x:c>
      <x:c r="M528" s="2" t="str">
        <x:v>持有</x:v>
      </x:c>
    </x:row>
    <x:row r="529" ht="23" customHeight="1">
      <x:c r="A529" s="11" t="d">
        <x:v>2017-01-31T00:00:00.000Z</x:v>
      </x:c>
      <x:c r="B529" s="12" t="n">
        <x:v>4244.725616</x:v>
      </x:c>
      <x:c r="C529" s="13" t="n">
        <x:v>484</x:v>
      </x:c>
      <x:c r="D529" s="12" t="n">
        <x:v>110124.52</x:v>
      </x:c>
      <x:c r="E529" s="12" t="n">
        <x:v>0</x:v>
      </x:c>
      <x:c r="F529" s="12" t="n">
        <x:f>SUM(B529,D529:E529)</x:f>
        <x:v>114369.245616</x:v>
      </x:c>
      <x:c r="G529" s="12" t="n">
        <x:f>MAX(G528,F529)</x:f>
        <x:v>115356.60561599999</x:v>
      </x:c>
      <x:c r="H529" s="14" t="n">
        <x:f>F529/G529-1</x:f>
        <x:v>-0.00855919775662195</x:v>
      </x:c>
      <x:c r="I529" s="14" t="n">
        <x:f>F529/F528-1</x:f>
        <x:v>-0.00008463097504962658</x:v>
      </x:c>
      <x:c r="J529" s="12" t="n">
        <x:v>0</x:v>
      </x:c>
      <x:c r="K529" s="12" t="n">
        <x:v>643.20212</x:v>
      </x:c>
      <x:c r="L529" s="12" t="n">
        <x:v>0</x:v>
      </x:c>
      <x:c r="M529" s="2" t="str">
        <x:v>持有</x:v>
      </x:c>
    </x:row>
    <x:row r="530" ht="23" customHeight="1">
      <x:c r="A530" s="11" t="d">
        <x:v>2017-02-01T00:00:00.000Z</x:v>
      </x:c>
      <x:c r="B530" s="12" t="n">
        <x:v>4244.725616</x:v>
      </x:c>
      <x:c r="C530" s="13" t="n">
        <x:v>484</x:v>
      </x:c>
      <x:c r="D530" s="12" t="n">
        <x:v>110168.08</x:v>
      </x:c>
      <x:c r="E530" s="12" t="n">
        <x:v>0</x:v>
      </x:c>
      <x:c r="F530" s="12" t="n">
        <x:f>SUM(B530,D530:E530)</x:f>
        <x:v>114412.805616</x:v>
      </x:c>
      <x:c r="G530" s="12" t="n">
        <x:f>MAX(G529,F530)</x:f>
        <x:v>115356.60561599999</x:v>
      </x:c>
      <x:c r="H530" s="14" t="n">
        <x:f>F530/G530-1</x:f>
        <x:v>-0.008181586090888593</x:v>
      </x:c>
      <x:c r="I530" s="14" t="n">
        <x:f>F530/F529-1</x:f>
        <x:v>0.0003808716212596597</x:v>
      </x:c>
      <x:c r="J530" s="12" t="n">
        <x:v>0</x:v>
      </x:c>
      <x:c r="K530" s="12" t="n">
        <x:v>0</x:v>
      </x:c>
      <x:c r="L530" s="12" t="n">
        <x:v>0</x:v>
      </x:c>
      <x:c r="M530" s="2" t="str">
        <x:v>持有</x:v>
      </x:c>
    </x:row>
    <x:row r="531" ht="23" customHeight="1">
      <x:c r="A531" s="11" t="d">
        <x:v>2017-02-02T00:00:00.000Z</x:v>
      </x:c>
      <x:c r="B531" s="12" t="n">
        <x:v>4244.725616</x:v>
      </x:c>
      <x:c r="C531" s="13" t="n">
        <x:v>484</x:v>
      </x:c>
      <x:c r="D531" s="12" t="n">
        <x:v>110240.68000000001</x:v>
      </x:c>
      <x:c r="E531" s="12" t="n">
        <x:v>0</x:v>
      </x:c>
      <x:c r="F531" s="12" t="n">
        <x:f>SUM(B531,D531:E531)</x:f>
        <x:v>114485.405616</x:v>
      </x:c>
      <x:c r="G531" s="12" t="n">
        <x:f>MAX(G530,F531)</x:f>
        <x:v>115356.60561599999</x:v>
      </x:c>
      <x:c r="H531" s="14" t="n">
        <x:f>F531/G531-1</x:f>
        <x:v>-0.007552233314666368</x:v>
      </x:c>
      <x:c r="I531" s="14" t="n">
        <x:f>F531/F530-1</x:f>
        <x:v>0.000634544355495148</x:v>
      </x:c>
      <x:c r="J531" s="12" t="n">
        <x:v>0</x:v>
      </x:c>
      <x:c r="K531" s="12" t="n">
        <x:v>0</x:v>
      </x:c>
      <x:c r="L531" s="12" t="n">
        <x:v>0</x:v>
      </x:c>
      <x:c r="M531" s="2" t="str">
        <x:v>持有</x:v>
      </x:c>
    </x:row>
    <x:row r="532" ht="23" customHeight="1">
      <x:c r="A532" s="11" t="d">
        <x:v>2017-02-03T00:00:00.000Z</x:v>
      </x:c>
      <x:c r="B532" s="12" t="n">
        <x:v>4244.725616</x:v>
      </x:c>
      <x:c r="C532" s="13" t="n">
        <x:v>484</x:v>
      </x:c>
      <x:c r="D532" s="12" t="n">
        <x:v>111000.56</x:v>
      </x:c>
      <x:c r="E532" s="12" t="n">
        <x:v>0</x:v>
      </x:c>
      <x:c r="F532" s="12" t="n">
        <x:f>SUM(B532,D532:E532)</x:f>
        <x:v>115245.285616</x:v>
      </x:c>
      <x:c r="G532" s="12" t="n">
        <x:f>MAX(G531,F532)</x:f>
        <x:v>115356.60561599999</x:v>
      </x:c>
      <x:c r="H532" s="14" t="n">
        <x:f>F532/G532-1</x:f>
        <x:v>-0.0009650075902073452</x:v>
      </x:c>
      <x:c r="I532" s="14" t="n">
        <x:f>F532/F531-1</x:f>
        <x:v>0.006637352559580645</x:v>
      </x:c>
      <x:c r="J532" s="12" t="n">
        <x:v>0</x:v>
      </x:c>
      <x:c r="K532" s="12" t="n">
        <x:v>0</x:v>
      </x:c>
      <x:c r="L532" s="12" t="n">
        <x:v>0</x:v>
      </x:c>
      <x:c r="M532" s="2" t="str">
        <x:v>持有</x:v>
      </x:c>
    </x:row>
    <x:row r="533" ht="23" customHeight="1">
      <x:c r="A533" s="11" t="d">
        <x:v>2017-02-06T00:00:00.000Z</x:v>
      </x:c>
      <x:c r="B533" s="12" t="n">
        <x:v>4244.725616</x:v>
      </x:c>
      <x:c r="C533" s="13" t="n">
        <x:v>484</x:v>
      </x:c>
      <x:c r="D533" s="12" t="n">
        <x:v>110802.12000000001</x:v>
      </x:c>
      <x:c r="E533" s="12" t="n">
        <x:v>0</x:v>
      </x:c>
      <x:c r="F533" s="12" t="n">
        <x:f>SUM(B533,D533:E533)</x:f>
        <x:v>115046.845616</x:v>
      </x:c>
      <x:c r="G533" s="12" t="n">
        <x:f>MAX(G532,F533)</x:f>
        <x:v>115356.60561599999</x:v>
      </x:c>
      <x:c r="H533" s="14" t="n">
        <x:f>F533/G533-1</x:f>
        <x:v>-0.002685238511881294</x:v>
      </x:c>
      <x:c r="I533" s="14" t="n">
        <x:f>F533/F532-1</x:f>
        <x:v>-0.0017218925610649194</x:v>
      </x:c>
      <x:c r="J533" s="12" t="n">
        <x:v>0</x:v>
      </x:c>
      <x:c r="K533" s="12" t="n">
        <x:v>0</x:v>
      </x:c>
      <x:c r="L533" s="12" t="n">
        <x:v>0</x:v>
      </x:c>
      <x:c r="M533" s="2" t="str">
        <x:v>持有</x:v>
      </x:c>
    </x:row>
    <x:row r="534" ht="23" customHeight="1">
      <x:c r="A534" s="11" t="d">
        <x:v>2017-02-07T00:00:00.000Z</x:v>
      </x:c>
      <x:c r="B534" s="12" t="n">
        <x:v>4244.725616</x:v>
      </x:c>
      <x:c r="C534" s="13" t="n">
        <x:v>484</x:v>
      </x:c>
      <x:c r="D534" s="12" t="n">
        <x:v>110806.95999999999</x:v>
      </x:c>
      <x:c r="E534" s="12" t="n">
        <x:v>0</x:v>
      </x:c>
      <x:c r="F534" s="12" t="n">
        <x:f>SUM(B534,D534:E534)</x:f>
        <x:v>115051.68561599999</x:v>
      </x:c>
      <x:c r="G534" s="12" t="n">
        <x:f>MAX(G533,F534)</x:f>
        <x:v>115356.60561599999</x:v>
      </x:c>
      <x:c r="H534" s="14" t="n">
        <x:f>F534/G534-1</x:f>
        <x:v>-0.0026432816601332787</x:v>
      </x:c>
      <x:c r="I534" s="14" t="n">
        <x:f>F534/F533-1</x:f>
        <x:v>0.00004206981924692599</x:v>
      </x:c>
      <x:c r="J534" s="12" t="n">
        <x:v>0</x:v>
      </x:c>
      <x:c r="K534" s="12" t="n">
        <x:v>0</x:v>
      </x:c>
      <x:c r="L534" s="12" t="n">
        <x:v>0</x:v>
      </x:c>
      <x:c r="M534" s="2" t="str">
        <x:v>持有</x:v>
      </x:c>
    </x:row>
    <x:row r="535" ht="23" customHeight="1">
      <x:c r="A535" s="11" t="d">
        <x:v>2017-02-08T00:00:00.000Z</x:v>
      </x:c>
      <x:c r="B535" s="12" t="n">
        <x:v>4244.725616</x:v>
      </x:c>
      <x:c r="C535" s="13" t="n">
        <x:v>484</x:v>
      </x:c>
      <x:c r="D535" s="12" t="n">
        <x:v>110952.16</x:v>
      </x:c>
      <x:c r="E535" s="12" t="n">
        <x:v>0</x:v>
      </x:c>
      <x:c r="F535" s="12" t="n">
        <x:f>SUM(B535,D535:E535)</x:f>
        <x:v>115196.885616</x:v>
      </x:c>
      <x:c r="G535" s="12" t="n">
        <x:f>MAX(G534,F535)</x:f>
        <x:v>115356.60561599999</x:v>
      </x:c>
      <x:c r="H535" s="14" t="n">
        <x:f>F535/G535-1</x:f>
        <x:v>-0.0013845761076887175</x:v>
      </x:c>
      <x:c r="I535" s="14" t="n">
        <x:f>F535/F534-1</x:f>
        <x:v>0.0012620414835522453</x:v>
      </x:c>
      <x:c r="J535" s="12" t="n">
        <x:v>0</x:v>
      </x:c>
      <x:c r="K535" s="12" t="n">
        <x:v>0</x:v>
      </x:c>
      <x:c r="L535" s="12" t="n">
        <x:v>0</x:v>
      </x:c>
      <x:c r="M535" s="2" t="str">
        <x:v>持有</x:v>
      </x:c>
    </x:row>
    <x:row r="536" ht="23" customHeight="1">
      <x:c r="A536" s="11" t="d">
        <x:v>2017-02-09T00:00:00.000Z</x:v>
      </x:c>
      <x:c r="B536" s="12" t="n">
        <x:v>4244.725616</x:v>
      </x:c>
      <x:c r="C536" s="13" t="n">
        <x:v>484</x:v>
      </x:c>
      <x:c r="D536" s="12" t="n">
        <x:v>111610.4</x:v>
      </x:c>
      <x:c r="E536" s="12" t="n">
        <x:v>0</x:v>
      </x:c>
      <x:c r="F536" s="12" t="n">
        <x:f>SUM(B536,D536:E536)</x:f>
        <x:v>115855.12561599999</x:v>
      </x:c>
      <x:c r="G536" s="12" t="n">
        <x:f>MAX(G535,F536)</x:f>
        <x:v>115855.12561599999</x:v>
      </x:c>
      <x:c r="H536" s="14" t="n">
        <x:f>F536/G536-1</x:f>
        <x:v>0</x:v>
      </x:c>
      <x:c r="I536" s="14" t="n">
        <x:f>F536/F535-1</x:f>
        <x:v>0.005714043365670385</x:v>
      </x:c>
      <x:c r="J536" s="12" t="n">
        <x:v>0</x:v>
      </x:c>
      <x:c r="K536" s="12" t="n">
        <x:v>0</x:v>
      </x:c>
      <x:c r="L536" s="12" t="n">
        <x:v>0</x:v>
      </x:c>
      <x:c r="M536" s="2" t="str">
        <x:v>持有</x:v>
      </x:c>
    </x:row>
    <x:row r="537" ht="23" customHeight="1">
      <x:c r="A537" s="11" t="d">
        <x:v>2017-02-10T00:00:00.000Z</x:v>
      </x:c>
      <x:c r="B537" s="12" t="n">
        <x:v>4244.725616</x:v>
      </x:c>
      <x:c r="C537" s="13" t="n">
        <x:v>484</x:v>
      </x:c>
      <x:c r="D537" s="12" t="n">
        <x:v>112050.84</x:v>
      </x:c>
      <x:c r="E537" s="12" t="n">
        <x:v>0</x:v>
      </x:c>
      <x:c r="F537" s="12" t="n">
        <x:f>SUM(B537,D537:E537)</x:f>
        <x:v>116295.56561599999</x:v>
      </x:c>
      <x:c r="G537" s="12" t="n">
        <x:f>MAX(G536,F537)</x:f>
        <x:v>116295.56561599999</x:v>
      </x:c>
      <x:c r="H537" s="14" t="n">
        <x:f>F537/G537-1</x:f>
        <x:v>0</x:v>
      </x:c>
      <x:c r="I537" s="14" t="n">
        <x:f>F537/F536-1</x:f>
        <x:v>0.0038016444905495383</x:v>
      </x:c>
      <x:c r="J537" s="12" t="n">
        <x:v>0</x:v>
      </x:c>
      <x:c r="K537" s="12" t="n">
        <x:v>0</x:v>
      </x:c>
      <x:c r="L537" s="12" t="n">
        <x:v>0</x:v>
      </x:c>
      <x:c r="M537" s="2" t="str">
        <x:v>持有</x:v>
      </x:c>
    </x:row>
    <x:row r="538" ht="23" customHeight="1">
      <x:c r="A538" s="11" t="d">
        <x:v>2017-02-13T00:00:00.000Z</x:v>
      </x:c>
      <x:c r="B538" s="12" t="n">
        <x:v>4244.725616</x:v>
      </x:c>
      <x:c r="C538" s="13" t="n">
        <x:v>484</x:v>
      </x:c>
      <x:c r="D538" s="12" t="n">
        <x:v>112660.68000000001</x:v>
      </x:c>
      <x:c r="E538" s="12" t="n">
        <x:v>0</x:v>
      </x:c>
      <x:c r="F538" s="12" t="n">
        <x:f>SUM(B538,D538:E538)</x:f>
        <x:v>116905.405616</x:v>
      </x:c>
      <x:c r="G538" s="12" t="n">
        <x:f>MAX(G537,F538)</x:f>
        <x:v>116905.405616</x:v>
      </x:c>
      <x:c r="H538" s="14" t="n">
        <x:f>F538/G538-1</x:f>
        <x:v>0</x:v>
      </x:c>
      <x:c r="I538" s="14" t="n">
        <x:f>F538/F537-1</x:f>
        <x:v>0.00524388008063581</x:v>
      </x:c>
      <x:c r="J538" s="12" t="n">
        <x:v>0</x:v>
      </x:c>
      <x:c r="K538" s="12" t="n">
        <x:v>0</x:v>
      </x:c>
      <x:c r="L538" s="12" t="n">
        <x:v>0</x:v>
      </x:c>
      <x:c r="M538" s="2" t="str">
        <x:v>持有</x:v>
      </x:c>
    </x:row>
    <x:row r="539" ht="23" customHeight="1">
      <x:c r="A539" s="11" t="d">
        <x:v>2017-02-14T00:00:00.000Z</x:v>
      </x:c>
      <x:c r="B539" s="12" t="n">
        <x:v>4244.725616</x:v>
      </x:c>
      <x:c r="C539" s="13" t="n">
        <x:v>484</x:v>
      </x:c>
      <x:c r="D539" s="12" t="n">
        <x:v>113110.79999999999</x:v>
      </x:c>
      <x:c r="E539" s="12" t="n">
        <x:v>0</x:v>
      </x:c>
      <x:c r="F539" s="12" t="n">
        <x:f>SUM(B539,D539:E539)</x:f>
        <x:v>117355.52561599998</x:v>
      </x:c>
      <x:c r="G539" s="12" t="n">
        <x:f>MAX(G538,F539)</x:f>
        <x:v>117355.52561599998</x:v>
      </x:c>
      <x:c r="H539" s="14" t="n">
        <x:f>F539/G539-1</x:f>
        <x:v>0</x:v>
      </x:c>
      <x:c r="I539" s="14" t="n">
        <x:f>F539/F538-1</x:f>
        <x:v>0.0038502924448036158</x:v>
      </x:c>
      <x:c r="J539" s="12" t="n">
        <x:v>0</x:v>
      </x:c>
      <x:c r="K539" s="12" t="n">
        <x:v>0</x:v>
      </x:c>
      <x:c r="L539" s="12" t="n">
        <x:v>0</x:v>
      </x:c>
      <x:c r="M539" s="2" t="str">
        <x:v>持有</x:v>
      </x:c>
    </x:row>
    <x:row r="540" ht="23" customHeight="1">
      <x:c r="A540" s="11" t="d">
        <x:v>2017-02-15T00:00:00.000Z</x:v>
      </x:c>
      <x:c r="B540" s="12" t="n">
        <x:v>4244.725616</x:v>
      </x:c>
      <x:c r="C540" s="13" t="n">
        <x:v>484</x:v>
      </x:c>
      <x:c r="D540" s="12" t="n">
        <x:v>113701.28</x:v>
      </x:c>
      <x:c r="E540" s="12" t="n">
        <x:v>0</x:v>
      </x:c>
      <x:c r="F540" s="12" t="n">
        <x:f>SUM(B540,D540:E540)</x:f>
        <x:v>117946.005616</x:v>
      </x:c>
      <x:c r="G540" s="12" t="n">
        <x:f>MAX(G539,F540)</x:f>
        <x:v>117946.005616</x:v>
      </x:c>
      <x:c r="H540" s="14" t="n">
        <x:f>F540/G540-1</x:f>
        <x:v>0</x:v>
      </x:c>
      <x:c r="I540" s="14" t="n">
        <x:f>F540/F539-1</x:f>
        <x:v>0.005031548339122338</x:v>
      </x:c>
      <x:c r="J540" s="12" t="n">
        <x:v>0</x:v>
      </x:c>
      <x:c r="K540" s="12" t="n">
        <x:v>0</x:v>
      </x:c>
      <x:c r="L540" s="12" t="n">
        <x:v>0</x:v>
      </x:c>
      <x:c r="M540" s="2" t="str">
        <x:v>持有</x:v>
      </x:c>
    </x:row>
    <x:row r="541" ht="23" customHeight="1">
      <x:c r="A541" s="11" t="d">
        <x:v>2017-02-16T00:00:00.000Z</x:v>
      </x:c>
      <x:c r="B541" s="12" t="n">
        <x:v>4244.725616</x:v>
      </x:c>
      <x:c r="C541" s="13" t="n">
        <x:v>484</x:v>
      </x:c>
      <x:c r="D541" s="12" t="n">
        <x:v>113604.48</x:v>
      </x:c>
      <x:c r="E541" s="12" t="n">
        <x:v>0</x:v>
      </x:c>
      <x:c r="F541" s="12" t="n">
        <x:f>SUM(B541,D541:E541)</x:f>
        <x:v>117849.20561599999</x:v>
      </x:c>
      <x:c r="G541" s="12" t="n">
        <x:f>MAX(G540,F541)</x:f>
        <x:v>117946.005616</x:v>
      </x:c>
      <x:c r="H541" s="14" t="n">
        <x:f>F541/G541-1</x:f>
        <x:v>-0.000820714525213817</x:v>
      </x:c>
      <x:c r="I541" s="14" t="n">
        <x:f>F541/F540-1</x:f>
        <x:v>-0.000820714525213817</x:v>
      </x:c>
      <x:c r="J541" s="12" t="n">
        <x:v>0</x:v>
      </x:c>
      <x:c r="K541" s="12" t="n">
        <x:v>0</x:v>
      </x:c>
      <x:c r="L541" s="12" t="n">
        <x:v>0</x:v>
      </x:c>
      <x:c r="M541" s="2" t="str">
        <x:v>持有</x:v>
      </x:c>
    </x:row>
    <x:row r="542" ht="23" customHeight="1">
      <x:c r="A542" s="11" t="d">
        <x:v>2017-02-17T00:00:00.000Z</x:v>
      </x:c>
      <x:c r="B542" s="12" t="n">
        <x:v>4244.725616</x:v>
      </x:c>
      <x:c r="C542" s="13" t="n">
        <x:v>484</x:v>
      </x:c>
      <x:c r="D542" s="12" t="n">
        <x:v>113783.56</x:v>
      </x:c>
      <x:c r="E542" s="12" t="n">
        <x:v>0</x:v>
      </x:c>
      <x:c r="F542" s="12" t="n">
        <x:f>SUM(B542,D542:E542)</x:f>
        <x:v>118028.285616</x:v>
      </x:c>
      <x:c r="G542" s="12" t="n">
        <x:f>MAX(G541,F542)</x:f>
        <x:v>118028.285616</x:v>
      </x:c>
      <x:c r="H542" s="14" t="n">
        <x:f>F542/G542-1</x:f>
        <x:v>0</x:v>
      </x:c>
      <x:c r="I542" s="14" t="n">
        <x:f>F542/F541-1</x:f>
        <x:v>0.0015195690039992993</x:v>
      </x:c>
      <x:c r="J542" s="12" t="n">
        <x:v>0</x:v>
      </x:c>
      <x:c r="K542" s="12" t="n">
        <x:v>0</x:v>
      </x:c>
      <x:c r="L542" s="12" t="n">
        <x:v>0</x:v>
      </x:c>
      <x:c r="M542" s="2" t="str">
        <x:v>持有</x:v>
      </x:c>
    </x:row>
    <x:row r="543" ht="23" customHeight="1">
      <x:c r="A543" s="11" t="d">
        <x:v>2017-02-21T00:00:00.000Z</x:v>
      </x:c>
      <x:c r="B543" s="12" t="n">
        <x:v>4244.725616</x:v>
      </x:c>
      <x:c r="C543" s="13" t="n">
        <x:v>484</x:v>
      </x:c>
      <x:c r="D543" s="12" t="n">
        <x:v>114461.16</x:v>
      </x:c>
      <x:c r="E543" s="12" t="n">
        <x:v>0</x:v>
      </x:c>
      <x:c r="F543" s="12" t="n">
        <x:f>SUM(B543,D543:E543)</x:f>
        <x:v>118705.885616</x:v>
      </x:c>
      <x:c r="G543" s="12" t="n">
        <x:f>MAX(G542,F543)</x:f>
        <x:v>118705.885616</x:v>
      </x:c>
      <x:c r="H543" s="14" t="n">
        <x:f>F543/G543-1</x:f>
        <x:v>0</x:v>
      </x:c>
      <x:c r="I543" s="14" t="n">
        <x:f>F543/F542-1</x:f>
        <x:v>0.005740996715012381</x:v>
      </x:c>
      <x:c r="J543" s="12" t="n">
        <x:v>0</x:v>
      </x:c>
      <x:c r="K543" s="12" t="n">
        <x:v>0</x:v>
      </x:c>
      <x:c r="L543" s="12" t="n">
        <x:v>0</x:v>
      </x:c>
      <x:c r="M543" s="2" t="str">
        <x:v>持有</x:v>
      </x:c>
    </x:row>
    <x:row r="544" ht="23" customHeight="1">
      <x:c r="A544" s="11" t="d">
        <x:v>2017-02-22T00:00:00.000Z</x:v>
      </x:c>
      <x:c r="B544" s="12" t="n">
        <x:v>4244.725616</x:v>
      </x:c>
      <x:c r="C544" s="13" t="n">
        <x:v>484</x:v>
      </x:c>
      <x:c r="D544" s="12" t="n">
        <x:v>114359.52</x:v>
      </x:c>
      <x:c r="E544" s="12" t="n">
        <x:v>0</x:v>
      </x:c>
      <x:c r="F544" s="12" t="n">
        <x:f>SUM(B544,D544:E544)</x:f>
        <x:v>118604.245616</x:v>
      </x:c>
      <x:c r="G544" s="12" t="n">
        <x:f>MAX(G543,F544)</x:f>
        <x:v>118705.885616</x:v>
      </x:c>
      <x:c r="H544" s="14" t="n">
        <x:f>F544/G544-1</x:f>
        <x:v>-0.0008562338714087625</x:v>
      </x:c>
      <x:c r="I544" s="14" t="n">
        <x:f>F544/F543-1</x:f>
        <x:v>-0.0008562338714087625</x:v>
      </x:c>
      <x:c r="J544" s="12" t="n">
        <x:v>0</x:v>
      </x:c>
      <x:c r="K544" s="12" t="n">
        <x:v>0</x:v>
      </x:c>
      <x:c r="L544" s="12" t="n">
        <x:v>0</x:v>
      </x:c>
      <x:c r="M544" s="2" t="str">
        <x:v>持有</x:v>
      </x:c>
    </x:row>
    <x:row r="545" ht="23" customHeight="1">
      <x:c r="A545" s="11" t="d">
        <x:v>2017-02-23T00:00:00.000Z</x:v>
      </x:c>
      <x:c r="B545" s="12" t="n">
        <x:v>4244.725616</x:v>
      </x:c>
      <x:c r="C545" s="13" t="n">
        <x:v>484</x:v>
      </x:c>
      <x:c r="D545" s="12" t="n">
        <x:v>114436.95999999999</x:v>
      </x:c>
      <x:c r="E545" s="12" t="n">
        <x:v>0</x:v>
      </x:c>
      <x:c r="F545" s="12" t="n">
        <x:f>SUM(B545,D545:E545)</x:f>
        <x:v>118681.68561599999</x:v>
      </x:c>
      <x:c r="G545" s="12" t="n">
        <x:f>MAX(G544,F545)</x:f>
        <x:v>118705.885616</x:v>
      </x:c>
      <x:c r="H545" s="14" t="n">
        <x:f>F545/G545-1</x:f>
        <x:v>-0.0002038652074783931</x:v>
      </x:c>
      <x:c r="I545" s="14" t="n">
        <x:f>F545/F544-1</x:f>
        <x:v>0.0006529277227622643</x:v>
      </x:c>
      <x:c r="J545" s="12" t="n">
        <x:v>0</x:v>
      </x:c>
      <x:c r="K545" s="12" t="n">
        <x:v>0</x:v>
      </x:c>
      <x:c r="L545" s="12" t="n">
        <x:v>0</x:v>
      </x:c>
      <x:c r="M545" s="2" t="str">
        <x:v>持有</x:v>
      </x:c>
    </x:row>
    <x:row r="546" ht="23" customHeight="1">
      <x:c r="A546" s="11" t="d">
        <x:v>2017-02-24T00:00:00.000Z</x:v>
      </x:c>
      <x:c r="B546" s="12" t="n">
        <x:v>4244.725616</x:v>
      </x:c>
      <x:c r="C546" s="13" t="n">
        <x:v>484</x:v>
      </x:c>
      <x:c r="D546" s="12" t="n">
        <x:v>114582.16</x:v>
      </x:c>
      <x:c r="E546" s="12" t="n">
        <x:v>0</x:v>
      </x:c>
      <x:c r="F546" s="12" t="n">
        <x:f>SUM(B546,D546:E546)</x:f>
        <x:v>118826.885616</x:v>
      </x:c>
      <x:c r="G546" s="12" t="n">
        <x:f>MAX(G545,F546)</x:f>
        <x:v>118826.885616</x:v>
      </x:c>
      <x:c r="H546" s="14" t="n">
        <x:f>F546/G546-1</x:f>
        <x:v>0</x:v>
      </x:c>
      <x:c r="I546" s="14" t="n">
        <x:f>F546/F545-1</x:f>
        <x:v>0.0012234406618543137</x:v>
      </x:c>
      <x:c r="J546" s="12" t="n">
        <x:v>0</x:v>
      </x:c>
      <x:c r="K546" s="12" t="n">
        <x:v>0</x:v>
      </x:c>
      <x:c r="L546" s="12" t="n">
        <x:v>0</x:v>
      </x:c>
      <x:c r="M546" s="2" t="str">
        <x:v>持有</x:v>
      </x:c>
    </x:row>
    <x:row r="547" ht="23" customHeight="1">
      <x:c r="A547" s="11" t="d">
        <x:v>2017-02-27T00:00:00.000Z</x:v>
      </x:c>
      <x:c r="B547" s="12" t="n">
        <x:v>4244.725616</x:v>
      </x:c>
      <x:c r="C547" s="13" t="n">
        <x:v>484</x:v>
      </x:c>
      <x:c r="D547" s="12" t="n">
        <x:v>114761.24</x:v>
      </x:c>
      <x:c r="E547" s="12" t="n">
        <x:v>0</x:v>
      </x:c>
      <x:c r="F547" s="12" t="n">
        <x:f>SUM(B547,D547:E547)</x:f>
        <x:v>119005.965616</x:v>
      </x:c>
      <x:c r="G547" s="12" t="n">
        <x:f>MAX(G546,F547)</x:f>
        <x:v>119005.965616</x:v>
      </x:c>
      <x:c r="H547" s="14" t="n">
        <x:f>F547/G547-1</x:f>
        <x:v>0</x:v>
      </x:c>
      <x:c r="I547" s="14" t="n">
        <x:f>F547/F546-1</x:f>
        <x:v>0.001507066343375385</x:v>
      </x:c>
      <x:c r="J547" s="12" t="n">
        <x:v>0</x:v>
      </x:c>
      <x:c r="K547" s="12" t="n">
        <x:v>0</x:v>
      </x:c>
      <x:c r="L547" s="12" t="n">
        <x:v>0</x:v>
      </x:c>
      <x:c r="M547" s="2" t="str">
        <x:v>持有</x:v>
      </x:c>
    </x:row>
    <x:row r="548" ht="23" customHeight="1">
      <x:c r="A548" s="11" t="d">
        <x:v>2017-02-28T00:00:00.000Z</x:v>
      </x:c>
      <x:c r="B548" s="12" t="n">
        <x:v>4244.725616</x:v>
      </x:c>
      <x:c r="C548" s="13" t="n">
        <x:v>484</x:v>
      </x:c>
      <x:c r="D548" s="12" t="n">
        <x:v>114451.48</x:v>
      </x:c>
      <x:c r="E548" s="12" t="n">
        <x:v>0</x:v>
      </x:c>
      <x:c r="F548" s="12" t="n">
        <x:f>SUM(B548,D548:E548)</x:f>
        <x:v>118696.20561599999</x:v>
      </x:c>
      <x:c r="G548" s="12" t="n">
        <x:f>MAX(G547,F548)</x:f>
        <x:v>119005.965616</x:v>
      </x:c>
      <x:c r="H548" s="14" t="n">
        <x:f>F548/G548-1</x:f>
        <x:v>-0.0026028947237781708</x:v>
      </x:c>
      <x:c r="I548" s="14" t="n">
        <x:f>F548/F547-1</x:f>
        <x:v>-0.0026028947237781708</x:v>
      </x:c>
      <x:c r="J548" s="12" t="n">
        <x:v>0</x:v>
      </x:c>
      <x:c r="K548" s="12" t="n">
        <x:v>0</x:v>
      </x:c>
      <x:c r="L548" s="12" t="n">
        <x:v>0</x:v>
      </x:c>
      <x:c r="M548" s="2" t="str">
        <x:v>持有</x:v>
      </x:c>
    </x:row>
    <x:row r="549" ht="23" customHeight="1">
      <x:c r="A549" s="11" t="d">
        <x:v>2017-03-01T00:00:00.000Z</x:v>
      </x:c>
      <x:c r="B549" s="12" t="n">
        <x:v>4244.725616</x:v>
      </x:c>
      <x:c r="C549" s="13" t="n">
        <x:v>484</x:v>
      </x:c>
      <x:c r="D549" s="12" t="n">
        <x:v>116053.52</x:v>
      </x:c>
      <x:c r="E549" s="12" t="n">
        <x:v>0</x:v>
      </x:c>
      <x:c r="F549" s="12" t="n">
        <x:f>SUM(B549,D549:E549)</x:f>
        <x:v>120298.245616</x:v>
      </x:c>
      <x:c r="G549" s="12" t="n">
        <x:f>MAX(G548,F549)</x:f>
        <x:v>120298.245616</x:v>
      </x:c>
      <x:c r="H549" s="14" t="n">
        <x:f>F549/G549-1</x:f>
        <x:v>0</x:v>
      </x:c>
      <x:c r="I549" s="14" t="n">
        <x:f>F549/F548-1</x:f>
        <x:v>0.01349697736069877</x:v>
      </x:c>
      <x:c r="J549" s="12" t="n">
        <x:v>0</x:v>
      </x:c>
      <x:c r="K549" s="12" t="n">
        <x:v>0</x:v>
      </x:c>
      <x:c r="L549" s="12" t="n">
        <x:v>0</x:v>
      </x:c>
      <x:c r="M549" s="2" t="str">
        <x:v>持有</x:v>
      </x:c>
    </x:row>
    <x:row r="550" ht="23" customHeight="1">
      <x:c r="A550" s="11" t="d">
        <x:v>2017-03-02T00:00:00.000Z</x:v>
      </x:c>
      <x:c r="B550" s="12" t="n">
        <x:v>4244.725616</x:v>
      </x:c>
      <x:c r="C550" s="13" t="n">
        <x:v>484</x:v>
      </x:c>
      <x:c r="D550" s="12" t="n">
        <x:v>115322.68000000001</x:v>
      </x:c>
      <x:c r="E550" s="12" t="n">
        <x:v>0</x:v>
      </x:c>
      <x:c r="F550" s="12" t="n">
        <x:f>SUM(B550,D550:E550)</x:f>
        <x:v>119567.405616</x:v>
      </x:c>
      <x:c r="G550" s="12" t="n">
        <x:f>MAX(G549,F550)</x:f>
        <x:v>120298.245616</x:v>
      </x:c>
      <x:c r="H550" s="14" t="n">
        <x:f>F550/G550-1</x:f>
        <x:v>-0.006075234067277169</x:v>
      </x:c>
      <x:c r="I550" s="14" t="n">
        <x:f>F550/F549-1</x:f>
        <x:v>-0.006075234067277169</x:v>
      </x:c>
      <x:c r="J550" s="12" t="n">
        <x:v>0</x:v>
      </x:c>
      <x:c r="K550" s="12" t="n">
        <x:v>0</x:v>
      </x:c>
      <x:c r="L550" s="12" t="n">
        <x:v>0</x:v>
      </x:c>
      <x:c r="M550" s="2" t="str">
        <x:v>持有</x:v>
      </x:c>
    </x:row>
    <x:row r="551" ht="23" customHeight="1">
      <x:c r="A551" s="11" t="d">
        <x:v>2017-03-03T00:00:00.000Z</x:v>
      </x:c>
      <x:c r="B551" s="12" t="n">
        <x:v>4244.725616</x:v>
      </x:c>
      <x:c r="C551" s="13" t="n">
        <x:v>484</x:v>
      </x:c>
      <x:c r="D551" s="12" t="n">
        <x:v>115395.28</x:v>
      </x:c>
      <x:c r="E551" s="12" t="n">
        <x:v>0</x:v>
      </x:c>
      <x:c r="F551" s="12" t="n">
        <x:f>SUM(B551,D551:E551)</x:f>
        <x:v>119640.005616</x:v>
      </x:c>
      <x:c r="G551" s="12" t="n">
        <x:f>MAX(G550,F551)</x:f>
        <x:v>120298.245616</x:v>
      </x:c>
      <x:c r="H551" s="14" t="n">
        <x:f>F551/G551-1</x:f>
        <x:v>-0.005471733994368844</x:v>
      </x:c>
      <x:c r="I551" s="14" t="n">
        <x:f>F551/F550-1</x:f>
        <x:v>0.0006071888875229803</x:v>
      </x:c>
      <x:c r="J551" s="12" t="n">
        <x:v>0</x:v>
      </x:c>
      <x:c r="K551" s="12" t="n">
        <x:v>0</x:v>
      </x:c>
      <x:c r="L551" s="12" t="n">
        <x:v>0</x:v>
      </x:c>
      <x:c r="M551" s="2" t="str">
        <x:v>持有</x:v>
      </x:c>
    </x:row>
    <x:row r="552" ht="23" customHeight="1">
      <x:c r="A552" s="11" t="d">
        <x:v>2017-03-06T00:00:00.000Z</x:v>
      </x:c>
      <x:c r="B552" s="12" t="n">
        <x:v>4244.725616</x:v>
      </x:c>
      <x:c r="C552" s="13" t="n">
        <x:v>484</x:v>
      </x:c>
      <x:c r="D552" s="12" t="n">
        <x:v>115051.64</x:v>
      </x:c>
      <x:c r="E552" s="12" t="n">
        <x:v>0</x:v>
      </x:c>
      <x:c r="F552" s="12" t="n">
        <x:f>SUM(B552,D552:E552)</x:f>
        <x:v>119296.365616</x:v>
      </x:c>
      <x:c r="G552" s="12" t="n">
        <x:f>MAX(G551,F552)</x:f>
        <x:v>120298.245616</x:v>
      </x:c>
      <x:c r="H552" s="14" t="n">
        <x:f>F552/G552-1</x:f>
        <x:v>-0.00832830100613502</x:v>
      </x:c>
      <x:c r="I552" s="14" t="n">
        <x:f>F552/F551-1</x:f>
        <x:v>-0.0028722833823909832</x:v>
      </x:c>
      <x:c r="J552" s="12" t="n">
        <x:v>0</x:v>
      </x:c>
      <x:c r="K552" s="12" t="n">
        <x:v>0</x:v>
      </x:c>
      <x:c r="L552" s="12" t="n">
        <x:v>0</x:v>
      </x:c>
      <x:c r="M552" s="2" t="str">
        <x:v>持有</x:v>
      </x:c>
    </x:row>
    <x:row r="553" ht="23" customHeight="1">
      <x:c r="A553" s="11" t="d">
        <x:v>2017-03-07T00:00:00.000Z</x:v>
      </x:c>
      <x:c r="B553" s="12" t="n">
        <x:v>4244.725616</x:v>
      </x:c>
      <x:c r="C553" s="13" t="n">
        <x:v>484</x:v>
      </x:c>
      <x:c r="D553" s="12" t="n">
        <x:v>114708</x:v>
      </x:c>
      <x:c r="E553" s="12" t="n">
        <x:v>0</x:v>
      </x:c>
      <x:c r="F553" s="12" t="n">
        <x:f>SUM(B553,D553:E553)</x:f>
        <x:v>118952.725616</x:v>
      </x:c>
      <x:c r="G553" s="12" t="n">
        <x:f>MAX(G552,F553)</x:f>
        <x:v>120298.245616</x:v>
      </x:c>
      <x:c r="H553" s="14" t="n">
        <x:f>F553/G553-1</x:f>
        <x:v>-0.011184868017901084</x:v>
      </x:c>
      <x:c r="I553" s="14" t="n">
        <x:f>F553/F552-1</x:f>
        <x:v>-0.002880557158850383</x:v>
      </x:c>
      <x:c r="J553" s="12" t="n">
        <x:v>0</x:v>
      </x:c>
      <x:c r="K553" s="12" t="n">
        <x:v>0</x:v>
      </x:c>
      <x:c r="L553" s="12" t="n">
        <x:v>0</x:v>
      </x:c>
      <x:c r="M553" s="2" t="str">
        <x:v>持有</x:v>
      </x:c>
    </x:row>
    <x:row r="554" ht="23" customHeight="1">
      <x:c r="A554" s="11" t="d">
        <x:v>2017-03-08T00:00:00.000Z</x:v>
      </x:c>
      <x:c r="B554" s="12" t="n">
        <x:v>4244.725616</x:v>
      </x:c>
      <x:c r="C554" s="13" t="n">
        <x:v>484</x:v>
      </x:c>
      <x:c r="D554" s="12" t="n">
        <x:v>114495.04000000001</x:v>
      </x:c>
      <x:c r="E554" s="12" t="n">
        <x:v>0</x:v>
      </x:c>
      <x:c r="F554" s="12" t="n">
        <x:f>SUM(B554,D554:E554)</x:f>
        <x:v>118739.765616</x:v>
      </x:c>
      <x:c r="G554" s="12" t="n">
        <x:f>MAX(G553,F554)</x:f>
        <x:v>120298.245616</x:v>
      </x:c>
      <x:c r="H554" s="14" t="n">
        <x:f>F554/G554-1</x:f>
        <x:v>-0.01295513489843203</x:v>
      </x:c>
      <x:c r="I554" s="14" t="n">
        <x:f>F554/F553-1</x:f>
        <x:v>-0.0017902910496347957</x:v>
      </x:c>
      <x:c r="J554" s="12" t="n">
        <x:v>0</x:v>
      </x:c>
      <x:c r="K554" s="12" t="n">
        <x:v>0</x:v>
      </x:c>
      <x:c r="L554" s="12" t="n">
        <x:v>0</x:v>
      </x:c>
      <x:c r="M554" s="2" t="str">
        <x:v>持有</x:v>
      </x:c>
    </x:row>
    <x:row r="555" ht="23" customHeight="1">
      <x:c r="A555" s="11" t="d">
        <x:v>2017-03-09T00:00:00.000Z</x:v>
      </x:c>
      <x:c r="B555" s="12" t="n">
        <x:v>4244.725616</x:v>
      </x:c>
      <x:c r="C555" s="13" t="n">
        <x:v>484</x:v>
      </x:c>
      <x:c r="D555" s="12" t="n">
        <x:v>114640.24</x:v>
      </x:c>
      <x:c r="E555" s="12" t="n">
        <x:v>0</x:v>
      </x:c>
      <x:c r="F555" s="12" t="n">
        <x:f>SUM(B555,D555:E555)</x:f>
        <x:v>118884.965616</x:v>
      </x:c>
      <x:c r="G555" s="12" t="n">
        <x:f>MAX(G554,F555)</x:f>
        <x:v>120298.245616</x:v>
      </x:c>
      <x:c r="H555" s="14" t="n">
        <x:f>F555/G555-1</x:f>
        <x:v>-0.011748134752615491</x:v>
      </x:c>
      <x:c r="I555" s="14" t="n">
        <x:f>F555/F554-1</x:f>
        <x:v>0.0012228422318902865</x:v>
      </x:c>
      <x:c r="J555" s="12" t="n">
        <x:v>0</x:v>
      </x:c>
      <x:c r="K555" s="12" t="n">
        <x:v>0</x:v>
      </x:c>
      <x:c r="L555" s="12" t="n">
        <x:v>0</x:v>
      </x:c>
      <x:c r="M555" s="2" t="str">
        <x:v>持有</x:v>
      </x:c>
    </x:row>
    <x:row r="556" ht="23" customHeight="1">
      <x:c r="A556" s="11" t="d">
        <x:v>2017-03-10T00:00:00.000Z</x:v>
      </x:c>
      <x:c r="B556" s="12" t="n">
        <x:v>4244.725616</x:v>
      </x:c>
      <x:c r="C556" s="13" t="n">
        <x:v>484</x:v>
      </x:c>
      <x:c r="D556" s="12" t="n">
        <x:v>115041.95999999999</x:v>
      </x:c>
      <x:c r="E556" s="12" t="n">
        <x:v>0</x:v>
      </x:c>
      <x:c r="F556" s="12" t="n">
        <x:f>SUM(B556,D556:E556)</x:f>
        <x:v>119286.68561599999</x:v>
      </x:c>
      <x:c r="G556" s="12" t="n">
        <x:f>MAX(G555,F556)</x:f>
        <x:v>120298.245616</x:v>
      </x:c>
      <x:c r="H556" s="14" t="n">
        <x:f>F556/G556-1</x:f>
        <x:v>-0.008408767682522855</x:v>
      </x:c>
      <x:c r="I556" s="14" t="n">
        <x:f>F556/F555-1</x:f>
        <x:v>0.003379064778447738</x:v>
      </x:c>
      <x:c r="J556" s="12" t="n">
        <x:v>0</x:v>
      </x:c>
      <x:c r="K556" s="12" t="n">
        <x:v>0</x:v>
      </x:c>
      <x:c r="L556" s="12" t="n">
        <x:v>0</x:v>
      </x:c>
      <x:c r="M556" s="2" t="str">
        <x:v>持有</x:v>
      </x:c>
    </x:row>
    <x:row r="557" ht="23" customHeight="1">
      <x:c r="A557" s="11" t="d">
        <x:v>2017-03-13T00:00:00.000Z</x:v>
      </x:c>
      <x:c r="B557" s="12" t="n">
        <x:v>4244.725616</x:v>
      </x:c>
      <x:c r="C557" s="13" t="n">
        <x:v>484</x:v>
      </x:c>
      <x:c r="D557" s="12" t="n">
        <x:v>115100.04000000001</x:v>
      </x:c>
      <x:c r="E557" s="12" t="n">
        <x:v>0</x:v>
      </x:c>
      <x:c r="F557" s="12" t="n">
        <x:f>SUM(B557,D557:E557)</x:f>
        <x:v>119344.765616</x:v>
      </x:c>
      <x:c r="G557" s="12" t="n">
        <x:f>MAX(G556,F557)</x:f>
        <x:v>120298.245616</x:v>
      </x:c>
      <x:c r="H557" s="14" t="n">
        <x:f>F557/G557-1</x:f>
        <x:v>-0.007925967624196062</x:v>
      </x:c>
      <x:c r="I557" s="14" t="n">
        <x:f>F557/F556-1</x:f>
        <x:v>0.0004868942388673858</x:v>
      </x:c>
      <x:c r="J557" s="12" t="n">
        <x:v>0</x:v>
      </x:c>
      <x:c r="K557" s="12" t="n">
        <x:v>0</x:v>
      </x:c>
      <x:c r="L557" s="12" t="n">
        <x:v>0</x:v>
      </x:c>
      <x:c r="M557" s="2" t="str">
        <x:v>持有</x:v>
      </x:c>
    </x:row>
    <x:row r="558" ht="23" customHeight="1">
      <x:c r="A558" s="11" t="d">
        <x:v>2017-03-14T00:00:00.000Z</x:v>
      </x:c>
      <x:c r="B558" s="12" t="n">
        <x:v>4244.725616</x:v>
      </x:c>
      <x:c r="C558" s="13" t="n">
        <x:v>484</x:v>
      </x:c>
      <x:c r="D558" s="12" t="n">
        <x:v>114659.6</x:v>
      </x:c>
      <x:c r="E558" s="12" t="n">
        <x:v>0</x:v>
      </x:c>
      <x:c r="F558" s="12" t="n">
        <x:f>SUM(B558,D558:E558)</x:f>
        <x:v>118904.325616</x:v>
      </x:c>
      <x:c r="G558" s="12" t="n">
        <x:f>MAX(G557,F558)</x:f>
        <x:v>120298.245616</x:v>
      </x:c>
      <x:c r="H558" s="14" t="n">
        <x:f>F558/G558-1</x:f>
        <x:v>-0.01158720139983993</x:v>
      </x:c>
      <x:c r="I558" s="14" t="n">
        <x:f>F558/F557-1</x:f>
        <x:v>-0.003690484435799668</x:v>
      </x:c>
      <x:c r="J558" s="12" t="n">
        <x:v>0</x:v>
      </x:c>
      <x:c r="K558" s="12" t="n">
        <x:v>0</x:v>
      </x:c>
      <x:c r="L558" s="12" t="n">
        <x:v>0</x:v>
      </x:c>
      <x:c r="M558" s="2" t="str">
        <x:v>持有</x:v>
      </x:c>
    </x:row>
    <x:row r="559" ht="23" customHeight="1">
      <x:c r="A559" s="11" t="d">
        <x:v>2017-03-15T00:00:00.000Z</x:v>
      </x:c>
      <x:c r="B559" s="12" t="n">
        <x:v>4244.725616</x:v>
      </x:c>
      <x:c r="C559" s="13" t="n">
        <x:v>484</x:v>
      </x:c>
      <x:c r="D559" s="12" t="n">
        <x:v>115651.79999999999</x:v>
      </x:c>
      <x:c r="E559" s="12" t="n">
        <x:v>0</x:v>
      </x:c>
      <x:c r="F559" s="12" t="n">
        <x:f>SUM(B559,D559:E559)</x:f>
        <x:v>119896.52561599998</x:v>
      </x:c>
      <x:c r="G559" s="12" t="n">
        <x:f>MAX(G558,F559)</x:f>
        <x:v>120298.245616</x:v>
      </x:c>
      <x:c r="H559" s="14" t="n">
        <x:f>F559/G559-1</x:f>
        <x:v>-0.003339367070092858</x:v>
      </x:c>
      <x:c r="I559" s="14" t="n">
        <x:f>F559/F558-1</x:f>
        <x:v>0.008344524010037047</x:v>
      </x:c>
      <x:c r="J559" s="12" t="n">
        <x:v>0</x:v>
      </x:c>
      <x:c r="K559" s="12" t="n">
        <x:v>0</x:v>
      </x:c>
      <x:c r="L559" s="12" t="n">
        <x:v>0</x:v>
      </x:c>
      <x:c r="M559" s="2" t="str">
        <x:v>持有</x:v>
      </x:c>
    </x:row>
    <x:row r="560" ht="23" customHeight="1">
      <x:c r="A560" s="11" t="d">
        <x:v>2017-03-16T00:00:00.000Z</x:v>
      </x:c>
      <x:c r="B560" s="12" t="n">
        <x:v>4244.725616</x:v>
      </x:c>
      <x:c r="C560" s="13" t="n">
        <x:v>484</x:v>
      </x:c>
      <x:c r="D560" s="12" t="n">
        <x:v>115424.31999999999</x:v>
      </x:c>
      <x:c r="E560" s="12" t="n">
        <x:v>0</x:v>
      </x:c>
      <x:c r="F560" s="12" t="n">
        <x:f>SUM(B560,D560:E560)</x:f>
        <x:v>119669.04561599999</x:v>
      </x:c>
      <x:c r="G560" s="12" t="n">
        <x:f>MAX(G559,F560)</x:f>
        <x:v>120298.245616</x:v>
      </x:c>
      <x:c r="H560" s="14" t="n">
        <x:f>F560/G560-1</x:f>
        <x:v>-0.005230333965205558</x:v>
      </x:c>
      <x:c r="I560" s="14" t="n">
        <x:f>F560/F559-1</x:f>
        <x:v>-0.0018973026852217023</x:v>
      </x:c>
      <x:c r="J560" s="12" t="n">
        <x:v>0</x:v>
      </x:c>
      <x:c r="K560" s="12" t="n">
        <x:v>0</x:v>
      </x:c>
      <x:c r="L560" s="12" t="n">
        <x:v>0</x:v>
      </x:c>
      <x:c r="M560" s="2" t="str">
        <x:v>持有</x:v>
      </x:c>
    </x:row>
    <x:row r="561" ht="23" customHeight="1">
      <x:c r="A561" s="11" t="d">
        <x:v>2017-03-17T00:00:00.000Z</x:v>
      </x:c>
      <x:c r="B561" s="12" t="n">
        <x:v>4244.725616</x:v>
      </x:c>
      <x:c r="C561" s="13" t="n">
        <x:v>484</x:v>
      </x:c>
      <x:c r="D561" s="12" t="n">
        <x:v>114722.52</x:v>
      </x:c>
      <x:c r="E561" s="12" t="n">
        <x:v>500.029112</x:v>
      </x:c>
      <x:c r="F561" s="12" t="n">
        <x:f>SUM(B561,D561:E561)</x:f>
        <x:v>119467.274728</x:v>
      </x:c>
      <x:c r="G561" s="12" t="n">
        <x:f>MAX(G560,F561)</x:f>
        <x:v>120298.245616</x:v>
      </x:c>
      <x:c r="H561" s="14" t="n">
        <x:f>F561/G561-1</x:f>
        <x:v>-0.006907589414499982</x:v>
      </x:c>
      <x:c r="I561" s="14" t="n">
        <x:f>F561/F560-1</x:f>
        <x:v>-0.0016860741803477186</x:v>
      </x:c>
      <x:c r="J561" s="12" t="n">
        <x:v>500.029112</x:v>
      </x:c>
      <x:c r="K561" s="12" t="n">
        <x:v>0</x:v>
      </x:c>
      <x:c r="L561" s="12" t="n">
        <x:v>0</x:v>
      </x:c>
      <x:c r="M561" s="2" t="str">
        <x:v>持有</x:v>
      </x:c>
    </x:row>
    <x:row r="562" ht="23" customHeight="1">
      <x:c r="A562" s="11" t="d">
        <x:v>2017-03-20T00:00:00.000Z</x:v>
      </x:c>
      <x:c r="B562" s="12" t="n">
        <x:v>4244.725616</x:v>
      </x:c>
      <x:c r="C562" s="13" t="n">
        <x:v>484</x:v>
      </x:c>
      <x:c r="D562" s="12" t="n">
        <x:v>114596.68000000001</x:v>
      </x:c>
      <x:c r="E562" s="12" t="n">
        <x:v>500.029112</x:v>
      </x:c>
      <x:c r="F562" s="12" t="n">
        <x:f>SUM(B562,D562:E562)</x:f>
        <x:v>119341.43472800001</x:v>
      </x:c>
      <x:c r="G562" s="12" t="n">
        <x:f>MAX(G561,F562)</x:f>
        <x:v>120298.245616</x:v>
      </x:c>
      <x:c r="H562" s="14" t="n">
        <x:f>F562/G562-1</x:f>
        <x:v>-0.007953656207541071</x:v>
      </x:c>
      <x:c r="I562" s="14" t="n">
        <x:f>F562/F561-1</x:f>
        <x:v>-0.0010533428529821975</x:v>
      </x:c>
      <x:c r="J562" s="12" t="n">
        <x:v>0</x:v>
      </x:c>
      <x:c r="K562" s="12" t="n">
        <x:v>0</x:v>
      </x:c>
      <x:c r="L562" s="12" t="n">
        <x:v>0</x:v>
      </x:c>
      <x:c r="M562" s="2" t="str">
        <x:v>持有</x:v>
      </x:c>
    </x:row>
    <x:row r="563" ht="23" customHeight="1">
      <x:c r="A563" s="11" t="d">
        <x:v>2017-03-21T00:00:00.000Z</x:v>
      </x:c>
      <x:c r="B563" s="12" t="n">
        <x:v>4244.725616</x:v>
      </x:c>
      <x:c r="C563" s="13" t="n">
        <x:v>484</x:v>
      </x:c>
      <x:c r="D563" s="12" t="n">
        <x:v>113125.31999999999</x:v>
      </x:c>
      <x:c r="E563" s="12" t="n">
        <x:v>500.029112</x:v>
      </x:c>
      <x:c r="F563" s="12" t="n">
        <x:f>SUM(B563,D563:E563)</x:f>
        <x:v>117870.07472799999</x:v>
      </x:c>
      <x:c r="G563" s="12" t="n">
        <x:f>MAX(G562,F563)</x:f>
        <x:v>120298.245616</x:v>
      </x:c>
      <x:c r="H563" s="14" t="n">
        <x:f>F563/G563-1</x:f>
        <x:v>-0.020184591018483244</x:v>
      </x:c>
      <x:c r="I563" s="14" t="n">
        <x:f>F563/F562-1</x:f>
        <x:v>-0.01232899540175214</x:v>
      </x:c>
      <x:c r="J563" s="12" t="n">
        <x:v>0</x:v>
      </x:c>
      <x:c r="K563" s="12" t="n">
        <x:v>0</x:v>
      </x:c>
      <x:c r="L563" s="12" t="n">
        <x:v>0</x:v>
      </x:c>
      <x:c r="M563" s="2" t="str">
        <x:v>持有</x:v>
      </x:c>
    </x:row>
    <x:row r="564" ht="23" customHeight="1">
      <x:c r="A564" s="11" t="d">
        <x:v>2017-03-22T00:00:00.000Z</x:v>
      </x:c>
      <x:c r="B564" s="12" t="n">
        <x:v>4244.725616</x:v>
      </x:c>
      <x:c r="C564" s="13" t="n">
        <x:v>484</x:v>
      </x:c>
      <x:c r="D564" s="12" t="n">
        <x:v>113391.52</x:v>
      </x:c>
      <x:c r="E564" s="12" t="n">
        <x:v>500.029112</x:v>
      </x:c>
      <x:c r="F564" s="12" t="n">
        <x:f>SUM(B564,D564:E564)</x:f>
        <x:v>118136.274728</x:v>
      </x:c>
      <x:c r="G564" s="12" t="n">
        <x:f>MAX(G563,F564)</x:f>
        <x:v>120298.245616</x:v>
      </x:c>
      <x:c r="H564" s="14" t="n">
        <x:f>F564/G564-1</x:f>
        <x:v>-0.017971757417819312</x:v>
      </x:c>
      <x:c r="I564" s="14" t="n">
        <x:f>F564/F563-1</x:f>
        <x:v>0.0022584188617364997</x:v>
      </x:c>
      <x:c r="J564" s="12" t="n">
        <x:v>0</x:v>
      </x:c>
      <x:c r="K564" s="12" t="n">
        <x:v>0</x:v>
      </x:c>
      <x:c r="L564" s="12" t="n">
        <x:v>0</x:v>
      </x:c>
      <x:c r="M564" s="2" t="str">
        <x:v>持有</x:v>
      </x:c>
    </x:row>
    <x:row r="565" ht="23" customHeight="1">
      <x:c r="A565" s="11" t="d">
        <x:v>2017-03-23T00:00:00.000Z</x:v>
      </x:c>
      <x:c r="B565" s="12" t="n">
        <x:v>4244.725616</x:v>
      </x:c>
      <x:c r="C565" s="13" t="n">
        <x:v>484</x:v>
      </x:c>
      <x:c r="D565" s="12" t="n">
        <x:v>113270.52</x:v>
      </x:c>
      <x:c r="E565" s="12" t="n">
        <x:v>500.029112</x:v>
      </x:c>
      <x:c r="F565" s="12" t="n">
        <x:f>SUM(B565,D565:E565)</x:f>
        <x:v>118015.274728</x:v>
      </x:c>
      <x:c r="G565" s="12" t="n">
        <x:f>MAX(G564,F565)</x:f>
        <x:v>120298.245616</x:v>
      </x:c>
      <x:c r="H565" s="14" t="n">
        <x:f>F565/G565-1</x:f>
        <x:v>-0.018977590872666483</x:v>
      </x:c>
      <x:c r="I565" s="14" t="n">
        <x:f>F565/F564-1</x:f>
        <x:v>-0.00102424086317765</x:v>
      </x:c>
      <x:c r="J565" s="12" t="n">
        <x:v>0</x:v>
      </x:c>
      <x:c r="K565" s="12" t="n">
        <x:v>0</x:v>
      </x:c>
      <x:c r="L565" s="12" t="n">
        <x:v>0</x:v>
      </x:c>
      <x:c r="M565" s="2" t="str">
        <x:v>持有</x:v>
      </x:c>
    </x:row>
    <x:row r="566" ht="23" customHeight="1">
      <x:c r="A566" s="11" t="d">
        <x:v>2017-03-24T00:00:00.000Z</x:v>
      </x:c>
      <x:c r="B566" s="12" t="n">
        <x:v>4244.725616</x:v>
      </x:c>
      <x:c r="C566" s="13" t="n">
        <x:v>484</x:v>
      </x:c>
      <x:c r="D566" s="12" t="n">
        <x:v>113188.24</x:v>
      </x:c>
      <x:c r="E566" s="12" t="n">
        <x:v>500.029112</x:v>
      </x:c>
      <x:c r="F566" s="12" t="n">
        <x:f>SUM(B566,D566:E566)</x:f>
        <x:v>117932.994728</x:v>
      </x:c>
      <x:c r="G566" s="12" t="n">
        <x:f>MAX(G565,F566)</x:f>
        <x:v>120298.245616</x:v>
      </x:c>
      <x:c r="H566" s="14" t="n">
        <x:f>F566/G566-1</x:f>
        <x:v>-0.019661557621962644</x:v>
      </x:c>
      <x:c r="I566" s="14" t="n">
        <x:f>F566/F565-1</x:f>
        <x:v>-0.0006971978855249139</x:v>
      </x:c>
      <x:c r="J566" s="12" t="n">
        <x:v>0</x:v>
      </x:c>
      <x:c r="K566" s="12" t="n">
        <x:v>0</x:v>
      </x:c>
      <x:c r="L566" s="12" t="n">
        <x:v>0</x:v>
      </x:c>
      <x:c r="M566" s="2" t="str">
        <x:v>持有</x:v>
      </x:c>
    </x:row>
    <x:row r="567" ht="23" customHeight="1">
      <x:c r="A567" s="11" t="d">
        <x:v>2017-03-27T00:00:00.000Z</x:v>
      </x:c>
      <x:c r="B567" s="12" t="n">
        <x:v>4244.725616</x:v>
      </x:c>
      <x:c r="C567" s="13" t="n">
        <x:v>484</x:v>
      </x:c>
      <x:c r="D567" s="12" t="n">
        <x:v>113072.08</x:v>
      </x:c>
      <x:c r="E567" s="12" t="n">
        <x:v>500.029112</x:v>
      </x:c>
      <x:c r="F567" s="12" t="n">
        <x:f>SUM(B567,D567:E567)</x:f>
        <x:v>117816.834728</x:v>
      </x:c>
      <x:c r="G567" s="12" t="n">
        <x:f>MAX(G566,F567)</x:f>
        <x:v>120298.245616</x:v>
      </x:c>
      <x:c r="H567" s="14" t="n">
        <x:f>F567/G567-1</x:f>
        <x:v>-0.02062715773861601</x:v>
      </x:c>
      <x:c r="I567" s="14" t="n">
        <x:f>F567/F566-1</x:f>
        <x:v>-0.0009849660840709484</x:v>
      </x:c>
      <x:c r="J567" s="12" t="n">
        <x:v>0</x:v>
      </x:c>
      <x:c r="K567" s="12" t="n">
        <x:v>0</x:v>
      </x:c>
      <x:c r="L567" s="12" t="n">
        <x:v>0</x:v>
      </x:c>
      <x:c r="M567" s="2" t="str">
        <x:v>持有</x:v>
      </x:c>
    </x:row>
    <x:row r="568" ht="23" customHeight="1">
      <x:c r="A568" s="11" t="d">
        <x:v>2017-03-28T00:00:00.000Z</x:v>
      </x:c>
      <x:c r="B568" s="12" t="n">
        <x:v>4244.725616</x:v>
      </x:c>
      <x:c r="C568" s="13" t="n">
        <x:v>484</x:v>
      </x:c>
      <x:c r="D568" s="12" t="n">
        <x:v>113894.87999999999</x:v>
      </x:c>
      <x:c r="E568" s="12" t="n">
        <x:v>500.029112</x:v>
      </x:c>
      <x:c r="F568" s="12" t="n">
        <x:f>SUM(B568,D568:E568)</x:f>
        <x:v>118639.63472799999</x:v>
      </x:c>
      <x:c r="G568" s="12" t="n">
        <x:f>MAX(G567,F568)</x:f>
        <x:v>120298.245616</x:v>
      </x:c>
      <x:c r="H568" s="14" t="n">
        <x:f>F568/G568-1</x:f>
        <x:v>-0.013787490245654954</x:v>
      </x:c>
      <x:c r="I568" s="14" t="n">
        <x:f>F568/F567-1</x:f>
        <x:v>0.006983721824640465</x:v>
      </x:c>
      <x:c r="J568" s="12" t="n">
        <x:v>0</x:v>
      </x:c>
      <x:c r="K568" s="12" t="n">
        <x:v>0</x:v>
      </x:c>
      <x:c r="L568" s="12" t="n">
        <x:v>0</x:v>
      </x:c>
      <x:c r="M568" s="2" t="str">
        <x:v>持有</x:v>
      </x:c>
    </x:row>
    <x:row r="569" ht="23" customHeight="1">
      <x:c r="A569" s="11" t="d">
        <x:v>2017-03-29T00:00:00.000Z</x:v>
      </x:c>
      <x:c r="B569" s="12" t="n">
        <x:v>4244.725616</x:v>
      </x:c>
      <x:c r="C569" s="13" t="n">
        <x:v>484</x:v>
      </x:c>
      <x:c r="D569" s="12" t="n">
        <x:v>114001.36</x:v>
      </x:c>
      <x:c r="E569" s="12" t="n">
        <x:v>500.029112</x:v>
      </x:c>
      <x:c r="F569" s="12" t="n">
        <x:f>SUM(B569,D569:E569)</x:f>
        <x:v>118746.114728</x:v>
      </x:c>
      <x:c r="G569" s="12" t="n">
        <x:f>MAX(G568,F569)</x:f>
        <x:v>120298.245616</x:v>
      </x:c>
      <x:c r="H569" s="14" t="n">
        <x:f>F569/G569-1</x:f>
        <x:v>-0.012902356805389426</x:v>
      </x:c>
      <x:c r="I569" s="14" t="n">
        <x:f>F569/F568-1</x:f>
        <x:v>0.0008975078205872844</x:v>
      </x:c>
      <x:c r="J569" s="12" t="n">
        <x:v>0</x:v>
      </x:c>
      <x:c r="K569" s="12" t="n">
        <x:v>0</x:v>
      </x:c>
      <x:c r="L569" s="12" t="n">
        <x:v>0</x:v>
      </x:c>
      <x:c r="M569" s="2" t="str">
        <x:v>持有</x:v>
      </x:c>
    </x:row>
    <x:row r="570" ht="23" customHeight="1">
      <x:c r="A570" s="11" t="d">
        <x:v>2017-03-30T00:00:00.000Z</x:v>
      </x:c>
      <x:c r="B570" s="12" t="n">
        <x:v>4244.725616</x:v>
      </x:c>
      <x:c r="C570" s="13" t="n">
        <x:v>484</x:v>
      </x:c>
      <x:c r="D570" s="12" t="n">
        <x:v>114364.36</x:v>
      </x:c>
      <x:c r="E570" s="12" t="n">
        <x:v>500.029112</x:v>
      </x:c>
      <x:c r="F570" s="12" t="n">
        <x:f>SUM(B570,D570:E570)</x:f>
        <x:v>119109.114728</x:v>
      </x:c>
      <x:c r="G570" s="12" t="n">
        <x:f>MAX(G569,F570)</x:f>
        <x:v>120298.245616</x:v>
      </x:c>
      <x:c r="H570" s="14" t="n">
        <x:f>F570/G570-1</x:f>
        <x:v>-0.009884856440847689</x:v>
      </x:c>
      <x:c r="I570" s="14" t="n">
        <x:f>F570/F569-1</x:f>
        <x:v>0.0030569421225401516</x:v>
      </x:c>
      <x:c r="J570" s="12" t="n">
        <x:v>0</x:v>
      </x:c>
      <x:c r="K570" s="12" t="n">
        <x:v>0</x:v>
      </x:c>
      <x:c r="L570" s="12" t="n">
        <x:v>0</x:v>
      </x:c>
      <x:c r="M570" s="2" t="str">
        <x:v>持有</x:v>
      </x:c>
    </x:row>
    <x:row r="571" ht="23" customHeight="1">
      <x:c r="A571" s="11" t="d">
        <x:v>2017-03-31T00:00:00.000Z</x:v>
      </x:c>
      <x:c r="B571" s="12" t="n">
        <x:v>4244.725616</x:v>
      </x:c>
      <x:c r="C571" s="13" t="n">
        <x:v>484</x:v>
      </x:c>
      <x:c r="D571" s="12" t="n">
        <x:v>114098.16</x:v>
      </x:c>
      <x:c r="E571" s="12" t="n">
        <x:v>500.029112</x:v>
      </x:c>
      <x:c r="F571" s="12" t="n">
        <x:f>SUM(B571,D571:E571)</x:f>
        <x:v>118842.914728</x:v>
      </x:c>
      <x:c r="G571" s="12" t="n">
        <x:f>MAX(G570,F571)</x:f>
        <x:v>120298.245616</x:v>
      </x:c>
      <x:c r="H571" s="14" t="n">
        <x:f>F571/G571-1</x:f>
        <x:v>-0.012097690041511622</x:v>
      </x:c>
      <x:c r="I571" s="14" t="n">
        <x:f>F571/F570-1</x:f>
        <x:v>-0.0022349255185709627</x:v>
      </x:c>
      <x:c r="J571" s="12" t="n">
        <x:v>0</x:v>
      </x:c>
      <x:c r="K571" s="12" t="n">
        <x:v>0</x:v>
      </x:c>
      <x:c r="L571" s="12" t="n">
        <x:v>0</x:v>
      </x:c>
      <x:c r="M571" s="2" t="str">
        <x:v>持有</x:v>
      </x:c>
    </x:row>
    <x:row r="572" ht="23" customHeight="1">
      <x:c r="A572" s="11" t="d">
        <x:v>2017-04-03T00:00:00.000Z</x:v>
      </x:c>
      <x:c r="B572" s="12" t="n">
        <x:v>4244.725616</x:v>
      </x:c>
      <x:c r="C572" s="13" t="n">
        <x:v>484</x:v>
      </x:c>
      <x:c r="D572" s="12" t="n">
        <x:v>113899.72</x:v>
      </x:c>
      <x:c r="E572" s="12" t="n">
        <x:v>500.029112</x:v>
      </x:c>
      <x:c r="F572" s="12" t="n">
        <x:f>SUM(B572,D572:E572)</x:f>
        <x:v>118644.474728</x:v>
      </x:c>
      <x:c r="G572" s="12" t="n">
        <x:f>MAX(G571,F572)</x:f>
        <x:v>120298.245616</x:v>
      </x:c>
      <x:c r="H572" s="14" t="n">
        <x:f>F572/G572-1</x:f>
        <x:v>-0.013747256907461036</x:v>
      </x:c>
      <x:c r="I572" s="14" t="n">
        <x:f>F572/F571-1</x:f>
        <x:v>-0.0016697671918782797</x:v>
      </x:c>
      <x:c r="J572" s="12" t="n">
        <x:v>0</x:v>
      </x:c>
      <x:c r="K572" s="12" t="n">
        <x:v>0</x:v>
      </x:c>
      <x:c r="L572" s="12" t="n">
        <x:v>0</x:v>
      </x:c>
      <x:c r="M572" s="2" t="str">
        <x:v>持有</x:v>
      </x:c>
    </x:row>
    <x:row r="573" ht="23" customHeight="1">
      <x:c r="A573" s="11" t="d">
        <x:v>2017-04-04T00:00:00.000Z</x:v>
      </x:c>
      <x:c r="B573" s="12" t="n">
        <x:v>4244.725616</x:v>
      </x:c>
      <x:c r="C573" s="13" t="n">
        <x:v>484</x:v>
      </x:c>
      <x:c r="D573" s="12" t="n">
        <x:v>113972.31999999999</x:v>
      </x:c>
      <x:c r="E573" s="12" t="n">
        <x:v>500.029112</x:v>
      </x:c>
      <x:c r="F573" s="12" t="n">
        <x:f>SUM(B573,D573:E573)</x:f>
        <x:v>118717.07472799999</x:v>
      </x:c>
      <x:c r="G573" s="12" t="n">
        <x:f>MAX(G572,F573)</x:f>
        <x:v>120298.245616</x:v>
      </x:c>
      <x:c r="H573" s="14" t="n">
        <x:f>F573/G573-1</x:f>
        <x:v>-0.013143756834552822</x:v>
      </x:c>
      <x:c r="I573" s="14" t="n">
        <x:f>F573/F572-1</x:f>
        <x:v>0.0006119121869470057</x:v>
      </x:c>
      <x:c r="J573" s="12" t="n">
        <x:v>0</x:v>
      </x:c>
      <x:c r="K573" s="12" t="n">
        <x:v>0</x:v>
      </x:c>
      <x:c r="L573" s="12" t="n">
        <x:v>0</x:v>
      </x:c>
      <x:c r="M573" s="2" t="str">
        <x:v>持有</x:v>
      </x:c>
    </x:row>
    <x:row r="574" ht="23" customHeight="1">
      <x:c r="A574" s="11" t="d">
        <x:v>2017-04-05T00:00:00.000Z</x:v>
      </x:c>
      <x:c r="B574" s="12" t="n">
        <x:v>4244.725616</x:v>
      </x:c>
      <x:c r="C574" s="13" t="n">
        <x:v>484</x:v>
      </x:c>
      <x:c r="D574" s="12" t="n">
        <x:v>113633.52</x:v>
      </x:c>
      <x:c r="E574" s="12" t="n">
        <x:v>500.029112</x:v>
      </x:c>
      <x:c r="F574" s="12" t="n">
        <x:f>SUM(B574,D574:E574)</x:f>
        <x:v>118378.274728</x:v>
      </x:c>
      <x:c r="G574" s="12" t="n">
        <x:f>MAX(G573,F574)</x:f>
        <x:v>120298.245616</x:v>
      </x:c>
      <x:c r="H574" s="14" t="n">
        <x:f>F574/G574-1</x:f>
        <x:v>-0.015960090508124858</x:v>
      </x:c>
      <x:c r="I574" s="14" t="n">
        <x:f>F574/F573-1</x:f>
        <x:v>-0.002853843903888542</x:v>
      </x:c>
      <x:c r="J574" s="12" t="n">
        <x:v>0</x:v>
      </x:c>
      <x:c r="K574" s="12" t="n">
        <x:v>0</x:v>
      </x:c>
      <x:c r="L574" s="12" t="n">
        <x:v>0</x:v>
      </x:c>
      <x:c r="M574" s="2" t="str">
        <x:v>持有</x:v>
      </x:c>
    </x:row>
    <x:row r="575" ht="23" customHeight="1">
      <x:c r="A575" s="11" t="d">
        <x:v>2017-04-06T00:00:00.000Z</x:v>
      </x:c>
      <x:c r="B575" s="12" t="n">
        <x:v>4244.725616</x:v>
      </x:c>
      <x:c r="C575" s="13" t="n">
        <x:v>484</x:v>
      </x:c>
      <x:c r="D575" s="12" t="n">
        <x:v>113952.95999999999</x:v>
      </x:c>
      <x:c r="E575" s="12" t="n">
        <x:v>500.029112</x:v>
      </x:c>
      <x:c r="F575" s="12" t="n">
        <x:f>SUM(B575,D575:E575)</x:f>
        <x:v>118697.71472799999</x:v>
      </x:c>
      <x:c r="G575" s="12" t="n">
        <x:f>MAX(G574,F575)</x:f>
        <x:v>120298.245616</x:v>
      </x:c>
      <x:c r="H575" s="14" t="n">
        <x:f>F575/G575-1</x:f>
        <x:v>-0.013304690187328383</x:v>
      </x:c>
      <x:c r="I575" s="14" t="n">
        <x:f>F575/F574-1</x:f>
        <x:v>0.002698468116163699</x:v>
      </x:c>
      <x:c r="J575" s="12" t="n">
        <x:v>0</x:v>
      </x:c>
      <x:c r="K575" s="12" t="n">
        <x:v>0</x:v>
      </x:c>
      <x:c r="L575" s="12" t="n">
        <x:v>0</x:v>
      </x:c>
      <x:c r="M575" s="2" t="str">
        <x:v>持有</x:v>
      </x:c>
    </x:row>
    <x:row r="576" ht="23" customHeight="1">
      <x:c r="A576" s="11" t="d">
        <x:v>2017-04-07T00:00:00.000Z</x:v>
      </x:c>
      <x:c r="B576" s="12" t="n">
        <x:v>4244.725616</x:v>
      </x:c>
      <x:c r="C576" s="13" t="n">
        <x:v>484</x:v>
      </x:c>
      <x:c r="D576" s="12" t="n">
        <x:v>113836.79999999999</x:v>
      </x:c>
      <x:c r="E576" s="12" t="n">
        <x:v>500.029112</x:v>
      </x:c>
      <x:c r="F576" s="12" t="n">
        <x:f>SUM(B576,D576:E576)</x:f>
        <x:v>118581.55472799999</x:v>
      </x:c>
      <x:c r="G576" s="12" t="n">
        <x:f>MAX(G575,F576)</x:f>
        <x:v>120298.245616</x:v>
      </x:c>
      <x:c r="H576" s="14" t="n">
        <x:f>F576/G576-1</x:f>
        <x:v>-0.014270290303981636</x:v>
      </x:c>
      <x:c r="I576" s="14" t="n">
        <x:f>F576/F575-1</x:f>
        <x:v>-0.0009786203573184382</x:v>
      </x:c>
      <x:c r="J576" s="12" t="n">
        <x:v>0</x:v>
      </x:c>
      <x:c r="K576" s="12" t="n">
        <x:v>0</x:v>
      </x:c>
      <x:c r="L576" s="12" t="n">
        <x:v>0</x:v>
      </x:c>
      <x:c r="M576" s="2" t="str">
        <x:v>持有</x:v>
      </x:c>
    </x:row>
    <x:row r="577" ht="23" customHeight="1">
      <x:c r="A577" s="11" t="d">
        <x:v>2017-04-10T00:00:00.000Z</x:v>
      </x:c>
      <x:c r="B577" s="12" t="n">
        <x:v>4244.725616</x:v>
      </x:c>
      <x:c r="C577" s="13" t="n">
        <x:v>484</x:v>
      </x:c>
      <x:c r="D577" s="12" t="n">
        <x:v>113904.56</x:v>
      </x:c>
      <x:c r="E577" s="12" t="n">
        <x:v>500.029112</x:v>
      </x:c>
      <x:c r="F577" s="12" t="n">
        <x:f>SUM(B577,D577:E577)</x:f>
        <x:v>118649.314728</x:v>
      </x:c>
      <x:c r="G577" s="12" t="n">
        <x:f>MAX(G576,F577)</x:f>
        <x:v>120298.245616</x:v>
      </x:c>
      <x:c r="H577" s="14" t="n">
        <x:f>F577/G577-1</x:f>
        <x:v>-0.013707023569267118</x:v>
      </x:c>
      <x:c r="I577" s="14" t="n">
        <x:f>F577/F576-1</x:f>
        <x:v>0.0005714210794034447</x:v>
      </x:c>
      <x:c r="J577" s="12" t="n">
        <x:v>0</x:v>
      </x:c>
      <x:c r="K577" s="12" t="n">
        <x:v>0</x:v>
      </x:c>
      <x:c r="L577" s="12" t="n">
        <x:v>0</x:v>
      </x:c>
      <x:c r="M577" s="2" t="str">
        <x:v>持有</x:v>
      </x:c>
    </x:row>
    <x:row r="578" ht="23" customHeight="1">
      <x:c r="A578" s="11" t="d">
        <x:v>2017-04-11T00:00:00.000Z</x:v>
      </x:c>
      <x:c r="B578" s="12" t="n">
        <x:v>4244.725616</x:v>
      </x:c>
      <x:c r="C578" s="13" t="n">
        <x:v>484</x:v>
      </x:c>
      <x:c r="D578" s="12" t="n">
        <x:v>113769.04000000001</x:v>
      </x:c>
      <x:c r="E578" s="12" t="n">
        <x:v>500.029112</x:v>
      </x:c>
      <x:c r="F578" s="12" t="n">
        <x:f>SUM(B578,D578:E578)</x:f>
        <x:v>118513.79472800001</x:v>
      </x:c>
      <x:c r="G578" s="12" t="n">
        <x:f>MAX(G577,F578)</x:f>
        <x:v>120298.245616</x:v>
      </x:c>
      <x:c r="H578" s="14" t="n">
        <x:f>F578/G578-1</x:f>
        <x:v>-0.014833557038695933</x:v>
      </x:c>
      <x:c r="I578" s="14" t="n">
        <x:f>F578/F577-1</x:f>
        <x:v>-0.001142189487656653</x:v>
      </x:c>
      <x:c r="J578" s="12" t="n">
        <x:v>0</x:v>
      </x:c>
      <x:c r="K578" s="12" t="n">
        <x:v>0</x:v>
      </x:c>
      <x:c r="L578" s="12" t="n">
        <x:v>0</x:v>
      </x:c>
      <x:c r="M578" s="2" t="str">
        <x:v>持有</x:v>
      </x:c>
    </x:row>
    <x:row r="579" ht="23" customHeight="1">
      <x:c r="A579" s="11" t="d">
        <x:v>2017-04-12T00:00:00.000Z</x:v>
      </x:c>
      <x:c r="B579" s="12" t="n">
        <x:v>4244.725616</x:v>
      </x:c>
      <x:c r="C579" s="13" t="n">
        <x:v>484</x:v>
      </x:c>
      <x:c r="D579" s="12" t="n">
        <x:v>113270.52</x:v>
      </x:c>
      <x:c r="E579" s="12" t="n">
        <x:v>500.029112</x:v>
      </x:c>
      <x:c r="F579" s="12" t="n">
        <x:f>SUM(B579,D579:E579)</x:f>
        <x:v>118015.274728</x:v>
      </x:c>
      <x:c r="G579" s="12" t="n">
        <x:f>MAX(G578,F579)</x:f>
        <x:v>120298.245616</x:v>
      </x:c>
      <x:c r="H579" s="14" t="n">
        <x:f>F579/G579-1</x:f>
        <x:v>-0.018977590872666483</x:v>
      </x:c>
      <x:c r="I579" s="14" t="n">
        <x:f>F579/F578-1</x:f>
        <x:v>-0.004206430155613172</x:v>
      </x:c>
      <x:c r="J579" s="12" t="n">
        <x:v>0</x:v>
      </x:c>
      <x:c r="K579" s="12" t="n">
        <x:v>0</x:v>
      </x:c>
      <x:c r="L579" s="12" t="n">
        <x:v>0</x:v>
      </x:c>
      <x:c r="M579" s="2" t="str">
        <x:v>持有</x:v>
      </x:c>
    </x:row>
    <x:row r="580" ht="23" customHeight="1">
      <x:c r="A580" s="11" t="d">
        <x:v>2017-04-13T00:00:00.000Z</x:v>
      </x:c>
      <x:c r="B580" s="12" t="n">
        <x:v>4244.725616</x:v>
      </x:c>
      <x:c r="C580" s="13" t="n">
        <x:v>484</x:v>
      </x:c>
      <x:c r="D580" s="12" t="n">
        <x:v>112534.84</x:v>
      </x:c>
      <x:c r="E580" s="12" t="n">
        <x:v>500.029112</x:v>
      </x:c>
      <x:c r="F580" s="12" t="n">
        <x:f>SUM(B580,D580:E580)</x:f>
        <x:v>117279.594728</x:v>
      </x:c>
      <x:c r="G580" s="12" t="n">
        <x:f>MAX(G579,F580)</x:f>
        <x:v>120298.245616</x:v>
      </x:c>
      <x:c r="H580" s="14" t="n">
        <x:f>F580/G580-1</x:f>
        <x:v>-0.02509305827813768</x:v>
      </x:c>
      <x:c r="I580" s="14" t="n">
        <x:f>F580/F579-1</x:f>
        <x:v>-0.006233769329399008</x:v>
      </x:c>
      <x:c r="J580" s="12" t="n">
        <x:v>0</x:v>
      </x:c>
      <x:c r="K580" s="12" t="n">
        <x:v>0</x:v>
      </x:c>
      <x:c r="L580" s="12" t="n">
        <x:v>0</x:v>
      </x:c>
      <x:c r="M580" s="2" t="str">
        <x:v>持有</x:v>
      </x:c>
    </x:row>
    <x:row r="581" ht="23" customHeight="1">
      <x:c r="A581" s="11" t="d">
        <x:v>2017-04-17T00:00:00.000Z</x:v>
      </x:c>
      <x:c r="B581" s="12" t="n">
        <x:v>4244.725616</x:v>
      </x:c>
      <x:c r="C581" s="13" t="n">
        <x:v>484</x:v>
      </x:c>
      <x:c r="D581" s="12" t="n">
        <x:v>113531.87999999999</x:v>
      </x:c>
      <x:c r="E581" s="12" t="n">
        <x:v>500.029112</x:v>
      </x:c>
      <x:c r="F581" s="12" t="n">
        <x:f>SUM(B581,D581:E581)</x:f>
        <x:v>118276.63472799999</x:v>
      </x:c>
      <x:c r="G581" s="12" t="n">
        <x:f>MAX(G580,F581)</x:f>
        <x:v>120298.245616</x:v>
      </x:c>
      <x:c r="H581" s="14" t="n">
        <x:f>F581/G581-1</x:f>
        <x:v>-0.01680499061019669</x:v>
      </x:c>
      <x:c r="I581" s="14" t="n">
        <x:f>F581/F580-1</x:f>
        <x:v>0.008501393633840282</x:v>
      </x:c>
      <x:c r="J581" s="12" t="n">
        <x:v>0</x:v>
      </x:c>
      <x:c r="K581" s="12" t="n">
        <x:v>0</x:v>
      </x:c>
      <x:c r="L581" s="12" t="n">
        <x:v>0</x:v>
      </x:c>
      <x:c r="M581" s="2" t="str">
        <x:v>持有</x:v>
      </x:c>
    </x:row>
    <x:row r="582" ht="23" customHeight="1">
      <x:c r="A582" s="11" t="d">
        <x:v>2017-04-18T00:00:00.000Z</x:v>
      </x:c>
      <x:c r="B582" s="12" t="n">
        <x:v>4244.725616</x:v>
      </x:c>
      <x:c r="C582" s="13" t="n">
        <x:v>484</x:v>
      </x:c>
      <x:c r="D582" s="12" t="n">
        <x:v>113193.08</x:v>
      </x:c>
      <x:c r="E582" s="12" t="n">
        <x:v>500.029112</x:v>
      </x:c>
      <x:c r="F582" s="12" t="n">
        <x:f>SUM(B582,D582:E582)</x:f>
        <x:v>117937.834728</x:v>
      </x:c>
      <x:c r="G582" s="12" t="n">
        <x:f>MAX(G581,F582)</x:f>
        <x:v>120298.245616</x:v>
      </x:c>
      <x:c r="H582" s="14" t="n">
        <x:f>F582/G582-1</x:f>
        <x:v>-0.019621324283768726</x:v>
      </x:c>
      <x:c r="I582" s="14" t="n">
        <x:f>F582/F581-1</x:f>
        <x:v>-0.002864471083228959</x:v>
      </x:c>
      <x:c r="J582" s="12" t="n">
        <x:v>0</x:v>
      </x:c>
      <x:c r="K582" s="12" t="n">
        <x:v>0</x:v>
      </x:c>
      <x:c r="L582" s="12" t="n">
        <x:v>0</x:v>
      </x:c>
      <x:c r="M582" s="2" t="str">
        <x:v>持有</x:v>
      </x:c>
    </x:row>
    <x:row r="583" ht="23" customHeight="1">
      <x:c r="A583" s="11" t="d">
        <x:v>2017-04-19T00:00:00.000Z</x:v>
      </x:c>
      <x:c r="B583" s="12" t="n">
        <x:v>4244.725616</x:v>
      </x:c>
      <x:c r="C583" s="13" t="n">
        <x:v>484</x:v>
      </x:c>
      <x:c r="D583" s="12" t="n">
        <x:v>112984.95999999999</x:v>
      </x:c>
      <x:c r="E583" s="12" t="n">
        <x:v>500.029112</x:v>
      </x:c>
      <x:c r="F583" s="12" t="n">
        <x:f>SUM(B583,D583:E583)</x:f>
        <x:v>117729.71472799999</x:v>
      </x:c>
      <x:c r="G583" s="12" t="n">
        <x:f>MAX(G582,F583)</x:f>
        <x:v>120298.245616</x:v>
      </x:c>
      <x:c r="H583" s="14" t="n">
        <x:f>F583/G583-1</x:f>
        <x:v>-0.021351357826106088</x:v>
      </x:c>
      <x:c r="I583" s="14" t="n">
        <x:f>F583/F582-1</x:f>
        <x:v>-0.0017646584785959707</x:v>
      </x:c>
      <x:c r="J583" s="12" t="n">
        <x:v>0</x:v>
      </x:c>
      <x:c r="K583" s="12" t="n">
        <x:v>0</x:v>
      </x:c>
      <x:c r="L583" s="12" t="n">
        <x:v>0</x:v>
      </x:c>
      <x:c r="M583" s="2" t="str">
        <x:v>持有</x:v>
      </x:c>
    </x:row>
    <x:row r="584" ht="23" customHeight="1">
      <x:c r="A584" s="11" t="d">
        <x:v>2017-04-20T00:00:00.000Z</x:v>
      </x:c>
      <x:c r="B584" s="12" t="n">
        <x:v>4244.725616</x:v>
      </x:c>
      <x:c r="C584" s="13" t="n">
        <x:v>484</x:v>
      </x:c>
      <x:c r="D584" s="12" t="n">
        <x:v>113904.56</x:v>
      </x:c>
      <x:c r="E584" s="12" t="n">
        <x:v>500.029112</x:v>
      </x:c>
      <x:c r="F584" s="12" t="n">
        <x:f>SUM(B584,D584:E584)</x:f>
        <x:v>118649.314728</x:v>
      </x:c>
      <x:c r="G584" s="12" t="n">
        <x:f>MAX(G583,F584)</x:f>
        <x:v>120298.245616</x:v>
      </x:c>
      <x:c r="H584" s="14" t="n">
        <x:f>F584/G584-1</x:f>
        <x:v>-0.013707023569267118</x:v>
      </x:c>
      <x:c r="I584" s="14" t="n">
        <x:f>F584/F583-1</x:f>
        <x:v>0.007811112106443474</x:v>
      </x:c>
      <x:c r="J584" s="12" t="n">
        <x:v>0</x:v>
      </x:c>
      <x:c r="K584" s="12" t="n">
        <x:v>0</x:v>
      </x:c>
      <x:c r="L584" s="12" t="n">
        <x:v>0</x:v>
      </x:c>
      <x:c r="M584" s="2" t="str">
        <x:v>持有</x:v>
      </x:c>
    </x:row>
    <x:row r="585" ht="23" customHeight="1">
      <x:c r="A585" s="11" t="d">
        <x:v>2017-04-21T00:00:00.000Z</x:v>
      </x:c>
      <x:c r="B585" s="12" t="n">
        <x:v>4244.725616</x:v>
      </x:c>
      <x:c r="C585" s="13" t="n">
        <x:v>484</x:v>
      </x:c>
      <x:c r="D585" s="12" t="n">
        <x:v>113541.56</x:v>
      </x:c>
      <x:c r="E585" s="12" t="n">
        <x:v>500.029112</x:v>
      </x:c>
      <x:c r="F585" s="12" t="n">
        <x:f>SUM(B585,D585:E585)</x:f>
        <x:v>118286.314728</x:v>
      </x:c>
      <x:c r="G585" s="12" t="n">
        <x:f>MAX(G584,F585)</x:f>
        <x:v>120298.245616</x:v>
      </x:c>
      <x:c r="H585" s="14" t="n">
        <x:f>F585/G585-1</x:f>
        <x:v>-0.016724523933808855</x:v>
      </x:c>
      <x:c r="I585" s="14" t="n">
        <x:f>F585/F584-1</x:f>
        <x:v>-0.0030594361276520265</x:v>
      </x:c>
      <x:c r="J585" s="12" t="n">
        <x:v>0</x:v>
      </x:c>
      <x:c r="K585" s="12" t="n">
        <x:v>0</x:v>
      </x:c>
      <x:c r="L585" s="12" t="n">
        <x:v>0</x:v>
      </x:c>
      <x:c r="M585" s="2" t="str">
        <x:v>持有</x:v>
      </x:c>
    </x:row>
    <x:row r="586" ht="23" customHeight="1">
      <x:c r="A586" s="11" t="d">
        <x:v>2017-04-24T00:00:00.000Z</x:v>
      </x:c>
      <x:c r="B586" s="12" t="n">
        <x:v>4244.725616</x:v>
      </x:c>
      <x:c r="C586" s="13" t="n">
        <x:v>484</x:v>
      </x:c>
      <x:c r="D586" s="12" t="n">
        <x:v>114790.28</x:v>
      </x:c>
      <x:c r="E586" s="12" t="n">
        <x:v>500.029112</x:v>
      </x:c>
      <x:c r="F586" s="12" t="n">
        <x:f>SUM(B586,D586:E586)</x:f>
        <x:v>119535.034728</x:v>
      </x:c>
      <x:c r="G586" s="12" t="n">
        <x:f>MAX(G585,F586)</x:f>
        <x:v>120298.245616</x:v>
      </x:c>
      <x:c r="H586" s="14" t="n">
        <x:f>F586/G586-1</x:f>
        <x:v>-0.0063443226797855745</x:v>
      </x:c>
      <x:c r="I586" s="14" t="n">
        <x:f>F586/F585-1</x:f>
        <x:v>0.010556758005957345</x:v>
      </x:c>
      <x:c r="J586" s="12" t="n">
        <x:v>0</x:v>
      </x:c>
      <x:c r="K586" s="12" t="n">
        <x:v>0</x:v>
      </x:c>
      <x:c r="L586" s="12" t="n">
        <x:v>0</x:v>
      </x:c>
      <x:c r="M586" s="2" t="str">
        <x:v>持有</x:v>
      </x:c>
    </x:row>
    <x:row r="587" ht="23" customHeight="1">
      <x:c r="A587" s="11" t="d">
        <x:v>2017-04-25T00:00:00.000Z</x:v>
      </x:c>
      <x:c r="B587" s="12" t="n">
        <x:v>4244.725616</x:v>
      </x:c>
      <x:c r="C587" s="13" t="n">
        <x:v>484</x:v>
      </x:c>
      <x:c r="D587" s="12" t="n">
        <x:v>115458.20000000001</x:v>
      </x:c>
      <x:c r="E587" s="12" t="n">
        <x:v>500.029112</x:v>
      </x:c>
      <x:c r="F587" s="12" t="n">
        <x:f>SUM(B587,D587:E587)</x:f>
        <x:v>120202.95472800001</x:v>
      </x:c>
      <x:c r="G587" s="12" t="n">
        <x:f>MAX(G586,F587)</x:f>
        <x:v>120298.245616</x:v>
      </x:c>
      <x:c r="H587" s="14" t="n">
        <x:f>F587/G587-1</x:f>
        <x:v>-0.0007921220090287839</x:v>
      </x:c>
      <x:c r="I587" s="14" t="n">
        <x:f>F587/F586-1</x:f>
        <x:v>0.00558765052873289</x:v>
      </x:c>
      <x:c r="J587" s="12" t="n">
        <x:v>0</x:v>
      </x:c>
      <x:c r="K587" s="12" t="n">
        <x:v>0</x:v>
      </x:c>
      <x:c r="L587" s="12" t="n">
        <x:v>0</x:v>
      </x:c>
      <x:c r="M587" s="2" t="str">
        <x:v>持有</x:v>
      </x:c>
    </x:row>
    <x:row r="588" ht="23" customHeight="1">
      <x:c r="A588" s="11" t="d">
        <x:v>2017-04-26T00:00:00.000Z</x:v>
      </x:c>
      <x:c r="B588" s="12" t="n">
        <x:v>4244.725616</x:v>
      </x:c>
      <x:c r="C588" s="13" t="n">
        <x:v>484</x:v>
      </x:c>
      <x:c r="D588" s="12" t="n">
        <x:v>115385.6</x:v>
      </x:c>
      <x:c r="E588" s="12" t="n">
        <x:v>500.029112</x:v>
      </x:c>
      <x:c r="F588" s="12" t="n">
        <x:f>SUM(B588,D588:E588)</x:f>
        <x:v>120130.354728</x:v>
      </x:c>
      <x:c r="G588" s="12" t="n">
        <x:f>MAX(G587,F588)</x:f>
        <x:v>120298.245616</x:v>
      </x:c>
      <x:c r="H588" s="14" t="n">
        <x:f>F588/G588-1</x:f>
        <x:v>-0.00139562208193722</x:v>
      </x:c>
      <x:c r="I588" s="14" t="n">
        <x:f>F588/F587-1</x:f>
        <x:v>-0.0006039784975693241</x:v>
      </x:c>
      <x:c r="J588" s="12" t="n">
        <x:v>0</x:v>
      </x:c>
      <x:c r="K588" s="12" t="n">
        <x:v>0</x:v>
      </x:c>
      <x:c r="L588" s="12" t="n">
        <x:v>0</x:v>
      </x:c>
      <x:c r="M588" s="2" t="str">
        <x:v>持有</x:v>
      </x:c>
    </x:row>
    <x:row r="589" ht="23" customHeight="1">
      <x:c r="A589" s="11" t="d">
        <x:v>2017-04-27T00:00:00.000Z</x:v>
      </x:c>
      <x:c r="B589" s="12" t="n">
        <x:v>4244.725616</x:v>
      </x:c>
      <x:c r="C589" s="13" t="n">
        <x:v>484</x:v>
      </x:c>
      <x:c r="D589" s="12" t="n">
        <x:v>115482.4</x:v>
      </x:c>
      <x:c r="E589" s="12" t="n">
        <x:v>500.029112</x:v>
      </x:c>
      <x:c r="F589" s="12" t="n">
        <x:f>SUM(B589,D589:E589)</x:f>
        <x:v>120227.154728</x:v>
      </x:c>
      <x:c r="G589" s="12" t="n">
        <x:f>MAX(G588,F589)</x:f>
        <x:v>120298.245616</x:v>
      </x:c>
      <x:c r="H589" s="14" t="n">
        <x:f>F589/G589-1</x:f>
        <x:v>-0.0005909553180595273</x:v>
      </x:c>
      <x:c r="I589" s="14" t="n">
        <x:f>F589/F588-1</x:f>
        <x:v>0.000805791344070883</x:v>
      </x:c>
      <x:c r="J589" s="12" t="n">
        <x:v>0</x:v>
      </x:c>
      <x:c r="K589" s="12" t="n">
        <x:v>0</x:v>
      </x:c>
      <x:c r="L589" s="12" t="n">
        <x:v>0</x:v>
      </x:c>
      <x:c r="M589" s="2" t="str">
        <x:v>持有</x:v>
      </x:c>
    </x:row>
    <x:row r="590" ht="23" customHeight="1">
      <x:c r="A590" s="11" t="d">
        <x:v>2017-04-28T00:00:00.000Z</x:v>
      </x:c>
      <x:c r="B590" s="12" t="n">
        <x:v>4744.754728</x:v>
      </x:c>
      <x:c r="C590" s="13" t="n">
        <x:v>484</x:v>
      </x:c>
      <x:c r="D590" s="12" t="n">
        <x:v>115230.72</x:v>
      </x:c>
      <x:c r="E590" s="12" t="n">
        <x:v>0</x:v>
      </x:c>
      <x:c r="F590" s="12" t="n">
        <x:f>SUM(B590,D590:E590)</x:f>
        <x:v>119975.474728</x:v>
      </x:c>
      <x:c r="G590" s="12" t="n">
        <x:f>MAX(G589,F590)</x:f>
        <x:v>120298.245616</x:v>
      </x:c>
      <x:c r="H590" s="14" t="n">
        <x:f>F590/G590-1</x:f>
        <x:v>-0.002683088904141706</x:v>
      </x:c>
      <x:c r="I590" s="14" t="n">
        <x:f>F590/F589-1</x:f>
        <x:v>-0.002093370674615014</x:v>
      </x:c>
      <x:c r="J590" s="12" t="n">
        <x:v>0</x:v>
      </x:c>
      <x:c r="K590" s="12" t="n">
        <x:v>500.029112</x:v>
      </x:c>
      <x:c r="L590" s="12" t="n">
        <x:v>0</x:v>
      </x:c>
      <x:c r="M590" s="2" t="str">
        <x:v>持有</x:v>
      </x:c>
    </x:row>
    <x:row r="591" ht="23" customHeight="1">
      <x:c r="A591" s="11" t="d">
        <x:v>2017-05-01T00:00:00.000Z</x:v>
      </x:c>
      <x:c r="B591" s="12" t="n">
        <x:v>4744.754728</x:v>
      </x:c>
      <x:c r="C591" s="13" t="n">
        <x:v>484</x:v>
      </x:c>
      <x:c r="D591" s="12" t="n">
        <x:v>115521.12000000001</x:v>
      </x:c>
      <x:c r="E591" s="12" t="n">
        <x:v>0</x:v>
      </x:c>
      <x:c r="F591" s="12" t="n">
        <x:f>SUM(B591,D591:E591)</x:f>
        <x:v>120265.87472800001</x:v>
      </x:c>
      <x:c r="G591" s="12" t="n">
        <x:f>MAX(G590,F591)</x:f>
        <x:v>120298.245616</x:v>
      </x:c>
      <x:c r="H591" s="14" t="n">
        <x:f>F591/G591-1</x:f>
        <x:v>-0.00026908861250829474</x:v>
      </x:c>
      <x:c r="I591" s="14" t="n">
        <x:f>F591/F590-1</x:f>
        <x:v>0.002420494694089559</x:v>
      </x:c>
      <x:c r="J591" s="12" t="n">
        <x:v>0</x:v>
      </x:c>
      <x:c r="K591" s="12" t="n">
        <x:v>0</x:v>
      </x:c>
      <x:c r="L591" s="12" t="n">
        <x:v>0</x:v>
      </x:c>
      <x:c r="M591" s="2" t="str">
        <x:v>持有</x:v>
      </x:c>
    </x:row>
    <x:row r="592" ht="23" customHeight="1">
      <x:c r="A592" s="11" t="d">
        <x:v>2017-05-02T00:00:00.000Z</x:v>
      </x:c>
      <x:c r="B592" s="12" t="n">
        <x:v>4744.754728</x:v>
      </x:c>
      <x:c r="C592" s="13" t="n">
        <x:v>484</x:v>
      </x:c>
      <x:c r="D592" s="12" t="n">
        <x:v>115564.68000000001</x:v>
      </x:c>
      <x:c r="E592" s="12" t="n">
        <x:v>0</x:v>
      </x:c>
      <x:c r="F592" s="12" t="n">
        <x:f>SUM(B592,D592:E592)</x:f>
        <x:v>120309.43472800001</x:v>
      </x:c>
      <x:c r="G592" s="12" t="n">
        <x:f>MAX(G591,F592)</x:f>
        <x:v>120309.43472800001</x:v>
      </x:c>
      <x:c r="H592" s="14" t="n">
        <x:f>F592/G592-1</x:f>
        <x:v>0</x:v>
      </x:c>
      <x:c r="I592" s="14" t="n">
        <x:f>F592/F591-1</x:f>
        <x:v>0.0003621975069696415</x:v>
      </x:c>
      <x:c r="J592" s="12" t="n">
        <x:v>0</x:v>
      </x:c>
      <x:c r="K592" s="12" t="n">
        <x:v>0</x:v>
      </x:c>
      <x:c r="L592" s="12" t="n">
        <x:v>0</x:v>
      </x:c>
      <x:c r="M592" s="2" t="str">
        <x:v>持有</x:v>
      </x:c>
    </x:row>
    <x:row r="593" ht="23" customHeight="1">
      <x:c r="A593" s="11" t="d">
        <x:v>2017-05-03T00:00:00.000Z</x:v>
      </x:c>
      <x:c r="B593" s="12" t="n">
        <x:v>4744.754728</x:v>
      </x:c>
      <x:c r="C593" s="13" t="n">
        <x:v>484</x:v>
      </x:c>
      <x:c r="D593" s="12" t="n">
        <x:v>115424.31999999999</x:v>
      </x:c>
      <x:c r="E593" s="12" t="n">
        <x:v>0</x:v>
      </x:c>
      <x:c r="F593" s="12" t="n">
        <x:f>SUM(B593,D593:E593)</x:f>
        <x:v>120169.07472799999</x:v>
      </x:c>
      <x:c r="G593" s="12" t="n">
        <x:f>MAX(G592,F593)</x:f>
        <x:v>120309.43472800001</x:v>
      </x:c>
      <x:c r="H593" s="14" t="n">
        <x:f>F593/G593-1</x:f>
        <x:v>-0.001166658295065126</x:v>
      </x:c>
      <x:c r="I593" s="14" t="n">
        <x:f>F593/F592-1</x:f>
        <x:v>-0.001166658295065126</x:v>
      </x:c>
      <x:c r="J593" s="12" t="n">
        <x:v>0</x:v>
      </x:c>
      <x:c r="K593" s="12" t="n">
        <x:v>0</x:v>
      </x:c>
      <x:c r="L593" s="12" t="n">
        <x:v>0</x:v>
      </x:c>
      <x:c r="M593" s="2" t="str">
        <x:v>持有</x:v>
      </x:c>
    </x:row>
    <x:row r="594" ht="23" customHeight="1">
      <x:c r="A594" s="11" t="d">
        <x:v>2017-05-04T00:00:00.000Z</x:v>
      </x:c>
      <x:c r="B594" s="12" t="n">
        <x:v>4744.754728</x:v>
      </x:c>
      <x:c r="C594" s="13" t="n">
        <x:v>484</x:v>
      </x:c>
      <x:c r="D594" s="12" t="n">
        <x:v>115559.84</x:v>
      </x:c>
      <x:c r="E594" s="12" t="n">
        <x:v>0</x:v>
      </x:c>
      <x:c r="F594" s="12" t="n">
        <x:f>SUM(B594,D594:E594)</x:f>
        <x:v>120304.594728</x:v>
      </x:c>
      <x:c r="G594" s="12" t="n">
        <x:f>MAX(G593,F594)</x:f>
        <x:v>120309.43472800001</x:v>
      </x:c>
      <x:c r="H594" s="14" t="n">
        <x:f>F594/G594-1</x:f>
        <x:v>-0.0000402295963816135</x:v>
      </x:c>
      <x:c r="I594" s="14" t="n">
        <x:f>F594/F593-1</x:f>
        <x:v>0.0011277443910320262</x:v>
      </x:c>
      <x:c r="J594" s="12" t="n">
        <x:v>0</x:v>
      </x:c>
      <x:c r="K594" s="12" t="n">
        <x:v>0</x:v>
      </x:c>
      <x:c r="L594" s="12" t="n">
        <x:v>0</x:v>
      </x:c>
      <x:c r="M594" s="2" t="str">
        <x:v>持有</x:v>
      </x:c>
    </x:row>
    <x:row r="595" ht="23" customHeight="1">
      <x:c r="A595" s="11" t="d">
        <x:v>2017-05-05T00:00:00.000Z</x:v>
      </x:c>
      <x:c r="B595" s="12" t="n">
        <x:v>4744.754728</x:v>
      </x:c>
      <x:c r="C595" s="13" t="n">
        <x:v>484</x:v>
      </x:c>
      <x:c r="D595" s="12" t="n">
        <x:v>116014.79999999999</x:v>
      </x:c>
      <x:c r="E595" s="12" t="n">
        <x:v>0</x:v>
      </x:c>
      <x:c r="F595" s="12" t="n">
        <x:f>SUM(B595,D595:E595)</x:f>
        <x:v>120759.55472799999</x:v>
      </x:c>
      <x:c r="G595" s="12" t="n">
        <x:f>MAX(G594,F595)</x:f>
        <x:v>120759.55472799999</x:v>
      </x:c>
      <x:c r="H595" s="14" t="n">
        <x:f>F595/G595-1</x:f>
        <x:v>0</x:v>
      </x:c>
      <x:c r="I595" s="14" t="n">
        <x:f>F595/F594-1</x:f>
        <x:v>0.003781734197506159</x:v>
      </x:c>
      <x:c r="J595" s="12" t="n">
        <x:v>0</x:v>
      </x:c>
      <x:c r="K595" s="12" t="n">
        <x:v>0</x:v>
      </x:c>
      <x:c r="L595" s="12" t="n">
        <x:v>0</x:v>
      </x:c>
      <x:c r="M595" s="2" t="str">
        <x:v>持有</x:v>
      </x:c>
    </x:row>
    <x:row r="596" ht="23" customHeight="1">
      <x:c r="A596" s="11" t="d">
        <x:v>2017-05-08T00:00:00.000Z</x:v>
      </x:c>
      <x:c r="B596" s="12" t="n">
        <x:v>4744.754728</x:v>
      </x:c>
      <x:c r="C596" s="13" t="n">
        <x:v>484</x:v>
      </x:c>
      <x:c r="D596" s="12" t="n">
        <x:v>115995.44</x:v>
      </x:c>
      <x:c r="E596" s="12" t="n">
        <x:v>0</x:v>
      </x:c>
      <x:c r="F596" s="12" t="n">
        <x:f>SUM(B596,D596:E596)</x:f>
        <x:v>120740.194728</x:v>
      </x:c>
      <x:c r="G596" s="12" t="n">
        <x:f>MAX(G595,F596)</x:f>
        <x:v>120759.55472799999</x:v>
      </x:c>
      <x:c r="H596" s="14" t="n">
        <x:f>F596/G596-1</x:f>
        <x:v>-0.0001603185772222071</x:v>
      </x:c>
      <x:c r="I596" s="14" t="n">
        <x:f>F596/F595-1</x:f>
        <x:v>-0.0001603185772222071</x:v>
      </x:c>
      <x:c r="J596" s="12" t="n">
        <x:v>0</x:v>
      </x:c>
      <x:c r="K596" s="12" t="n">
        <x:v>0</x:v>
      </x:c>
      <x:c r="L596" s="12" t="n">
        <x:v>0</x:v>
      </x:c>
      <x:c r="M596" s="2" t="str">
        <x:v>持有</x:v>
      </x:c>
    </x:row>
    <x:row r="597" ht="23" customHeight="1">
      <x:c r="A597" s="11" t="d">
        <x:v>2017-05-09T00:00:00.000Z</x:v>
      </x:c>
      <x:c r="B597" s="12" t="n">
        <x:v>4744.754728</x:v>
      </x:c>
      <x:c r="C597" s="13" t="n">
        <x:v>484</x:v>
      </x:c>
      <x:c r="D597" s="12" t="n">
        <x:v>115888.95999999999</x:v>
      </x:c>
      <x:c r="E597" s="12" t="n">
        <x:v>0</x:v>
      </x:c>
      <x:c r="F597" s="12" t="n">
        <x:f>SUM(B597,D597:E597)</x:f>
        <x:v>120633.71472799999</x:v>
      </x:c>
      <x:c r="G597" s="12" t="n">
        <x:f>MAX(G596,F597)</x:f>
        <x:v>120759.55472799999</x:v>
      </x:c>
      <x:c r="H597" s="14" t="n">
        <x:f>F597/G597-1</x:f>
        <x:v>-0.0010420707519454009</x:v>
      </x:c>
      <x:c r="I597" s="14" t="n">
        <x:f>F597/F596-1</x:f>
        <x:v>-0.0008818935586437648</x:v>
      </x:c>
      <x:c r="J597" s="12" t="n">
        <x:v>0</x:v>
      </x:c>
      <x:c r="K597" s="12" t="n">
        <x:v>0</x:v>
      </x:c>
      <x:c r="L597" s="12" t="n">
        <x:v>0</x:v>
      </x:c>
      <x:c r="M597" s="2" t="str">
        <x:v>持有</x:v>
      </x:c>
    </x:row>
    <x:row r="598" ht="23" customHeight="1">
      <x:c r="A598" s="11" t="d">
        <x:v>2017-05-10T00:00:00.000Z</x:v>
      </x:c>
      <x:c r="B598" s="12" t="n">
        <x:v>4744.754728</x:v>
      </x:c>
      <x:c r="C598" s="13" t="n">
        <x:v>484</x:v>
      </x:c>
      <x:c r="D598" s="12" t="n">
        <x:v>116097.08</x:v>
      </x:c>
      <x:c r="E598" s="12" t="n">
        <x:v>0</x:v>
      </x:c>
      <x:c r="F598" s="12" t="n">
        <x:f>SUM(B598,D598:E598)</x:f>
        <x:v>120841.834728</x:v>
      </x:c>
      <x:c r="G598" s="12" t="n">
        <x:f>MAX(G597,F598)</x:f>
        <x:v>120841.834728</x:v>
      </x:c>
      <x:c r="H598" s="14" t="n">
        <x:f>F598/G598-1</x:f>
        <x:v>0</x:v>
      </x:c>
      <x:c r="I598" s="14" t="n">
        <x:f>F598/F597-1</x:f>
        <x:v>0.0017252225090578222</x:v>
      </x:c>
      <x:c r="J598" s="12" t="n">
        <x:v>0</x:v>
      </x:c>
      <x:c r="K598" s="12" t="n">
        <x:v>0</x:v>
      </x:c>
      <x:c r="L598" s="12" t="n">
        <x:v>0</x:v>
      </x:c>
      <x:c r="M598" s="2" t="str">
        <x:v>持有</x:v>
      </x:c>
    </x:row>
    <x:row r="599" ht="23" customHeight="1">
      <x:c r="A599" s="11" t="d">
        <x:v>2017-05-11T00:00:00.000Z</x:v>
      </x:c>
      <x:c r="B599" s="12" t="n">
        <x:v>4744.754728</x:v>
      </x:c>
      <x:c r="C599" s="13" t="n">
        <x:v>484</x:v>
      </x:c>
      <x:c r="D599" s="12" t="n">
        <x:v>115859.92</x:v>
      </x:c>
      <x:c r="E599" s="12" t="n">
        <x:v>0</x:v>
      </x:c>
      <x:c r="F599" s="12" t="n">
        <x:f>SUM(B599,D599:E599)</x:f>
        <x:v>120604.674728</x:v>
      </x:c>
      <x:c r="G599" s="12" t="n">
        <x:f>MAX(G598,F599)</x:f>
        <x:v>120841.834728</x:v>
      </x:c>
      <x:c r="H599" s="14" t="n">
        <x:f>F599/G599-1</x:f>
        <x:v>-0.0019625653693012834</x:v>
      </x:c>
      <x:c r="I599" s="14" t="n">
        <x:f>F599/F598-1</x:f>
        <x:v>-0.0019625653693012834</x:v>
      </x:c>
      <x:c r="J599" s="12" t="n">
        <x:v>0</x:v>
      </x:c>
      <x:c r="K599" s="12" t="n">
        <x:v>0</x:v>
      </x:c>
      <x:c r="L599" s="12" t="n">
        <x:v>0</x:v>
      </x:c>
      <x:c r="M599" s="2" t="str">
        <x:v>持有</x:v>
      </x:c>
    </x:row>
    <x:row r="600" ht="23" customHeight="1">
      <x:c r="A600" s="11" t="d">
        <x:v>2017-05-12T00:00:00.000Z</x:v>
      </x:c>
      <x:c r="B600" s="12" t="n">
        <x:v>4744.754728</x:v>
      </x:c>
      <x:c r="C600" s="13" t="n">
        <x:v>484</x:v>
      </x:c>
      <x:c r="D600" s="12" t="n">
        <x:v>115666.31999999999</x:v>
      </x:c>
      <x:c r="E600" s="12" t="n">
        <x:v>0</x:v>
      </x:c>
      <x:c r="F600" s="12" t="n">
        <x:f>SUM(B600,D600:E600)</x:f>
        <x:v>120411.07472799999</x:v>
      </x:c>
      <x:c r="G600" s="12" t="n">
        <x:f>MAX(G599,F600)</x:f>
        <x:v>120841.834728</x:v>
      </x:c>
      <x:c r="H600" s="14" t="n">
        <x:f>F600/G600-1</x:f>
        <x:v>-0.003564659548322746</x:v>
      </x:c>
      <x:c r="I600" s="14" t="n">
        <x:f>F600/F599-1</x:f>
        <x:v>-0.0016052445764365153</x:v>
      </x:c>
      <x:c r="J600" s="12" t="n">
        <x:v>0</x:v>
      </x:c>
      <x:c r="K600" s="12" t="n">
        <x:v>0</x:v>
      </x:c>
      <x:c r="L600" s="12" t="n">
        <x:v>0</x:v>
      </x:c>
      <x:c r="M600" s="2" t="str">
        <x:v>持有</x:v>
      </x:c>
    </x:row>
    <x:row r="601" ht="23" customHeight="1">
      <x:c r="A601" s="11" t="d">
        <x:v>2017-05-15T00:00:00.000Z</x:v>
      </x:c>
      <x:c r="B601" s="12" t="n">
        <x:v>4744.754728</x:v>
      </x:c>
      <x:c r="C601" s="13" t="n">
        <x:v>484</x:v>
      </x:c>
      <x:c r="D601" s="12" t="n">
        <x:v>116305.20000000001</x:v>
      </x:c>
      <x:c r="E601" s="12" t="n">
        <x:v>0</x:v>
      </x:c>
      <x:c r="F601" s="12" t="n">
        <x:f>SUM(B601,D601:E601)</x:f>
        <x:v>121049.95472800001</x:v>
      </x:c>
      <x:c r="G601" s="12" t="n">
        <x:f>MAX(G600,F601)</x:f>
        <x:v>121049.95472800001</x:v>
      </x:c>
      <x:c r="H601" s="14" t="n">
        <x:f>F601/G601-1</x:f>
        <x:v>0</x:v>
      </x:c>
      <x:c r="I601" s="14" t="n">
        <x:f>F601/F600-1</x:f>
        <x:v>0.005305824247837654</x:v>
      </x:c>
      <x:c r="J601" s="12" t="n">
        <x:v>0</x:v>
      </x:c>
      <x:c r="K601" s="12" t="n">
        <x:v>0</x:v>
      </x:c>
      <x:c r="L601" s="12" t="n">
        <x:v>0</x:v>
      </x:c>
      <x:c r="M601" s="2" t="str">
        <x:v>持有</x:v>
      </x:c>
    </x:row>
    <x:row r="602" ht="23" customHeight="1">
      <x:c r="A602" s="11" t="d">
        <x:v>2017-05-16T00:00:00.000Z</x:v>
      </x:c>
      <x:c r="B602" s="12" t="n">
        <x:v>4744.754728</x:v>
      </x:c>
      <x:c r="C602" s="13" t="n">
        <x:v>484</x:v>
      </x:c>
      <x:c r="D602" s="12" t="n">
        <x:v>116198.72</x:v>
      </x:c>
      <x:c r="E602" s="12" t="n">
        <x:v>0</x:v>
      </x:c>
      <x:c r="F602" s="12" t="n">
        <x:f>SUM(B602,D602:E602)</x:f>
        <x:v>120943.474728</x:v>
      </x:c>
      <x:c r="G602" s="12" t="n">
        <x:f>MAX(G601,F602)</x:f>
        <x:v>121049.95472800001</x:v>
      </x:c>
      <x:c r="H602" s="14" t="n">
        <x:f>F602/G602-1</x:f>
        <x:v>-0.0008796368428164447</x:v>
      </x:c>
      <x:c r="I602" s="14" t="n">
        <x:f>F602/F601-1</x:f>
        <x:v>-0.0008796368428164447</x:v>
      </x:c>
      <x:c r="J602" s="12" t="n">
        <x:v>0</x:v>
      </x:c>
      <x:c r="K602" s="12" t="n">
        <x:v>0</x:v>
      </x:c>
      <x:c r="L602" s="12" t="n">
        <x:v>0</x:v>
      </x:c>
      <x:c r="M602" s="2" t="str">
        <x:v>持有</x:v>
      </x:c>
    </x:row>
    <x:row r="603" ht="23" customHeight="1">
      <x:c r="A603" s="11" t="d">
        <x:v>2017-05-17T00:00:00.000Z</x:v>
      </x:c>
      <x:c r="B603" s="12" t="n">
        <x:v>4744.754728</x:v>
      </x:c>
      <x:c r="C603" s="13" t="n">
        <x:v>484</x:v>
      </x:c>
      <x:c r="D603" s="12" t="n">
        <x:v>114136.87999999999</x:v>
      </x:c>
      <x:c r="E603" s="12" t="n">
        <x:v>0</x:v>
      </x:c>
      <x:c r="F603" s="12" t="n">
        <x:f>SUM(B603,D603:E603)</x:f>
        <x:v>118881.63472799999</x:v>
      </x:c>
      <x:c r="G603" s="12" t="n">
        <x:f>MAX(G602,F603)</x:f>
        <x:v>121049.95472800001</x:v>
      </x:c>
      <x:c r="H603" s="14" t="n">
        <x:f>F603/G603-1</x:f>
        <x:v>-0.01791260479916945</x:v>
      </x:c>
      <x:c r="I603" s="14" t="n">
        <x:f>F603/F602-1</x:f>
        <x:v>-0.017047963973559233</x:v>
      </x:c>
      <x:c r="J603" s="12" t="n">
        <x:v>0</x:v>
      </x:c>
      <x:c r="K603" s="12" t="n">
        <x:v>0</x:v>
      </x:c>
      <x:c r="L603" s="12" t="n">
        <x:v>0</x:v>
      </x:c>
      <x:c r="M603" s="2" t="str">
        <x:v>持有</x:v>
      </x:c>
    </x:row>
    <x:row r="604" ht="23" customHeight="1">
      <x:c r="A604" s="11" t="d">
        <x:v>2017-05-18T00:00:00.000Z</x:v>
      </x:c>
      <x:c r="B604" s="12" t="n">
        <x:v>4744.754728</x:v>
      </x:c>
      <x:c r="C604" s="13" t="n">
        <x:v>484</x:v>
      </x:c>
      <x:c r="D604" s="12" t="n">
        <x:v>114596.68000000001</x:v>
      </x:c>
      <x:c r="E604" s="12" t="n">
        <x:v>0</x:v>
      </x:c>
      <x:c r="F604" s="12" t="n">
        <x:f>SUM(B604,D604:E604)</x:f>
        <x:v>119341.43472800001</x:v>
      </x:c>
      <x:c r="G604" s="12" t="n">
        <x:f>MAX(G603,F604)</x:f>
        <x:v>121049.95472800001</x:v>
      </x:c>
      <x:c r="H604" s="14" t="n">
        <x:f>F604/G604-1</x:f>
        <x:v>-0.01411417297791695</x:v>
      </x:c>
      <x:c r="I604" s="14" t="n">
        <x:f>F604/F603-1</x:f>
        <x:v>0.00386771262905361</x:v>
      </x:c>
      <x:c r="J604" s="12" t="n">
        <x:v>0</x:v>
      </x:c>
      <x:c r="K604" s="12" t="n">
        <x:v>0</x:v>
      </x:c>
      <x:c r="L604" s="12" t="n">
        <x:v>0</x:v>
      </x:c>
      <x:c r="M604" s="2" t="str">
        <x:v>持有</x:v>
      </x:c>
    </x:row>
    <x:row r="605" ht="23" customHeight="1">
      <x:c r="A605" s="11" t="d">
        <x:v>2017-05-19T00:00:00.000Z</x:v>
      </x:c>
      <x:c r="B605" s="12" t="n">
        <x:v>4744.754728</x:v>
      </x:c>
      <x:c r="C605" s="13" t="n">
        <x:v>484</x:v>
      </x:c>
      <x:c r="D605" s="12" t="n">
        <x:v>115342.04000000001</x:v>
      </x:c>
      <x:c r="E605" s="12" t="n">
        <x:v>0</x:v>
      </x:c>
      <x:c r="F605" s="12" t="n">
        <x:f>SUM(B605,D605:E605)</x:f>
        <x:v>120086.79472800001</x:v>
      </x:c>
      <x:c r="G605" s="12" t="n">
        <x:f>MAX(G604,F605)</x:f>
        <x:v>121049.95472800001</x:v>
      </x:c>
      <x:c r="H605" s="14" t="n">
        <x:f>F605/G605-1</x:f>
        <x:v>-0.007956715078202503</x:v>
      </x:c>
      <x:c r="I605" s="14" t="n">
        <x:f>F605/F604-1</x:f>
        <x:v>0.006245609512729677</x:v>
      </x:c>
      <x:c r="J605" s="12" t="n">
        <x:v>0</x:v>
      </x:c>
      <x:c r="K605" s="12" t="n">
        <x:v>0</x:v>
      </x:c>
      <x:c r="L605" s="12" t="n">
        <x:v>0</x:v>
      </x:c>
      <x:c r="M605" s="2" t="str">
        <x:v>持有</x:v>
      </x:c>
    </x:row>
    <x:row r="606" ht="23" customHeight="1">
      <x:c r="A606" s="11" t="d">
        <x:v>2017-05-22T00:00:00.000Z</x:v>
      </x:c>
      <x:c r="B606" s="12" t="n">
        <x:v>4744.754728</x:v>
      </x:c>
      <x:c r="C606" s="13" t="n">
        <x:v>484</x:v>
      </x:c>
      <x:c r="D606" s="12" t="n">
        <x:v>115927.68000000001</x:v>
      </x:c>
      <x:c r="E606" s="12" t="n">
        <x:v>0</x:v>
      </x:c>
      <x:c r="F606" s="12" t="n">
        <x:f>SUM(B606,D606:E606)</x:f>
        <x:v>120672.43472800001</x:v>
      </x:c>
      <x:c r="G606" s="12" t="n">
        <x:f>MAX(G605,F606)</x:f>
        <x:v>121049.95472800001</x:v>
      </x:c>
      <x:c r="H606" s="14" t="n">
        <x:f>F606/G606-1</x:f>
        <x:v>-0.0031187124427125568</x:v>
      </x:c>
      <x:c r="I606" s="14" t="n">
        <x:f>F606/F605-1</x:f>
        <x:v>0.004876805991254063</x:v>
      </x:c>
      <x:c r="J606" s="12" t="n">
        <x:v>0</x:v>
      </x:c>
      <x:c r="K606" s="12" t="n">
        <x:v>0</x:v>
      </x:c>
      <x:c r="L606" s="12" t="n">
        <x:v>0</x:v>
      </x:c>
      <x:c r="M606" s="2" t="str">
        <x:v>持有</x:v>
      </x:c>
    </x:row>
    <x:row r="607" ht="23" customHeight="1">
      <x:c r="A607" s="11" t="d">
        <x:v>2017-05-23T00:00:00.000Z</x:v>
      </x:c>
      <x:c r="B607" s="12" t="n">
        <x:v>4744.754728</x:v>
      </x:c>
      <x:c r="C607" s="13" t="n">
        <x:v>484</x:v>
      </x:c>
      <x:c r="D607" s="12" t="n">
        <x:v>116184.20000000001</x:v>
      </x:c>
      <x:c r="E607" s="12" t="n">
        <x:v>0</x:v>
      </x:c>
      <x:c r="F607" s="12" t="n">
        <x:f>SUM(B607,D607:E607)</x:f>
        <x:v>120928.95472800001</x:v>
      </x:c>
      <x:c r="G607" s="12" t="n">
        <x:f>MAX(G606,F607)</x:f>
        <x:v>121049.95472800001</x:v>
      </x:c>
      <x:c r="H607" s="14" t="n">
        <x:f>F607/G607-1</x:f>
        <x:v>-0.000999587321382167</x:v>
      </x:c>
      <x:c r="I607" s="14" t="n">
        <x:f>F607/F606-1</x:f>
        <x:v>0.0021257547390851617</x:v>
      </x:c>
      <x:c r="J607" s="12" t="n">
        <x:v>0</x:v>
      </x:c>
      <x:c r="K607" s="12" t="n">
        <x:v>0</x:v>
      </x:c>
      <x:c r="L607" s="12" t="n">
        <x:v>0</x:v>
      </x:c>
      <x:c r="M607" s="2" t="str">
        <x:v>持有</x:v>
      </x:c>
    </x:row>
    <x:row r="608" ht="23" customHeight="1">
      <x:c r="A608" s="11" t="d">
        <x:v>2017-05-24T00:00:00.000Z</x:v>
      </x:c>
      <x:c r="B608" s="12" t="n">
        <x:v>4744.754728</x:v>
      </x:c>
      <x:c r="C608" s="13" t="n">
        <x:v>484</x:v>
      </x:c>
      <x:c r="D608" s="12" t="n">
        <x:v>116455.24</x:v>
      </x:c>
      <x:c r="E608" s="12" t="n">
        <x:v>0</x:v>
      </x:c>
      <x:c r="F608" s="12" t="n">
        <x:f>SUM(B608,D608:E608)</x:f>
        <x:v>121199.994728</x:v>
      </x:c>
      <x:c r="G608" s="12" t="n">
        <x:f>MAX(G607,F608)</x:f>
        <x:v>121199.994728</x:v>
      </x:c>
      <x:c r="H608" s="14" t="n">
        <x:f>F608/G608-1</x:f>
        <x:v>0</x:v>
      </x:c>
      <x:c r="I608" s="14" t="n">
        <x:f>F608/F607-1</x:f>
        <x:v>0.002241315990943793</x:v>
      </x:c>
      <x:c r="J608" s="12" t="n">
        <x:v>0</x:v>
      </x:c>
      <x:c r="K608" s="12" t="n">
        <x:v>0</x:v>
      </x:c>
      <x:c r="L608" s="12" t="n">
        <x:v>0</x:v>
      </x:c>
      <x:c r="M608" s="2" t="str">
        <x:v>持有</x:v>
      </x:c>
    </x:row>
    <x:row r="609" ht="23" customHeight="1">
      <x:c r="A609" s="11" t="d">
        <x:v>2017-05-25T00:00:00.000Z</x:v>
      </x:c>
      <x:c r="B609" s="12" t="n">
        <x:v>4744.754728</x:v>
      </x:c>
      <x:c r="C609" s="13" t="n">
        <x:v>484</x:v>
      </x:c>
      <x:c r="D609" s="12" t="n">
        <x:v>117011.84</x:v>
      </x:c>
      <x:c r="E609" s="12" t="n">
        <x:v>0</x:v>
      </x:c>
      <x:c r="F609" s="12" t="n">
        <x:f>SUM(B609,D609:E609)</x:f>
        <x:v>121756.594728</x:v>
      </x:c>
      <x:c r="G609" s="12" t="n">
        <x:f>MAX(G608,F609)</x:f>
        <x:v>121756.594728</x:v>
      </x:c>
      <x:c r="H609" s="14" t="n">
        <x:f>F609/G609-1</x:f>
        <x:v>0</x:v>
      </x:c>
      <x:c r="I609" s="14" t="n">
        <x:f>F609/F608-1</x:f>
        <x:v>0.004592409440686174</x:v>
      </x:c>
      <x:c r="J609" s="12" t="n">
        <x:v>0</x:v>
      </x:c>
      <x:c r="K609" s="12" t="n">
        <x:v>0</x:v>
      </x:c>
      <x:c r="L609" s="12" t="n">
        <x:v>0</x:v>
      </x:c>
      <x:c r="M609" s="2" t="str">
        <x:v>持有</x:v>
      </x:c>
    </x:row>
    <x:row r="610" ht="23" customHeight="1">
      <x:c r="A610" s="11" t="d">
        <x:v>2017-05-26T00:00:00.000Z</x:v>
      </x:c>
      <x:c r="B610" s="12" t="n">
        <x:v>4744.754728</x:v>
      </x:c>
      <x:c r="C610" s="13" t="n">
        <x:v>484</x:v>
      </x:c>
      <x:c r="D610" s="12" t="n">
        <x:v>116987.64</x:v>
      </x:c>
      <x:c r="E610" s="12" t="n">
        <x:v>0</x:v>
      </x:c>
      <x:c r="F610" s="12" t="n">
        <x:f>SUM(B610,D610:E610)</x:f>
        <x:v>121732.394728</x:v>
      </x:c>
      <x:c r="G610" s="12" t="n">
        <x:f>MAX(G609,F610)</x:f>
        <x:v>121756.594728</x:v>
      </x:c>
      <x:c r="H610" s="14" t="n">
        <x:f>F610/G610-1</x:f>
        <x:v>-0.00019875720123463392</x:v>
      </x:c>
      <x:c r="I610" s="14" t="n">
        <x:f>F610/F609-1</x:f>
        <x:v>-0.00019875720123463392</x:v>
      </x:c>
      <x:c r="J610" s="12" t="n">
        <x:v>0</x:v>
      </x:c>
      <x:c r="K610" s="12" t="n">
        <x:v>0</x:v>
      </x:c>
      <x:c r="L610" s="12" t="n">
        <x:v>0</x:v>
      </x:c>
      <x:c r="M610" s="2" t="str">
        <x:v>持有</x:v>
      </x:c>
    </x:row>
    <x:row r="611" ht="23" customHeight="1">
      <x:c r="A611" s="11" t="d">
        <x:v>2017-05-30T00:00:00.000Z</x:v>
      </x:c>
      <x:c r="B611" s="12" t="n">
        <x:v>4744.754728</x:v>
      </x:c>
      <x:c r="C611" s="13" t="n">
        <x:v>484</x:v>
      </x:c>
      <x:c r="D611" s="12" t="n">
        <x:v>116886</x:v>
      </x:c>
      <x:c r="E611" s="12" t="n">
        <x:v>0</x:v>
      </x:c>
      <x:c r="F611" s="12" t="n">
        <x:f>SUM(B611,D611:E611)</x:f>
        <x:v>121630.754728</x:v>
      </x:c>
      <x:c r="G611" s="12" t="n">
        <x:f>MAX(G610,F611)</x:f>
        <x:v>121756.594728</x:v>
      </x:c>
      <x:c r="H611" s="14" t="n">
        <x:f>F611/G611-1</x:f>
        <x:v>-0.0010335374464202074</x:v>
      </x:c>
      <x:c r="I611" s="14" t="n">
        <x:f>F611/F610-1</x:f>
        <x:v>-0.0008349461967548377</x:v>
      </x:c>
      <x:c r="J611" s="12" t="n">
        <x:v>0</x:v>
      </x:c>
      <x:c r="K611" s="12" t="n">
        <x:v>0</x:v>
      </x:c>
      <x:c r="L611" s="12" t="n">
        <x:v>0</x:v>
      </x:c>
      <x:c r="M611" s="2" t="str">
        <x:v>持有</x:v>
      </x:c>
    </x:row>
    <x:row r="612" ht="23" customHeight="1">
      <x:c r="A612" s="11" t="d">
        <x:v>2017-05-31T00:00:00.000Z</x:v>
      </x:c>
      <x:c r="B612" s="12" t="n">
        <x:v>4744.754728</x:v>
      </x:c>
      <x:c r="C612" s="13" t="n">
        <x:v>484</x:v>
      </x:c>
      <x:c r="D612" s="12" t="n">
        <x:v>116856.95999999999</x:v>
      </x:c>
      <x:c r="E612" s="12" t="n">
        <x:v>0</x:v>
      </x:c>
      <x:c r="F612" s="12" t="n">
        <x:f>SUM(B612,D612:E612)</x:f>
        <x:v>121601.71472799999</x:v>
      </x:c>
      <x:c r="G612" s="12" t="n">
        <x:f>MAX(G611,F612)</x:f>
        <x:v>121756.594728</x:v>
      </x:c>
      <x:c r="H612" s="14" t="n">
        <x:f>F612/G612-1</x:f>
        <x:v>-0.0012720460879018791</x:v>
      </x:c>
      <x:c r="I612" s="14" t="n">
        <x:f>F612/F611-1</x:f>
        <x:v>-0.0002387554041323181</x:v>
      </x:c>
      <x:c r="J612" s="12" t="n">
        <x:v>0</x:v>
      </x:c>
      <x:c r="K612" s="12" t="n">
        <x:v>0</x:v>
      </x:c>
      <x:c r="L612" s="12" t="n">
        <x:v>0</x:v>
      </x:c>
      <x:c r="M612" s="2" t="str">
        <x:v>持有</x:v>
      </x:c>
    </x:row>
    <x:row r="613" ht="23" customHeight="1">
      <x:c r="A613" s="11" t="d">
        <x:v>2017-06-01T00:00:00.000Z</x:v>
      </x:c>
      <x:c r="B613" s="12" t="n">
        <x:v>4744.754728</x:v>
      </x:c>
      <x:c r="C613" s="13" t="n">
        <x:v>484</x:v>
      </x:c>
      <x:c r="D613" s="12" t="n">
        <x:v>117786.24</x:v>
      </x:c>
      <x:c r="E613" s="12" t="n">
        <x:v>0</x:v>
      </x:c>
      <x:c r="F613" s="12" t="n">
        <x:f>SUM(B613,D613:E613)</x:f>
        <x:v>122530.994728</x:v>
      </x:c>
      <x:c r="G613" s="12" t="n">
        <x:f>MAX(G612,F613)</x:f>
        <x:v>122530.994728</x:v>
      </x:c>
      <x:c r="H613" s="14" t="n">
        <x:f>F613/G613-1</x:f>
        <x:v>0</x:v>
      </x:c>
      <x:c r="I613" s="14" t="n">
        <x:f>F613/F612-1</x:f>
        <x:v>0.007641997500435149</x:v>
      </x:c>
      <x:c r="J613" s="12" t="n">
        <x:v>0</x:v>
      </x:c>
      <x:c r="K613" s="12" t="n">
        <x:v>0</x:v>
      </x:c>
      <x:c r="L613" s="12" t="n">
        <x:v>0</x:v>
      </x:c>
      <x:c r="M613" s="2" t="str">
        <x:v>持有</x:v>
      </x:c>
    </x:row>
    <x:row r="614" ht="23" customHeight="1">
      <x:c r="A614" s="11" t="d">
        <x:v>2017-06-02T00:00:00.000Z</x:v>
      </x:c>
      <x:c r="B614" s="12" t="n">
        <x:v>4744.754728</x:v>
      </x:c>
      <x:c r="C614" s="13" t="n">
        <x:v>484</x:v>
      </x:c>
      <x:c r="D614" s="12" t="n">
        <x:v>118178.28</x:v>
      </x:c>
      <x:c r="E614" s="12" t="n">
        <x:v>0</x:v>
      </x:c>
      <x:c r="F614" s="12" t="n">
        <x:f>SUM(B614,D614:E614)</x:f>
        <x:v>122923.034728</x:v>
      </x:c>
      <x:c r="G614" s="12" t="n">
        <x:f>MAX(G613,F614)</x:f>
        <x:v>122923.034728</x:v>
      </x:c>
      <x:c r="H614" s="14" t="n">
        <x:f>F614/G614-1</x:f>
        <x:v>0</x:v>
      </x:c>
      <x:c r="I614" s="14" t="n">
        <x:f>F614/F613-1</x:f>
        <x:v>0.0031995169946206214</x:v>
      </x:c>
      <x:c r="J614" s="12" t="n">
        <x:v>0</x:v>
      </x:c>
      <x:c r="K614" s="12" t="n">
        <x:v>0</x:v>
      </x:c>
      <x:c r="L614" s="12" t="n">
        <x:v>0</x:v>
      </x:c>
      <x:c r="M614" s="2" t="str">
        <x:v>持有</x:v>
      </x:c>
    </x:row>
    <x:row r="615" ht="23" customHeight="1">
      <x:c r="A615" s="11" t="d">
        <x:v>2017-06-05T00:00:00.000Z</x:v>
      </x:c>
      <x:c r="B615" s="12" t="n">
        <x:v>4744.754728</x:v>
      </x:c>
      <x:c r="C615" s="13" t="n">
        <x:v>484</x:v>
      </x:c>
      <x:c r="D615" s="12" t="n">
        <x:v>118091.16</x:v>
      </x:c>
      <x:c r="E615" s="12" t="n">
        <x:v>0</x:v>
      </x:c>
      <x:c r="F615" s="12" t="n">
        <x:f>SUM(B615,D615:E615)</x:f>
        <x:v>122835.914728</x:v>
      </x:c>
      <x:c r="G615" s="12" t="n">
        <x:f>MAX(G614,F615)</x:f>
        <x:v>122923.034728</x:v>
      </x:c>
      <x:c r="H615" s="14" t="n">
        <x:f>F615/G615-1</x:f>
        <x:v>-0.0007087361631834543</x:v>
      </x:c>
      <x:c r="I615" s="14" t="n">
        <x:f>F615/F614-1</x:f>
        <x:v>-0.0007087361631834543</x:v>
      </x:c>
      <x:c r="J615" s="12" t="n">
        <x:v>0</x:v>
      </x:c>
      <x:c r="K615" s="12" t="n">
        <x:v>0</x:v>
      </x:c>
      <x:c r="L615" s="12" t="n">
        <x:v>0</x:v>
      </x:c>
      <x:c r="M615" s="2" t="str">
        <x:v>持有</x:v>
      </x:c>
    </x:row>
    <x:row r="616" ht="23" customHeight="1">
      <x:c r="A616" s="11" t="d">
        <x:v>2017-06-06T00:00:00.000Z</x:v>
      </x:c>
      <x:c r="B616" s="12" t="n">
        <x:v>4744.754728</x:v>
      </x:c>
      <x:c r="C616" s="13" t="n">
        <x:v>484</x:v>
      </x:c>
      <x:c r="D616" s="12" t="n">
        <x:v>117713.64</x:v>
      </x:c>
      <x:c r="E616" s="12" t="n">
        <x:v>0</x:v>
      </x:c>
      <x:c r="F616" s="12" t="n">
        <x:f>SUM(B616,D616:E616)</x:f>
        <x:v>122458.394728</x:v>
      </x:c>
      <x:c r="G616" s="12" t="n">
        <x:f>MAX(G615,F616)</x:f>
        <x:v>122923.034728</x:v>
      </x:c>
      <x:c r="H616" s="14" t="n">
        <x:f>F616/G616-1</x:f>
        <x:v>-0.003779926203645534</x:v>
      </x:c>
      <x:c r="I616" s="14" t="n">
        <x:f>F616/F615-1</x:f>
        <x:v>-0.0030733682476820068</x:v>
      </x:c>
      <x:c r="J616" s="12" t="n">
        <x:v>0</x:v>
      </x:c>
      <x:c r="K616" s="12" t="n">
        <x:v>0</x:v>
      </x:c>
      <x:c r="L616" s="12" t="n">
        <x:v>0</x:v>
      </x:c>
      <x:c r="M616" s="2" t="str">
        <x:v>持有</x:v>
      </x:c>
    </x:row>
    <x:row r="617" ht="23" customHeight="1">
      <x:c r="A617" s="11" t="d">
        <x:v>2017-06-07T00:00:00.000Z</x:v>
      </x:c>
      <x:c r="B617" s="12" t="n">
        <x:v>4744.754728</x:v>
      </x:c>
      <x:c r="C617" s="13" t="n">
        <x:v>484</x:v>
      </x:c>
      <x:c r="D617" s="12" t="n">
        <x:v>117931.44</x:v>
      </x:c>
      <x:c r="E617" s="12" t="n">
        <x:v>0</x:v>
      </x:c>
      <x:c r="F617" s="12" t="n">
        <x:f>SUM(B617,D617:E617)</x:f>
        <x:v>122676.194728</x:v>
      </x:c>
      <x:c r="G617" s="12" t="n">
        <x:f>MAX(G616,F617)</x:f>
        <x:v>122923.034728</x:v>
      </x:c>
      <x:c r="H617" s="14" t="n">
        <x:f>F617/G617-1</x:f>
        <x:v>-0.002008085795686676</x:v>
      </x:c>
      <x:c r="I617" s="14" t="n">
        <x:f>F617/F616-1</x:f>
        <x:v>0.001778563245776521</x:v>
      </x:c>
      <x:c r="J617" s="12" t="n">
        <x:v>0</x:v>
      </x:c>
      <x:c r="K617" s="12" t="n">
        <x:v>0</x:v>
      </x:c>
      <x:c r="L617" s="12" t="n">
        <x:v>0</x:v>
      </x:c>
      <x:c r="M617" s="2" t="str">
        <x:v>持有</x:v>
      </x:c>
    </x:row>
    <x:row r="618" ht="23" customHeight="1">
      <x:c r="A618" s="11" t="d">
        <x:v>2017-06-08T00:00:00.000Z</x:v>
      </x:c>
      <x:c r="B618" s="12" t="n">
        <x:v>4744.754728</x:v>
      </x:c>
      <x:c r="C618" s="13" t="n">
        <x:v>484</x:v>
      </x:c>
      <x:c r="D618" s="12" t="n">
        <x:v>117989.52</x:v>
      </x:c>
      <x:c r="E618" s="12" t="n">
        <x:v>0</x:v>
      </x:c>
      <x:c r="F618" s="12" t="n">
        <x:f>SUM(B618,D618:E618)</x:f>
        <x:v>122734.274728</x:v>
      </x:c>
      <x:c r="G618" s="12" t="n">
        <x:f>MAX(G617,F618)</x:f>
        <x:v>122923.034728</x:v>
      </x:c>
      <x:c r="H618" s="14" t="n">
        <x:f>F618/G618-1</x:f>
        <x:v>-0.0015355950202309288</x:v>
      </x:c>
      <x:c r="I618" s="14" t="n">
        <x:f>F618/F617-1</x:f>
        <x:v>0.00047344148657990637</x:v>
      </x:c>
      <x:c r="J618" s="12" t="n">
        <x:v>0</x:v>
      </x:c>
      <x:c r="K618" s="12" t="n">
        <x:v>0</x:v>
      </x:c>
      <x:c r="L618" s="12" t="n">
        <x:v>0</x:v>
      </x:c>
      <x:c r="M618" s="2" t="str">
        <x:v>持有</x:v>
      </x:c>
    </x:row>
    <x:row r="619" ht="23" customHeight="1">
      <x:c r="A619" s="11" t="d">
        <x:v>2017-06-09T00:00:00.000Z</x:v>
      </x:c>
      <x:c r="B619" s="12" t="n">
        <x:v>4744.754728</x:v>
      </x:c>
      <x:c r="C619" s="13" t="n">
        <x:v>484</x:v>
      </x:c>
      <x:c r="D619" s="12" t="n">
        <x:v>117810.44</x:v>
      </x:c>
      <x:c r="E619" s="12" t="n">
        <x:v>0</x:v>
      </x:c>
      <x:c r="F619" s="12" t="n">
        <x:f>SUM(B619,D619:E619)</x:f>
        <x:v>122555.194728</x:v>
      </x:c>
      <x:c r="G619" s="12" t="n">
        <x:f>MAX(G618,F619)</x:f>
        <x:v>122923.034728</x:v>
      </x:c>
      <x:c r="H619" s="14" t="n">
        <x:f>F619/G619-1</x:f>
        <x:v>-0.002992441577886029</x:v>
      </x:c>
      <x:c r="I619" s="14" t="n">
        <x:f>F619/F618-1</x:f>
        <x:v>-0.0014590871245776516</x:v>
      </x:c>
      <x:c r="J619" s="12" t="n">
        <x:v>0</x:v>
      </x:c>
      <x:c r="K619" s="12" t="n">
        <x:v>0</x:v>
      </x:c>
      <x:c r="L619" s="12" t="n">
        <x:v>0</x:v>
      </x:c>
      <x:c r="M619" s="2" t="str">
        <x:v>持有</x:v>
      </x:c>
    </x:row>
    <x:row r="620" ht="23" customHeight="1">
      <x:c r="A620" s="11" t="d">
        <x:v>2017-06-12T00:00:00.000Z</x:v>
      </x:c>
      <x:c r="B620" s="12" t="n">
        <x:v>4744.754728</x:v>
      </x:c>
      <x:c r="C620" s="13" t="n">
        <x:v>484</x:v>
      </x:c>
      <x:c r="D620" s="12" t="n">
        <x:v>117786.24</x:v>
      </x:c>
      <x:c r="E620" s="12" t="n">
        <x:v>0</x:v>
      </x:c>
      <x:c r="F620" s="12" t="n">
        <x:f>SUM(B620,D620:E620)</x:f>
        <x:v>122530.994728</x:v>
      </x:c>
      <x:c r="G620" s="12" t="n">
        <x:f>MAX(G619,F620)</x:f>
        <x:v>122923.034728</x:v>
      </x:c>
      <x:c r="H620" s="14" t="n">
        <x:f>F620/G620-1</x:f>
        <x:v>-0.0031893127343258776</x:v>
      </x:c>
      <x:c r="I620" s="14" t="n">
        <x:f>F620/F619-1</x:f>
        <x:v>-0.00019746205008863704</x:v>
      </x:c>
      <x:c r="J620" s="12" t="n">
        <x:v>0</x:v>
      </x:c>
      <x:c r="K620" s="12" t="n">
        <x:v>0</x:v>
      </x:c>
      <x:c r="L620" s="12" t="n">
        <x:v>0</x:v>
      </x:c>
      <x:c r="M620" s="2" t="str">
        <x:v>持有</x:v>
      </x:c>
    </x:row>
    <x:row r="621" ht="23" customHeight="1">
      <x:c r="A621" s="11" t="d">
        <x:v>2017-06-13T00:00:00.000Z</x:v>
      </x:c>
      <x:c r="B621" s="12" t="n">
        <x:v>4744.754728</x:v>
      </x:c>
      <x:c r="C621" s="13" t="n">
        <x:v>484</x:v>
      </x:c>
      <x:c r="D621" s="12" t="n">
        <x:v>118362.20000000001</x:v>
      </x:c>
      <x:c r="E621" s="12" t="n">
        <x:v>0</x:v>
      </x:c>
      <x:c r="F621" s="12" t="n">
        <x:f>SUM(B621,D621:E621)</x:f>
        <x:v>123106.95472800001</x:v>
      </x:c>
      <x:c r="G621" s="12" t="n">
        <x:f>MAX(G620,F621)</x:f>
        <x:v>123106.95472800001</x:v>
      </x:c>
      <x:c r="H621" s="14" t="n">
        <x:f>F621/G621-1</x:f>
        <x:v>0</x:v>
      </x:c>
      <x:c r="I621" s="14" t="n">
        <x:f>F621/F620-1</x:f>
        <x:v>0.004700524967405695</x:v>
      </x:c>
      <x:c r="J621" s="12" t="n">
        <x:v>0</x:v>
      </x:c>
      <x:c r="K621" s="12" t="n">
        <x:v>0</x:v>
      </x:c>
      <x:c r="L621" s="12" t="n">
        <x:v>0</x:v>
      </x:c>
      <x:c r="M621" s="2" t="str">
        <x:v>持有</x:v>
      </x:c>
    </x:row>
    <x:row r="622" ht="23" customHeight="1">
      <x:c r="A622" s="11" t="d">
        <x:v>2017-06-14T00:00:00.000Z</x:v>
      </x:c>
      <x:c r="B622" s="12" t="n">
        <x:v>4744.754728</x:v>
      </x:c>
      <x:c r="C622" s="13" t="n">
        <x:v>484</x:v>
      </x:c>
      <x:c r="D622" s="12" t="n">
        <x:v>118212.16</x:v>
      </x:c>
      <x:c r="E622" s="12" t="n">
        <x:v>0</x:v>
      </x:c>
      <x:c r="F622" s="12" t="n">
        <x:f>SUM(B622,D622:E622)</x:f>
        <x:v>122956.914728</x:v>
      </x:c>
      <x:c r="G622" s="12" t="n">
        <x:f>MAX(G621,F622)</x:f>
        <x:v>123106.95472800001</x:v>
      </x:c>
      <x:c r="H622" s="14" t="n">
        <x:f>F622/G622-1</x:f>
        <x:v>-0.001218777609530819</x:v>
      </x:c>
      <x:c r="I622" s="14" t="n">
        <x:f>F622/F621-1</x:f>
        <x:v>-0.001218777609530819</x:v>
      </x:c>
      <x:c r="J622" s="12" t="n">
        <x:v>0</x:v>
      </x:c>
      <x:c r="K622" s="12" t="n">
        <x:v>0</x:v>
      </x:c>
      <x:c r="L622" s="12" t="n">
        <x:v>0</x:v>
      </x:c>
      <x:c r="M622" s="2" t="str">
        <x:v>持有</x:v>
      </x:c>
    </x:row>
    <x:row r="623" ht="23" customHeight="1">
      <x:c r="A623" s="11" t="d">
        <x:v>2017-06-15T00:00:00.000Z</x:v>
      </x:c>
      <x:c r="B623" s="12" t="n">
        <x:v>4744.754728</x:v>
      </x:c>
      <x:c r="C623" s="13" t="n">
        <x:v>484</x:v>
      </x:c>
      <x:c r="D623" s="12" t="n">
        <x:v>117984.68000000001</x:v>
      </x:c>
      <x:c r="E623" s="12" t="n">
        <x:v>0</x:v>
      </x:c>
      <x:c r="F623" s="12" t="n">
        <x:f>SUM(B623,D623:E623)</x:f>
        <x:v>122729.43472800001</x:v>
      </x:c>
      <x:c r="G623" s="12" t="n">
        <x:f>MAX(G622,F623)</x:f>
        <x:v>123106.95472800001</x:v>
      </x:c>
      <x:c r="H623" s="14" t="n">
        <x:f>F623/G623-1</x:f>
        <x:v>-0.0030666017272064083</x:v>
      </x:c>
      <x:c r="I623" s="14" t="n">
        <x:f>F623/F622-1</x:f>
        <x:v>-0.0018500789524786843</x:v>
      </x:c>
      <x:c r="J623" s="12" t="n">
        <x:v>0</x:v>
      </x:c>
      <x:c r="K623" s="12" t="n">
        <x:v>0</x:v>
      </x:c>
      <x:c r="L623" s="12" t="n">
        <x:v>0</x:v>
      </x:c>
      <x:c r="M623" s="2" t="str">
        <x:v>持有</x:v>
      </x:c>
    </x:row>
    <x:row r="624" ht="23" customHeight="1">
      <x:c r="A624" s="11" t="d">
        <x:v>2017-06-16T00:00:00.000Z</x:v>
      </x:c>
      <x:c r="B624" s="12" t="n">
        <x:v>4744.754728</x:v>
      </x:c>
      <x:c r="C624" s="13" t="n">
        <x:v>484</x:v>
      </x:c>
      <x:c r="D624" s="12" t="n">
        <x:v>117437.76</x:v>
      </x:c>
      <x:c r="E624" s="12" t="n">
        <x:v>572.624272</x:v>
      </x:c>
      <x:c r="F624" s="12" t="n">
        <x:f>SUM(B624,D624:E624)</x:f>
        <x:v>122755.139</x:v>
      </x:c>
      <x:c r="G624" s="12" t="n">
        <x:f>MAX(G623,F624)</x:f>
        <x:v>123106.95472800001</x:v>
      </x:c>
      <x:c r="H624" s="14" t="n">
        <x:f>F624/G624-1</x:f>
        <x:v>-0.0028578054649904816</x:v>
      </x:c>
      <x:c r="I624" s="14" t="n">
        <x:f>F624/F623-1</x:f>
        <x:v>0.0002094385267639165</x:v>
      </x:c>
      <x:c r="J624" s="12" t="n">
        <x:v>572.624272</x:v>
      </x:c>
      <x:c r="K624" s="12" t="n">
        <x:v>0</x:v>
      </x:c>
      <x:c r="L624" s="12" t="n">
        <x:v>0</x:v>
      </x:c>
      <x:c r="M624" s="2" t="str">
        <x:v>持有</x:v>
      </x:c>
    </x:row>
    <x:row r="625" ht="23" customHeight="1">
      <x:c r="A625" s="11" t="d">
        <x:v>2017-06-19T00:00:00.000Z</x:v>
      </x:c>
      <x:c r="B625" s="12" t="n">
        <x:v>4744.754728</x:v>
      </x:c>
      <x:c r="C625" s="13" t="n">
        <x:v>484</x:v>
      </x:c>
      <x:c r="D625" s="12" t="n">
        <x:v>118415.44</x:v>
      </x:c>
      <x:c r="E625" s="12" t="n">
        <x:v>572.624272</x:v>
      </x:c>
      <x:c r="F625" s="12" t="n">
        <x:f>SUM(B625,D625:E625)</x:f>
        <x:v>123732.819</x:v>
      </x:c>
      <x:c r="G625" s="12" t="n">
        <x:f>MAX(G624,F625)</x:f>
        <x:v>123732.819</x:v>
      </x:c>
      <x:c r="H625" s="14" t="n">
        <x:f>F625/G625-1</x:f>
        <x:v>0</x:v>
      </x:c>
      <x:c r="I625" s="14" t="n">
        <x:f>F625/F624-1</x:f>
        <x:v>0.007964473080023238</x:v>
      </x:c>
      <x:c r="J625" s="12" t="n">
        <x:v>0</x:v>
      </x:c>
      <x:c r="K625" s="12" t="n">
        <x:v>0</x:v>
      </x:c>
      <x:c r="L625" s="12" t="n">
        <x:v>0</x:v>
      </x:c>
      <x:c r="M625" s="2" t="str">
        <x:v>持有</x:v>
      </x:c>
    </x:row>
    <x:row r="626" ht="23" customHeight="1">
      <x:c r="A626" s="11" t="d">
        <x:v>2017-06-20T00:00:00.000Z</x:v>
      </x:c>
      <x:c r="B626" s="12" t="n">
        <x:v>4744.754728</x:v>
      </x:c>
      <x:c r="C626" s="13" t="n">
        <x:v>484</x:v>
      </x:c>
      <x:c r="D626" s="12" t="n">
        <x:v>117616.84</x:v>
      </x:c>
      <x:c r="E626" s="12" t="n">
        <x:v>572.624272</x:v>
      </x:c>
      <x:c r="F626" s="12" t="n">
        <x:f>SUM(B626,D626:E626)</x:f>
        <x:v>122934.219</x:v>
      </x:c>
      <x:c r="G626" s="12" t="n">
        <x:f>MAX(G625,F626)</x:f>
        <x:v>123732.819</x:v>
      </x:c>
      <x:c r="H626" s="14" t="n">
        <x:f>F626/G626-1</x:f>
        <x:v>-0.006454229415075452</x:v>
      </x:c>
      <x:c r="I626" s="14" t="n">
        <x:f>F626/F625-1</x:f>
        <x:v>-0.006454229415075452</x:v>
      </x:c>
      <x:c r="J626" s="12" t="n">
        <x:v>0</x:v>
      </x:c>
      <x:c r="K626" s="12" t="n">
        <x:v>0</x:v>
      </x:c>
      <x:c r="L626" s="12" t="n">
        <x:v>0</x:v>
      </x:c>
      <x:c r="M626" s="2" t="str">
        <x:v>持有</x:v>
      </x:c>
    </x:row>
    <x:row r="627" ht="23" customHeight="1">
      <x:c r="A627" s="11" t="d">
        <x:v>2017-06-21T00:00:00.000Z</x:v>
      </x:c>
      <x:c r="B627" s="12" t="n">
        <x:v>4744.754728</x:v>
      </x:c>
      <x:c r="C627" s="13" t="n">
        <x:v>484</x:v>
      </x:c>
      <x:c r="D627" s="12" t="n">
        <x:v>117587.79999999999</x:v>
      </x:c>
      <x:c r="E627" s="12" t="n">
        <x:v>572.624272</x:v>
      </x:c>
      <x:c r="F627" s="12" t="n">
        <x:f>SUM(B627,D627:E627)</x:f>
        <x:v>122905.17899999999</x:v>
      </x:c>
      <x:c r="G627" s="12" t="n">
        <x:f>MAX(G626,F627)</x:f>
        <x:v>123732.819</x:v>
      </x:c>
      <x:c r="H627" s="14" t="n">
        <x:f>F627/G627-1</x:f>
        <x:v>-0.006688928666532812</x:v>
      </x:c>
      <x:c r="I627" s="14" t="n">
        <x:f>F627/F626-1</x:f>
        <x:v>-0.00023622389466682048</x:v>
      </x:c>
      <x:c r="J627" s="12" t="n">
        <x:v>0</x:v>
      </x:c>
      <x:c r="K627" s="12" t="n">
        <x:v>0</x:v>
      </x:c>
      <x:c r="L627" s="12" t="n">
        <x:v>0</x:v>
      </x:c>
      <x:c r="M627" s="2" t="str">
        <x:v>持有</x:v>
      </x:c>
    </x:row>
    <x:row r="628" ht="23" customHeight="1">
      <x:c r="A628" s="11" t="d">
        <x:v>2017-06-22T00:00:00.000Z</x:v>
      </x:c>
      <x:c r="B628" s="12" t="n">
        <x:v>4744.754728</x:v>
      </x:c>
      <x:c r="C628" s="13" t="n">
        <x:v>484</x:v>
      </x:c>
      <x:c r="D628" s="12" t="n">
        <x:v>117534.56</x:v>
      </x:c>
      <x:c r="E628" s="12" t="n">
        <x:v>572.624272</x:v>
      </x:c>
      <x:c r="F628" s="12" t="n">
        <x:f>SUM(B628,D628:E628)</x:f>
        <x:v>122851.939</x:v>
      </x:c>
      <x:c r="G628" s="12" t="n">
        <x:f>MAX(G627,F628)</x:f>
        <x:v>123732.819</x:v>
      </x:c>
      <x:c r="H628" s="14" t="n">
        <x:f>F628/G628-1</x:f>
        <x:v>-0.007119210627537731</x:v>
      </x:c>
      <x:c r="I628" s="14" t="n">
        <x:f>F628/F627-1</x:f>
        <x:v>-0.00043317946756327164</x:v>
      </x:c>
      <x:c r="J628" s="12" t="n">
        <x:v>0</x:v>
      </x:c>
      <x:c r="K628" s="12" t="n">
        <x:v>0</x:v>
      </x:c>
      <x:c r="L628" s="12" t="n">
        <x:v>0</x:v>
      </x:c>
      <x:c r="M628" s="2" t="str">
        <x:v>持有</x:v>
      </x:c>
    </x:row>
    <x:row r="629" ht="23" customHeight="1">
      <x:c r="A629" s="11" t="d">
        <x:v>2017-06-23T00:00:00.000Z</x:v>
      </x:c>
      <x:c r="B629" s="12" t="n">
        <x:v>4744.754728</x:v>
      </x:c>
      <x:c r="C629" s="13" t="n">
        <x:v>484</x:v>
      </x:c>
      <x:c r="D629" s="12" t="n">
        <x:v>117674.92</x:v>
      </x:c>
      <x:c r="E629" s="12" t="n">
        <x:v>572.624272</x:v>
      </x:c>
      <x:c r="F629" s="12" t="n">
        <x:f>SUM(B629,D629:E629)</x:f>
        <x:v>122992.299</x:v>
      </x:c>
      <x:c r="G629" s="12" t="n">
        <x:f>MAX(G628,F629)</x:f>
        <x:v>123732.819</x:v>
      </x:c>
      <x:c r="H629" s="14" t="n">
        <x:f>F629/G629-1</x:f>
        <x:v>-0.005984830912160843</x:v>
      </x:c>
      <x:c r="I629" s="14" t="n">
        <x:f>F629/F628-1</x:f>
        <x:v>0.001142513509697185</x:v>
      </x:c>
      <x:c r="J629" s="12" t="n">
        <x:v>0</x:v>
      </x:c>
      <x:c r="K629" s="12" t="n">
        <x:v>0</x:v>
      </x:c>
      <x:c r="L629" s="12" t="n">
        <x:v>0</x:v>
      </x:c>
      <x:c r="M629" s="2" t="str">
        <x:v>持有</x:v>
      </x:c>
    </x:row>
    <x:row r="630" ht="23" customHeight="1">
      <x:c r="A630" s="11" t="d">
        <x:v>2017-06-26T00:00:00.000Z</x:v>
      </x:c>
      <x:c r="B630" s="12" t="n">
        <x:v>4744.754728</x:v>
      </x:c>
      <x:c r="C630" s="13" t="n">
        <x:v>484</x:v>
      </x:c>
      <x:c r="D630" s="12" t="n">
        <x:v>117752.36</x:v>
      </x:c>
      <x:c r="E630" s="12" t="n">
        <x:v>572.624272</x:v>
      </x:c>
      <x:c r="F630" s="12" t="n">
        <x:f>SUM(B630,D630:E630)</x:f>
        <x:v>123069.739</x:v>
      </x:c>
      <x:c r="G630" s="12" t="n">
        <x:f>MAX(G629,F630)</x:f>
        <x:v>123732.819</x:v>
      </x:c>
      <x:c r="H630" s="14" t="n">
        <x:f>F630/G630-1</x:f>
        <x:v>-0.005358966241608032</x:v>
      </x:c>
      <x:c r="I630" s="14" t="n">
        <x:f>F630/F629-1</x:f>
        <x:v>0.0006296329170982773</x:v>
      </x:c>
      <x:c r="J630" s="12" t="n">
        <x:v>0</x:v>
      </x:c>
      <x:c r="K630" s="12" t="n">
        <x:v>0</x:v>
      </x:c>
      <x:c r="L630" s="12" t="n">
        <x:v>0</x:v>
      </x:c>
      <x:c r="M630" s="2" t="str">
        <x:v>持有</x:v>
      </x:c>
    </x:row>
    <x:row r="631" ht="23" customHeight="1">
      <x:c r="A631" s="11" t="d">
        <x:v>2017-06-27T00:00:00.000Z</x:v>
      </x:c>
      <x:c r="B631" s="12" t="n">
        <x:v>4744.754728</x:v>
      </x:c>
      <x:c r="C631" s="13" t="n">
        <x:v>484</x:v>
      </x:c>
      <x:c r="D631" s="12" t="n">
        <x:v>116803.72</x:v>
      </x:c>
      <x:c r="E631" s="12" t="n">
        <x:v>572.624272</x:v>
      </x:c>
      <x:c r="F631" s="12" t="n">
        <x:f>SUM(B631,D631:E631)</x:f>
        <x:v>122121.099</x:v>
      </x:c>
      <x:c r="G631" s="12" t="n">
        <x:f>MAX(G630,F631)</x:f>
        <x:v>123732.819</x:v>
      </x:c>
      <x:c r="H631" s="14" t="n">
        <x:f>F631/G631-1</x:f>
        <x:v>-0.013025808455879417</x:v>
      </x:c>
      <x:c r="I631" s="14" t="n">
        <x:f>F631/F630-1</x:f>
        <x:v>-0.007708149929528951</x:v>
      </x:c>
      <x:c r="J631" s="12" t="n">
        <x:v>0</x:v>
      </x:c>
      <x:c r="K631" s="12" t="n">
        <x:v>0</x:v>
      </x:c>
      <x:c r="L631" s="12" t="n">
        <x:v>0</x:v>
      </x:c>
      <x:c r="M631" s="2" t="str">
        <x:v>持有</x:v>
      </x:c>
    </x:row>
    <x:row r="632" ht="23" customHeight="1">
      <x:c r="A632" s="11" t="d">
        <x:v>2017-06-28T00:00:00.000Z</x:v>
      </x:c>
      <x:c r="B632" s="12" t="n">
        <x:v>4744.754728</x:v>
      </x:c>
      <x:c r="C632" s="13" t="n">
        <x:v>484</x:v>
      </x:c>
      <x:c r="D632" s="12" t="n">
        <x:v>117849.16</x:v>
      </x:c>
      <x:c r="E632" s="12" t="n">
        <x:v>572.624272</x:v>
      </x:c>
      <x:c r="F632" s="12" t="n">
        <x:f>SUM(B632,D632:E632)</x:f>
        <x:v>123166.539</x:v>
      </x:c>
      <x:c r="G632" s="12" t="n">
        <x:f>MAX(G631,F632)</x:f>
        <x:v>123732.819</x:v>
      </x:c>
      <x:c r="H632" s="14" t="n">
        <x:f>F632/G632-1</x:f>
        <x:v>-0.004576635403417129</x:v>
      </x:c>
      <x:c r="I632" s="14" t="n">
        <x:f>F632/F631-1</x:f>
        <x:v>0.008560682867749136</x:v>
      </x:c>
      <x:c r="J632" s="12" t="n">
        <x:v>0</x:v>
      </x:c>
      <x:c r="K632" s="12" t="n">
        <x:v>0</x:v>
      </x:c>
      <x:c r="L632" s="12" t="n">
        <x:v>0</x:v>
      </x:c>
      <x:c r="M632" s="2" t="str">
        <x:v>持有</x:v>
      </x:c>
    </x:row>
    <x:row r="633" ht="23" customHeight="1">
      <x:c r="A633" s="11" t="d">
        <x:v>2017-06-29T00:00:00.000Z</x:v>
      </x:c>
      <x:c r="B633" s="12" t="n">
        <x:v>4744.754728</x:v>
      </x:c>
      <x:c r="C633" s="13" t="n">
        <x:v>484</x:v>
      </x:c>
      <x:c r="D633" s="12" t="n">
        <x:v>116813.4</x:v>
      </x:c>
      <x:c r="E633" s="12" t="n">
        <x:v>572.624272</x:v>
      </x:c>
      <x:c r="F633" s="12" t="n">
        <x:f>SUM(B633,D633:E633)</x:f>
        <x:v>122130.779</x:v>
      </x:c>
      <x:c r="G633" s="12" t="n">
        <x:f>MAX(G632,F633)</x:f>
        <x:v>123732.819</x:v>
      </x:c>
      <x:c r="H633" s="14" t="n">
        <x:f>F633/G633-1</x:f>
        <x:v>-0.012947575372060371</x:v>
      </x:c>
      <x:c r="I633" s="14" t="n">
        <x:f>F633/F632-1</x:f>
        <x:v>-0.008409426849284252</x:v>
      </x:c>
      <x:c r="J633" s="12" t="n">
        <x:v>0</x:v>
      </x:c>
      <x:c r="K633" s="12" t="n">
        <x:v>0</x:v>
      </x:c>
      <x:c r="L633" s="12" t="n">
        <x:v>0</x:v>
      </x:c>
      <x:c r="M633" s="2" t="str">
        <x:v>持有</x:v>
      </x:c>
    </x:row>
    <x:row r="634" ht="23" customHeight="1">
      <x:c r="A634" s="11" t="d">
        <x:v>2017-06-30T00:00:00.000Z</x:v>
      </x:c>
      <x:c r="B634" s="12" t="n">
        <x:v>4744.754728</x:v>
      </x:c>
      <x:c r="C634" s="13" t="n">
        <x:v>484</x:v>
      </x:c>
      <x:c r="D634" s="12" t="n">
        <x:v>117031.20000000001</x:v>
      </x:c>
      <x:c r="E634" s="12" t="n">
        <x:v>572.624272</x:v>
      </x:c>
      <x:c r="F634" s="12" t="n">
        <x:f>SUM(B634,D634:E634)</x:f>
        <x:v>122348.57900000001</x:v>
      </x:c>
      <x:c r="G634" s="12" t="n">
        <x:f>MAX(G633,F634)</x:f>
        <x:v>123732.819</x:v>
      </x:c>
      <x:c r="H634" s="14" t="n">
        <x:f>F634/G634-1</x:f>
        <x:v>-0.011187330986130561</x:v>
      </x:c>
      <x:c r="I634" s="14" t="n">
        <x:f>F634/F633-1</x:f>
        <x:v>0.0017833342404212082</x:v>
      </x:c>
      <x:c r="J634" s="12" t="n">
        <x:v>0</x:v>
      </x:c>
      <x:c r="K634" s="12" t="n">
        <x:v>0</x:v>
      </x:c>
      <x:c r="L634" s="12" t="n">
        <x:v>0</x:v>
      </x:c>
      <x:c r="M634" s="2" t="str">
        <x:v>持有</x:v>
      </x:c>
    </x:row>
    <x:row r="635" ht="23" customHeight="1">
      <x:c r="A635" s="11" t="d">
        <x:v>2017-07-03T00:00:00.000Z</x:v>
      </x:c>
      <x:c r="B635" s="12" t="n">
        <x:v>4744.754728</x:v>
      </x:c>
      <x:c r="C635" s="13" t="n">
        <x:v>484</x:v>
      </x:c>
      <x:c r="D635" s="12" t="n">
        <x:v>117229.64</x:v>
      </x:c>
      <x:c r="E635" s="12" t="n">
        <x:v>572.624272</x:v>
      </x:c>
      <x:c r="F635" s="12" t="n">
        <x:f>SUM(B635,D635:E635)</x:f>
        <x:v>122547.019</x:v>
      </x:c>
      <x:c r="G635" s="12" t="n">
        <x:f>MAX(G634,F635)</x:f>
        <x:v>123732.819</x:v>
      </x:c>
      <x:c r="H635" s="14" t="n">
        <x:f>F635/G635-1</x:f>
        <x:v>-0.009583552767839287</x:v>
      </x:c>
      <x:c r="I635" s="14" t="n">
        <x:f>F635/F634-1</x:f>
        <x:v>0.0016219232100764813</x:v>
      </x:c>
      <x:c r="J635" s="12" t="n">
        <x:v>0</x:v>
      </x:c>
      <x:c r="K635" s="12" t="n">
        <x:v>0</x:v>
      </x:c>
      <x:c r="L635" s="12" t="n">
        <x:v>0</x:v>
      </x:c>
      <x:c r="M635" s="2" t="str">
        <x:v>持有</x:v>
      </x:c>
    </x:row>
    <x:row r="636" ht="23" customHeight="1">
      <x:c r="A636" s="11" t="d">
        <x:v>2017-07-05T00:00:00.000Z</x:v>
      </x:c>
      <x:c r="B636" s="12" t="n">
        <x:v>4744.754728</x:v>
      </x:c>
      <x:c r="C636" s="13" t="n">
        <x:v>484</x:v>
      </x:c>
      <x:c r="D636" s="12" t="n">
        <x:v>117500.68000000001</x:v>
      </x:c>
      <x:c r="E636" s="12" t="n">
        <x:v>572.624272</x:v>
      </x:c>
      <x:c r="F636" s="12" t="n">
        <x:f>SUM(B636,D636:E636)</x:f>
        <x:v>122818.05900000001</x:v>
      </x:c>
      <x:c r="G636" s="12" t="n">
        <x:f>MAX(G635,F636)</x:f>
        <x:v>123732.819</x:v>
      </x:c>
      <x:c r="H636" s="14" t="n">
        <x:f>F636/G636-1</x:f>
        <x:v>-0.007393026420904558</x:v>
      </x:c>
      <x:c r="I636" s="14" t="n">
        <x:f>F636/F635-1</x:f>
        <x:v>0.0022117225062814327</x:v>
      </x:c>
      <x:c r="J636" s="12" t="n">
        <x:v>0</x:v>
      </x:c>
      <x:c r="K636" s="12" t="n">
        <x:v>0</x:v>
      </x:c>
      <x:c r="L636" s="12" t="n">
        <x:v>0</x:v>
      </x:c>
      <x:c r="M636" s="2" t="str">
        <x:v>持有</x:v>
      </x:c>
    </x:row>
    <x:row r="637" ht="23" customHeight="1">
      <x:c r="A637" s="11" t="d">
        <x:v>2017-07-06T00:00:00.000Z</x:v>
      </x:c>
      <x:c r="B637" s="12" t="n">
        <x:v>4744.754728</x:v>
      </x:c>
      <x:c r="C637" s="13" t="n">
        <x:v>484</x:v>
      </x:c>
      <x:c r="D637" s="12" t="n">
        <x:v>116426.20000000001</x:v>
      </x:c>
      <x:c r="E637" s="12" t="n">
        <x:v>572.624272</x:v>
      </x:c>
      <x:c r="F637" s="12" t="n">
        <x:f>SUM(B637,D637:E637)</x:f>
        <x:v>121743.57900000001</x:v>
      </x:c>
      <x:c r="G637" s="12" t="n">
        <x:f>MAX(G636,F637)</x:f>
        <x:v>123732.819</x:v>
      </x:c>
      <x:c r="H637" s="14" t="n">
        <x:f>F637/G637-1</x:f>
        <x:v>-0.016076898724824096</x:v>
      </x:c>
      <x:c r="I637" s="14" t="n">
        <x:f>F637/F636-1</x:f>
        <x:v>-0.008748550569423919</x:v>
      </x:c>
      <x:c r="J637" s="12" t="n">
        <x:v>0</x:v>
      </x:c>
      <x:c r="K637" s="12" t="n">
        <x:v>0</x:v>
      </x:c>
      <x:c r="L637" s="12" t="n">
        <x:v>0</x:v>
      </x:c>
      <x:c r="M637" s="2" t="str">
        <x:v>持有</x:v>
      </x:c>
    </x:row>
    <x:row r="638" ht="23" customHeight="1">
      <x:c r="A638" s="11" t="d">
        <x:v>2017-07-07T00:00:00.000Z</x:v>
      </x:c>
      <x:c r="B638" s="12" t="n">
        <x:v>4744.754728</x:v>
      </x:c>
      <x:c r="C638" s="13" t="n">
        <x:v>484</x:v>
      </x:c>
      <x:c r="D638" s="12" t="n">
        <x:v>117181.24</x:v>
      </x:c>
      <x:c r="E638" s="12" t="n">
        <x:v>572.624272</x:v>
      </x:c>
      <x:c r="F638" s="12" t="n">
        <x:f>SUM(B638,D638:E638)</x:f>
        <x:v>122498.619</x:v>
      </x:c>
      <x:c r="G638" s="12" t="n">
        <x:f>MAX(G637,F638)</x:f>
        <x:v>123732.819</x:v>
      </x:c>
      <x:c r="H638" s="14" t="n">
        <x:f>F638/G638-1</x:f>
        <x:v>-0.009974718186934628</x:v>
      </x:c>
      <x:c r="I638" s="14" t="n">
        <x:f>F638/F637-1</x:f>
        <x:v>0.0062018876576643844</x:v>
      </x:c>
      <x:c r="J638" s="12" t="n">
        <x:v>0</x:v>
      </x:c>
      <x:c r="K638" s="12" t="n">
        <x:v>0</x:v>
      </x:c>
      <x:c r="L638" s="12" t="n">
        <x:v>0</x:v>
      </x:c>
      <x:c r="M638" s="2" t="str">
        <x:v>持有</x:v>
      </x:c>
    </x:row>
    <x:row r="639" ht="23" customHeight="1">
      <x:c r="A639" s="11" t="d">
        <x:v>2017-07-10T00:00:00.000Z</x:v>
      </x:c>
      <x:c r="B639" s="12" t="n">
        <x:v>4744.754728</x:v>
      </x:c>
      <x:c r="C639" s="13" t="n">
        <x:v>484</x:v>
      </x:c>
      <x:c r="D639" s="12" t="n">
        <x:v>117307.08</x:v>
      </x:c>
      <x:c r="E639" s="12" t="n">
        <x:v>572.624272</x:v>
      </x:c>
      <x:c r="F639" s="12" t="n">
        <x:f>SUM(B639,D639:E639)</x:f>
        <x:v>122624.459</x:v>
      </x:c>
      <x:c r="G639" s="12" t="n">
        <x:f>MAX(G638,F639)</x:f>
        <x:v>123732.819</x:v>
      </x:c>
      <x:c r="H639" s="14" t="n">
        <x:f>F639/G639-1</x:f>
        <x:v>-0.008957688097286476</x:v>
      </x:c>
      <x:c r="I639" s="14" t="n">
        <x:f>F639/F638-1</x:f>
        <x:v>0.0010272768870969173</x:v>
      </x:c>
      <x:c r="J639" s="12" t="n">
        <x:v>0</x:v>
      </x:c>
      <x:c r="K639" s="12" t="n">
        <x:v>0</x:v>
      </x:c>
      <x:c r="L639" s="12" t="n">
        <x:v>0</x:v>
      </x:c>
      <x:c r="M639" s="2" t="str">
        <x:v>持有</x:v>
      </x:c>
    </x:row>
    <x:row r="640" ht="23" customHeight="1">
      <x:c r="A640" s="11" t="d">
        <x:v>2017-07-11T00:00:00.000Z</x:v>
      </x:c>
      <x:c r="B640" s="12" t="n">
        <x:v>4744.754728</x:v>
      </x:c>
      <x:c r="C640" s="13" t="n">
        <x:v>484</x:v>
      </x:c>
      <x:c r="D640" s="12" t="n">
        <x:v>117219.95999999999</x:v>
      </x:c>
      <x:c r="E640" s="12" t="n">
        <x:v>572.624272</x:v>
      </x:c>
      <x:c r="F640" s="12" t="n">
        <x:f>SUM(B640,D640:E640)</x:f>
        <x:v>122537.33899999999</x:v>
      </x:c>
      <x:c r="G640" s="12" t="n">
        <x:f>MAX(G639,F640)</x:f>
        <x:v>123732.819</x:v>
      </x:c>
      <x:c r="H640" s="14" t="n">
        <x:f>F640/G640-1</x:f>
        <x:v>-0.009661785851658444</x:v>
      </x:c>
      <x:c r="I640" s="14" t="n">
        <x:f>F640/F639-1</x:f>
        <x:v>-0.0007104618500295423</x:v>
      </x:c>
      <x:c r="J640" s="12" t="n">
        <x:v>0</x:v>
      </x:c>
      <x:c r="K640" s="12" t="n">
        <x:v>0</x:v>
      </x:c>
      <x:c r="L640" s="12" t="n">
        <x:v>0</x:v>
      </x:c>
      <x:c r="M640" s="2" t="str">
        <x:v>持有</x:v>
      </x:c>
    </x:row>
    <x:row r="641" ht="23" customHeight="1">
      <x:c r="A641" s="11" t="d">
        <x:v>2017-07-12T00:00:00.000Z</x:v>
      </x:c>
      <x:c r="B641" s="12" t="n">
        <x:v>4744.754728</x:v>
      </x:c>
      <x:c r="C641" s="13" t="n">
        <x:v>484</x:v>
      </x:c>
      <x:c r="D641" s="12" t="n">
        <x:v>118100.84</x:v>
      </x:c>
      <x:c r="E641" s="12" t="n">
        <x:v>572.624272</x:v>
      </x:c>
      <x:c r="F641" s="12" t="n">
        <x:f>SUM(B641,D641:E641)</x:f>
        <x:v>123418.219</x:v>
      </x:c>
      <x:c r="G641" s="12" t="n">
        <x:f>MAX(G640,F641)</x:f>
        <x:v>123732.819</x:v>
      </x:c>
      <x:c r="H641" s="14" t="n">
        <x:f>F641/G641-1</x:f>
        <x:v>-0.0025425752241207134</x:v>
      </x:c>
      <x:c r="I641" s="14" t="n">
        <x:f>F641/F640-1</x:f>
        <x:v>0.00718866597878387</x:v>
      </x:c>
      <x:c r="J641" s="12" t="n">
        <x:v>0</x:v>
      </x:c>
      <x:c r="K641" s="12" t="n">
        <x:v>0</x:v>
      </x:c>
      <x:c r="L641" s="12" t="n">
        <x:v>0</x:v>
      </x:c>
      <x:c r="M641" s="2" t="str">
        <x:v>持有</x:v>
      </x:c>
    </x:row>
    <x:row r="642" ht="23" customHeight="1">
      <x:c r="A642" s="11" t="d">
        <x:v>2017-07-13T00:00:00.000Z</x:v>
      </x:c>
      <x:c r="B642" s="12" t="n">
        <x:v>4744.754728</x:v>
      </x:c>
      <x:c r="C642" s="13" t="n">
        <x:v>484</x:v>
      </x:c>
      <x:c r="D642" s="12" t="n">
        <x:v>118299.28</x:v>
      </x:c>
      <x:c r="E642" s="12" t="n">
        <x:v>572.624272</x:v>
      </x:c>
      <x:c r="F642" s="12" t="n">
        <x:f>SUM(B642,D642:E642)</x:f>
        <x:v>123616.659</x:v>
      </x:c>
      <x:c r="G642" s="12" t="n">
        <x:f>MAX(G641,F642)</x:f>
        <x:v>123732.819</x:v>
      </x:c>
      <x:c r="H642" s="14" t="n">
        <x:f>F642/G642-1</x:f>
        <x:v>-0.0009387970058292172</x:v>
      </x:c>
      <x:c r="I642" s="14" t="n">
        <x:f>F642/F641-1</x:f>
        <x:v>0.0016078663394096804</x:v>
      </x:c>
      <x:c r="J642" s="12" t="n">
        <x:v>0</x:v>
      </x:c>
      <x:c r="K642" s="12" t="n">
        <x:v>0</x:v>
      </x:c>
      <x:c r="L642" s="12" t="n">
        <x:v>0</x:v>
      </x:c>
      <x:c r="M642" s="2" t="str">
        <x:v>持有</x:v>
      </x:c>
    </x:row>
    <x:row r="643" ht="23" customHeight="1">
      <x:c r="A643" s="11" t="d">
        <x:v>2017-07-14T00:00:00.000Z</x:v>
      </x:c>
      <x:c r="B643" s="12" t="n">
        <x:v>4744.754728</x:v>
      </x:c>
      <x:c r="C643" s="13" t="n">
        <x:v>484</x:v>
      </x:c>
      <x:c r="D643" s="12" t="n">
        <x:v>118851.04000000001</x:v>
      </x:c>
      <x:c r="E643" s="12" t="n">
        <x:v>572.624272</x:v>
      </x:c>
      <x:c r="F643" s="12" t="n">
        <x:f>SUM(B643,D643:E643)</x:f>
        <x:v>124168.41900000001</x:v>
      </x:c>
      <x:c r="G643" s="12" t="n">
        <x:f>MAX(G642,F643)</x:f>
        <x:v>124168.41900000001</x:v>
      </x:c>
      <x:c r="H643" s="14" t="n">
        <x:f>F643/G643-1</x:f>
        <x:v>0</x:v>
      </x:c>
      <x:c r="I643" s="14" t="n">
        <x:f>F643/F642-1</x:f>
        <x:v>0.004463476075663886</x:v>
      </x:c>
      <x:c r="J643" s="12" t="n">
        <x:v>0</x:v>
      </x:c>
      <x:c r="K643" s="12" t="n">
        <x:v>0</x:v>
      </x:c>
      <x:c r="L643" s="12" t="n">
        <x:v>0</x:v>
      </x:c>
      <x:c r="M643" s="2" t="str">
        <x:v>持有</x:v>
      </x:c>
    </x:row>
    <x:row r="644" ht="23" customHeight="1">
      <x:c r="A644" s="11" t="d">
        <x:v>2017-07-17T00:00:00.000Z</x:v>
      </x:c>
      <x:c r="B644" s="12" t="n">
        <x:v>4744.754728</x:v>
      </x:c>
      <x:c r="C644" s="13" t="n">
        <x:v>484</x:v>
      </x:c>
      <x:c r="D644" s="12" t="n">
        <x:v>118836.52</x:v>
      </x:c>
      <x:c r="E644" s="12" t="n">
        <x:v>572.624272</x:v>
      </x:c>
      <x:c r="F644" s="12" t="n">
        <x:f>SUM(B644,D644:E644)</x:f>
        <x:v>124153.899</x:v>
      </x:c>
      <x:c r="G644" s="12" t="n">
        <x:f>MAX(G643,F644)</x:f>
        <x:v>124168.41900000001</x:v>
      </x:c>
      <x:c r="H644" s="14" t="n">
        <x:f>F644/G644-1</x:f>
        <x:v>-0.00011693794699929594</x:v>
      </x:c>
      <x:c r="I644" s="14" t="n">
        <x:f>F644/F643-1</x:f>
        <x:v>-0.00011693794699929594</x:v>
      </x:c>
      <x:c r="J644" s="12" t="n">
        <x:v>0</x:v>
      </x:c>
      <x:c r="K644" s="12" t="n">
        <x:v>0</x:v>
      </x:c>
      <x:c r="L644" s="12" t="n">
        <x:v>0</x:v>
      </x:c>
      <x:c r="M644" s="2" t="str">
        <x:v>持有</x:v>
      </x:c>
    </x:row>
    <x:row r="645" ht="23" customHeight="1">
      <x:c r="A645" s="11" t="d">
        <x:v>2017-07-18T00:00:00.000Z</x:v>
      </x:c>
      <x:c r="B645" s="12" t="n">
        <x:v>4744.754728</x:v>
      </x:c>
      <x:c r="C645" s="13" t="n">
        <x:v>484</x:v>
      </x:c>
      <x:c r="D645" s="12" t="n">
        <x:v>118899.44</x:v>
      </x:c>
      <x:c r="E645" s="12" t="n">
        <x:v>572.624272</x:v>
      </x:c>
      <x:c r="F645" s="12" t="n">
        <x:f>SUM(B645,D645:E645)</x:f>
        <x:v>124216.819</x:v>
      </x:c>
      <x:c r="G645" s="12" t="n">
        <x:f>MAX(G644,F645)</x:f>
        <x:v>124216.819</x:v>
      </x:c>
      <x:c r="H645" s="14" t="n">
        <x:f>F645/G645-1</x:f>
        <x:v>0</x:v>
      </x:c>
      <x:c r="I645" s="14" t="n">
        <x:f>F645/F644-1</x:f>
        <x:v>0.0005067903666884366</x:v>
      </x:c>
      <x:c r="J645" s="12" t="n">
        <x:v>0</x:v>
      </x:c>
      <x:c r="K645" s="12" t="n">
        <x:v>0</x:v>
      </x:c>
      <x:c r="L645" s="12" t="n">
        <x:v>0</x:v>
      </x:c>
      <x:c r="M645" s="2" t="str">
        <x:v>持有</x:v>
      </x:c>
    </x:row>
    <x:row r="646" ht="23" customHeight="1">
      <x:c r="A646" s="11" t="d">
        <x:v>2017-07-19T00:00:00.000Z</x:v>
      </x:c>
      <x:c r="B646" s="12" t="n">
        <x:v>4744.754728</x:v>
      </x:c>
      <x:c r="C646" s="13" t="n">
        <x:v>484</x:v>
      </x:c>
      <x:c r="D646" s="12" t="n">
        <x:v>119543.16</x:v>
      </x:c>
      <x:c r="E646" s="12" t="n">
        <x:v>572.624272</x:v>
      </x:c>
      <x:c r="F646" s="12" t="n">
        <x:f>SUM(B646,D646:E646)</x:f>
        <x:v>124860.539</x:v>
      </x:c>
      <x:c r="G646" s="12" t="n">
        <x:f>MAX(G645,F646)</x:f>
        <x:v>124860.539</x:v>
      </x:c>
      <x:c r="H646" s="14" t="n">
        <x:f>F646/G646-1</x:f>
        <x:v>0</x:v>
      </x:c>
      <x:c r="I646" s="14" t="n">
        <x:f>F646/F645-1</x:f>
        <x:v>0.005182228986237325</x:v>
      </x:c>
      <x:c r="J646" s="12" t="n">
        <x:v>0</x:v>
      </x:c>
      <x:c r="K646" s="12" t="n">
        <x:v>0</x:v>
      </x:c>
      <x:c r="L646" s="12" t="n">
        <x:v>0</x:v>
      </x:c>
      <x:c r="M646" s="2" t="str">
        <x:v>持有</x:v>
      </x:c>
    </x:row>
    <x:row r="647" ht="23" customHeight="1">
      <x:c r="A647" s="11" t="d">
        <x:v>2017-07-20T00:00:00.000Z</x:v>
      </x:c>
      <x:c r="B647" s="12" t="n">
        <x:v>4744.754728</x:v>
      </x:c>
      <x:c r="C647" s="13" t="n">
        <x:v>484</x:v>
      </x:c>
      <x:c r="D647" s="12" t="n">
        <x:v>119596.4</x:v>
      </x:c>
      <x:c r="E647" s="12" t="n">
        <x:v>572.624272</x:v>
      </x:c>
      <x:c r="F647" s="12" t="n">
        <x:f>SUM(B647,D647:E647)</x:f>
        <x:v>124913.779</x:v>
      </x:c>
      <x:c r="G647" s="12" t="n">
        <x:f>MAX(G646,F647)</x:f>
        <x:v>124913.779</x:v>
      </x:c>
      <x:c r="H647" s="14" t="n">
        <x:f>F647/G647-1</x:f>
        <x:v>0</x:v>
      </x:c>
      <x:c r="I647" s="14" t="n">
        <x:f>F647/F646-1</x:f>
        <x:v>0.0004263957245931316</x:v>
      </x:c>
      <x:c r="J647" s="12" t="n">
        <x:v>0</x:v>
      </x:c>
      <x:c r="K647" s="12" t="n">
        <x:v>0</x:v>
      </x:c>
      <x:c r="L647" s="12" t="n">
        <x:v>0</x:v>
      </x:c>
      <x:c r="M647" s="2" t="str">
        <x:v>持有</x:v>
      </x:c>
    </x:row>
    <x:row r="648" ht="23" customHeight="1">
      <x:c r="A648" s="11" t="d">
        <x:v>2017-07-21T00:00:00.000Z</x:v>
      </x:c>
      <x:c r="B648" s="12" t="n">
        <x:v>4744.754728</x:v>
      </x:c>
      <x:c r="C648" s="13" t="n">
        <x:v>484</x:v>
      </x:c>
      <x:c r="D648" s="12" t="n">
        <x:v>119489.92</x:v>
      </x:c>
      <x:c r="E648" s="12" t="n">
        <x:v>572.624272</x:v>
      </x:c>
      <x:c r="F648" s="12" t="n">
        <x:f>SUM(B648,D648:E648)</x:f>
        <x:v>124807.299</x:v>
      </x:c>
      <x:c r="G648" s="12" t="n">
        <x:f>MAX(G647,F648)</x:f>
        <x:v>124913.779</x:v>
      </x:c>
      <x:c r="H648" s="14" t="n">
        <x:f>F648/G648-1</x:f>
        <x:v>-0.0008524279775411481</x:v>
      </x:c>
      <x:c r="I648" s="14" t="n">
        <x:f>F648/F647-1</x:f>
        <x:v>-0.0008524279775411481</x:v>
      </x:c>
      <x:c r="J648" s="12" t="n">
        <x:v>0</x:v>
      </x:c>
      <x:c r="K648" s="12" t="n">
        <x:v>0</x:v>
      </x:c>
      <x:c r="L648" s="12" t="n">
        <x:v>0</x:v>
      </x:c>
      <x:c r="M648" s="2" t="str">
        <x:v>持有</x:v>
      </x:c>
    </x:row>
    <x:row r="649" ht="23" customHeight="1">
      <x:c r="A649" s="11" t="d">
        <x:v>2017-07-24T00:00:00.000Z</x:v>
      </x:c>
      <x:c r="B649" s="12" t="n">
        <x:v>4744.754728</x:v>
      </x:c>
      <x:c r="C649" s="13" t="n">
        <x:v>484</x:v>
      </x:c>
      <x:c r="D649" s="12" t="n">
        <x:v>119460.87999999999</x:v>
      </x:c>
      <x:c r="E649" s="12" t="n">
        <x:v>572.624272</x:v>
      </x:c>
      <x:c r="F649" s="12" t="n">
        <x:f>SUM(B649,D649:E649)</x:f>
        <x:v>124778.25899999999</x:v>
      </x:c>
      <x:c r="G649" s="12" t="n">
        <x:f>MAX(G648,F649)</x:f>
        <x:v>124913.779</x:v>
      </x:c>
      <x:c r="H649" s="14" t="n">
        <x:f>F649/G649-1</x:f>
        <x:v>-0.0010849083350524813</x:v>
      </x:c>
      <x:c r="I649" s="14" t="n">
        <x:f>F649/F648-1</x:f>
        <x:v>-0.00023267869934440188</x:v>
      </x:c>
      <x:c r="J649" s="12" t="n">
        <x:v>0</x:v>
      </x:c>
      <x:c r="K649" s="12" t="n">
        <x:v>0</x:v>
      </x:c>
      <x:c r="L649" s="12" t="n">
        <x:v>0</x:v>
      </x:c>
      <x:c r="M649" s="2" t="str">
        <x:v>持有</x:v>
      </x:c>
    </x:row>
    <x:row r="650" ht="23" customHeight="1">
      <x:c r="A650" s="11" t="d">
        <x:v>2017-07-25T00:00:00.000Z</x:v>
      </x:c>
      <x:c r="B650" s="12" t="n">
        <x:v>4744.754728</x:v>
      </x:c>
      <x:c r="C650" s="13" t="n">
        <x:v>484</x:v>
      </x:c>
      <x:c r="D650" s="12" t="n">
        <x:v>119751.28</x:v>
      </x:c>
      <x:c r="E650" s="12" t="n">
        <x:v>572.624272</x:v>
      </x:c>
      <x:c r="F650" s="12" t="n">
        <x:f>SUM(B650,D650:E650)</x:f>
        <x:v>125068.659</x:v>
      </x:c>
      <x:c r="G650" s="12" t="n">
        <x:f>MAX(G649,F650)</x:f>
        <x:v>125068.659</x:v>
      </x:c>
      <x:c r="H650" s="14" t="n">
        <x:f>F650/G650-1</x:f>
        <x:v>0</x:v>
      </x:c>
      <x:c r="I650" s="14" t="n">
        <x:f>F650/F649-1</x:f>
        <x:v>0.0023273285132148214</x:v>
      </x:c>
      <x:c r="J650" s="12" t="n">
        <x:v>0</x:v>
      </x:c>
      <x:c r="K650" s="12" t="n">
        <x:v>0</x:v>
      </x:c>
      <x:c r="L650" s="12" t="n">
        <x:v>0</x:v>
      </x:c>
      <x:c r="M650" s="2" t="str">
        <x:v>持有</x:v>
      </x:c>
    </x:row>
    <x:row r="651" ht="23" customHeight="1">
      <x:c r="A651" s="11" t="d">
        <x:v>2017-07-26T00:00:00.000Z</x:v>
      </x:c>
      <x:c r="B651" s="12" t="n">
        <x:v>4744.754728</x:v>
      </x:c>
      <x:c r="C651" s="13" t="n">
        <x:v>484</x:v>
      </x:c>
      <x:c r="D651" s="12" t="n">
        <x:v>119756.12000000001</x:v>
      </x:c>
      <x:c r="E651" s="12" t="n">
        <x:v>572.624272</x:v>
      </x:c>
      <x:c r="F651" s="12" t="n">
        <x:f>SUM(B651,D651:E651)</x:f>
        <x:v>125073.49900000001</x:v>
      </x:c>
      <x:c r="G651" s="12" t="n">
        <x:f>MAX(G650,F651)</x:f>
        <x:v>125073.49900000001</x:v>
      </x:c>
      <x:c r="H651" s="14" t="n">
        <x:f>F651/G651-1</x:f>
        <x:v>0</x:v>
      </x:c>
      <x:c r="I651" s="14" t="n">
        <x:f>F651/F650-1</x:f>
        <x:v>0.00003869874386364103</x:v>
      </x:c>
      <x:c r="J651" s="12" t="n">
        <x:v>0</x:v>
      </x:c>
      <x:c r="K651" s="12" t="n">
        <x:v>0</x:v>
      </x:c>
      <x:c r="L651" s="12" t="n">
        <x:v>0</x:v>
      </x:c>
      <x:c r="M651" s="2" t="str">
        <x:v>持有</x:v>
      </x:c>
    </x:row>
    <x:row r="652" ht="23" customHeight="1">
      <x:c r="A652" s="11" t="d">
        <x:v>2017-07-27T00:00:00.000Z</x:v>
      </x:c>
      <x:c r="B652" s="12" t="n">
        <x:v>4744.754728</x:v>
      </x:c>
      <x:c r="C652" s="13" t="n">
        <x:v>484</x:v>
      </x:c>
      <x:c r="D652" s="12" t="n">
        <x:v>119644.79999999999</x:v>
      </x:c>
      <x:c r="E652" s="12" t="n">
        <x:v>572.624272</x:v>
      </x:c>
      <x:c r="F652" s="12" t="n">
        <x:f>SUM(B652,D652:E652)</x:f>
        <x:v>124962.17899999999</x:v>
      </x:c>
      <x:c r="G652" s="12" t="n">
        <x:f>MAX(G651,F652)</x:f>
        <x:v>125073.49900000001</x:v>
      </x:c>
      <x:c r="H652" s="14" t="n">
        <x:f>F652/G652-1</x:f>
        <x:v>-0.0008900366655610892</x:v>
      </x:c>
      <x:c r="I652" s="14" t="n">
        <x:f>F652/F651-1</x:f>
        <x:v>-0.0008900366655610892</x:v>
      </x:c>
      <x:c r="J652" s="12" t="n">
        <x:v>0</x:v>
      </x:c>
      <x:c r="K652" s="12" t="n">
        <x:v>0</x:v>
      </x:c>
      <x:c r="L652" s="12" t="n">
        <x:v>0</x:v>
      </x:c>
      <x:c r="M652" s="2" t="str">
        <x:v>持有</x:v>
      </x:c>
    </x:row>
    <x:row r="653" ht="23" customHeight="1">
      <x:c r="A653" s="11" t="d">
        <x:v>2017-07-28T00:00:00.000Z</x:v>
      </x:c>
      <x:c r="B653" s="12" t="n">
        <x:v>4744.754728</x:v>
      </x:c>
      <x:c r="C653" s="13" t="n">
        <x:v>484</x:v>
      </x:c>
      <x:c r="D653" s="12" t="n">
        <x:v>119504.44</x:v>
      </x:c>
      <x:c r="E653" s="12" t="n">
        <x:v>572.624272</x:v>
      </x:c>
      <x:c r="F653" s="12" t="n">
        <x:f>SUM(B653,D653:E653)</x:f>
        <x:v>124821.819</x:v>
      </x:c>
      <x:c r="G653" s="12" t="n">
        <x:f>MAX(G652,F653)</x:f>
        <x:v>125073.49900000001</x:v>
      </x:c>
      <x:c r="H653" s="14" t="n">
        <x:f>F653/G653-1</x:f>
        <x:v>-0.002012256809094337</x:v>
      </x:c>
      <x:c r="I653" s="14" t="n">
        <x:f>F653/F652-1</x:f>
        <x:v>-0.00112321985038355</x:v>
      </x:c>
      <x:c r="J653" s="12" t="n">
        <x:v>0</x:v>
      </x:c>
      <x:c r="K653" s="12" t="n">
        <x:v>0</x:v>
      </x:c>
      <x:c r="L653" s="12" t="n">
        <x:v>0</x:v>
      </x:c>
      <x:c r="M653" s="2" t="str">
        <x:v>持有</x:v>
      </x:c>
    </x:row>
    <x:row r="654" ht="23" customHeight="1">
      <x:c r="A654" s="11" t="d">
        <x:v>2017-07-31T00:00:00.000Z</x:v>
      </x:c>
      <x:c r="B654" s="12" t="n">
        <x:v>5317.379</x:v>
      </x:c>
      <x:c r="C654" s="13" t="n">
        <x:v>484</x:v>
      </x:c>
      <x:c r="D654" s="12" t="n">
        <x:v>119436.68000000001</x:v>
      </x:c>
      <x:c r="E654" s="12" t="n">
        <x:v>0</x:v>
      </x:c>
      <x:c r="F654" s="12" t="n">
        <x:f>SUM(B654,D654:E654)</x:f>
        <x:v>124754.05900000001</x:v>
      </x:c>
      <x:c r="G654" s="12" t="n">
        <x:f>MAX(G653,F654)</x:f>
        <x:v>125073.49900000001</x:v>
      </x:c>
      <x:c r="H654" s="14" t="n">
        <x:f>F654/G654-1</x:f>
        <x:v>-0.002554018257696633</x:v>
      </x:c>
      <x:c r="I654" s="14" t="n">
        <x:f>F654/F653-1</x:f>
        <x:v>-0.0005428538098775082</x:v>
      </x:c>
      <x:c r="J654" s="12" t="n">
        <x:v>0</x:v>
      </x:c>
      <x:c r="K654" s="12" t="n">
        <x:v>572.624272</x:v>
      </x:c>
      <x:c r="L654" s="12" t="n">
        <x:v>0</x:v>
      </x:c>
      <x:c r="M654" s="2" t="str">
        <x:v>持有</x:v>
      </x:c>
    </x:row>
    <x:row r="655" ht="23" customHeight="1">
      <x:c r="A655" s="11" t="d">
        <x:v>2017-08-01T00:00:00.000Z</x:v>
      </x:c>
      <x:c r="B655" s="12" t="n">
        <x:v>5317.379</x:v>
      </x:c>
      <x:c r="C655" s="13" t="n">
        <x:v>484</x:v>
      </x:c>
      <x:c r="D655" s="12" t="n">
        <x:v>119702.87999999999</x:v>
      </x:c>
      <x:c r="E655" s="12" t="n">
        <x:v>0</x:v>
      </x:c>
      <x:c r="F655" s="12" t="n">
        <x:f>SUM(B655,D655:E655)</x:f>
        <x:v>125020.25899999999</x:v>
      </x:c>
      <x:c r="G655" s="12" t="n">
        <x:f>MAX(G654,F655)</x:f>
        <x:v>125073.49900000001</x:v>
      </x:c>
      <x:c r="H655" s="14" t="n">
        <x:f>F655/G655-1</x:f>
        <x:v>-0.00042566970961621653</x:v>
      </x:c>
      <x:c r="I655" s="14" t="n">
        <x:f>F655/F654-1</x:f>
        <x:v>0.0021337983079170453</x:v>
      </x:c>
      <x:c r="J655" s="12" t="n">
        <x:v>0</x:v>
      </x:c>
      <x:c r="K655" s="12" t="n">
        <x:v>0</x:v>
      </x:c>
      <x:c r="L655" s="12" t="n">
        <x:v>0</x:v>
      </x:c>
      <x:c r="M655" s="2" t="str">
        <x:v>持有</x:v>
      </x:c>
    </x:row>
    <x:row r="656" ht="23" customHeight="1">
      <x:c r="A656" s="11" t="d">
        <x:v>2017-08-02T00:00:00.000Z</x:v>
      </x:c>
      <x:c r="B656" s="12" t="n">
        <x:v>5317.379</x:v>
      </x:c>
      <x:c r="C656" s="13" t="n">
        <x:v>484</x:v>
      </x:c>
      <x:c r="D656" s="12" t="n">
        <x:v>119760.95999999999</x:v>
      </x:c>
      <x:c r="E656" s="12" t="n">
        <x:v>0</x:v>
      </x:c>
      <x:c r="F656" s="12" t="n">
        <x:f>SUM(B656,D656:E656)</x:f>
        <x:v>125078.33899999999</x:v>
      </x:c>
      <x:c r="G656" s="12" t="n">
        <x:f>MAX(G655,F656)</x:f>
        <x:v>125078.33899999999</x:v>
      </x:c>
      <x:c r="H656" s="14" t="n">
        <x:f>F656/G656-1</x:f>
        <x:v>0</x:v>
      </x:c>
      <x:c r="I656" s="14" t="n">
        <x:f>F656/F655-1</x:f>
        <x:v>0.00046456470706890407</x:v>
      </x:c>
      <x:c r="J656" s="12" t="n">
        <x:v>0</x:v>
      </x:c>
      <x:c r="K656" s="12" t="n">
        <x:v>0</x:v>
      </x:c>
      <x:c r="L656" s="12" t="n">
        <x:v>0</x:v>
      </x:c>
      <x:c r="M656" s="2" t="str">
        <x:v>持有</x:v>
      </x:c>
    </x:row>
    <x:row r="657" ht="23" customHeight="1">
      <x:c r="A657" s="11" t="d">
        <x:v>2017-08-03T00:00:00.000Z</x:v>
      </x:c>
      <x:c r="B657" s="12" t="n">
        <x:v>5317.379</x:v>
      </x:c>
      <x:c r="C657" s="13" t="n">
        <x:v>484</x:v>
      </x:c>
      <x:c r="D657" s="12" t="n">
        <x:v>119528.64</x:v>
      </x:c>
      <x:c r="E657" s="12" t="n">
        <x:v>0</x:v>
      </x:c>
      <x:c r="F657" s="12" t="n">
        <x:f>SUM(B657,D657:E657)</x:f>
        <x:v>124846.019</x:v>
      </x:c>
      <x:c r="G657" s="12" t="n">
        <x:f>MAX(G656,F657)</x:f>
        <x:v>125078.33899999999</x:v>
      </x:c>
      <x:c r="H657" s="14" t="n">
        <x:f>F657/G657-1</x:f>
        <x:v>-0.001857395947670759</x:v>
      </x:c>
      <x:c r="I657" s="14" t="n">
        <x:f>F657/F656-1</x:f>
        <x:v>-0.001857395947670759</x:v>
      </x:c>
      <x:c r="J657" s="12" t="n">
        <x:v>0</x:v>
      </x:c>
      <x:c r="K657" s="12" t="n">
        <x:v>0</x:v>
      </x:c>
      <x:c r="L657" s="12" t="n">
        <x:v>0</x:v>
      </x:c>
      <x:c r="M657" s="2" t="str">
        <x:v>持有</x:v>
      </x:c>
    </x:row>
    <x:row r="658" ht="23" customHeight="1">
      <x:c r="A658" s="11" t="d">
        <x:v>2017-08-04T00:00:00.000Z</x:v>
      </x:c>
      <x:c r="B658" s="12" t="n">
        <x:v>5317.379</x:v>
      </x:c>
      <x:c r="C658" s="13" t="n">
        <x:v>484</x:v>
      </x:c>
      <x:c r="D658" s="12" t="n">
        <x:v>119746.44</x:v>
      </x:c>
      <x:c r="E658" s="12" t="n">
        <x:v>0</x:v>
      </x:c>
      <x:c r="F658" s="12" t="n">
        <x:f>SUM(B658,D658:E658)</x:f>
        <x:v>125063.819</x:v>
      </x:c>
      <x:c r="G658" s="12" t="n">
        <x:f>MAX(G657,F658)</x:f>
        <x:v>125078.33899999999</x:v>
      </x:c>
      <x:c r="H658" s="14" t="n">
        <x:f>F658/G658-1</x:f>
        <x:v>-0.0001160872467292906</x:v>
      </x:c>
      <x:c r="I658" s="14" t="n">
        <x:f>F658/F657-1</x:f>
        <x:v>0.0017445490192202762</x:v>
      </x:c>
      <x:c r="J658" s="12" t="n">
        <x:v>0</x:v>
      </x:c>
      <x:c r="K658" s="12" t="n">
        <x:v>0</x:v>
      </x:c>
      <x:c r="L658" s="12" t="n">
        <x:v>0</x:v>
      </x:c>
      <x:c r="M658" s="2" t="str">
        <x:v>持有</x:v>
      </x:c>
    </x:row>
    <x:row r="659" ht="23" customHeight="1">
      <x:c r="A659" s="11" t="d">
        <x:v>2017-08-07T00:00:00.000Z</x:v>
      </x:c>
      <x:c r="B659" s="12" t="n">
        <x:v>5317.379</x:v>
      </x:c>
      <x:c r="C659" s="13" t="n">
        <x:v>484</x:v>
      </x:c>
      <x:c r="D659" s="12" t="n">
        <x:v>119969.08</x:v>
      </x:c>
      <x:c r="E659" s="12" t="n">
        <x:v>0</x:v>
      </x:c>
      <x:c r="F659" s="12" t="n">
        <x:f>SUM(B659,D659:E659)</x:f>
        <x:v>125286.459</x:v>
      </x:c>
      <x:c r="G659" s="12" t="n">
        <x:f>MAX(G658,F659)</x:f>
        <x:v>125286.459</x:v>
      </x:c>
      <x:c r="H659" s="14" t="n">
        <x:f>F659/G659-1</x:f>
        <x:v>0</x:v>
      </x:c>
      <x:c r="I659" s="14" t="n">
        <x:f>F659/F658-1</x:f>
        <x:v>0.0017802111096576478</x:v>
      </x:c>
      <x:c r="J659" s="12" t="n">
        <x:v>0</x:v>
      </x:c>
      <x:c r="K659" s="12" t="n">
        <x:v>0</x:v>
      </x:c>
      <x:c r="L659" s="12" t="n">
        <x:v>0</x:v>
      </x:c>
      <x:c r="M659" s="2" t="str">
        <x:v>持有</x:v>
      </x:c>
    </x:row>
    <x:row r="660" ht="23" customHeight="1">
      <x:c r="A660" s="11" t="d">
        <x:v>2017-08-08T00:00:00.000Z</x:v>
      </x:c>
      <x:c r="B660" s="12" t="n">
        <x:v>5317.379</x:v>
      </x:c>
      <x:c r="C660" s="13" t="n">
        <x:v>484</x:v>
      </x:c>
      <x:c r="D660" s="12" t="n">
        <x:v>119673.84</x:v>
      </x:c>
      <x:c r="E660" s="12" t="n">
        <x:v>0</x:v>
      </x:c>
      <x:c r="F660" s="12" t="n">
        <x:f>SUM(B660,D660:E660)</x:f>
        <x:v>124991.219</x:v>
      </x:c>
      <x:c r="G660" s="12" t="n">
        <x:f>MAX(G659,F660)</x:f>
        <x:v>125286.459</x:v>
      </x:c>
      <x:c r="H660" s="14" t="n">
        <x:f>F660/G660-1</x:f>
        <x:v>-0.0023565196299466518</x:v>
      </x:c>
      <x:c r="I660" s="14" t="n">
        <x:f>F660/F659-1</x:f>
        <x:v>-0.0023565196299466518</x:v>
      </x:c>
      <x:c r="J660" s="12" t="n">
        <x:v>0</x:v>
      </x:c>
      <x:c r="K660" s="12" t="n">
        <x:v>0</x:v>
      </x:c>
      <x:c r="L660" s="12" t="n">
        <x:v>0</x:v>
      </x:c>
      <x:c r="M660" s="2" t="str">
        <x:v>持有</x:v>
      </x:c>
    </x:row>
    <x:row r="661" ht="23" customHeight="1">
      <x:c r="A661" s="11" t="d">
        <x:v>2017-08-09T00:00:00.000Z</x:v>
      </x:c>
      <x:c r="B661" s="12" t="n">
        <x:v>5317.379</x:v>
      </x:c>
      <x:c r="C661" s="13" t="n">
        <x:v>484</x:v>
      </x:c>
      <x:c r="D661" s="12" t="n">
        <x:v>119669</x:v>
      </x:c>
      <x:c r="E661" s="12" t="n">
        <x:v>0</x:v>
      </x:c>
      <x:c r="F661" s="12" t="n">
        <x:f>SUM(B661,D661:E661)</x:f>
        <x:v>124986.379</x:v>
      </x:c>
      <x:c r="G661" s="12" t="n">
        <x:f>MAX(G660,F661)</x:f>
        <x:v>125286.459</x:v>
      </x:c>
      <x:c r="H661" s="14" t="n">
        <x:f>F661/G661-1</x:f>
        <x:v>-0.002395151099290005</x:v>
      </x:c>
      <x:c r="I661" s="14" t="n">
        <x:f>F661/F660-1</x:f>
        <x:v>-0.00003872272019367351</x:v>
      </x:c>
      <x:c r="J661" s="12" t="n">
        <x:v>0</x:v>
      </x:c>
      <x:c r="K661" s="12" t="n">
        <x:v>0</x:v>
      </x:c>
      <x:c r="L661" s="12" t="n">
        <x:v>0</x:v>
      </x:c>
      <x:c r="M661" s="2" t="str">
        <x:v>持有</x:v>
      </x:c>
    </x:row>
    <x:row r="662" ht="23" customHeight="1">
      <x:c r="A662" s="11" t="d">
        <x:v>2017-08-10T00:00:00.000Z</x:v>
      </x:c>
      <x:c r="B662" s="12" t="n">
        <x:v>5317.379</x:v>
      </x:c>
      <x:c r="C662" s="13" t="n">
        <x:v>484</x:v>
      </x:c>
      <x:c r="D662" s="12" t="n">
        <x:v>117979.84</x:v>
      </x:c>
      <x:c r="E662" s="12" t="n">
        <x:v>0</x:v>
      </x:c>
      <x:c r="F662" s="12" t="n">
        <x:f>SUM(B662,D662:E662)</x:f>
        <x:v>123297.219</x:v>
      </x:c>
      <x:c r="G662" s="12" t="n">
        <x:f>MAX(G661,F662)</x:f>
        <x:v>125286.459</x:v>
      </x:c>
      <x:c r="H662" s="14" t="n">
        <x:f>F662/G662-1</x:f>
        <x:v>-0.015877533900132024</x:v>
      </x:c>
      <x:c r="I662" s="14" t="n">
        <x:f>F662/F661-1</x:f>
        <x:v>-0.013514752675569564</x:v>
      </x:c>
      <x:c r="J662" s="12" t="n">
        <x:v>0</x:v>
      </x:c>
      <x:c r="K662" s="12" t="n">
        <x:v>0</x:v>
      </x:c>
      <x:c r="L662" s="12" t="n">
        <x:v>0</x:v>
      </x:c>
      <x:c r="M662" s="2" t="str">
        <x:v>持有</x:v>
      </x:c>
    </x:row>
    <x:row r="663" ht="23" customHeight="1">
      <x:c r="A663" s="11" t="d">
        <x:v>2017-08-11T00:00:00.000Z</x:v>
      </x:c>
      <x:c r="B663" s="12" t="n">
        <x:v>5317.379</x:v>
      </x:c>
      <x:c r="C663" s="13" t="n">
        <x:v>484</x:v>
      </x:c>
      <x:c r="D663" s="12" t="n">
        <x:v>118154.08</x:v>
      </x:c>
      <x:c r="E663" s="12" t="n">
        <x:v>0</x:v>
      </x:c>
      <x:c r="F663" s="12" t="n">
        <x:f>SUM(B663,D663:E663)</x:f>
        <x:v>123471.459</x:v>
      </x:c>
      <x:c r="G663" s="12" t="n">
        <x:f>MAX(G662,F663)</x:f>
        <x:v>125286.459</x:v>
      </x:c>
      <x:c r="H663" s="14" t="n">
        <x:f>F663/G663-1</x:f>
        <x:v>-0.014486801003770089</x:v>
      </x:c>
      <x:c r="I663" s="14" t="n">
        <x:f>F663/F662-1</x:f>
        <x:v>0.0014131705598323663</x:v>
      </x:c>
      <x:c r="J663" s="12" t="n">
        <x:v>0</x:v>
      </x:c>
      <x:c r="K663" s="12" t="n">
        <x:v>0</x:v>
      </x:c>
      <x:c r="L663" s="12" t="n">
        <x:v>0</x:v>
      </x:c>
      <x:c r="M663" s="2" t="str">
        <x:v>持有</x:v>
      </x:c>
    </x:row>
    <x:row r="664" ht="23" customHeight="1">
      <x:c r="A664" s="11" t="d">
        <x:v>2017-08-14T00:00:00.000Z</x:v>
      </x:c>
      <x:c r="B664" s="12" t="n">
        <x:v>5317.379</x:v>
      </x:c>
      <x:c r="C664" s="13" t="n">
        <x:v>484</x:v>
      </x:c>
      <x:c r="D664" s="12" t="n">
        <x:v>119325.36</x:v>
      </x:c>
      <x:c r="E664" s="12" t="n">
        <x:v>0</x:v>
      </x:c>
      <x:c r="F664" s="12" t="n">
        <x:f>SUM(B664,D664:E664)</x:f>
        <x:v>124642.739</x:v>
      </x:c>
      <x:c r="G664" s="12" t="n">
        <x:f>MAX(G663,F664)</x:f>
        <x:v>125286.459</x:v>
      </x:c>
      <x:c r="H664" s="14" t="n">
        <x:f>F664/G664-1</x:f>
        <x:v>-0.005137985422670521</x:v>
      </x:c>
      <x:c r="I664" s="14" t="n">
        <x:f>F664/F663-1</x:f>
        <x:v>0.009486240864781559</x:v>
      </x:c>
      <x:c r="J664" s="12" t="n">
        <x:v>0</x:v>
      </x:c>
      <x:c r="K664" s="12" t="n">
        <x:v>0</x:v>
      </x:c>
      <x:c r="L664" s="12" t="n">
        <x:v>0</x:v>
      </x:c>
      <x:c r="M664" s="2" t="str">
        <x:v>持有</x:v>
      </x:c>
    </x:row>
    <x:row r="665" ht="23" customHeight="1">
      <x:c r="A665" s="11" t="d">
        <x:v>2017-08-15T00:00:00.000Z</x:v>
      </x:c>
      <x:c r="B665" s="12" t="n">
        <x:v>5317.379</x:v>
      </x:c>
      <x:c r="C665" s="13" t="n">
        <x:v>484</x:v>
      </x:c>
      <x:c r="D665" s="12" t="n">
        <x:v>119310.84</x:v>
      </x:c>
      <x:c r="E665" s="12" t="n">
        <x:v>0</x:v>
      </x:c>
      <x:c r="F665" s="12" t="n">
        <x:f>SUM(B665,D665:E665)</x:f>
        <x:v>124628.219</x:v>
      </x:c>
      <x:c r="G665" s="12" t="n">
        <x:f>MAX(G664,F665)</x:f>
        <x:v>125286.459</x:v>
      </x:c>
      <x:c r="H665" s="14" t="n">
        <x:f>F665/G665-1</x:f>
        <x:v>-0.005253879830700692</x:v>
      </x:c>
      <x:c r="I665" s="14" t="n">
        <x:f>F665/F664-1</x:f>
        <x:v>-0.00011649294709425995</x:v>
      </x:c>
      <x:c r="J665" s="12" t="n">
        <x:v>0</x:v>
      </x:c>
      <x:c r="K665" s="12" t="n">
        <x:v>0</x:v>
      </x:c>
      <x:c r="L665" s="12" t="n">
        <x:v>0</x:v>
      </x:c>
      <x:c r="M665" s="2" t="str">
        <x:v>持有</x:v>
      </x:c>
    </x:row>
    <x:row r="666" ht="23" customHeight="1">
      <x:c r="A666" s="11" t="d">
        <x:v>2017-08-16T00:00:00.000Z</x:v>
      </x:c>
      <x:c r="B666" s="12" t="n">
        <x:v>5317.379</x:v>
      </x:c>
      <x:c r="C666" s="13" t="n">
        <x:v>484</x:v>
      </x:c>
      <x:c r="D666" s="12" t="n">
        <x:v>119518.95999999999</x:v>
      </x:c>
      <x:c r="E666" s="12" t="n">
        <x:v>0</x:v>
      </x:c>
      <x:c r="F666" s="12" t="n">
        <x:f>SUM(B666,D666:E666)</x:f>
        <x:v>124836.33899999999</x:v>
      </x:c>
      <x:c r="G666" s="12" t="n">
        <x:f>MAX(G665,F666)</x:f>
        <x:v>125286.459</x:v>
      </x:c>
      <x:c r="H666" s="14" t="n">
        <x:f>F666/G666-1</x:f>
        <x:v>-0.003592726648935063</x:v>
      </x:c>
      <x:c r="I666" s="14" t="n">
        <x:f>F666/F665-1</x:f>
        <x:v>0.001669926776374675</x:v>
      </x:c>
      <x:c r="J666" s="12" t="n">
        <x:v>0</x:v>
      </x:c>
      <x:c r="K666" s="12" t="n">
        <x:v>0</x:v>
      </x:c>
      <x:c r="L666" s="12" t="n">
        <x:v>0</x:v>
      </x:c>
      <x:c r="M666" s="2" t="str">
        <x:v>持有</x:v>
      </x:c>
    </x:row>
    <x:row r="667" ht="23" customHeight="1">
      <x:c r="A667" s="11" t="d">
        <x:v>2017-08-17T00:00:00.000Z</x:v>
      </x:c>
      <x:c r="B667" s="12" t="n">
        <x:v>5317.379</x:v>
      </x:c>
      <x:c r="C667" s="13" t="n">
        <x:v>484</x:v>
      </x:c>
      <x:c r="D667" s="12" t="n">
        <x:v>117655.56</x:v>
      </x:c>
      <x:c r="E667" s="12" t="n">
        <x:v>0</x:v>
      </x:c>
      <x:c r="F667" s="12" t="n">
        <x:f>SUM(B667,D667:E667)</x:f>
        <x:v>122972.939</x:v>
      </x:c>
      <x:c r="G667" s="12" t="n">
        <x:f>MAX(G666,F667)</x:f>
        <x:v>125286.459</x:v>
      </x:c>
      <x:c r="H667" s="14" t="n">
        <x:f>F667/G667-1</x:f>
        <x:v>-0.018465842346139016</x:v>
      </x:c>
      <x:c r="I667" s="14" t="n">
        <x:f>F667/F666-1</x:f>
        <x:v>-0.014926743406020515</x:v>
      </x:c>
      <x:c r="J667" s="12" t="n">
        <x:v>0</x:v>
      </x:c>
      <x:c r="K667" s="12" t="n">
        <x:v>0</x:v>
      </x:c>
      <x:c r="L667" s="12" t="n">
        <x:v>0</x:v>
      </x:c>
      <x:c r="M667" s="2" t="str">
        <x:v>持有</x:v>
      </x:c>
    </x:row>
    <x:row r="668" ht="23" customHeight="1">
      <x:c r="A668" s="11" t="d">
        <x:v>2017-08-18T00:00:00.000Z</x:v>
      </x:c>
      <x:c r="B668" s="12" t="n">
        <x:v>5317.379</x:v>
      </x:c>
      <x:c r="C668" s="13" t="n">
        <x:v>484</x:v>
      </x:c>
      <x:c r="D668" s="12" t="n">
        <x:v>117471.64</x:v>
      </x:c>
      <x:c r="E668" s="12" t="n">
        <x:v>0</x:v>
      </x:c>
      <x:c r="F668" s="12" t="n">
        <x:f>SUM(B668,D668:E668)</x:f>
        <x:v>122789.019</x:v>
      </x:c>
      <x:c r="G668" s="12" t="n">
        <x:f>MAX(G667,F668)</x:f>
        <x:v>125286.459</x:v>
      </x:c>
      <x:c r="H668" s="14" t="n">
        <x:f>F668/G668-1</x:f>
        <x:v>-0.019933838181187657</x:v>
      </x:c>
      <x:c r="I668" s="14" t="n">
        <x:f>F668/F667-1</x:f>
        <x:v>-0.0014956135999969478</x:v>
      </x:c>
      <x:c r="J668" s="12" t="n">
        <x:v>0</x:v>
      </x:c>
      <x:c r="K668" s="12" t="n">
        <x:v>0</x:v>
      </x:c>
      <x:c r="L668" s="12" t="n">
        <x:v>0</x:v>
      </x:c>
      <x:c r="M668" s="2" t="str">
        <x:v>持有</x:v>
      </x:c>
    </x:row>
    <x:row r="669" ht="23" customHeight="1">
      <x:c r="A669" s="11" t="d">
        <x:v>2017-08-21T00:00:00.000Z</x:v>
      </x:c>
      <x:c r="B669" s="12" t="n">
        <x:v>5317.379</x:v>
      </x:c>
      <x:c r="C669" s="13" t="n">
        <x:v>484</x:v>
      </x:c>
      <x:c r="D669" s="12" t="n">
        <x:v>117563.6</x:v>
      </x:c>
      <x:c r="E669" s="12" t="n">
        <x:v>0</x:v>
      </x:c>
      <x:c r="F669" s="12" t="n">
        <x:f>SUM(B669,D669:E669)</x:f>
        <x:v>122880.979</x:v>
      </x:c>
      <x:c r="G669" s="12" t="n">
        <x:f>MAX(G668,F669)</x:f>
        <x:v>125286.459</x:v>
      </x:c>
      <x:c r="H669" s="14" t="n">
        <x:f>F669/G669-1</x:f>
        <x:v>-0.01919984026366328</x:v>
      </x:c>
      <x:c r="I669" s="14" t="n">
        <x:f>F669/F668-1</x:f>
        <x:v>0.0007489269052634029</x:v>
      </x:c>
      <x:c r="J669" s="12" t="n">
        <x:v>0</x:v>
      </x:c>
      <x:c r="K669" s="12" t="n">
        <x:v>0</x:v>
      </x:c>
      <x:c r="L669" s="12" t="n">
        <x:v>0</x:v>
      </x:c>
      <x:c r="M669" s="2" t="str">
        <x:v>持有</x:v>
      </x:c>
    </x:row>
    <x:row r="670" ht="23" customHeight="1">
      <x:c r="A670" s="11" t="d">
        <x:v>2017-08-22T00:00:00.000Z</x:v>
      </x:c>
      <x:c r="B670" s="12" t="n">
        <x:v>5317.379</x:v>
      </x:c>
      <x:c r="C670" s="13" t="n">
        <x:v>484</x:v>
      </x:c>
      <x:c r="D670" s="12" t="n">
        <x:v>118792.95999999999</x:v>
      </x:c>
      <x:c r="E670" s="12" t="n">
        <x:v>0</x:v>
      </x:c>
      <x:c r="F670" s="12" t="n">
        <x:f>SUM(B670,D670:E670)</x:f>
        <x:v>124110.33899999999</x:v>
      </x:c>
      <x:c r="G670" s="12" t="n">
        <x:f>MAX(G669,F670)</x:f>
        <x:v>125286.459</x:v>
      </x:c>
      <x:c r="H670" s="14" t="n">
        <x:f>F670/G670-1</x:f>
        <x:v>-0.009387447050443143</x:v>
      </x:c>
      <x:c r="I670" s="14" t="n">
        <x:f>F670/F669-1</x:f>
        <x:v>0.01000447758476919</x:v>
      </x:c>
      <x:c r="J670" s="12" t="n">
        <x:v>0</x:v>
      </x:c>
      <x:c r="K670" s="12" t="n">
        <x:v>0</x:v>
      </x:c>
      <x:c r="L670" s="12" t="n">
        <x:v>0</x:v>
      </x:c>
      <x:c r="M670" s="2" t="str">
        <x:v>持有</x:v>
      </x:c>
    </x:row>
    <x:row r="671" ht="23" customHeight="1">
      <x:c r="A671" s="11" t="d">
        <x:v>2017-08-23T00:00:00.000Z</x:v>
      </x:c>
      <x:c r="B671" s="12" t="n">
        <x:v>5317.379</x:v>
      </x:c>
      <x:c r="C671" s="13" t="n">
        <x:v>484</x:v>
      </x:c>
      <x:c r="D671" s="12" t="n">
        <x:v>118367.04000000001</x:v>
      </x:c>
      <x:c r="E671" s="12" t="n">
        <x:v>0</x:v>
      </x:c>
      <x:c r="F671" s="12" t="n">
        <x:f>SUM(B671,D671:E671)</x:f>
        <x:v>123684.41900000001</x:v>
      </x:c>
      <x:c r="G671" s="12" t="n">
        <x:f>MAX(G670,F671)</x:f>
        <x:v>125286.459</x:v>
      </x:c>
      <x:c r="H671" s="14" t="n">
        <x:f>F671/G671-1</x:f>
        <x:v>-0.012787016352660996</x:v>
      </x:c>
      <x:c r="I671" s="14" t="n">
        <x:f>F671/F670-1</x:f>
        <x:v>-0.003431785002214749</x:v>
      </x:c>
      <x:c r="J671" s="12" t="n">
        <x:v>0</x:v>
      </x:c>
      <x:c r="K671" s="12" t="n">
        <x:v>0</x:v>
      </x:c>
      <x:c r="L671" s="12" t="n">
        <x:v>0</x:v>
      </x:c>
      <x:c r="M671" s="2" t="str">
        <x:v>持有</x:v>
      </x:c>
    </x:row>
    <x:row r="672" ht="23" customHeight="1">
      <x:c r="A672" s="11" t="d">
        <x:v>2017-08-24T00:00:00.000Z</x:v>
      </x:c>
      <x:c r="B672" s="12" t="n">
        <x:v>5317.379</x:v>
      </x:c>
      <x:c r="C672" s="13" t="n">
        <x:v>484</x:v>
      </x:c>
      <x:c r="D672" s="12" t="n">
        <x:v>118091.16</x:v>
      </x:c>
      <x:c r="E672" s="12" t="n">
        <x:v>0</x:v>
      </x:c>
      <x:c r="F672" s="12" t="n">
        <x:f>SUM(B672,D672:E672)</x:f>
        <x:v>123408.539</x:v>
      </x:c>
      <x:c r="G672" s="12" t="n">
        <x:f>MAX(G671,F672)</x:f>
        <x:v>125286.459</x:v>
      </x:c>
      <x:c r="H672" s="14" t="n">
        <x:f>F672/G672-1</x:f>
        <x:v>-0.014989010105234124</x:v>
      </x:c>
      <x:c r="I672" s="14" t="n">
        <x:f>F672/F671-1</x:f>
        <x:v>-0.002230515389331278</x:v>
      </x:c>
      <x:c r="J672" s="12" t="n">
        <x:v>0</x:v>
      </x:c>
      <x:c r="K672" s="12" t="n">
        <x:v>0</x:v>
      </x:c>
      <x:c r="L672" s="12" t="n">
        <x:v>0</x:v>
      </x:c>
      <x:c r="M672" s="2" t="str">
        <x:v>持有</x:v>
      </x:c>
    </x:row>
    <x:row r="673" ht="23" customHeight="1">
      <x:c r="A673" s="11" t="d">
        <x:v>2017-08-25T00:00:00.000Z</x:v>
      </x:c>
      <x:c r="B673" s="12" t="n">
        <x:v>5317.379</x:v>
      </x:c>
      <x:c r="C673" s="13" t="n">
        <x:v>484</x:v>
      </x:c>
      <x:c r="D673" s="12" t="n">
        <x:v>118367.04000000001</x:v>
      </x:c>
      <x:c r="E673" s="12" t="n">
        <x:v>0</x:v>
      </x:c>
      <x:c r="F673" s="12" t="n">
        <x:f>SUM(B673,D673:E673)</x:f>
        <x:v>123684.41900000001</x:v>
      </x:c>
      <x:c r="G673" s="12" t="n">
        <x:f>MAX(G672,F673)</x:f>
        <x:v>125286.459</x:v>
      </x:c>
      <x:c r="H673" s="14" t="n">
        <x:f>F673/G673-1</x:f>
        <x:v>-0.012787016352660996</x:v>
      </x:c>
      <x:c r="I673" s="14" t="n">
        <x:f>F673/F672-1</x:f>
        <x:v>0.0022355017102990704</x:v>
      </x:c>
      <x:c r="J673" s="12" t="n">
        <x:v>0</x:v>
      </x:c>
      <x:c r="K673" s="12" t="n">
        <x:v>0</x:v>
      </x:c>
      <x:c r="L673" s="12" t="n">
        <x:v>0</x:v>
      </x:c>
      <x:c r="M673" s="2" t="str">
        <x:v>持有</x:v>
      </x:c>
    </x:row>
    <x:row r="674" ht="23" customHeight="1">
      <x:c r="A674" s="11" t="d">
        <x:v>2017-08-28T00:00:00.000Z</x:v>
      </x:c>
      <x:c r="B674" s="12" t="n">
        <x:v>5317.379</x:v>
      </x:c>
      <x:c r="C674" s="13" t="n">
        <x:v>484</x:v>
      </x:c>
      <x:c r="D674" s="12" t="n">
        <x:v>118371.87999999999</x:v>
      </x:c>
      <x:c r="E674" s="12" t="n">
        <x:v>0</x:v>
      </x:c>
      <x:c r="F674" s="12" t="n">
        <x:f>SUM(B674,D674:E674)</x:f>
        <x:v>123689.25899999999</x:v>
      </x:c>
      <x:c r="G674" s="12" t="n">
        <x:f>MAX(G673,F674)</x:f>
        <x:v>125286.459</x:v>
      </x:c>
      <x:c r="H674" s="14" t="n">
        <x:f>F674/G674-1</x:f>
        <x:v>-0.012748384883317754</x:v>
      </x:c>
      <x:c r="I674" s="14" t="n">
        <x:f>F674/F673-1</x:f>
        <x:v>0.00003913184893544752</x:v>
      </x:c>
      <x:c r="J674" s="12" t="n">
        <x:v>0</x:v>
      </x:c>
      <x:c r="K674" s="12" t="n">
        <x:v>0</x:v>
      </x:c>
      <x:c r="L674" s="12" t="n">
        <x:v>0</x:v>
      </x:c>
      <x:c r="M674" s="2" t="str">
        <x:v>持有</x:v>
      </x:c>
    </x:row>
    <x:row r="675" ht="23" customHeight="1">
      <x:c r="A675" s="11" t="d">
        <x:v>2017-08-29T00:00:00.000Z</x:v>
      </x:c>
      <x:c r="B675" s="12" t="n">
        <x:v>5317.379</x:v>
      </x:c>
      <x:c r="C675" s="13" t="n">
        <x:v>484</x:v>
      </x:c>
      <x:c r="D675" s="12" t="n">
        <x:v>118507.4</x:v>
      </x:c>
      <x:c r="E675" s="12" t="n">
        <x:v>0</x:v>
      </x:c>
      <x:c r="F675" s="12" t="n">
        <x:f>SUM(B675,D675:E675)</x:f>
        <x:v>123824.779</x:v>
      </x:c>
      <x:c r="G675" s="12" t="n">
        <x:f>MAX(G674,F675)</x:f>
        <x:v>125286.459</x:v>
      </x:c>
      <x:c r="H675" s="14" t="n">
        <x:f>F675/G675-1</x:f>
        <x:v>-0.011666703741702866</x:v>
      </x:c>
      <x:c r="I675" s="14" t="n">
        <x:f>F675/F674-1</x:f>
        <x:v>0.0010956488954307897</x:v>
      </x:c>
      <x:c r="J675" s="12" t="n">
        <x:v>0</x:v>
      </x:c>
      <x:c r="K675" s="12" t="n">
        <x:v>0</x:v>
      </x:c>
      <x:c r="L675" s="12" t="n">
        <x:v>0</x:v>
      </x:c>
      <x:c r="M675" s="2" t="str">
        <x:v>持有</x:v>
      </x:c>
    </x:row>
    <x:row r="676" ht="23" customHeight="1">
      <x:c r="A676" s="11" t="d">
        <x:v>2017-08-30T00:00:00.000Z</x:v>
      </x:c>
      <x:c r="B676" s="12" t="n">
        <x:v>5317.379</x:v>
      </x:c>
      <x:c r="C676" s="13" t="n">
        <x:v>484</x:v>
      </x:c>
      <x:c r="D676" s="12" t="n">
        <x:v>119068.84</x:v>
      </x:c>
      <x:c r="E676" s="12" t="n">
        <x:v>0</x:v>
      </x:c>
      <x:c r="F676" s="12" t="n">
        <x:f>SUM(B676,D676:E676)</x:f>
        <x:v>124386.219</x:v>
      </x:c>
      <x:c r="G676" s="12" t="n">
        <x:f>MAX(G675,F676)</x:f>
        <x:v>125286.459</x:v>
      </x:c>
      <x:c r="H676" s="14" t="n">
        <x:f>F676/G676-1</x:f>
        <x:v>-0.007185453297870015</x:v>
      </x:c>
      <x:c r="I676" s="14" t="n">
        <x:f>F676/F675-1</x:f>
        <x:v>0.004534149017136668</x:v>
      </x:c>
      <x:c r="J676" s="12" t="n">
        <x:v>0</x:v>
      </x:c>
      <x:c r="K676" s="12" t="n">
        <x:v>0</x:v>
      </x:c>
      <x:c r="L676" s="12" t="n">
        <x:v>0</x:v>
      </x:c>
      <x:c r="M676" s="2" t="str">
        <x:v>持有</x:v>
      </x:c>
    </x:row>
    <x:row r="677" ht="23" customHeight="1">
      <x:c r="A677" s="11" t="d">
        <x:v>2017-08-31T00:00:00.000Z</x:v>
      </x:c>
      <x:c r="B677" s="12" t="n">
        <x:v>5317.379</x:v>
      </x:c>
      <x:c r="C677" s="13" t="n">
        <x:v>484</x:v>
      </x:c>
      <x:c r="D677" s="12" t="n">
        <x:v>119785.16</x:v>
      </x:c>
      <x:c r="E677" s="12" t="n">
        <x:v>0</x:v>
      </x:c>
      <x:c r="F677" s="12" t="n">
        <x:f>SUM(B677,D677:E677)</x:f>
        <x:v>125102.539</x:v>
      </x:c>
      <x:c r="G677" s="12" t="n">
        <x:f>MAX(G676,F677)</x:f>
        <x:v>125286.459</x:v>
      </x:c>
      <x:c r="H677" s="14" t="n">
        <x:f>F677/G677-1</x:f>
        <x:v>-0.001467995835048641</x:v>
      </x:c>
      <x:c r="I677" s="14" t="n">
        <x:f>F677/F676-1</x:f>
        <x:v>0.005758837319430166</x:v>
      </x:c>
      <x:c r="J677" s="12" t="n">
        <x:v>0</x:v>
      </x:c>
      <x:c r="K677" s="12" t="n">
        <x:v>0</x:v>
      </x:c>
      <x:c r="L677" s="12" t="n">
        <x:v>0</x:v>
      </x:c>
      <x:c r="M677" s="2" t="str">
        <x:v>持有</x:v>
      </x:c>
    </x:row>
    <x:row r="678" ht="23" customHeight="1">
      <x:c r="A678" s="11" t="d">
        <x:v>2017-09-01T00:00:00.000Z</x:v>
      </x:c>
      <x:c r="B678" s="12" t="n">
        <x:v>5317.379</x:v>
      </x:c>
      <x:c r="C678" s="13" t="n">
        <x:v>484</x:v>
      </x:c>
      <x:c r="D678" s="12" t="n">
        <x:v>119954.56</x:v>
      </x:c>
      <x:c r="E678" s="12" t="n">
        <x:v>0</x:v>
      </x:c>
      <x:c r="F678" s="12" t="n">
        <x:f>SUM(B678,D678:E678)</x:f>
        <x:v>125271.939</x:v>
      </x:c>
      <x:c r="G678" s="12" t="n">
        <x:f>MAX(G677,F678)</x:f>
        <x:v>125286.459</x:v>
      </x:c>
      <x:c r="H678" s="14" t="n">
        <x:f>F678/G678-1</x:f>
        <x:v>-0.00011589440803017048</x:v>
      </x:c>
      <x:c r="I678" s="14" t="n">
        <x:f>F678/F677-1</x:f>
        <x:v>0.0013540892243601999</x:v>
      </x:c>
      <x:c r="J678" s="12" t="n">
        <x:v>0</x:v>
      </x:c>
      <x:c r="K678" s="12" t="n">
        <x:v>0</x:v>
      </x:c>
      <x:c r="L678" s="12" t="n">
        <x:v>0</x:v>
      </x:c>
      <x:c r="M678" s="2" t="str">
        <x:v>持有</x:v>
      </x:c>
    </x:row>
    <x:row r="679" ht="23" customHeight="1">
      <x:c r="A679" s="11" t="d">
        <x:v>2017-09-05T00:00:00.000Z</x:v>
      </x:c>
      <x:c r="B679" s="12" t="n">
        <x:v>5317.379</x:v>
      </x:c>
      <x:c r="C679" s="13" t="n">
        <x:v>484</x:v>
      </x:c>
      <x:c r="D679" s="12" t="n">
        <x:v>119093.04000000001</x:v>
      </x:c>
      <x:c r="E679" s="12" t="n">
        <x:v>0</x:v>
      </x:c>
      <x:c r="F679" s="12" t="n">
        <x:f>SUM(B679,D679:E679)</x:f>
        <x:v>124410.41900000001</x:v>
      </x:c>
      <x:c r="G679" s="12" t="n">
        <x:f>MAX(G678,F679)</x:f>
        <x:v>125286.459</x:v>
      </x:c>
      <x:c r="H679" s="14" t="n">
        <x:f>F679/G679-1</x:f>
        <x:v>-0.006992295951153027</x:v>
      </x:c>
      <x:c r="I679" s="14" t="n">
        <x:f>F679/F678-1</x:f>
        <x:v>-0.006877198571980214</x:v>
      </x:c>
      <x:c r="J679" s="12" t="n">
        <x:v>0</x:v>
      </x:c>
      <x:c r="K679" s="12" t="n">
        <x:v>0</x:v>
      </x:c>
      <x:c r="L679" s="12" t="n">
        <x:v>0</x:v>
      </x:c>
      <x:c r="M679" s="2" t="str">
        <x:v>持有</x:v>
      </x:c>
    </x:row>
    <x:row r="680" ht="23" customHeight="1">
      <x:c r="A680" s="11" t="d">
        <x:v>2017-09-06T00:00:00.000Z</x:v>
      </x:c>
      <x:c r="B680" s="12" t="n">
        <x:v>5317.379</x:v>
      </x:c>
      <x:c r="C680" s="13" t="n">
        <x:v>484</x:v>
      </x:c>
      <x:c r="D680" s="12" t="n">
        <x:v>119499.6</x:v>
      </x:c>
      <x:c r="E680" s="12" t="n">
        <x:v>0</x:v>
      </x:c>
      <x:c r="F680" s="12" t="n">
        <x:f>SUM(B680,D680:E680)</x:f>
        <x:v>124816.979</x:v>
      </x:c>
      <x:c r="G680" s="12" t="n">
        <x:f>MAX(G679,F680)</x:f>
        <x:v>125286.459</x:v>
      </x:c>
      <x:c r="H680" s="14" t="n">
        <x:f>F680/G680-1</x:f>
        <x:v>-0.0037472525263084755</x:v>
      </x:c>
      <x:c r="I680" s="14" t="n">
        <x:f>F680/F679-1</x:f>
        <x:v>0.003267893503356767</x:v>
      </x:c>
      <x:c r="J680" s="12" t="n">
        <x:v>0</x:v>
      </x:c>
      <x:c r="K680" s="12" t="n">
        <x:v>0</x:v>
      </x:c>
      <x:c r="L680" s="12" t="n">
        <x:v>0</x:v>
      </x:c>
      <x:c r="M680" s="2" t="str">
        <x:v>持有</x:v>
      </x:c>
    </x:row>
    <x:row r="681" ht="23" customHeight="1">
      <x:c r="A681" s="11" t="d">
        <x:v>2017-09-07T00:00:00.000Z</x:v>
      </x:c>
      <x:c r="B681" s="12" t="n">
        <x:v>5317.379</x:v>
      </x:c>
      <x:c r="C681" s="13" t="n">
        <x:v>484</x:v>
      </x:c>
      <x:c r="D681" s="12" t="n">
        <x:v>119485.08</x:v>
      </x:c>
      <x:c r="E681" s="12" t="n">
        <x:v>0</x:v>
      </x:c>
      <x:c r="F681" s="12" t="n">
        <x:f>SUM(B681,D681:E681)</x:f>
        <x:v>124802.459</x:v>
      </x:c>
      <x:c r="G681" s="12" t="n">
        <x:f>MAX(G680,F681)</x:f>
        <x:v>125286.459</x:v>
      </x:c>
      <x:c r="H681" s="14" t="n">
        <x:f>F681/G681-1</x:f>
        <x:v>-0.003863146934338646</x:v>
      </x:c>
      <x:c r="I681" s="14" t="n">
        <x:f>F681/F680-1</x:f>
        <x:v>-0.00011633032714242209</x:v>
      </x:c>
      <x:c r="J681" s="12" t="n">
        <x:v>0</x:v>
      </x:c>
      <x:c r="K681" s="12" t="n">
        <x:v>0</x:v>
      </x:c>
      <x:c r="L681" s="12" t="n">
        <x:v>0</x:v>
      </x:c>
      <x:c r="M681" s="2" t="str">
        <x:v>持有</x:v>
      </x:c>
    </x:row>
    <x:row r="682" ht="23" customHeight="1">
      <x:c r="A682" s="11" t="d">
        <x:v>2017-09-08T00:00:00.000Z</x:v>
      </x:c>
      <x:c r="B682" s="12" t="n">
        <x:v>5317.379</x:v>
      </x:c>
      <x:c r="C682" s="13" t="n">
        <x:v>484</x:v>
      </x:c>
      <x:c r="D682" s="12" t="n">
        <x:v>119344.72</x:v>
      </x:c>
      <x:c r="E682" s="12" t="n">
        <x:v>0</x:v>
      </x:c>
      <x:c r="F682" s="12" t="n">
        <x:f>SUM(B682,D682:E682)</x:f>
        <x:v>124662.099</x:v>
      </x:c>
      <x:c r="G682" s="12" t="n">
        <x:f>MAX(G681,F682)</x:f>
        <x:v>125286.459</x:v>
      </x:c>
      <x:c r="H682" s="14" t="n">
        <x:f>F682/G682-1</x:f>
        <x:v>-0.004983459545296887</x:v>
      </x:c>
      <x:c r="I682" s="14" t="n">
        <x:f>F682/F681-1</x:f>
        <x:v>-0.0011246573274650284</x:v>
      </x:c>
      <x:c r="J682" s="12" t="n">
        <x:v>0</x:v>
      </x:c>
      <x:c r="K682" s="12" t="n">
        <x:v>0</x:v>
      </x:c>
      <x:c r="L682" s="12" t="n">
        <x:v>0</x:v>
      </x:c>
      <x:c r="M682" s="2" t="str">
        <x:v>持有</x:v>
      </x:c>
    </x:row>
    <x:row r="683" ht="23" customHeight="1">
      <x:c r="A683" s="11" t="d">
        <x:v>2017-09-11T00:00:00.000Z</x:v>
      </x:c>
      <x:c r="B683" s="12" t="n">
        <x:v>5317.379</x:v>
      </x:c>
      <x:c r="C683" s="13" t="n">
        <x:v>484</x:v>
      </x:c>
      <x:c r="D683" s="12" t="n">
        <x:v>120617.64</x:v>
      </x:c>
      <x:c r="E683" s="12" t="n">
        <x:v>0</x:v>
      </x:c>
      <x:c r="F683" s="12" t="n">
        <x:f>SUM(B683,D683:E683)</x:f>
        <x:v>125935.019</x:v>
      </x:c>
      <x:c r="G683" s="12" t="n">
        <x:f>MAX(G682,F683)</x:f>
        <x:v>125935.019</x:v>
      </x:c>
      <x:c r="H683" s="14" t="n">
        <x:f>F683/G683-1</x:f>
        <x:v>0</x:v>
      </x:c>
      <x:c r="I683" s="14" t="n">
        <x:f>F683/F682-1</x:f>
        <x:v>0.010210962355126085</x:v>
      </x:c>
      <x:c r="J683" s="12" t="n">
        <x:v>0</x:v>
      </x:c>
      <x:c r="K683" s="12" t="n">
        <x:v>0</x:v>
      </x:c>
      <x:c r="L683" s="12" t="n">
        <x:v>0</x:v>
      </x:c>
      <x:c r="M683" s="2" t="str">
        <x:v>持有</x:v>
      </x:c>
    </x:row>
    <x:row r="684" ht="23" customHeight="1">
      <x:c r="A684" s="11" t="d">
        <x:v>2017-09-12T00:00:00.000Z</x:v>
      </x:c>
      <x:c r="B684" s="12" t="n">
        <x:v>5317.379</x:v>
      </x:c>
      <x:c r="C684" s="13" t="n">
        <x:v>484</x:v>
      </x:c>
      <x:c r="D684" s="12" t="n">
        <x:v>121024.20000000001</x:v>
      </x:c>
      <x:c r="E684" s="12" t="n">
        <x:v>0</x:v>
      </x:c>
      <x:c r="F684" s="12" t="n">
        <x:f>SUM(B684,D684:E684)</x:f>
        <x:v>126341.57900000001</x:v>
      </x:c>
      <x:c r="G684" s="12" t="n">
        <x:f>MAX(G683,F684)</x:f>
        <x:v>126341.57900000001</x:v>
      </x:c>
      <x:c r="H684" s="14" t="n">
        <x:f>F684/G684-1</x:f>
        <x:v>0</x:v>
      </x:c>
      <x:c r="I684" s="14" t="n">
        <x:f>F684/F683-1</x:f>
        <x:v>0.0032283315890078157</x:v>
      </x:c>
      <x:c r="J684" s="12" t="n">
        <x:v>0</x:v>
      </x:c>
      <x:c r="K684" s="12" t="n">
        <x:v>0</x:v>
      </x:c>
      <x:c r="L684" s="12" t="n">
        <x:v>0</x:v>
      </x:c>
      <x:c r="M684" s="2" t="str">
        <x:v>持有</x:v>
      </x:c>
    </x:row>
    <x:row r="685" ht="23" customHeight="1">
      <x:c r="A685" s="11" t="d">
        <x:v>2017-09-13T00:00:00.000Z</x:v>
      </x:c>
      <x:c r="B685" s="12" t="n">
        <x:v>5317.379</x:v>
      </x:c>
      <x:c r="C685" s="13" t="n">
        <x:v>484</x:v>
      </x:c>
      <x:c r="D685" s="12" t="n">
        <x:v>121082.28</x:v>
      </x:c>
      <x:c r="E685" s="12" t="n">
        <x:v>0</x:v>
      </x:c>
      <x:c r="F685" s="12" t="n">
        <x:f>SUM(B685,D685:E685)</x:f>
        <x:v>126399.659</x:v>
      </x:c>
      <x:c r="G685" s="12" t="n">
        <x:f>MAX(G684,F685)</x:f>
        <x:v>126399.659</x:v>
      </x:c>
      <x:c r="H685" s="14" t="n">
        <x:f>F685/G685-1</x:f>
        <x:v>0</x:v>
      </x:c>
      <x:c r="I685" s="14" t="n">
        <x:f>F685/F684-1</x:f>
        <x:v>0.000459706143137506</x:v>
      </x:c>
      <x:c r="J685" s="12" t="n">
        <x:v>0</x:v>
      </x:c>
      <x:c r="K685" s="12" t="n">
        <x:v>0</x:v>
      </x:c>
      <x:c r="L685" s="12" t="n">
        <x:v>0</x:v>
      </x:c>
      <x:c r="M685" s="2" t="str">
        <x:v>持有</x:v>
      </x:c>
    </x:row>
    <x:row r="686" ht="23" customHeight="1">
      <x:c r="A686" s="11" t="d">
        <x:v>2017-09-14T00:00:00.000Z</x:v>
      </x:c>
      <x:c r="B686" s="12" t="n">
        <x:v>5317.379</x:v>
      </x:c>
      <x:c r="C686" s="13" t="n">
        <x:v>484</x:v>
      </x:c>
      <x:c r="D686" s="12" t="n">
        <x:v>121043.56</x:v>
      </x:c>
      <x:c r="E686" s="12" t="n">
        <x:v>0</x:v>
      </x:c>
      <x:c r="F686" s="12" t="n">
        <x:f>SUM(B686,D686:E686)</x:f>
        <x:v>126360.939</x:v>
      </x:c>
      <x:c r="G686" s="12" t="n">
        <x:f>MAX(G685,F686)</x:f>
        <x:v>126399.659</x:v>
      </x:c>
      <x:c r="H686" s="14" t="n">
        <x:f>F686/G686-1</x:f>
        <x:v>-0.0003063299403363029</x:v>
      </x:c>
      <x:c r="I686" s="14" t="n">
        <x:f>F686/F685-1</x:f>
        <x:v>-0.0003063299403363029</x:v>
      </x:c>
      <x:c r="J686" s="12" t="n">
        <x:v>0</x:v>
      </x:c>
      <x:c r="K686" s="12" t="n">
        <x:v>0</x:v>
      </x:c>
      <x:c r="L686" s="12" t="n">
        <x:v>0</x:v>
      </x:c>
      <x:c r="M686" s="2" t="str">
        <x:v>持有</x:v>
      </x:c>
    </x:row>
    <x:row r="687" ht="23" customHeight="1">
      <x:c r="A687" s="11" t="d">
        <x:v>2017-09-15T00:00:00.000Z</x:v>
      </x:c>
      <x:c r="B687" s="12" t="n">
        <x:v>5317.379</x:v>
      </x:c>
      <x:c r="C687" s="13" t="n">
        <x:v>484</x:v>
      </x:c>
      <x:c r="D687" s="12" t="n">
        <x:v>120607.95999999999</x:v>
      </x:c>
      <x:c r="E687" s="12" t="n">
        <x:v>597.533816</x:v>
      </x:c>
      <x:c r="F687" s="12" t="n">
        <x:f>SUM(B687,D687:E687)</x:f>
        <x:v>126522.87281599999</x:v>
      </x:c>
      <x:c r="G687" s="12" t="n">
        <x:f>MAX(G686,F687)</x:f>
        <x:v>126522.87281599999</x:v>
      </x:c>
      <x:c r="H687" s="14" t="n">
        <x:f>F687/G687-1</x:f>
        <x:v>0</x:v>
      </x:c>
      <x:c r="I687" s="14" t="n">
        <x:f>F687/F686-1</x:f>
        <x:v>0.0012815179855540926</x:v>
      </x:c>
      <x:c r="J687" s="12" t="n">
        <x:v>597.533816</x:v>
      </x:c>
      <x:c r="K687" s="12" t="n">
        <x:v>0</x:v>
      </x:c>
      <x:c r="L687" s="12" t="n">
        <x:v>0</x:v>
      </x:c>
      <x:c r="M687" s="2" t="str">
        <x:v>持有</x:v>
      </x:c>
    </x:row>
    <x:row r="688" ht="23" customHeight="1">
      <x:c r="A688" s="11" t="d">
        <x:v>2017-09-18T00:00:00.000Z</x:v>
      </x:c>
      <x:c r="B688" s="12" t="n">
        <x:v>5317.379</x:v>
      </x:c>
      <x:c r="C688" s="13" t="n">
        <x:v>484</x:v>
      </x:c>
      <x:c r="D688" s="12" t="n">
        <x:v>120864.48</x:v>
      </x:c>
      <x:c r="E688" s="12" t="n">
        <x:v>597.533816</x:v>
      </x:c>
      <x:c r="F688" s="12" t="n">
        <x:f>SUM(B688,D688:E688)</x:f>
        <x:v>126779.39281599999</x:v>
      </x:c>
      <x:c r="G688" s="12" t="n">
        <x:f>MAX(G687,F688)</x:f>
        <x:v>126779.39281599999</x:v>
      </x:c>
      <x:c r="H688" s="14" t="n">
        <x:f>F688/G688-1</x:f>
        <x:v>0</x:v>
      </x:c>
      <x:c r="I688" s="14" t="n">
        <x:f>F688/F687-1</x:f>
        <x:v>0.0020274594963793913</x:v>
      </x:c>
      <x:c r="J688" s="12" t="n">
        <x:v>0</x:v>
      </x:c>
      <x:c r="K688" s="12" t="n">
        <x:v>0</x:v>
      </x:c>
      <x:c r="L688" s="12" t="n">
        <x:v>0</x:v>
      </x:c>
      <x:c r="M688" s="2" t="str">
        <x:v>持有</x:v>
      </x:c>
    </x:row>
    <x:row r="689" ht="23" customHeight="1">
      <x:c r="A689" s="11" t="d">
        <x:v>2017-09-19T00:00:00.000Z</x:v>
      </x:c>
      <x:c r="B689" s="12" t="n">
        <x:v>5317.379</x:v>
      </x:c>
      <x:c r="C689" s="13" t="n">
        <x:v>484</x:v>
      </x:c>
      <x:c r="D689" s="12" t="n">
        <x:v>120985.48</x:v>
      </x:c>
      <x:c r="E689" s="12" t="n">
        <x:v>597.533816</x:v>
      </x:c>
      <x:c r="F689" s="12" t="n">
        <x:f>SUM(B689,D689:E689)</x:f>
        <x:v>126900.39281599999</x:v>
      </x:c>
      <x:c r="G689" s="12" t="n">
        <x:f>MAX(G688,F689)</x:f>
        <x:v>126900.39281599999</x:v>
      </x:c>
      <x:c r="H689" s="14" t="n">
        <x:f>F689/G689-1</x:f>
        <x:v>0</x:v>
      </x:c>
      <x:c r="I689" s="14" t="n">
        <x:f>F689/F688-1</x:f>
        <x:v>0.0009544137837576017</x:v>
      </x:c>
      <x:c r="J689" s="12" t="n">
        <x:v>0</x:v>
      </x:c>
      <x:c r="K689" s="12" t="n">
        <x:v>0</x:v>
      </x:c>
      <x:c r="L689" s="12" t="n">
        <x:v>0</x:v>
      </x:c>
      <x:c r="M689" s="2" t="str">
        <x:v>持有</x:v>
      </x:c>
    </x:row>
    <x:row r="690" ht="23" customHeight="1">
      <x:c r="A690" s="11" t="d">
        <x:v>2017-09-20T00:00:00.000Z</x:v>
      </x:c>
      <x:c r="B690" s="12" t="n">
        <x:v>5317.379</x:v>
      </x:c>
      <x:c r="C690" s="13" t="n">
        <x:v>484</x:v>
      </x:c>
      <x:c r="D690" s="12" t="n">
        <x:v>121029.04000000001</x:v>
      </x:c>
      <x:c r="E690" s="12" t="n">
        <x:v>597.533816</x:v>
      </x:c>
      <x:c r="F690" s="12" t="n">
        <x:f>SUM(B690,D690:E690)</x:f>
        <x:v>126943.952816</x:v>
      </x:c>
      <x:c r="G690" s="12" t="n">
        <x:f>MAX(G689,F690)</x:f>
        <x:v>126943.952816</x:v>
      </x:c>
      <x:c r="H690" s="14" t="n">
        <x:f>F690/G690-1</x:f>
        <x:v>0</x:v>
      </x:c>
      <x:c r="I690" s="14" t="n">
        <x:f>F690/F689-1</x:f>
        <x:v>0.000343261348790147</x:v>
      </x:c>
      <x:c r="J690" s="12" t="n">
        <x:v>0</x:v>
      </x:c>
      <x:c r="K690" s="12" t="n">
        <x:v>0</x:v>
      </x:c>
      <x:c r="L690" s="12" t="n">
        <x:v>0</x:v>
      </x:c>
      <x:c r="M690" s="2" t="str">
        <x:v>持有</x:v>
      </x:c>
    </x:row>
    <x:row r="691" ht="23" customHeight="1">
      <x:c r="A691" s="11" t="d">
        <x:v>2017-09-21T00:00:00.000Z</x:v>
      </x:c>
      <x:c r="B691" s="12" t="n">
        <x:v>5317.379</x:v>
      </x:c>
      <x:c r="C691" s="13" t="n">
        <x:v>484</x:v>
      </x:c>
      <x:c r="D691" s="12" t="n">
        <x:v>120704.76</x:v>
      </x:c>
      <x:c r="E691" s="12" t="n">
        <x:v>597.533816</x:v>
      </x:c>
      <x:c r="F691" s="12" t="n">
        <x:f>SUM(B691,D691:E691)</x:f>
        <x:v>126619.67281599999</x:v>
      </x:c>
      <x:c r="G691" s="12" t="n">
        <x:f>MAX(G690,F691)</x:f>
        <x:v>126943.952816</x:v>
      </x:c>
      <x:c r="H691" s="14" t="n">
        <x:f>F691/G691-1</x:f>
        <x:v>-0.002554513175354156</x:v>
      </x:c>
      <x:c r="I691" s="14" t="n">
        <x:f>F691/F690-1</x:f>
        <x:v>-0.002554513175354156</x:v>
      </x:c>
      <x:c r="J691" s="12" t="n">
        <x:v>0</x:v>
      </x:c>
      <x:c r="K691" s="12" t="n">
        <x:v>0</x:v>
      </x:c>
      <x:c r="L691" s="12" t="n">
        <x:v>0</x:v>
      </x:c>
      <x:c r="M691" s="2" t="str">
        <x:v>持有</x:v>
      </x:c>
    </x:row>
    <x:row r="692" ht="23" customHeight="1">
      <x:c r="A692" s="11" t="d">
        <x:v>2017-09-22T00:00:00.000Z</x:v>
      </x:c>
      <x:c r="B692" s="12" t="n">
        <x:v>5317.379</x:v>
      </x:c>
      <x:c r="C692" s="13" t="n">
        <x:v>484</x:v>
      </x:c>
      <x:c r="D692" s="12" t="n">
        <x:v>120728.95999999999</x:v>
      </x:c>
      <x:c r="E692" s="12" t="n">
        <x:v>597.533816</x:v>
      </x:c>
      <x:c r="F692" s="12" t="n">
        <x:f>SUM(B692,D692:E692)</x:f>
        <x:v>126643.87281599999</x:v>
      </x:c>
      <x:c r="G692" s="12" t="n">
        <x:f>MAX(G691,F692)</x:f>
        <x:v>126943.952816</x:v>
      </x:c>
      <x:c r="H692" s="14" t="n">
        <x:f>F692/G692-1</x:f>
        <x:v>-0.0023638778637605773</x:v>
      </x:c>
      <x:c r="I692" s="14" t="n">
        <x:f>F692/F691-1</x:f>
        <x:v>0.0001911235391924837</x:v>
      </x:c>
      <x:c r="J692" s="12" t="n">
        <x:v>0</x:v>
      </x:c>
      <x:c r="K692" s="12" t="n">
        <x:v>0</x:v>
      </x:c>
      <x:c r="L692" s="12" t="n">
        <x:v>0</x:v>
      </x:c>
      <x:c r="M692" s="2" t="str">
        <x:v>持有</x:v>
      </x:c>
    </x:row>
    <x:row r="693" ht="23" customHeight="1">
      <x:c r="A693" s="11" t="d">
        <x:v>2017-09-25T00:00:00.000Z</x:v>
      </x:c>
      <x:c r="B693" s="12" t="n">
        <x:v>5317.379</x:v>
      </x:c>
      <x:c r="C693" s="13" t="n">
        <x:v>484</x:v>
      </x:c>
      <x:c r="D693" s="12" t="n">
        <x:v>120482.12000000001</x:v>
      </x:c>
      <x:c r="E693" s="12" t="n">
        <x:v>597.533816</x:v>
      </x:c>
      <x:c r="F693" s="12" t="n">
        <x:f>SUM(B693,D693:E693)</x:f>
        <x:v>126397.032816</x:v>
      </x:c>
      <x:c r="G693" s="12" t="n">
        <x:f>MAX(G692,F693)</x:f>
        <x:v>126943.952816</x:v>
      </x:c>
      <x:c r="H693" s="14" t="n">
        <x:f>F693/G693-1</x:f>
        <x:v>-0.004308358042015126</x:v>
      </x:c>
      <x:c r="I693" s="14" t="n">
        <x:f>F693/F692-1</x:f>
        <x:v>-0.0019490875832470778</x:v>
      </x:c>
      <x:c r="J693" s="12" t="n">
        <x:v>0</x:v>
      </x:c>
      <x:c r="K693" s="12" t="n">
        <x:v>0</x:v>
      </x:c>
      <x:c r="L693" s="12" t="n">
        <x:v>0</x:v>
      </x:c>
      <x:c r="M693" s="2" t="str">
        <x:v>持有</x:v>
      </x:c>
    </x:row>
    <x:row r="694" ht="23" customHeight="1">
      <x:c r="A694" s="11" t="d">
        <x:v>2017-09-26T00:00:00.000Z</x:v>
      </x:c>
      <x:c r="B694" s="12" t="n">
        <x:v>5317.379</x:v>
      </x:c>
      <x:c r="C694" s="13" t="n">
        <x:v>484</x:v>
      </x:c>
      <x:c r="D694" s="12" t="n">
        <x:v>120554.72</x:v>
      </x:c>
      <x:c r="E694" s="12" t="n">
        <x:v>597.533816</x:v>
      </x:c>
      <x:c r="F694" s="12" t="n">
        <x:f>SUM(B694,D694:E694)</x:f>
        <x:v>126469.632816</x:v>
      </x:c>
      <x:c r="G694" s="12" t="n">
        <x:f>MAX(G693,F694)</x:f>
        <x:v>126943.952816</x:v>
      </x:c>
      <x:c r="H694" s="14" t="n">
        <x:f>F694/G694-1</x:f>
        <x:v>-0.0037364521072343893</x:v>
      </x:c>
      <x:c r="I694" s="14" t="n">
        <x:f>F694/F693-1</x:f>
        <x:v>0.0005743805719369277</x:v>
      </x:c>
      <x:c r="J694" s="12" t="n">
        <x:v>0</x:v>
      </x:c>
      <x:c r="K694" s="12" t="n">
        <x:v>0</x:v>
      </x:c>
      <x:c r="L694" s="12" t="n">
        <x:v>0</x:v>
      </x:c>
      <x:c r="M694" s="2" t="str">
        <x:v>持有</x:v>
      </x:c>
    </x:row>
    <x:row r="695" ht="23" customHeight="1">
      <x:c r="A695" s="11" t="d">
        <x:v>2017-09-27T00:00:00.000Z</x:v>
      </x:c>
      <x:c r="B695" s="12" t="n">
        <x:v>5317.379</x:v>
      </x:c>
      <x:c r="C695" s="13" t="n">
        <x:v>484</x:v>
      </x:c>
      <x:c r="D695" s="12" t="n">
        <x:v>121024.20000000001</x:v>
      </x:c>
      <x:c r="E695" s="12" t="n">
        <x:v>597.533816</x:v>
      </x:c>
      <x:c r="F695" s="12" t="n">
        <x:f>SUM(B695,D695:E695)</x:f>
        <x:v>126939.11281600001</x:v>
      </x:c>
      <x:c r="G695" s="12" t="n">
        <x:f>MAX(G694,F695)</x:f>
        <x:v>126943.952816</x:v>
      </x:c>
      <x:c r="H695" s="14" t="n">
        <x:f>F695/G695-1</x:f>
        <x:v>-0.00003812706231864915</x:v>
      </x:c>
      <x:c r="I695" s="14" t="n">
        <x:f>F695/F694-1</x:f>
        <x:v>0.0037121954855601214</x:v>
      </x:c>
      <x:c r="J695" s="12" t="n">
        <x:v>0</x:v>
      </x:c>
      <x:c r="K695" s="12" t="n">
        <x:v>0</x:v>
      </x:c>
      <x:c r="L695" s="12" t="n">
        <x:v>0</x:v>
      </x:c>
      <x:c r="M695" s="2" t="str">
        <x:v>持有</x:v>
      </x:c>
    </x:row>
    <x:row r="696" ht="23" customHeight="1">
      <x:c r="A696" s="11" t="d">
        <x:v>2017-09-28T00:00:00.000Z</x:v>
      </x:c>
      <x:c r="B696" s="12" t="n">
        <x:v>5317.379</x:v>
      </x:c>
      <x:c r="C696" s="13" t="n">
        <x:v>484</x:v>
      </x:c>
      <x:c r="D696" s="12" t="n">
        <x:v>121169.4</x:v>
      </x:c>
      <x:c r="E696" s="12" t="n">
        <x:v>597.533816</x:v>
      </x:c>
      <x:c r="F696" s="12" t="n">
        <x:f>SUM(B696,D696:E696)</x:f>
        <x:v>127084.31281599999</x:v>
      </x:c>
      <x:c r="G696" s="12" t="n">
        <x:f>MAX(G695,F696)</x:f>
        <x:v>127084.31281599999</x:v>
      </x:c>
      <x:c r="H696" s="14" t="n">
        <x:f>F696/G696-1</x:f>
        <x:v>0</x:v>
      </x:c>
      <x:c r="I696" s="14" t="n">
        <x:f>F696/F695-1</x:f>
        <x:v>0.001143855481410716</x:v>
      </x:c>
      <x:c r="J696" s="12" t="n">
        <x:v>0</x:v>
      </x:c>
      <x:c r="K696" s="12" t="n">
        <x:v>0</x:v>
      </x:c>
      <x:c r="L696" s="12" t="n">
        <x:v>0</x:v>
      </x:c>
      <x:c r="M696" s="2" t="str">
        <x:v>持有</x:v>
      </x:c>
    </x:row>
    <x:row r="697" ht="23" customHeight="1">
      <x:c r="A697" s="11" t="d">
        <x:v>2017-09-29T00:00:00.000Z</x:v>
      </x:c>
      <x:c r="B697" s="12" t="n">
        <x:v>5317.379</x:v>
      </x:c>
      <x:c r="C697" s="13" t="n">
        <x:v>484</x:v>
      </x:c>
      <x:c r="D697" s="12" t="n">
        <x:v>121595.31999999999</x:v>
      </x:c>
      <x:c r="E697" s="12" t="n">
        <x:v>597.533816</x:v>
      </x:c>
      <x:c r="F697" s="12" t="n">
        <x:f>SUM(B697,D697:E697)</x:f>
        <x:v>127510.23281599999</x:v>
      </x:c>
      <x:c r="G697" s="12" t="n">
        <x:f>MAX(G696,F697)</x:f>
        <x:v>127510.23281599999</x:v>
      </x:c>
      <x:c r="H697" s="14" t="n">
        <x:f>F697/G697-1</x:f>
        <x:v>0</x:v>
      </x:c>
      <x:c r="I697" s="14" t="n">
        <x:f>F697/F696-1</x:f>
        <x:v>0.003351475808164306</x:v>
      </x:c>
      <x:c r="J697" s="12" t="n">
        <x:v>0</x:v>
      </x:c>
      <x:c r="K697" s="12" t="n">
        <x:v>0</x:v>
      </x:c>
      <x:c r="L697" s="12" t="n">
        <x:v>0</x:v>
      </x:c>
      <x:c r="M697" s="2" t="str">
        <x:v>持有</x:v>
      </x:c>
    </x:row>
    <x:row r="698" ht="23" customHeight="1">
      <x:c r="A698" s="11" t="d">
        <x:v>2017-10-02T00:00:00.000Z</x:v>
      </x:c>
      <x:c r="B698" s="12" t="n">
        <x:v>5317.379</x:v>
      </x:c>
      <x:c r="C698" s="13" t="n">
        <x:v>484</x:v>
      </x:c>
      <x:c r="D698" s="12" t="n">
        <x:v>122122.87999999999</x:v>
      </x:c>
      <x:c r="E698" s="12" t="n">
        <x:v>597.533816</x:v>
      </x:c>
      <x:c r="F698" s="12" t="n">
        <x:f>SUM(B698,D698:E698)</x:f>
        <x:v>128037.79281599999</x:v>
      </x:c>
      <x:c r="G698" s="12" t="n">
        <x:f>MAX(G697,F698)</x:f>
        <x:v>128037.79281599999</x:v>
      </x:c>
      <x:c r="H698" s="14" t="n">
        <x:f>F698/G698-1</x:f>
        <x:v>0</x:v>
      </x:c>
      <x:c r="I698" s="14" t="n">
        <x:f>F698/F697-1</x:f>
        <x:v>0.004137393433837344</x:v>
      </x:c>
      <x:c r="J698" s="12" t="n">
        <x:v>0</x:v>
      </x:c>
      <x:c r="K698" s="12" t="n">
        <x:v>0</x:v>
      </x:c>
      <x:c r="L698" s="12" t="n">
        <x:v>0</x:v>
      </x:c>
      <x:c r="M698" s="2" t="str">
        <x:v>持有</x:v>
      </x:c>
    </x:row>
    <x:row r="699" ht="23" customHeight="1">
      <x:c r="A699" s="11" t="d">
        <x:v>2017-10-03T00:00:00.000Z</x:v>
      </x:c>
      <x:c r="B699" s="12" t="n">
        <x:v>5317.379</x:v>
      </x:c>
      <x:c r="C699" s="13" t="n">
        <x:v>484</x:v>
      </x:c>
      <x:c r="D699" s="12" t="n">
        <x:v>122384.24</x:v>
      </x:c>
      <x:c r="E699" s="12" t="n">
        <x:v>597.533816</x:v>
      </x:c>
      <x:c r="F699" s="12" t="n">
        <x:f>SUM(B699,D699:E699)</x:f>
        <x:v>128299.152816</x:v>
      </x:c>
      <x:c r="G699" s="12" t="n">
        <x:f>MAX(G698,F699)</x:f>
        <x:v>128299.152816</x:v>
      </x:c>
      <x:c r="H699" s="14" t="n">
        <x:f>F699/G699-1</x:f>
        <x:v>0</x:v>
      </x:c>
      <x:c r="I699" s="14" t="n">
        <x:f>F699/F698-1</x:f>
        <x:v>0.0020412723013401024</x:v>
      </x:c>
      <x:c r="J699" s="12" t="n">
        <x:v>0</x:v>
      </x:c>
      <x:c r="K699" s="12" t="n">
        <x:v>0</x:v>
      </x:c>
      <x:c r="L699" s="12" t="n">
        <x:v>0</x:v>
      </x:c>
      <x:c r="M699" s="2" t="str">
        <x:v>持有</x:v>
      </x:c>
    </x:row>
    <x:row r="700" ht="23" customHeight="1">
      <x:c r="A700" s="11" t="d">
        <x:v>2017-10-04T00:00:00.000Z</x:v>
      </x:c>
      <x:c r="B700" s="12" t="n">
        <x:v>5317.379</x:v>
      </x:c>
      <x:c r="C700" s="13" t="n">
        <x:v>484</x:v>
      </x:c>
      <x:c r="D700" s="12" t="n">
        <x:v>122529.44</x:v>
      </x:c>
      <x:c r="E700" s="12" t="n">
        <x:v>597.533816</x:v>
      </x:c>
      <x:c r="F700" s="12" t="n">
        <x:f>SUM(B700,D700:E700)</x:f>
        <x:v>128444.352816</x:v>
      </x:c>
      <x:c r="G700" s="12" t="n">
        <x:f>MAX(G699,F700)</x:f>
        <x:v>128444.352816</x:v>
      </x:c>
      <x:c r="H700" s="14" t="n">
        <x:f>F700/G700-1</x:f>
        <x:v>0</x:v>
      </x:c>
      <x:c r="I700" s="14" t="n">
        <x:f>F700/F699-1</x:f>
        <x:v>0.0011317299983129026</x:v>
      </x:c>
      <x:c r="J700" s="12" t="n">
        <x:v>0</x:v>
      </x:c>
      <x:c r="K700" s="12" t="n">
        <x:v>0</x:v>
      </x:c>
      <x:c r="L700" s="12" t="n">
        <x:v>0</x:v>
      </x:c>
      <x:c r="M700" s="2" t="str">
        <x:v>持有</x:v>
      </x:c>
    </x:row>
    <x:row r="701" ht="23" customHeight="1">
      <x:c r="A701" s="11" t="d">
        <x:v>2017-10-05T00:00:00.000Z</x:v>
      </x:c>
      <x:c r="B701" s="12" t="n">
        <x:v>5317.379</x:v>
      </x:c>
      <x:c r="C701" s="13" t="n">
        <x:v>484</x:v>
      </x:c>
      <x:c r="D701" s="12" t="n">
        <x:v>123255.44</x:v>
      </x:c>
      <x:c r="E701" s="12" t="n">
        <x:v>597.533816</x:v>
      </x:c>
      <x:c r="F701" s="12" t="n">
        <x:f>SUM(B701,D701:E701)</x:f>
        <x:v>129170.352816</x:v>
      </x:c>
      <x:c r="G701" s="12" t="n">
        <x:f>MAX(G700,F701)</x:f>
        <x:v>129170.352816</x:v>
      </x:c>
      <x:c r="H701" s="14" t="n">
        <x:f>F701/G701-1</x:f>
        <x:v>0</x:v>
      </x:c>
      <x:c r="I701" s="14" t="n">
        <x:f>F701/F700-1</x:f>
        <x:v>0.005652253167097276</x:v>
      </x:c>
      <x:c r="J701" s="12" t="n">
        <x:v>0</x:v>
      </x:c>
      <x:c r="K701" s="12" t="n">
        <x:v>0</x:v>
      </x:c>
      <x:c r="L701" s="12" t="n">
        <x:v>0</x:v>
      </x:c>
      <x:c r="M701" s="2" t="str">
        <x:v>持有</x:v>
      </x:c>
    </x:row>
    <x:row r="702" ht="23" customHeight="1">
      <x:c r="A702" s="11" t="d">
        <x:v>2017-10-06T00:00:00.000Z</x:v>
      </x:c>
      <x:c r="B702" s="12" t="n">
        <x:v>5317.379</x:v>
      </x:c>
      <x:c r="C702" s="13" t="n">
        <x:v>484</x:v>
      </x:c>
      <x:c r="D702" s="12" t="n">
        <x:v>123115.08</x:v>
      </x:c>
      <x:c r="E702" s="12" t="n">
        <x:v>597.533816</x:v>
      </x:c>
      <x:c r="F702" s="12" t="n">
        <x:f>SUM(B702,D702:E702)</x:f>
        <x:v>129029.992816</x:v>
      </x:c>
      <x:c r="G702" s="12" t="n">
        <x:f>MAX(G701,F702)</x:f>
        <x:v>129170.352816</x:v>
      </x:c>
      <x:c r="H702" s="14" t="n">
        <x:f>F702/G702-1</x:f>
        <x:v>-0.001086627054428968</x:v>
      </x:c>
      <x:c r="I702" s="14" t="n">
        <x:f>F702/F701-1</x:f>
        <x:v>-0.001086627054428968</x:v>
      </x:c>
      <x:c r="J702" s="12" t="n">
        <x:v>0</x:v>
      </x:c>
      <x:c r="K702" s="12" t="n">
        <x:v>0</x:v>
      </x:c>
      <x:c r="L702" s="12" t="n">
        <x:v>0</x:v>
      </x:c>
      <x:c r="M702" s="2" t="str">
        <x:v>持有</x:v>
      </x:c>
    </x:row>
    <x:row r="703" ht="23" customHeight="1">
      <x:c r="A703" s="11" t="d">
        <x:v>2017-10-09T00:00:00.000Z</x:v>
      </x:c>
      <x:c r="B703" s="12" t="n">
        <x:v>5317.379</x:v>
      </x:c>
      <x:c r="C703" s="13" t="n">
        <x:v>484</x:v>
      </x:c>
      <x:c r="D703" s="12" t="n">
        <x:v>122911.79999999999</x:v>
      </x:c>
      <x:c r="E703" s="12" t="n">
        <x:v>597.533816</x:v>
      </x:c>
      <x:c r="F703" s="12" t="n">
        <x:f>SUM(B703,D703:E703)</x:f>
        <x:v>128826.71281599998</x:v>
      </x:c>
      <x:c r="G703" s="12" t="n">
        <x:f>MAX(G702,F703)</x:f>
        <x:v>129170.352816</x:v>
      </x:c>
      <x:c r="H703" s="14" t="n">
        <x:f>F703/G703-1</x:f>
        <x:v>-0.0026603627884296266</x:v>
      </x:c>
      <x:c r="I703" s="14" t="n">
        <x:f>F703/F702-1</x:f>
        <x:v>-0.0015754476580487342</x:v>
      </x:c>
      <x:c r="J703" s="12" t="n">
        <x:v>0</x:v>
      </x:c>
      <x:c r="K703" s="12" t="n">
        <x:v>0</x:v>
      </x:c>
      <x:c r="L703" s="12" t="n">
        <x:v>0</x:v>
      </x:c>
      <x:c r="M703" s="2" t="str">
        <x:v>持有</x:v>
      </x:c>
    </x:row>
    <x:row r="704" ht="23" customHeight="1">
      <x:c r="A704" s="11" t="d">
        <x:v>2017-10-10T00:00:00.000Z</x:v>
      </x:c>
      <x:c r="B704" s="12" t="n">
        <x:v>5317.379</x:v>
      </x:c>
      <x:c r="C704" s="13" t="n">
        <x:v>484</x:v>
      </x:c>
      <x:c r="D704" s="12" t="n">
        <x:v>123236.08</x:v>
      </x:c>
      <x:c r="E704" s="12" t="n">
        <x:v>597.533816</x:v>
      </x:c>
      <x:c r="F704" s="12" t="n">
        <x:f>SUM(B704,D704:E704)</x:f>
        <x:v>129150.992816</x:v>
      </x:c>
      <x:c r="G704" s="12" t="n">
        <x:f>MAX(G703,F704)</x:f>
        <x:v>129170.352816</x:v>
      </x:c>
      <x:c r="H704" s="14" t="n">
        <x:f>F704/G704-1</x:f>
        <x:v>-0.00014987959371437487</x:v>
      </x:c>
      <x:c r="I704" s="14" t="n">
        <x:f>F704/F703-1</x:f>
        <x:v>0.0025171798062035844</x:v>
      </x:c>
      <x:c r="J704" s="12" t="n">
        <x:v>0</x:v>
      </x:c>
      <x:c r="K704" s="12" t="n">
        <x:v>0</x:v>
      </x:c>
      <x:c r="L704" s="12" t="n">
        <x:v>0</x:v>
      </x:c>
      <x:c r="M704" s="2" t="str">
        <x:v>持有</x:v>
      </x:c>
    </x:row>
    <x:row r="705" ht="23" customHeight="1">
      <x:c r="A705" s="11" t="d">
        <x:v>2017-10-11T00:00:00.000Z</x:v>
      </x:c>
      <x:c r="B705" s="12" t="n">
        <x:v>5317.379</x:v>
      </x:c>
      <x:c r="C705" s="13" t="n">
        <x:v>484</x:v>
      </x:c>
      <x:c r="D705" s="12" t="n">
        <x:v>123429.68000000001</x:v>
      </x:c>
      <x:c r="E705" s="12" t="n">
        <x:v>597.533816</x:v>
      </x:c>
      <x:c r="F705" s="12" t="n">
        <x:f>SUM(B705,D705:E705)</x:f>
        <x:v>129344.592816</x:v>
      </x:c>
      <x:c r="G705" s="12" t="n">
        <x:f>MAX(G704,F705)</x:f>
        <x:v>129344.592816</x:v>
      </x:c>
      <x:c r="H705" s="14" t="n">
        <x:f>F705/G705-1</x:f>
        <x:v>0</x:v>
      </x:c>
      <x:c r="I705" s="14" t="n">
        <x:f>F705/F704-1</x:f>
        <x:v>0.0014990206097433845</x:v>
      </x:c>
      <x:c r="J705" s="12" t="n">
        <x:v>0</x:v>
      </x:c>
      <x:c r="K705" s="12" t="n">
        <x:v>0</x:v>
      </x:c>
      <x:c r="L705" s="12" t="n">
        <x:v>0</x:v>
      </x:c>
      <x:c r="M705" s="2" t="str">
        <x:v>持有</x:v>
      </x:c>
    </x:row>
    <x:row r="706" ht="23" customHeight="1">
      <x:c r="A706" s="11" t="d">
        <x:v>2017-10-12T00:00:00.000Z</x:v>
      </x:c>
      <x:c r="B706" s="12" t="n">
        <x:v>5317.379</x:v>
      </x:c>
      <x:c r="C706" s="13" t="n">
        <x:v>484</x:v>
      </x:c>
      <x:c r="D706" s="12" t="n">
        <x:v>123245.76</x:v>
      </x:c>
      <x:c r="E706" s="12" t="n">
        <x:v>597.533816</x:v>
      </x:c>
      <x:c r="F706" s="12" t="n">
        <x:f>SUM(B706,D706:E706)</x:f>
        <x:v>129160.67281599999</x:v>
      </x:c>
      <x:c r="G706" s="12" t="n">
        <x:f>MAX(G705,F706)</x:f>
        <x:v>129344.592816</x:v>
      </x:c>
      <x:c r="H706" s="14" t="n">
        <x:f>F706/G706-1</x:f>
        <x:v>-0.001421938064791406</x:v>
      </x:c>
      <x:c r="I706" s="14" t="n">
        <x:f>F706/F705-1</x:f>
        <x:v>-0.001421938064791406</x:v>
      </x:c>
      <x:c r="J706" s="12" t="n">
        <x:v>0</x:v>
      </x:c>
      <x:c r="K706" s="12" t="n">
        <x:v>0</x:v>
      </x:c>
      <x:c r="L706" s="12" t="n">
        <x:v>0</x:v>
      </x:c>
      <x:c r="M706" s="2" t="str">
        <x:v>持有</x:v>
      </x:c>
    </x:row>
    <x:row r="707" ht="23" customHeight="1">
      <x:c r="A707" s="11" t="d">
        <x:v>2017-10-13T00:00:00.000Z</x:v>
      </x:c>
      <x:c r="B707" s="12" t="n">
        <x:v>5317.379</x:v>
      </x:c>
      <x:c r="C707" s="13" t="n">
        <x:v>484</x:v>
      </x:c>
      <x:c r="D707" s="12" t="n">
        <x:v>123395.79999999999</x:v>
      </x:c>
      <x:c r="E707" s="12" t="n">
        <x:v>597.533816</x:v>
      </x:c>
      <x:c r="F707" s="12" t="n">
        <x:f>SUM(B707,D707:E707)</x:f>
        <x:v>129310.71281599998</x:v>
      </x:c>
      <x:c r="G707" s="12" t="n">
        <x:f>MAX(G706,F707)</x:f>
        <x:v>129344.592816</x:v>
      </x:c>
      <x:c r="H707" s="14" t="n">
        <x:f>F707/G707-1</x:f>
        <x:v>-0.000261935959303794</x:v>
      </x:c>
      <x:c r="I707" s="14" t="n">
        <x:f>F707/F706-1</x:f>
        <x:v>0.0011616539053938002</x:v>
      </x:c>
      <x:c r="J707" s="12" t="n">
        <x:v>0</x:v>
      </x:c>
      <x:c r="K707" s="12" t="n">
        <x:v>0</x:v>
      </x:c>
      <x:c r="L707" s="12" t="n">
        <x:v>0</x:v>
      </x:c>
      <x:c r="M707" s="2" t="str">
        <x:v>持有</x:v>
      </x:c>
    </x:row>
    <x:row r="708" ht="23" customHeight="1">
      <x:c r="A708" s="11" t="d">
        <x:v>2017-10-16T00:00:00.000Z</x:v>
      </x:c>
      <x:c r="B708" s="12" t="n">
        <x:v>5317.379</x:v>
      </x:c>
      <x:c r="C708" s="13" t="n">
        <x:v>484</x:v>
      </x:c>
      <x:c r="D708" s="12" t="n">
        <x:v>123560.36</x:v>
      </x:c>
      <x:c r="E708" s="12" t="n">
        <x:v>597.533816</x:v>
      </x:c>
      <x:c r="F708" s="12" t="n">
        <x:f>SUM(B708,D708:E708)</x:f>
        <x:v>129475.272816</x:v>
      </x:c>
      <x:c r="G708" s="12" t="n">
        <x:f>MAX(G707,F708)</x:f>
        <x:v>129475.272816</x:v>
      </x:c>
      <x:c r="H708" s="14" t="n">
        <x:f>F708/G708-1</x:f>
        <x:v>0</x:v>
      </x:c>
      <x:c r="I708" s="14" t="n">
        <x:f>F708/F707-1</x:f>
        <x:v>0.0012725937118154285</x:v>
      </x:c>
      <x:c r="J708" s="12" t="n">
        <x:v>0</x:v>
      </x:c>
      <x:c r="K708" s="12" t="n">
        <x:v>0</x:v>
      </x:c>
      <x:c r="L708" s="12" t="n">
        <x:v>0</x:v>
      </x:c>
      <x:c r="M708" s="2" t="str">
        <x:v>持有</x:v>
      </x:c>
    </x:row>
    <x:row r="709" ht="23" customHeight="1">
      <x:c r="A709" s="11" t="d">
        <x:v>2017-10-17T00:00:00.000Z</x:v>
      </x:c>
      <x:c r="B709" s="12" t="n">
        <x:v>5317.379</x:v>
      </x:c>
      <x:c r="C709" s="13" t="n">
        <x:v>484</x:v>
      </x:c>
      <x:c r="D709" s="12" t="n">
        <x:v>123647.48</x:v>
      </x:c>
      <x:c r="E709" s="12" t="n">
        <x:v>597.533816</x:v>
      </x:c>
      <x:c r="F709" s="12" t="n">
        <x:f>SUM(B709,D709:E709)</x:f>
        <x:v>129562.39281599999</x:v>
      </x:c>
      <x:c r="G709" s="12" t="n">
        <x:f>MAX(G708,F709)</x:f>
        <x:v>129562.39281599999</x:v>
      </x:c>
      <x:c r="H709" s="14" t="n">
        <x:f>F709/G709-1</x:f>
        <x:v>0</x:v>
      </x:c>
      <x:c r="I709" s="14" t="n">
        <x:f>F709/F708-1</x:f>
        <x:v>0.0006728697928584104</x:v>
      </x:c>
      <x:c r="J709" s="12" t="n">
        <x:v>0</x:v>
      </x:c>
      <x:c r="K709" s="12" t="n">
        <x:v>0</x:v>
      </x:c>
      <x:c r="L709" s="12" t="n">
        <x:v>0</x:v>
      </x:c>
      <x:c r="M709" s="2" t="str">
        <x:v>持有</x:v>
      </x:c>
    </x:row>
    <x:row r="710" ht="23" customHeight="1">
      <x:c r="A710" s="11" t="d">
        <x:v>2017-10-18T00:00:00.000Z</x:v>
      </x:c>
      <x:c r="B710" s="12" t="n">
        <x:v>5317.379</x:v>
      </x:c>
      <x:c r="C710" s="13" t="n">
        <x:v>484</x:v>
      </x:c>
      <x:c r="D710" s="12" t="n">
        <x:v>123768.48</x:v>
      </x:c>
      <x:c r="E710" s="12" t="n">
        <x:v>597.533816</x:v>
      </x:c>
      <x:c r="F710" s="12" t="n">
        <x:f>SUM(B710,D710:E710)</x:f>
        <x:v>129683.39281599999</x:v>
      </x:c>
      <x:c r="G710" s="12" t="n">
        <x:f>MAX(G709,F710)</x:f>
        <x:v>129683.39281599999</x:v>
      </x:c>
      <x:c r="H710" s="14" t="n">
        <x:f>F710/G710-1</x:f>
        <x:v>0</x:v>
      </x:c>
      <x:c r="I710" s="14" t="n">
        <x:f>F710/F709-1</x:f>
        <x:v>0.000933912977138629</x:v>
      </x:c>
      <x:c r="J710" s="12" t="n">
        <x:v>0</x:v>
      </x:c>
      <x:c r="K710" s="12" t="n">
        <x:v>0</x:v>
      </x:c>
      <x:c r="L710" s="12" t="n">
        <x:v>0</x:v>
      </x:c>
      <x:c r="M710" s="2" t="str">
        <x:v>持有</x:v>
      </x:c>
    </x:row>
    <x:row r="711" ht="23" customHeight="1">
      <x:c r="A711" s="11" t="d">
        <x:v>2017-10-19T00:00:00.000Z</x:v>
      </x:c>
      <x:c r="B711" s="12" t="n">
        <x:v>5317.379</x:v>
      </x:c>
      <x:c r="C711" s="13" t="n">
        <x:v>484</x:v>
      </x:c>
      <x:c r="D711" s="12" t="n">
        <x:v>123802.36</x:v>
      </x:c>
      <x:c r="E711" s="12" t="n">
        <x:v>597.533816</x:v>
      </x:c>
      <x:c r="F711" s="12" t="n">
        <x:f>SUM(B711,D711:E711)</x:f>
        <x:v>129717.272816</x:v>
      </x:c>
      <x:c r="G711" s="12" t="n">
        <x:f>MAX(G710,F711)</x:f>
        <x:v>129717.272816</x:v>
      </x:c>
      <x:c r="H711" s="14" t="n">
        <x:f>F711/G711-1</x:f>
        <x:v>0</x:v>
      </x:c>
      <x:c r="I711" s="14" t="n">
        <x:f>F711/F710-1</x:f>
        <x:v>0.0002612516472950688</x:v>
      </x:c>
      <x:c r="J711" s="12" t="n">
        <x:v>0</x:v>
      </x:c>
      <x:c r="K711" s="12" t="n">
        <x:v>0</x:v>
      </x:c>
      <x:c r="L711" s="12" t="n">
        <x:v>0</x:v>
      </x:c>
      <x:c r="M711" s="2" t="str">
        <x:v>持有</x:v>
      </x:c>
    </x:row>
    <x:row r="712" ht="23" customHeight="1">
      <x:c r="A712" s="11" t="d">
        <x:v>2017-10-20T00:00:00.000Z</x:v>
      </x:c>
      <x:c r="B712" s="12" t="n">
        <x:v>5317.379</x:v>
      </x:c>
      <x:c r="C712" s="13" t="n">
        <x:v>484</x:v>
      </x:c>
      <x:c r="D712" s="12" t="n">
        <x:v>124441.24</x:v>
      </x:c>
      <x:c r="E712" s="12" t="n">
        <x:v>597.533816</x:v>
      </x:c>
      <x:c r="F712" s="12" t="n">
        <x:f>SUM(B712,D712:E712)</x:f>
        <x:v>130356.152816</x:v>
      </x:c>
      <x:c r="G712" s="12" t="n">
        <x:f>MAX(G711,F712)</x:f>
        <x:v>130356.152816</x:v>
      </x:c>
      <x:c r="H712" s="14" t="n">
        <x:f>F712/G712-1</x:f>
        <x:v>0</x:v>
      </x:c>
      <x:c r="I712" s="14" t="n">
        <x:f>F712/F711-1</x:f>
        <x:v>0.004925172925168031</x:v>
      </x:c>
      <x:c r="J712" s="12" t="n">
        <x:v>0</x:v>
      </x:c>
      <x:c r="K712" s="12" t="n">
        <x:v>0</x:v>
      </x:c>
      <x:c r="L712" s="12" t="n">
        <x:v>0</x:v>
      </x:c>
      <x:c r="M712" s="2" t="str">
        <x:v>持有</x:v>
      </x:c>
    </x:row>
    <x:row r="713" ht="23" customHeight="1">
      <x:c r="A713" s="11" t="d">
        <x:v>2017-10-23T00:00:00.000Z</x:v>
      </x:c>
      <x:c r="B713" s="12" t="n">
        <x:v>5317.379</x:v>
      </x:c>
      <x:c r="C713" s="13" t="n">
        <x:v>484</x:v>
      </x:c>
      <x:c r="D713" s="12" t="n">
        <x:v>123957.24</x:v>
      </x:c>
      <x:c r="E713" s="12" t="n">
        <x:v>597.533816</x:v>
      </x:c>
      <x:c r="F713" s="12" t="n">
        <x:f>SUM(B713,D713:E713)</x:f>
        <x:v>129872.152816</x:v>
      </x:c>
      <x:c r="G713" s="12" t="n">
        <x:f>MAX(G712,F713)</x:f>
        <x:v>130356.152816</x:v>
      </x:c>
      <x:c r="H713" s="14" t="n">
        <x:f>F713/G713-1</x:f>
        <x:v>-0.003712904911233217</x:v>
      </x:c>
      <x:c r="I713" s="14" t="n">
        <x:f>F713/F712-1</x:f>
        <x:v>-0.003712904911233217</x:v>
      </x:c>
      <x:c r="J713" s="12" t="n">
        <x:v>0</x:v>
      </x:c>
      <x:c r="K713" s="12" t="n">
        <x:v>0</x:v>
      </x:c>
      <x:c r="L713" s="12" t="n">
        <x:v>0</x:v>
      </x:c>
      <x:c r="M713" s="2" t="str">
        <x:v>持有</x:v>
      </x:c>
    </x:row>
    <x:row r="714" ht="23" customHeight="1">
      <x:c r="A714" s="11" t="d">
        <x:v>2017-10-24T00:00:00.000Z</x:v>
      </x:c>
      <x:c r="B714" s="12" t="n">
        <x:v>5317.379</x:v>
      </x:c>
      <x:c r="C714" s="13" t="n">
        <x:v>484</x:v>
      </x:c>
      <x:c r="D714" s="12" t="n">
        <x:v>124175.04000000001</x:v>
      </x:c>
      <x:c r="E714" s="12" t="n">
        <x:v>597.533816</x:v>
      </x:c>
      <x:c r="F714" s="12" t="n">
        <x:f>SUM(B714,D714:E714)</x:f>
        <x:v>130089.952816</x:v>
      </x:c>
      <x:c r="G714" s="12" t="n">
        <x:f>MAX(G713,F714)</x:f>
        <x:v>130356.152816</x:v>
      </x:c>
      <x:c r="H714" s="14" t="n">
        <x:f>F714/G714-1</x:f>
        <x:v>-0.002042097701178247</x:v>
      </x:c>
      <x:c r="I714" s="14" t="n">
        <x:f>F714/F713-1</x:f>
        <x:v>0.0016770338773746118</x:v>
      </x:c>
      <x:c r="J714" s="12" t="n">
        <x:v>0</x:v>
      </x:c>
      <x:c r="K714" s="12" t="n">
        <x:v>0</x:v>
      </x:c>
      <x:c r="L714" s="12" t="n">
        <x:v>0</x:v>
      </x:c>
      <x:c r="M714" s="2" t="str">
        <x:v>持有</x:v>
      </x:c>
    </x:row>
    <x:row r="715" ht="23" customHeight="1">
      <x:c r="A715" s="11" t="d">
        <x:v>2017-10-25T00:00:00.000Z</x:v>
      </x:c>
      <x:c r="B715" s="12" t="n">
        <x:v>5317.379</x:v>
      </x:c>
      <x:c r="C715" s="13" t="n">
        <x:v>484</x:v>
      </x:c>
      <x:c r="D715" s="12" t="n">
        <x:v>123560.36</x:v>
      </x:c>
      <x:c r="E715" s="12" t="n">
        <x:v>597.533816</x:v>
      </x:c>
      <x:c r="F715" s="12" t="n">
        <x:f>SUM(B715,D715:E715)</x:f>
        <x:v>129475.272816</x:v>
      </x:c>
      <x:c r="G715" s="12" t="n">
        <x:f>MAX(G714,F715)</x:f>
        <x:v>130356.152816</x:v>
      </x:c>
      <x:c r="H715" s="14" t="n">
        <x:f>F715/G715-1</x:f>
        <x:v>-0.006757486938444579</x:v>
      </x:c>
      <x:c r="I715" s="14" t="n">
        <x:f>F715/F714-1</x:f>
        <x:v>-0.004725038226967571</x:v>
      </x:c>
      <x:c r="J715" s="12" t="n">
        <x:v>0</x:v>
      </x:c>
      <x:c r="K715" s="12" t="n">
        <x:v>0</x:v>
      </x:c>
      <x:c r="L715" s="12" t="n">
        <x:v>0</x:v>
      </x:c>
      <x:c r="M715" s="2" t="str">
        <x:v>持有</x:v>
      </x:c>
    </x:row>
    <x:row r="716" ht="23" customHeight="1">
      <x:c r="A716" s="11" t="d">
        <x:v>2017-10-26T00:00:00.000Z</x:v>
      </x:c>
      <x:c r="B716" s="12" t="n">
        <x:v>5317.379</x:v>
      </x:c>
      <x:c r="C716" s="13" t="n">
        <x:v>484</x:v>
      </x:c>
      <x:c r="D716" s="12" t="n">
        <x:v>123720.08</x:v>
      </x:c>
      <x:c r="E716" s="12" t="n">
        <x:v>597.533816</x:v>
      </x:c>
      <x:c r="F716" s="12" t="n">
        <x:f>SUM(B716,D716:E716)</x:f>
        <x:v>129634.992816</x:v>
      </x:c>
      <x:c r="G716" s="12" t="n">
        <x:f>MAX(G715,F716)</x:f>
        <x:v>130356.152816</x:v>
      </x:c>
      <x:c r="H716" s="14" t="n">
        <x:f>F716/G716-1</x:f>
        <x:v>-0.005532228317737586</x:v>
      </x:c>
      <x:c r="I716" s="14" t="n">
        <x:f>F716/F715-1</x:f>
        <x:v>0.0012335946202406411</x:v>
      </x:c>
      <x:c r="J716" s="12" t="n">
        <x:v>0</x:v>
      </x:c>
      <x:c r="K716" s="12" t="n">
        <x:v>0</x:v>
      </x:c>
      <x:c r="L716" s="12" t="n">
        <x:v>0</x:v>
      </x:c>
      <x:c r="M716" s="2" t="str">
        <x:v>持有</x:v>
      </x:c>
    </x:row>
    <x:row r="717" ht="23" customHeight="1">
      <x:c r="A717" s="11" t="d">
        <x:v>2017-10-27T00:00:00.000Z</x:v>
      </x:c>
      <x:c r="B717" s="12" t="n">
        <x:v>5317.379</x:v>
      </x:c>
      <x:c r="C717" s="13" t="n">
        <x:v>484</x:v>
      </x:c>
      <x:c r="D717" s="12" t="n">
        <x:v>124731.63999999998</x:v>
      </x:c>
      <x:c r="E717" s="12" t="n">
        <x:v>597.533816</x:v>
      </x:c>
      <x:c r="F717" s="12" t="n">
        <x:f>SUM(B717,D717:E717)</x:f>
        <x:v>130646.55281599998</x:v>
      </x:c>
      <x:c r="G717" s="12" t="n">
        <x:f>MAX(G716,F717)</x:f>
        <x:v>130646.55281599998</x:v>
      </x:c>
      <x:c r="H717" s="14" t="n">
        <x:f>F717/G717-1</x:f>
        <x:v>0</x:v>
      </x:c>
      <x:c r="I717" s="14" t="n">
        <x:f>F717/F716-1</x:f>
        <x:v>0.007803140016644727</x:v>
      </x:c>
      <x:c r="J717" s="12" t="n">
        <x:v>0</x:v>
      </x:c>
      <x:c r="K717" s="12" t="n">
        <x:v>0</x:v>
      </x:c>
      <x:c r="L717" s="12" t="n">
        <x:v>0</x:v>
      </x:c>
      <x:c r="M717" s="2" t="str">
        <x:v>持有</x:v>
      </x:c>
    </x:row>
    <x:row r="718" ht="23" customHeight="1">
      <x:c r="A718" s="11" t="d">
        <x:v>2017-10-30T00:00:00.000Z</x:v>
      </x:c>
      <x:c r="B718" s="12" t="n">
        <x:v>5317.379</x:v>
      </x:c>
      <x:c r="C718" s="13" t="n">
        <x:v>484</x:v>
      </x:c>
      <x:c r="D718" s="12" t="n">
        <x:v>124267</x:v>
      </x:c>
      <x:c r="E718" s="12" t="n">
        <x:v>597.533816</x:v>
      </x:c>
      <x:c r="F718" s="12" t="n">
        <x:f>SUM(B718,D718:E718)</x:f>
        <x:v>130181.912816</x:v>
      </x:c>
      <x:c r="G718" s="12" t="n">
        <x:f>MAX(G717,F718)</x:f>
        <x:v>130646.55281599998</x:v>
      </x:c>
      <x:c r="H718" s="14" t="n">
        <x:f>F718/G718-1</x:f>
        <x:v>-0.003556465823130961</x:v>
      </x:c>
      <x:c r="I718" s="14" t="n">
        <x:f>F718/F717-1</x:f>
        <x:v>-0.003556465823130961</x:v>
      </x:c>
      <x:c r="J718" s="12" t="n">
        <x:v>0</x:v>
      </x:c>
      <x:c r="K718" s="12" t="n">
        <x:v>0</x:v>
      </x:c>
      <x:c r="L718" s="12" t="n">
        <x:v>0</x:v>
      </x:c>
      <x:c r="M718" s="2" t="str">
        <x:v>持有</x:v>
      </x:c>
    </x:row>
    <x:row r="719" ht="23" customHeight="1">
      <x:c r="A719" s="11" t="d">
        <x:v>2017-10-31T00:00:00.000Z</x:v>
      </x:c>
      <x:c r="B719" s="12" t="n">
        <x:v>5914.912816</x:v>
      </x:c>
      <x:c r="C719" s="13" t="n">
        <x:v>484</x:v>
      </x:c>
      <x:c r="D719" s="12" t="n">
        <x:v>124460.59999999999</x:v>
      </x:c>
      <x:c r="E719" s="12" t="n">
        <x:v>0</x:v>
      </x:c>
      <x:c r="F719" s="12" t="n">
        <x:f>SUM(B719,D719:E719)</x:f>
        <x:v>130375.51281599999</x:v>
      </x:c>
      <x:c r="G719" s="12" t="n">
        <x:f>MAX(G718,F719)</x:f>
        <x:v>130646.55281599998</x:v>
      </x:c>
      <x:c r="H719" s="14" t="n">
        <x:f>F719/G719-1</x:f>
        <x:v>-0.002074605063493107</x:v>
      </x:c>
      <x:c r="I719" s="14" t="n">
        <x:f>F719/F718-1</x:f>
        <x:v>0.0014871497569222125</x:v>
      </x:c>
      <x:c r="J719" s="12" t="n">
        <x:v>0</x:v>
      </x:c>
      <x:c r="K719" s="12" t="n">
        <x:v>597.533816</x:v>
      </x:c>
      <x:c r="L719" s="12" t="n">
        <x:v>0</x:v>
      </x:c>
      <x:c r="M719" s="2" t="str">
        <x:v>持有</x:v>
      </x:c>
    </x:row>
    <x:row r="720" ht="23" customHeight="1">
      <x:c r="A720" s="11" t="d">
        <x:v>2017-11-01T00:00:00.000Z</x:v>
      </x:c>
      <x:c r="B720" s="12" t="n">
        <x:v>5914.912816</x:v>
      </x:c>
      <x:c r="C720" s="13" t="n">
        <x:v>484</x:v>
      </x:c>
      <x:c r="D720" s="12" t="n">
        <x:v>124625.16</x:v>
      </x:c>
      <x:c r="E720" s="12" t="n">
        <x:v>0</x:v>
      </x:c>
      <x:c r="F720" s="12" t="n">
        <x:f>SUM(B720,D720:E720)</x:f>
        <x:v>130540.072816</x:v>
      </x:c>
      <x:c r="G720" s="12" t="n">
        <x:f>MAX(G719,F720)</x:f>
        <x:v>130646.55281599998</x:v>
      </x:c>
      <x:c r="H720" s="14" t="n">
        <x:f>F720/G720-1</x:f>
        <x:v>-0.0008150234178007087</x:v>
      </x:c>
      <x:c r="I720" s="14" t="n">
        <x:f>F720/F719-1</x:f>
        <x:v>0.0012622002126445597</x:v>
      </x:c>
      <x:c r="J720" s="12" t="n">
        <x:v>0</x:v>
      </x:c>
      <x:c r="K720" s="12" t="n">
        <x:v>0</x:v>
      </x:c>
      <x:c r="L720" s="12" t="n">
        <x:v>0</x:v>
      </x:c>
      <x:c r="M720" s="2" t="str">
        <x:v>持有</x:v>
      </x:c>
    </x:row>
    <x:row r="721" ht="23" customHeight="1">
      <x:c r="A721" s="11" t="d">
        <x:v>2017-11-02T00:00:00.000Z</x:v>
      </x:c>
      <x:c r="B721" s="12" t="n">
        <x:v>5914.912816</x:v>
      </x:c>
      <x:c r="C721" s="13" t="n">
        <x:v>484</x:v>
      </x:c>
      <x:c r="D721" s="12" t="n">
        <x:v>124673.55999999998</x:v>
      </x:c>
      <x:c r="E721" s="12" t="n">
        <x:v>0</x:v>
      </x:c>
      <x:c r="F721" s="12" t="n">
        <x:f>SUM(B721,D721:E721)</x:f>
        <x:v>130588.47281599998</x:v>
      </x:c>
      <x:c r="G721" s="12" t="n">
        <x:f>MAX(G720,F721)</x:f>
        <x:v>130646.55281599998</x:v>
      </x:c>
      <x:c r="H721" s="14" t="n">
        <x:f>F721/G721-1</x:f>
        <x:v>-0.00044455822789135624</x:v>
      </x:c>
      <x:c r="I721" s="14" t="n">
        <x:f>F721/F720-1</x:f>
        <x:v>0.00037076737400165705</x:v>
      </x:c>
      <x:c r="J721" s="12" t="n">
        <x:v>0</x:v>
      </x:c>
      <x:c r="K721" s="12" t="n">
        <x:v>0</x:v>
      </x:c>
      <x:c r="L721" s="12" t="n">
        <x:v>0</x:v>
      </x:c>
      <x:c r="M721" s="2" t="str">
        <x:v>持有</x:v>
      </x:c>
    </x:row>
    <x:row r="722" ht="23" customHeight="1">
      <x:c r="A722" s="11" t="d">
        <x:v>2017-11-03T00:00:00.000Z</x:v>
      </x:c>
      <x:c r="B722" s="12" t="n">
        <x:v>5914.912816</x:v>
      </x:c>
      <x:c r="C722" s="13" t="n">
        <x:v>484</x:v>
      </x:c>
      <x:c r="D722" s="12" t="n">
        <x:v>125089.79999999999</x:v>
      </x:c>
      <x:c r="E722" s="12" t="n">
        <x:v>0</x:v>
      </x:c>
      <x:c r="F722" s="12" t="n">
        <x:f>SUM(B722,D722:E722)</x:f>
        <x:v>131004.71281599998</x:v>
      </x:c>
      <x:c r="G722" s="12" t="n">
        <x:f>MAX(G721,F722)</x:f>
        <x:v>131004.71281599998</x:v>
      </x:c>
      <x:c r="H722" s="14" t="n">
        <x:f>F722/G722-1</x:f>
        <x:v>0</x:v>
      </x:c>
      <x:c r="I722" s="14" t="n">
        <x:f>F722/F721-1</x:f>
        <x:v>0.003187417625952982</x:v>
      </x:c>
      <x:c r="J722" s="12" t="n">
        <x:v>0</x:v>
      </x:c>
      <x:c r="K722" s="12" t="n">
        <x:v>0</x:v>
      </x:c>
      <x:c r="L722" s="12" t="n">
        <x:v>0</x:v>
      </x:c>
      <x:c r="M722" s="2" t="str">
        <x:v>持有</x:v>
      </x:c>
    </x:row>
    <x:row r="723" ht="23" customHeight="1">
      <x:c r="A723" s="11" t="d">
        <x:v>2017-11-06T00:00:00.000Z</x:v>
      </x:c>
      <x:c r="B723" s="12" t="n">
        <x:v>5914.912816</x:v>
      </x:c>
      <x:c r="C723" s="13" t="n">
        <x:v>484</x:v>
      </x:c>
      <x:c r="D723" s="12" t="n">
        <x:v>125283.40000000001</x:v>
      </x:c>
      <x:c r="E723" s="12" t="n">
        <x:v>0</x:v>
      </x:c>
      <x:c r="F723" s="12" t="n">
        <x:f>SUM(B723,D723:E723)</x:f>
        <x:v>131198.31281600002</x:v>
      </x:c>
      <x:c r="G723" s="12" t="n">
        <x:f>MAX(G722,F723)</x:f>
        <x:v>131198.31281600002</x:v>
      </x:c>
      <x:c r="H723" s="14" t="n">
        <x:f>F723/G723-1</x:f>
        <x:v>0</x:v>
      </x:c>
      <x:c r="I723" s="14" t="n">
        <x:f>F723/F722-1</x:f>
        <x:v>0.0014778094301992617</x:v>
      </x:c>
      <x:c r="J723" s="12" t="n">
        <x:v>0</x:v>
      </x:c>
      <x:c r="K723" s="12" t="n">
        <x:v>0</x:v>
      </x:c>
      <x:c r="L723" s="12" t="n">
        <x:v>0</x:v>
      </x:c>
      <x:c r="M723" s="2" t="str">
        <x:v>持有</x:v>
      </x:c>
    </x:row>
    <x:row r="724" ht="23" customHeight="1">
      <x:c r="A724" s="11" t="d">
        <x:v>2017-11-07T00:00:00.000Z</x:v>
      </x:c>
      <x:c r="B724" s="12" t="n">
        <x:v>5914.912816</x:v>
      </x:c>
      <x:c r="C724" s="13" t="n">
        <x:v>484</x:v>
      </x:c>
      <x:c r="D724" s="12" t="n">
        <x:v>125196.28000000001</x:v>
      </x:c>
      <x:c r="E724" s="12" t="n">
        <x:v>0</x:v>
      </x:c>
      <x:c r="F724" s="12" t="n">
        <x:f>SUM(B724,D724:E724)</x:f>
        <x:v>131111.19281600002</x:v>
      </x:c>
      <x:c r="G724" s="12" t="n">
        <x:f>MAX(G723,F724)</x:f>
        <x:v>131198.31281600002</x:v>
      </x:c>
      <x:c r="H724" s="14" t="n">
        <x:f>F724/G724-1</x:f>
        <x:v>-0.0006640329294643754</x:v>
      </x:c>
      <x:c r="I724" s="14" t="n">
        <x:f>F724/F723-1</x:f>
        <x:v>-0.0006640329294643754</x:v>
      </x:c>
      <x:c r="J724" s="12" t="n">
        <x:v>0</x:v>
      </x:c>
      <x:c r="K724" s="12" t="n">
        <x:v>0</x:v>
      </x:c>
      <x:c r="L724" s="12" t="n">
        <x:v>0</x:v>
      </x:c>
      <x:c r="M724" s="2" t="str">
        <x:v>持有</x:v>
      </x:c>
    </x:row>
    <x:row r="725" ht="23" customHeight="1">
      <x:c r="A725" s="11" t="d">
        <x:v>2017-11-08T00:00:00.000Z</x:v>
      </x:c>
      <x:c r="B725" s="12" t="n">
        <x:v>5914.912816</x:v>
      </x:c>
      <x:c r="C725" s="13" t="n">
        <x:v>484</x:v>
      </x:c>
      <x:c r="D725" s="12" t="n">
        <x:v>125409.24</x:v>
      </x:c>
      <x:c r="E725" s="12" t="n">
        <x:v>0</x:v>
      </x:c>
      <x:c r="F725" s="12" t="n">
        <x:f>SUM(B725,D725:E725)</x:f>
        <x:v>131324.15281600002</x:v>
      </x:c>
      <x:c r="G725" s="12" t="n">
        <x:f>MAX(G724,F725)</x:f>
        <x:v>131324.15281600002</x:v>
      </x:c>
      <x:c r="H725" s="14" t="n">
        <x:f>F725/G725-1</x:f>
        <x:v>0</x:v>
      </x:c>
      <x:c r="I725" s="14" t="n">
        <x:f>F725/F724-1</x:f>
        <x:v>0.001624270174239495</x:v>
      </x:c>
      <x:c r="J725" s="12" t="n">
        <x:v>0</x:v>
      </x:c>
      <x:c r="K725" s="12" t="n">
        <x:v>0</x:v>
      </x:c>
      <x:c r="L725" s="12" t="n">
        <x:v>0</x:v>
      </x:c>
      <x:c r="M725" s="2" t="str">
        <x:v>持有</x:v>
      </x:c>
    </x:row>
    <x:row r="726" ht="23" customHeight="1">
      <x:c r="A726" s="11" t="d">
        <x:v>2017-11-09T00:00:00.000Z</x:v>
      </x:c>
      <x:c r="B726" s="12" t="n">
        <x:v>5914.912816</x:v>
      </x:c>
      <x:c r="C726" s="13" t="n">
        <x:v>484</x:v>
      </x:c>
      <x:c r="D726" s="12" t="n">
        <x:v>124954.28000000001</x:v>
      </x:c>
      <x:c r="E726" s="12" t="n">
        <x:v>0</x:v>
      </x:c>
      <x:c r="F726" s="12" t="n">
        <x:f>SUM(B726,D726:E726)</x:f>
        <x:v>130869.19281600001</x:v>
      </x:c>
      <x:c r="G726" s="12" t="n">
        <x:f>MAX(G725,F726)</x:f>
        <x:v>131324.15281600002</x:v>
      </x:c>
      <x:c r="H726" s="14" t="n">
        <x:f>F726/G726-1</x:f>
        <x:v>-0.003464404606801086</x:v>
      </x:c>
      <x:c r="I726" s="14" t="n">
        <x:f>F726/F725-1</x:f>
        <x:v>-0.003464404606801086</x:v>
      </x:c>
      <x:c r="J726" s="12" t="n">
        <x:v>0</x:v>
      </x:c>
      <x:c r="K726" s="12" t="n">
        <x:v>0</x:v>
      </x:c>
      <x:c r="L726" s="12" t="n">
        <x:v>0</x:v>
      </x:c>
      <x:c r="M726" s="2" t="str">
        <x:v>持有</x:v>
      </x:c>
    </x:row>
    <x:row r="727" ht="23" customHeight="1">
      <x:c r="A727" s="11" t="d">
        <x:v>2017-11-10T00:00:00.000Z</x:v>
      </x:c>
      <x:c r="B727" s="12" t="n">
        <x:v>5914.912816</x:v>
      </x:c>
      <x:c r="C727" s="13" t="n">
        <x:v>484</x:v>
      </x:c>
      <x:c r="D727" s="12" t="n">
        <x:v>124915.55999999998</x:v>
      </x:c>
      <x:c r="E727" s="12" t="n">
        <x:v>0</x:v>
      </x:c>
      <x:c r="F727" s="12" t="n">
        <x:f>SUM(B727,D727:E727)</x:f>
        <x:v>130830.47281599998</x:v>
      </x:c>
      <x:c r="G727" s="12" t="n">
        <x:f>MAX(G726,F727)</x:f>
        <x:v>131324.15281600002</x:v>
      </x:c>
      <x:c r="H727" s="14" t="n">
        <x:f>F727/G727-1</x:f>
        <x:v>-0.003759247552061029</x:v>
      </x:c>
      <x:c r="I727" s="14" t="n">
        <x:f>F727/F726-1</x:f>
        <x:v>-0.0002958679515542295</x:v>
      </x:c>
      <x:c r="J727" s="12" t="n">
        <x:v>0</x:v>
      </x:c>
      <x:c r="K727" s="12" t="n">
        <x:v>0</x:v>
      </x:c>
      <x:c r="L727" s="12" t="n">
        <x:v>0</x:v>
      </x:c>
      <x:c r="M727" s="2" t="str">
        <x:v>持有</x:v>
      </x:c>
    </x:row>
    <x:row r="728" ht="23" customHeight="1">
      <x:c r="A728" s="11" t="d">
        <x:v>2017-11-13T00:00:00.000Z</x:v>
      </x:c>
      <x:c r="B728" s="12" t="n">
        <x:v>5914.912816</x:v>
      </x:c>
      <x:c r="C728" s="13" t="n">
        <x:v>484</x:v>
      </x:c>
      <x:c r="D728" s="12" t="n">
        <x:v>125031.71999999999</x:v>
      </x:c>
      <x:c r="E728" s="12" t="n">
        <x:v>0</x:v>
      </x:c>
      <x:c r="F728" s="12" t="n">
        <x:f>SUM(B728,D728:E728)</x:f>
        <x:v>130946.63281599998</x:v>
      </x:c>
      <x:c r="G728" s="12" t="n">
        <x:f>MAX(G727,F728)</x:f>
        <x:v>131324.15281600002</x:v>
      </x:c>
      <x:c r="H728" s="14" t="n">
        <x:f>F728/G728-1</x:f>
        <x:v>-0.0028747187162819765</x:v>
      </x:c>
      <x:c r="I728" s="14" t="n">
        <x:f>F728/F727-1</x:f>
        <x:v>0.0008878665459184365</x:v>
      </x:c>
      <x:c r="J728" s="12" t="n">
        <x:v>0</x:v>
      </x:c>
      <x:c r="K728" s="12" t="n">
        <x:v>0</x:v>
      </x:c>
      <x:c r="L728" s="12" t="n">
        <x:v>0</x:v>
      </x:c>
      <x:c r="M728" s="2" t="str">
        <x:v>持有</x:v>
      </x:c>
    </x:row>
    <x:row r="729" ht="23" customHeight="1">
      <x:c r="A729" s="11" t="d">
        <x:v>2017-11-14T00:00:00.000Z</x:v>
      </x:c>
      <x:c r="B729" s="12" t="n">
        <x:v>5914.912816</x:v>
      </x:c>
      <x:c r="C729" s="13" t="n">
        <x:v>484</x:v>
      </x:c>
      <x:c r="D729" s="12" t="n">
        <x:v>124741.32</x:v>
      </x:c>
      <x:c r="E729" s="12" t="n">
        <x:v>0</x:v>
      </x:c>
      <x:c r="F729" s="12" t="n">
        <x:f>SUM(B729,D729:E729)</x:f>
        <x:v>130656.232816</x:v>
      </x:c>
      <x:c r="G729" s="12" t="n">
        <x:f>MAX(G728,F729)</x:f>
        <x:v>131324.15281600002</x:v>
      </x:c>
      <x:c r="H729" s="14" t="n">
        <x:f>F729/G729-1</x:f>
        <x:v>-0.005086040805729386</x:v>
      </x:c>
      <x:c r="I729" s="14" t="n">
        <x:f>F729/F728-1</x:f>
        <x:v>-0.0022176973455135807</x:v>
      </x:c>
      <x:c r="J729" s="12" t="n">
        <x:v>0</x:v>
      </x:c>
      <x:c r="K729" s="12" t="n">
        <x:v>0</x:v>
      </x:c>
      <x:c r="L729" s="12" t="n">
        <x:v>0</x:v>
      </x:c>
      <x:c r="M729" s="2" t="str">
        <x:v>持有</x:v>
      </x:c>
    </x:row>
    <x:row r="730" ht="23" customHeight="1">
      <x:c r="A730" s="11" t="d">
        <x:v>2017-11-15T00:00:00.000Z</x:v>
      </x:c>
      <x:c r="B730" s="12" t="n">
        <x:v>5914.912816</x:v>
      </x:c>
      <x:c r="C730" s="13" t="n">
        <x:v>484</x:v>
      </x:c>
      <x:c r="D730" s="12" t="n">
        <x:v>124116.95999999999</x:v>
      </x:c>
      <x:c r="E730" s="12" t="n">
        <x:v>0</x:v>
      </x:c>
      <x:c r="F730" s="12" t="n">
        <x:f>SUM(B730,D730:E730)</x:f>
        <x:v>130031.87281599999</x:v>
      </x:c>
      <x:c r="G730" s="12" t="n">
        <x:f>MAX(G729,F730)</x:f>
        <x:v>131324.15281600002</x:v>
      </x:c>
      <x:c r="H730" s="14" t="n">
        <x:f>F730/G730-1</x:f>
        <x:v>-0.0098403832980416</x:v>
      </x:c>
      <x:c r="I730" s="14" t="n">
        <x:f>F730/F729-1</x:f>
        <x:v>-0.0047786468853674435</x:v>
      </x:c>
      <x:c r="J730" s="12" t="n">
        <x:v>0</x:v>
      </x:c>
      <x:c r="K730" s="12" t="n">
        <x:v>0</x:v>
      </x:c>
      <x:c r="L730" s="12" t="n">
        <x:v>0</x:v>
      </x:c>
      <x:c r="M730" s="2" t="str">
        <x:v>持有</x:v>
      </x:c>
    </x:row>
    <x:row r="731" ht="23" customHeight="1">
      <x:c r="A731" s="11" t="d">
        <x:v>2017-11-16T00:00:00.000Z</x:v>
      </x:c>
      <x:c r="B731" s="12" t="n">
        <x:v>5914.912816</x:v>
      </x:c>
      <x:c r="C731" s="13" t="n">
        <x:v>484</x:v>
      </x:c>
      <x:c r="D731" s="12" t="n">
        <x:v>125172.08</x:v>
      </x:c>
      <x:c r="E731" s="12" t="n">
        <x:v>0</x:v>
      </x:c>
      <x:c r="F731" s="12" t="n">
        <x:f>SUM(B731,D731:E731)</x:f>
        <x:v>131086.992816</x:v>
      </x:c>
      <x:c r="G731" s="12" t="n">
        <x:f>MAX(G730,F731)</x:f>
        <x:v>131324.15281600002</x:v>
      </x:c>
      <x:c r="H731" s="14" t="n">
        <x:f>F731/G731-1</x:f>
        <x:v>-0.0018059130397154455</x:v>
      </x:c>
      <x:c r="I731" s="14" t="n">
        <x:f>F731/F730-1</x:f>
        <x:v>0.008114318260208808</x:v>
      </x:c>
      <x:c r="J731" s="12" t="n">
        <x:v>0</x:v>
      </x:c>
      <x:c r="K731" s="12" t="n">
        <x:v>0</x:v>
      </x:c>
      <x:c r="L731" s="12" t="n">
        <x:v>0</x:v>
      </x:c>
      <x:c r="M731" s="2" t="str">
        <x:v>持有</x:v>
      </x:c>
    </x:row>
    <x:row r="732" ht="23" customHeight="1">
      <x:c r="A732" s="11" t="d">
        <x:v>2017-11-17T00:00:00.000Z</x:v>
      </x:c>
      <x:c r="B732" s="12" t="n">
        <x:v>5914.912816</x:v>
      </x:c>
      <x:c r="C732" s="13" t="n">
        <x:v>484</x:v>
      </x:c>
      <x:c r="D732" s="12" t="n">
        <x:v>124804.24</x:v>
      </x:c>
      <x:c r="E732" s="12" t="n">
        <x:v>0</x:v>
      </x:c>
      <x:c r="F732" s="12" t="n">
        <x:f>SUM(B732,D732:E732)</x:f>
        <x:v>130719.152816</x:v>
      </x:c>
      <x:c r="G732" s="12" t="n">
        <x:f>MAX(G731,F732)</x:f>
        <x:v>131324.15281600002</x:v>
      </x:c>
      <x:c r="H732" s="14" t="n">
        <x:f>F732/G732-1</x:f>
        <x:v>-0.004606921019682408</x:v>
      </x:c>
      <x:c r="I732" s="14" t="n">
        <x:f>F732/F731-1</x:f>
        <x:v>-0.0028060755083177957</x:v>
      </x:c>
      <x:c r="J732" s="12" t="n">
        <x:v>0</x:v>
      </x:c>
      <x:c r="K732" s="12" t="n">
        <x:v>0</x:v>
      </x:c>
      <x:c r="L732" s="12" t="n">
        <x:v>0</x:v>
      </x:c>
      <x:c r="M732" s="2" t="str">
        <x:v>持有</x:v>
      </x:c>
    </x:row>
    <x:row r="733" ht="23" customHeight="1">
      <x:c r="A733" s="11" t="d">
        <x:v>2017-11-20T00:00:00.000Z</x:v>
      </x:c>
      <x:c r="B733" s="12" t="n">
        <x:v>5914.912816</x:v>
      </x:c>
      <x:c r="C733" s="13" t="n">
        <x:v>484</x:v>
      </x:c>
      <x:c r="D733" s="12" t="n">
        <x:v>125017.20000000001</x:v>
      </x:c>
      <x:c r="E733" s="12" t="n">
        <x:v>0</x:v>
      </x:c>
      <x:c r="F733" s="12" t="n">
        <x:f>SUM(B733,D733:E733)</x:f>
        <x:v>130932.11281600001</x:v>
      </x:c>
      <x:c r="G733" s="12" t="n">
        <x:f>MAX(G732,F733)</x:f>
        <x:v>131324.15281600002</x:v>
      </x:c>
      <x:c r="H733" s="14" t="n">
        <x:f>F733/G733-1</x:f>
        <x:v>-0.0029852848207542193</x:v>
      </x:c>
      <x:c r="I733" s="14" t="n">
        <x:f>F733/F732-1</x:f>
        <x:v>0.0016291415252649433</x:v>
      </x:c>
      <x:c r="J733" s="12" t="n">
        <x:v>0</x:v>
      </x:c>
      <x:c r="K733" s="12" t="n">
        <x:v>0</x:v>
      </x:c>
      <x:c r="L733" s="12" t="n">
        <x:v>0</x:v>
      </x:c>
      <x:c r="M733" s="2" t="str">
        <x:v>持有</x:v>
      </x:c>
    </x:row>
    <x:row r="734" ht="23" customHeight="1">
      <x:c r="A734" s="11" t="d">
        <x:v>2017-11-21T00:00:00.000Z</x:v>
      </x:c>
      <x:c r="B734" s="12" t="n">
        <x:v>5914.912816</x:v>
      </x:c>
      <x:c r="C734" s="13" t="n">
        <x:v>484</x:v>
      </x:c>
      <x:c r="D734" s="12" t="n">
        <x:v>125835.16</x:v>
      </x:c>
      <x:c r="E734" s="12" t="n">
        <x:v>0</x:v>
      </x:c>
      <x:c r="F734" s="12" t="n">
        <x:f>SUM(B734,D734:E734)</x:f>
        <x:v>131750.072816</x:v>
      </x:c>
      <x:c r="G734" s="12" t="n">
        <x:f>MAX(G733,F734)</x:f>
        <x:v>131750.072816</x:v>
      </x:c>
      <x:c r="H734" s="14" t="n">
        <x:f>F734/G734-1</x:f>
        <x:v>0</x:v>
      </x:c>
      <x:c r="I734" s="14" t="n">
        <x:f>F734/F733-1</x:f>
        <x:v>0.006247206910572567</x:v>
      </x:c>
      <x:c r="J734" s="12" t="n">
        <x:v>0</x:v>
      </x:c>
      <x:c r="K734" s="12" t="n">
        <x:v>0</x:v>
      </x:c>
      <x:c r="L734" s="12" t="n">
        <x:v>0</x:v>
      </x:c>
      <x:c r="M734" s="2" t="str">
        <x:v>持有</x:v>
      </x:c>
    </x:row>
    <x:row r="735" ht="23" customHeight="1">
      <x:c r="A735" s="11" t="d">
        <x:v>2017-11-22T00:00:00.000Z</x:v>
      </x:c>
      <x:c r="B735" s="12" t="n">
        <x:v>5914.912816</x:v>
      </x:c>
      <x:c r="C735" s="13" t="n">
        <x:v>484</x:v>
      </x:c>
      <x:c r="D735" s="12" t="n">
        <x:v>125723.84</x:v>
      </x:c>
      <x:c r="E735" s="12" t="n">
        <x:v>0</x:v>
      </x:c>
      <x:c r="F735" s="12" t="n">
        <x:f>SUM(B735,D735:E735)</x:f>
        <x:v>131638.752816</x:v>
      </x:c>
      <x:c r="G735" s="12" t="n">
        <x:f>MAX(G734,F735)</x:f>
        <x:v>131750.072816</x:v>
      </x:c>
      <x:c r="H735" s="14" t="n">
        <x:f>F735/G735-1</x:f>
        <x:v>-0.000844933119357516</x:v>
      </x:c>
      <x:c r="I735" s="14" t="n">
        <x:f>F735/F734-1</x:f>
        <x:v>-0.000844933119357516</x:v>
      </x:c>
      <x:c r="J735" s="12" t="n">
        <x:v>0</x:v>
      </x:c>
      <x:c r="K735" s="12" t="n">
        <x:v>0</x:v>
      </x:c>
      <x:c r="L735" s="12" t="n">
        <x:v>0</x:v>
      </x:c>
      <x:c r="M735" s="2" t="str">
        <x:v>持有</x:v>
      </x:c>
    </x:row>
    <x:row r="736" ht="23" customHeight="1">
      <x:c r="A736" s="11" t="d">
        <x:v>2017-11-24T00:00:00.000Z</x:v>
      </x:c>
      <x:c r="B736" s="12" t="n">
        <x:v>5914.912816</x:v>
      </x:c>
      <x:c r="C736" s="13" t="n">
        <x:v>484</x:v>
      </x:c>
      <x:c r="D736" s="12" t="n">
        <x:v>126014.24</x:v>
      </x:c>
      <x:c r="E736" s="12" t="n">
        <x:v>0</x:v>
      </x:c>
      <x:c r="F736" s="12" t="n">
        <x:f>SUM(B736,D736:E736)</x:f>
        <x:v>131929.15281600002</x:v>
      </x:c>
      <x:c r="G736" s="12" t="n">
        <x:f>MAX(G735,F736)</x:f>
        <x:v>131929.15281600002</x:v>
      </x:c>
      <x:c r="H736" s="14" t="n">
        <x:f>F736/G736-1</x:f>
        <x:v>0</x:v>
      </x:c>
      <x:c r="I736" s="14" t="n">
        <x:f>F736/F735-1</x:f>
        <x:v>0.0022060373088306218</x:v>
      </x:c>
      <x:c r="J736" s="12" t="n">
        <x:v>0</x:v>
      </x:c>
      <x:c r="K736" s="12" t="n">
        <x:v>0</x:v>
      </x:c>
      <x:c r="L736" s="12" t="n">
        <x:v>0</x:v>
      </x:c>
      <x:c r="M736" s="2" t="str">
        <x:v>持有</x:v>
      </x:c>
    </x:row>
    <x:row r="737" ht="23" customHeight="1">
      <x:c r="A737" s="11" t="d">
        <x:v>2017-11-27T00:00:00.000Z</x:v>
      </x:c>
      <x:c r="B737" s="12" t="n">
        <x:v>5914.912816</x:v>
      </x:c>
      <x:c r="C737" s="13" t="n">
        <x:v>484</x:v>
      </x:c>
      <x:c r="D737" s="12" t="n">
        <x:v>125951.32</x:v>
      </x:c>
      <x:c r="E737" s="12" t="n">
        <x:v>0</x:v>
      </x:c>
      <x:c r="F737" s="12" t="n">
        <x:f>SUM(B737,D737:E737)</x:f>
        <x:v>131866.232816</x:v>
      </x:c>
      <x:c r="G737" s="12" t="n">
        <x:f>MAX(G736,F737)</x:f>
        <x:v>131929.15281600002</x:v>
      </x:c>
      <x:c r="H737" s="14" t="n">
        <x:f>F737/G737-1</x:f>
        <x:v>-0.00047692264110699156</x:v>
      </x:c>
      <x:c r="I737" s="14" t="n">
        <x:f>F737/F736-1</x:f>
        <x:v>-0.00047692264110699156</x:v>
      </x:c>
      <x:c r="J737" s="12" t="n">
        <x:v>0</x:v>
      </x:c>
      <x:c r="K737" s="12" t="n">
        <x:v>0</x:v>
      </x:c>
      <x:c r="L737" s="12" t="n">
        <x:v>0</x:v>
      </x:c>
      <x:c r="M737" s="2" t="str">
        <x:v>持有</x:v>
      </x:c>
    </x:row>
    <x:row r="738" ht="23" customHeight="1">
      <x:c r="A738" s="11" t="d">
        <x:v>2017-11-28T00:00:00.000Z</x:v>
      </x:c>
      <x:c r="B738" s="12" t="n">
        <x:v>5914.912816</x:v>
      </x:c>
      <x:c r="C738" s="13" t="n">
        <x:v>484</x:v>
      </x:c>
      <x:c r="D738" s="12" t="n">
        <x:v>127229.08</x:v>
      </x:c>
      <x:c r="E738" s="12" t="n">
        <x:v>0</x:v>
      </x:c>
      <x:c r="F738" s="12" t="n">
        <x:f>SUM(B738,D738:E738)</x:f>
        <x:v>133143.992816</x:v>
      </x:c>
      <x:c r="G738" s="12" t="n">
        <x:f>MAX(G737,F738)</x:f>
        <x:v>133143.992816</x:v>
      </x:c>
      <x:c r="H738" s="14" t="n">
        <x:f>F738/G738-1</x:f>
        <x:v>0</x:v>
      </x:c>
      <x:c r="I738" s="14" t="n">
        <x:f>F738/F737-1</x:f>
        <x:v>0.009689819544499656</x:v>
      </x:c>
      <x:c r="J738" s="12" t="n">
        <x:v>0</x:v>
      </x:c>
      <x:c r="K738" s="12" t="n">
        <x:v>0</x:v>
      </x:c>
      <x:c r="L738" s="12" t="n">
        <x:v>0</x:v>
      </x:c>
      <x:c r="M738" s="2" t="str">
        <x:v>持有</x:v>
      </x:c>
    </x:row>
    <x:row r="739" ht="23" customHeight="1">
      <x:c r="A739" s="11" t="d">
        <x:v>2017-11-29T00:00:00.000Z</x:v>
      </x:c>
      <x:c r="B739" s="12" t="n">
        <x:v>5914.912816</x:v>
      </x:c>
      <x:c r="C739" s="13" t="n">
        <x:v>484</x:v>
      </x:c>
      <x:c r="D739" s="12" t="n">
        <x:v>127151.63999999998</x:v>
      </x:c>
      <x:c r="E739" s="12" t="n">
        <x:v>0</x:v>
      </x:c>
      <x:c r="F739" s="12" t="n">
        <x:f>SUM(B739,D739:E739)</x:f>
        <x:v>133066.55281599998</x:v>
      </x:c>
      <x:c r="G739" s="12" t="n">
        <x:f>MAX(G738,F739)</x:f>
        <x:v>133143.992816</x:v>
      </x:c>
      <x:c r="H739" s="14" t="n">
        <x:f>F739/G739-1</x:f>
        <x:v>-0.0005816259401733026</x:v>
      </x:c>
      <x:c r="I739" s="14" t="n">
        <x:f>F739/F738-1</x:f>
        <x:v>-0.0005816259401733026</x:v>
      </x:c>
      <x:c r="J739" s="12" t="n">
        <x:v>0</x:v>
      </x:c>
      <x:c r="K739" s="12" t="n">
        <x:v>0</x:v>
      </x:c>
      <x:c r="L739" s="12" t="n">
        <x:v>0</x:v>
      </x:c>
      <x:c r="M739" s="2" t="str">
        <x:v>持有</x:v>
      </x:c>
    </x:row>
    <x:row r="740" ht="23" customHeight="1">
      <x:c r="A740" s="11" t="d">
        <x:v>2017-11-30T00:00:00.000Z</x:v>
      </x:c>
      <x:c r="B740" s="12" t="n">
        <x:v>5914.912816</x:v>
      </x:c>
      <x:c r="C740" s="13" t="n">
        <x:v>484</x:v>
      </x:c>
      <x:c r="D740" s="12" t="n">
        <x:v>128264.84</x:v>
      </x:c>
      <x:c r="E740" s="12" t="n">
        <x:v>0</x:v>
      </x:c>
      <x:c r="F740" s="12" t="n">
        <x:f>SUM(B740,D740:E740)</x:f>
        <x:v>134179.752816</x:v>
      </x:c>
      <x:c r="G740" s="12" t="n">
        <x:f>MAX(G739,F740)</x:f>
        <x:v>134179.752816</x:v>
      </x:c>
      <x:c r="H740" s="14" t="n">
        <x:f>F740/G740-1</x:f>
        <x:v>0</x:v>
      </x:c>
      <x:c r="I740" s="14" t="n">
        <x:f>F740/F739-1</x:f>
        <x:v>0.008365738620578211</x:v>
      </x:c>
      <x:c r="J740" s="12" t="n">
        <x:v>0</x:v>
      </x:c>
      <x:c r="K740" s="12" t="n">
        <x:v>0</x:v>
      </x:c>
      <x:c r="L740" s="12" t="n">
        <x:v>0</x:v>
      </x:c>
      <x:c r="M740" s="2" t="str">
        <x:v>持有</x:v>
      </x:c>
    </x:row>
    <x:row r="741" ht="23" customHeight="1">
      <x:c r="A741" s="11" t="d">
        <x:v>2017-12-01T00:00:00.000Z</x:v>
      </x:c>
      <x:c r="B741" s="12" t="n">
        <x:v>5914.912816</x:v>
      </x:c>
      <x:c r="C741" s="13" t="n">
        <x:v>484</x:v>
      </x:c>
      <x:c r="D741" s="12" t="n">
        <x:v>127998.63999999998</x:v>
      </x:c>
      <x:c r="E741" s="12" t="n">
        <x:v>0</x:v>
      </x:c>
      <x:c r="F741" s="12" t="n">
        <x:f>SUM(B741,D741:E741)</x:f>
        <x:v>133913.55281599998</x:v>
      </x:c>
      <x:c r="G741" s="12" t="n">
        <x:f>MAX(G740,F741)</x:f>
        <x:v>134179.752816</x:v>
      </x:c>
      <x:c r="H741" s="14" t="n">
        <x:f>F741/G741-1</x:f>
        <x:v>-0.0019839058756133676</x:v>
      </x:c>
      <x:c r="I741" s="14" t="n">
        <x:f>F741/F740-1</x:f>
        <x:v>-0.0019839058756133676</x:v>
      </x:c>
      <x:c r="J741" s="12" t="n">
        <x:v>0</x:v>
      </x:c>
      <x:c r="K741" s="12" t="n">
        <x:v>0</x:v>
      </x:c>
      <x:c r="L741" s="12" t="n">
        <x:v>0</x:v>
      </x:c>
      <x:c r="M741" s="2" t="str">
        <x:v>持有</x:v>
      </x:c>
    </x:row>
    <x:row r="742" ht="23" customHeight="1">
      <x:c r="A742" s="11" t="d">
        <x:v>2017-12-04T00:00:00.000Z</x:v>
      </x:c>
      <x:c r="B742" s="12" t="n">
        <x:v>5914.912816</x:v>
      </x:c>
      <x:c r="C742" s="13" t="n">
        <x:v>484</x:v>
      </x:c>
      <x:c r="D742" s="12" t="n">
        <x:v>127843.76</x:v>
      </x:c>
      <x:c r="E742" s="12" t="n">
        <x:v>0</x:v>
      </x:c>
      <x:c r="F742" s="12" t="n">
        <x:f>SUM(B742,D742:E742)</x:f>
        <x:v>133758.672816</x:v>
      </x:c>
      <x:c r="G742" s="12" t="n">
        <x:f>MAX(G741,F742)</x:f>
        <x:v>134179.752816</x:v>
      </x:c>
      <x:c r="H742" s="14" t="n">
        <x:f>F742/G742-1</x:f>
        <x:v>-0.003138178385060919</x:v>
      </x:c>
      <x:c r="I742" s="14" t="n">
        <x:f>F742/F741-1</x:f>
        <x:v>-0.001156567029573008</x:v>
      </x:c>
      <x:c r="J742" s="12" t="n">
        <x:v>0</x:v>
      </x:c>
      <x:c r="K742" s="12" t="n">
        <x:v>0</x:v>
      </x:c>
      <x:c r="L742" s="12" t="n">
        <x:v>0</x:v>
      </x:c>
      <x:c r="M742" s="2" t="str">
        <x:v>持有</x:v>
      </x:c>
    </x:row>
    <x:row r="743" ht="23" customHeight="1">
      <x:c r="A743" s="11" t="d">
        <x:v>2017-12-05T00:00:00.000Z</x:v>
      </x:c>
      <x:c r="B743" s="12" t="n">
        <x:v>5914.912816</x:v>
      </x:c>
      <x:c r="C743" s="13" t="n">
        <x:v>484</x:v>
      </x:c>
      <x:c r="D743" s="12" t="n">
        <x:v>127383.95999999999</x:v>
      </x:c>
      <x:c r="E743" s="12" t="n">
        <x:v>0</x:v>
      </x:c>
      <x:c r="F743" s="12" t="n">
        <x:f>SUM(B743,D743:E743)</x:f>
        <x:v>133298.872816</x:v>
      </x:c>
      <x:c r="G743" s="12" t="n">
        <x:f>MAX(G742,F743)</x:f>
        <x:v>134179.752816</x:v>
      </x:c>
      <x:c r="H743" s="14" t="n">
        <x:f>F743/G743-1</x:f>
        <x:v>-0.006564924897483948</x:v>
      </x:c>
      <x:c r="I743" s="14" t="n">
        <x:f>F743/F742-1</x:f>
        <x:v>-0.0034375341076576804</x:v>
      </x:c>
      <x:c r="J743" s="12" t="n">
        <x:v>0</x:v>
      </x:c>
      <x:c r="K743" s="12" t="n">
        <x:v>0</x:v>
      </x:c>
      <x:c r="L743" s="12" t="n">
        <x:v>0</x:v>
      </x:c>
      <x:c r="M743" s="2" t="str">
        <x:v>持有</x:v>
      </x:c>
    </x:row>
    <x:row r="744" ht="23" customHeight="1">
      <x:c r="A744" s="11" t="d">
        <x:v>2017-12-06T00:00:00.000Z</x:v>
      </x:c>
      <x:c r="B744" s="12" t="n">
        <x:v>5914.912816</x:v>
      </x:c>
      <x:c r="C744" s="13" t="n">
        <x:v>484</x:v>
      </x:c>
      <x:c r="D744" s="12" t="n">
        <x:v>127408.16</x:v>
      </x:c>
      <x:c r="E744" s="12" t="n">
        <x:v>0</x:v>
      </x:c>
      <x:c r="F744" s="12" t="n">
        <x:f>SUM(B744,D744:E744)</x:f>
        <x:v>133323.072816</x:v>
      </x:c>
      <x:c r="G744" s="12" t="n">
        <x:f>MAX(G743,F744)</x:f>
        <x:v>134179.752816</x:v>
      </x:c>
      <x:c r="H744" s="14" t="n">
        <x:f>F744/G744-1</x:f>
        <x:v>-0.006384569817882713</x:v>
      </x:c>
      <x:c r="I744" s="14" t="n">
        <x:f>F744/F743-1</x:f>
        <x:v>0.0001815469215062926</x:v>
      </x:c>
      <x:c r="J744" s="12" t="n">
        <x:v>0</x:v>
      </x:c>
      <x:c r="K744" s="12" t="n">
        <x:v>0</x:v>
      </x:c>
      <x:c r="L744" s="12" t="n">
        <x:v>0</x:v>
      </x:c>
      <x:c r="M744" s="2" t="str">
        <x:v>持有</x:v>
      </x:c>
    </x:row>
    <x:row r="745" ht="23" customHeight="1">
      <x:c r="A745" s="11" t="d">
        <x:v>2017-12-07T00:00:00.000Z</x:v>
      </x:c>
      <x:c r="B745" s="12" t="n">
        <x:v>5914.912816</x:v>
      </x:c>
      <x:c r="C745" s="13" t="n">
        <x:v>484</x:v>
      </x:c>
      <x:c r="D745" s="12" t="n">
        <x:v>127809.87999999999</x:v>
      </x:c>
      <x:c r="E745" s="12" t="n">
        <x:v>0</x:v>
      </x:c>
      <x:c r="F745" s="12" t="n">
        <x:f>SUM(B745,D745:E745)</x:f>
        <x:v>133724.792816</x:v>
      </x:c>
      <x:c r="G745" s="12" t="n">
        <x:f>MAX(G744,F745)</x:f>
        <x:v>134179.752816</x:v>
      </x:c>
      <x:c r="H745" s="14" t="n">
        <x:f>F745/G745-1</x:f>
        <x:v>-0.0033906754965026265</x:v>
      </x:c>
      <x:c r="I745" s="14" t="n">
        <x:f>F745/F744-1</x:f>
        <x:v>0.003013131872188435</x:v>
      </x:c>
      <x:c r="J745" s="12" t="n">
        <x:v>0</x:v>
      </x:c>
      <x:c r="K745" s="12" t="n">
        <x:v>0</x:v>
      </x:c>
      <x:c r="L745" s="12" t="n">
        <x:v>0</x:v>
      </x:c>
      <x:c r="M745" s="2" t="str">
        <x:v>持有</x:v>
      </x:c>
    </x:row>
    <x:row r="746" ht="23" customHeight="1">
      <x:c r="A746" s="11" t="d">
        <x:v>2017-12-08T00:00:00.000Z</x:v>
      </x:c>
      <x:c r="B746" s="12" t="n">
        <x:v>5914.912816</x:v>
      </x:c>
      <x:c r="C746" s="13" t="n">
        <x:v>484</x:v>
      </x:c>
      <x:c r="D746" s="12" t="n">
        <x:v>128506.84</x:v>
      </x:c>
      <x:c r="E746" s="12" t="n">
        <x:v>0</x:v>
      </x:c>
      <x:c r="F746" s="12" t="n">
        <x:f>SUM(B746,D746:E746)</x:f>
        <x:v>134421.752816</x:v>
      </x:c>
      <x:c r="G746" s="12" t="n">
        <x:f>MAX(G745,F746)</x:f>
        <x:v>134421.752816</x:v>
      </x:c>
      <x:c r="H746" s="14" t="n">
        <x:f>F746/G746-1</x:f>
        <x:v>0</x:v>
      </x:c>
      <x:c r="I746" s="14" t="n">
        <x:f>F746/F745-1</x:f>
        <x:v>0.005211898147854832</x:v>
      </x:c>
      <x:c r="J746" s="12" t="n">
        <x:v>0</x:v>
      </x:c>
      <x:c r="K746" s="12" t="n">
        <x:v>0</x:v>
      </x:c>
      <x:c r="L746" s="12" t="n">
        <x:v>0</x:v>
      </x:c>
      <x:c r="M746" s="2" t="str">
        <x:v>持有</x:v>
      </x:c>
    </x:row>
    <x:row r="747" ht="23" customHeight="1">
      <x:c r="A747" s="11" t="d">
        <x:v>2017-12-11T00:00:00.000Z</x:v>
      </x:c>
      <x:c r="B747" s="12" t="n">
        <x:v>5914.912816</x:v>
      </x:c>
      <x:c r="C747" s="13" t="n">
        <x:v>484</x:v>
      </x:c>
      <x:c r="D747" s="12" t="n">
        <x:v>128894.04000000001</x:v>
      </x:c>
      <x:c r="E747" s="12" t="n">
        <x:v>0</x:v>
      </x:c>
      <x:c r="F747" s="12" t="n">
        <x:f>SUM(B747,D747:E747)</x:f>
        <x:v>134808.952816</x:v>
      </x:c>
      <x:c r="G747" s="12" t="n">
        <x:f>MAX(G746,F747)</x:f>
        <x:v>134808.952816</x:v>
      </x:c>
      <x:c r="H747" s="14" t="n">
        <x:f>F747/G747-1</x:f>
        <x:v>0</x:v>
      </x:c>
      <x:c r="I747" s="14" t="n">
        <x:f>F747/F746-1</x:f>
        <x:v>0.0028804861704936346</x:v>
      </x:c>
      <x:c r="J747" s="12" t="n">
        <x:v>0</x:v>
      </x:c>
      <x:c r="K747" s="12" t="n">
        <x:v>0</x:v>
      </x:c>
      <x:c r="L747" s="12" t="n">
        <x:v>0</x:v>
      </x:c>
      <x:c r="M747" s="2" t="str">
        <x:v>持有</x:v>
      </x:c>
    </x:row>
    <x:row r="748" ht="23" customHeight="1">
      <x:c r="A748" s="11" t="d">
        <x:v>2017-12-12T00:00:00.000Z</x:v>
      </x:c>
      <x:c r="B748" s="12" t="n">
        <x:v>5914.912816</x:v>
      </x:c>
      <x:c r="C748" s="13" t="n">
        <x:v>484</x:v>
      </x:c>
      <x:c r="D748" s="12" t="n">
        <x:v>129121.51999999999</x:v>
      </x:c>
      <x:c r="E748" s="12" t="n">
        <x:v>0</x:v>
      </x:c>
      <x:c r="F748" s="12" t="n">
        <x:f>SUM(B748,D748:E748)</x:f>
        <x:v>135036.432816</x:v>
      </x:c>
      <x:c r="G748" s="12" t="n">
        <x:f>MAX(G747,F748)</x:f>
        <x:v>135036.432816</x:v>
      </x:c>
      <x:c r="H748" s="14" t="n">
        <x:f>F748/G748-1</x:f>
        <x:v>0</x:v>
      </x:c>
      <x:c r="I748" s="14" t="n">
        <x:f>F748/F747-1</x:f>
        <x:v>0.0016874250207288277</x:v>
      </x:c>
      <x:c r="J748" s="12" t="n">
        <x:v>0</x:v>
      </x:c>
      <x:c r="K748" s="12" t="n">
        <x:v>0</x:v>
      </x:c>
      <x:c r="L748" s="12" t="n">
        <x:v>0</x:v>
      </x:c>
      <x:c r="M748" s="2" t="str">
        <x:v>持有</x:v>
      </x:c>
    </x:row>
    <x:row r="749" ht="23" customHeight="1">
      <x:c r="A749" s="11" t="d">
        <x:v>2017-12-13T00:00:00.000Z</x:v>
      </x:c>
      <x:c r="B749" s="12" t="n">
        <x:v>5914.912816</x:v>
      </x:c>
      <x:c r="C749" s="13" t="n">
        <x:v>484</x:v>
      </x:c>
      <x:c r="D749" s="12" t="n">
        <x:v>129107</x:v>
      </x:c>
      <x:c r="E749" s="12" t="n">
        <x:v>0</x:v>
      </x:c>
      <x:c r="F749" s="12" t="n">
        <x:f>SUM(B749,D749:E749)</x:f>
        <x:v>135021.912816</x:v>
      </x:c>
      <x:c r="G749" s="12" t="n">
        <x:f>MAX(G748,F749)</x:f>
        <x:v>135036.432816</x:v>
      </x:c>
      <x:c r="H749" s="14" t="n">
        <x:f>F749/G749-1</x:f>
        <x:v>-0.00010752653707735149</x:v>
      </x:c>
      <x:c r="I749" s="14" t="n">
        <x:f>F749/F748-1</x:f>
        <x:v>-0.00010752653707735149</x:v>
      </x:c>
      <x:c r="J749" s="12" t="n">
        <x:v>0</x:v>
      </x:c>
      <x:c r="K749" s="12" t="n">
        <x:v>0</x:v>
      </x:c>
      <x:c r="L749" s="12" t="n">
        <x:v>0</x:v>
      </x:c>
      <x:c r="M749" s="2" t="str">
        <x:v>持有</x:v>
      </x:c>
    </x:row>
    <x:row r="750" ht="23" customHeight="1">
      <x:c r="A750" s="11" t="d">
        <x:v>2017-12-14T00:00:00.000Z</x:v>
      </x:c>
      <x:c r="B750" s="12" t="n">
        <x:v>5914.912816</x:v>
      </x:c>
      <x:c r="C750" s="13" t="n">
        <x:v>484</x:v>
      </x:c>
      <x:c r="D750" s="12" t="n">
        <x:v>128579.44000000002</x:v>
      </x:c>
      <x:c r="E750" s="12" t="n">
        <x:v>0</x:v>
      </x:c>
      <x:c r="F750" s="12" t="n">
        <x:f>SUM(B750,D750:E750)</x:f>
        <x:v>134494.35281600003</x:v>
      </x:c>
      <x:c r="G750" s="12" t="n">
        <x:f>MAX(G749,F750)</x:f>
        <x:v>135036.432816</x:v>
      </x:c>
      <x:c r="H750" s="14" t="n">
        <x:f>F750/G750-1</x:f>
        <x:v>-0.004014324050892193</x:v>
      </x:c>
      <x:c r="I750" s="14" t="n">
        <x:f>F750/F749-1</x:f>
        <x:v>-0.003907217643397631</x:v>
      </x:c>
      <x:c r="J750" s="12" t="n">
        <x:v>0</x:v>
      </x:c>
      <x:c r="K750" s="12" t="n">
        <x:v>0</x:v>
      </x:c>
      <x:c r="L750" s="12" t="n">
        <x:v>0</x:v>
      </x:c>
      <x:c r="M750" s="2" t="str">
        <x:v>持有</x:v>
      </x:c>
    </x:row>
    <x:row r="751" ht="23" customHeight="1">
      <x:c r="A751" s="11" t="d">
        <x:v>2017-12-15T00:00:00.000Z</x:v>
      </x:c>
      <x:c r="B751" s="12" t="n">
        <x:v>5914.912816</x:v>
      </x:c>
      <x:c r="C751" s="13" t="n">
        <x:v>484</x:v>
      </x:c>
      <x:c r="D751" s="12" t="n">
        <x:v>128990.84</x:v>
      </x:c>
      <x:c r="E751" s="12" t="n">
        <x:v>654.045172</x:v>
      </x:c>
      <x:c r="F751" s="12" t="n">
        <x:f>SUM(B751,D751:E751)</x:f>
        <x:v>135559.797988</x:v>
      </x:c>
      <x:c r="G751" s="12" t="n">
        <x:f>MAX(G750,F751)</x:f>
        <x:v>135559.797988</x:v>
      </x:c>
      <x:c r="H751" s="14" t="n">
        <x:f>F751/G751-1</x:f>
        <x:v>0</x:v>
      </x:c>
      <x:c r="I751" s="14" t="n">
        <x:f>F751/F750-1</x:f>
        <x:v>0.007921858053457465</x:v>
      </x:c>
      <x:c r="J751" s="12" t="n">
        <x:v>654.045172</x:v>
      </x:c>
      <x:c r="K751" s="12" t="n">
        <x:v>0</x:v>
      </x:c>
      <x:c r="L751" s="12" t="n">
        <x:v>0</x:v>
      </x:c>
      <x:c r="M751" s="2" t="str">
        <x:v>持有</x:v>
      </x:c>
    </x:row>
    <x:row r="752" ht="23" customHeight="1">
      <x:c r="A752" s="11" t="d">
        <x:v>2017-12-18T00:00:00.000Z</x:v>
      </x:c>
      <x:c r="B752" s="12" t="n">
        <x:v>5914.912816</x:v>
      </x:c>
      <x:c r="C752" s="13" t="n">
        <x:v>484</x:v>
      </x:c>
      <x:c r="D752" s="12" t="n">
        <x:v>129808.79999999999</x:v>
      </x:c>
      <x:c r="E752" s="12" t="n">
        <x:v>654.045172</x:v>
      </x:c>
      <x:c r="F752" s="12" t="n">
        <x:f>SUM(B752,D752:E752)</x:f>
        <x:v>136377.757988</x:v>
      </x:c>
      <x:c r="G752" s="12" t="n">
        <x:f>MAX(G751,F752)</x:f>
        <x:v>136377.757988</x:v>
      </x:c>
      <x:c r="H752" s="14" t="n">
        <x:f>F752/G752-1</x:f>
        <x:v>0</x:v>
      </x:c>
      <x:c r="I752" s="14" t="n">
        <x:f>F752/F751-1</x:f>
        <x:v>0.006033942305464279</x:v>
      </x:c>
      <x:c r="J752" s="12" t="n">
        <x:v>0</x:v>
      </x:c>
      <x:c r="K752" s="12" t="n">
        <x:v>0</x:v>
      </x:c>
      <x:c r="L752" s="12" t="n">
        <x:v>0</x:v>
      </x:c>
      <x:c r="M752" s="2" t="str">
        <x:v>持有</x:v>
      </x:c>
    </x:row>
    <x:row r="753" ht="23" customHeight="1">
      <x:c r="A753" s="11" t="d">
        <x:v>2017-12-19T00:00:00.000Z</x:v>
      </x:c>
      <x:c r="B753" s="12" t="n">
        <x:v>5914.912816</x:v>
      </x:c>
      <x:c r="C753" s="13" t="n">
        <x:v>484</x:v>
      </x:c>
      <x:c r="D753" s="12" t="n">
        <x:v>129310.28000000001</x:v>
      </x:c>
      <x:c r="E753" s="12" t="n">
        <x:v>654.045172</x:v>
      </x:c>
      <x:c r="F753" s="12" t="n">
        <x:f>SUM(B753,D753:E753)</x:f>
        <x:v>135879.237988</x:v>
      </x:c>
      <x:c r="G753" s="12" t="n">
        <x:f>MAX(G752,F753)</x:f>
        <x:v>136377.757988</x:v>
      </x:c>
      <x:c r="H753" s="14" t="n">
        <x:f>F753/G753-1</x:f>
        <x:v>-0.0036554347817028265</x:v>
      </x:c>
      <x:c r="I753" s="14" t="n">
        <x:f>F753/F752-1</x:f>
        <x:v>-0.0036554347817028265</x:v>
      </x:c>
      <x:c r="J753" s="12" t="n">
        <x:v>0</x:v>
      </x:c>
      <x:c r="K753" s="12" t="n">
        <x:v>0</x:v>
      </x:c>
      <x:c r="L753" s="12" t="n">
        <x:v>0</x:v>
      </x:c>
      <x:c r="M753" s="2" t="str">
        <x:v>持有</x:v>
      </x:c>
    </x:row>
    <x:row r="754" ht="23" customHeight="1">
      <x:c r="A754" s="11" t="d">
        <x:v>2017-12-20T00:00:00.000Z</x:v>
      </x:c>
      <x:c r="B754" s="12" t="n">
        <x:v>5914.912816</x:v>
      </x:c>
      <x:c r="C754" s="13" t="n">
        <x:v>484</x:v>
      </x:c>
      <x:c r="D754" s="12" t="n">
        <x:v>129242.51999999999</x:v>
      </x:c>
      <x:c r="E754" s="12" t="n">
        <x:v>654.045172</x:v>
      </x:c>
      <x:c r="F754" s="12" t="n">
        <x:f>SUM(B754,D754:E754)</x:f>
        <x:v>135811.477988</x:v>
      </x:c>
      <x:c r="G754" s="12" t="n">
        <x:f>MAX(G753,F754)</x:f>
        <x:v>136377.757988</x:v>
      </x:c>
      <x:c r="H754" s="14" t="n">
        <x:f>F754/G754-1</x:f>
        <x:v>-0.004152289994749925</x:v>
      </x:c>
      <x:c r="I754" s="14" t="n">
        <x:f>F754/F753-1</x:f>
        <x:v>-0.0004986780983124994</x:v>
      </x:c>
      <x:c r="J754" s="12" t="n">
        <x:v>0</x:v>
      </x:c>
      <x:c r="K754" s="12" t="n">
        <x:v>0</x:v>
      </x:c>
      <x:c r="L754" s="12" t="n">
        <x:v>0</x:v>
      </x:c>
      <x:c r="M754" s="2" t="str">
        <x:v>持有</x:v>
      </x:c>
    </x:row>
    <x:row r="755" ht="23" customHeight="1">
      <x:c r="A755" s="11" t="d">
        <x:v>2017-12-21T00:00:00.000Z</x:v>
      </x:c>
      <x:c r="B755" s="12" t="n">
        <x:v>5914.912816</x:v>
      </x:c>
      <x:c r="C755" s="13" t="n">
        <x:v>484</x:v>
      </x:c>
      <x:c r="D755" s="12" t="n">
        <x:v>129508.71999999999</x:v>
      </x:c>
      <x:c r="E755" s="12" t="n">
        <x:v>654.045172</x:v>
      </x:c>
      <x:c r="F755" s="12" t="n">
        <x:f>SUM(B755,D755:E755)</x:f>
        <x:v>136077.67798799998</x:v>
      </x:c>
      <x:c r="G755" s="12" t="n">
        <x:f>MAX(G754,F755)</x:f>
        <x:v>136377.757988</x:v>
      </x:c>
      <x:c r="H755" s="14" t="n">
        <x:f>F755/G755-1</x:f>
        <x:v>-0.002200358800636848</x:v>
      </x:c>
      <x:c r="I755" s="14" t="n">
        <x:f>F755/F754-1</x:f>
        <x:v>0.001960069973051093</x:v>
      </x:c>
      <x:c r="J755" s="12" t="n">
        <x:v>0</x:v>
      </x:c>
      <x:c r="K755" s="12" t="n">
        <x:v>0</x:v>
      </x:c>
      <x:c r="L755" s="12" t="n">
        <x:v>0</x:v>
      </x:c>
      <x:c r="M755" s="2" t="str">
        <x:v>持有</x:v>
      </x:c>
    </x:row>
    <x:row r="756" ht="23" customHeight="1">
      <x:c r="A756" s="11" t="d">
        <x:v>2017-12-22T00:00:00.000Z</x:v>
      </x:c>
      <x:c r="B756" s="12" t="n">
        <x:v>5914.912816</x:v>
      </x:c>
      <x:c r="C756" s="13" t="n">
        <x:v>484</x:v>
      </x:c>
      <x:c r="D756" s="12" t="n">
        <x:v>129474.84</x:v>
      </x:c>
      <x:c r="E756" s="12" t="n">
        <x:v>654.045172</x:v>
      </x:c>
      <x:c r="F756" s="12" t="n">
        <x:f>SUM(B756,D756:E756)</x:f>
        <x:v>136043.797988</x:v>
      </x:c>
      <x:c r="G756" s="12" t="n">
        <x:f>MAX(G755,F756)</x:f>
        <x:v>136377.757988</x:v>
      </x:c>
      <x:c r="H756" s="14" t="n">
        <x:f>F756/G756-1</x:f>
        <x:v>-0.002448786407160175</x:v>
      </x:c>
      <x:c r="I756" s="14" t="n">
        <x:f>F756/F755-1</x:f>
        <x:v>-0.0002489754418278922</x:v>
      </x:c>
      <x:c r="J756" s="12" t="n">
        <x:v>0</x:v>
      </x:c>
      <x:c r="K756" s="12" t="n">
        <x:v>0</x:v>
      </x:c>
      <x:c r="L756" s="12" t="n">
        <x:v>0</x:v>
      </x:c>
      <x:c r="M756" s="2" t="str">
        <x:v>持有</x:v>
      </x:c>
    </x:row>
    <x:row r="757" ht="23" customHeight="1">
      <x:c r="A757" s="11" t="d">
        <x:v>2017-12-26T00:00:00.000Z</x:v>
      </x:c>
      <x:c r="B757" s="12" t="n">
        <x:v>5914.912816</x:v>
      </x:c>
      <x:c r="C757" s="13" t="n">
        <x:v>484</x:v>
      </x:c>
      <x:c r="D757" s="12" t="n">
        <x:v>129319.95999999999</x:v>
      </x:c>
      <x:c r="E757" s="12" t="n">
        <x:v>654.045172</x:v>
      </x:c>
      <x:c r="F757" s="12" t="n">
        <x:f>SUM(B757,D757:E757)</x:f>
        <x:v>135888.917988</x:v>
      </x:c>
      <x:c r="G757" s="12" t="n">
        <x:f>MAX(G756,F757)</x:f>
        <x:v>136377.757988</x:v>
      </x:c>
      <x:c r="H757" s="14" t="n">
        <x:f>F757/G757-1</x:f>
        <x:v>-0.0035844554655533045</x:v>
      </x:c>
      <x:c r="I757" s="14" t="n">
        <x:f>F757/F756-1</x:f>
        <x:v>-0.0011384568961656516</x:v>
      </x:c>
      <x:c r="J757" s="12" t="n">
        <x:v>0</x:v>
      </x:c>
      <x:c r="K757" s="12" t="n">
        <x:v>0</x:v>
      </x:c>
      <x:c r="L757" s="12" t="n">
        <x:v>0</x:v>
      </x:c>
      <x:c r="M757" s="2" t="str">
        <x:v>持有</x:v>
      </x:c>
    </x:row>
    <x:row r="758" ht="23" customHeight="1">
      <x:c r="A758" s="11" t="d">
        <x:v>2017-12-27T00:00:00.000Z</x:v>
      </x:c>
      <x:c r="B758" s="12" t="n">
        <x:v>5914.912816</x:v>
      </x:c>
      <x:c r="C758" s="13" t="n">
        <x:v>484</x:v>
      </x:c>
      <x:c r="D758" s="12" t="n">
        <x:v>129382.87999999999</x:v>
      </x:c>
      <x:c r="E758" s="12" t="n">
        <x:v>654.045172</x:v>
      </x:c>
      <x:c r="F758" s="12" t="n">
        <x:f>SUM(B758,D758:E758)</x:f>
        <x:v>135951.83798799998</x:v>
      </x:c>
      <x:c r="G758" s="12" t="n">
        <x:f>MAX(G757,F758)</x:f>
        <x:v>136377.757988</x:v>
      </x:c>
      <x:c r="H758" s="14" t="n">
        <x:f>F758/G758-1</x:f>
        <x:v>-0.0031230899105811893</x:v>
      </x:c>
      <x:c r="I758" s="14" t="n">
        <x:f>F758/F757-1</x:f>
        <x:v>0.00046302524835417636</x:v>
      </x:c>
      <x:c r="J758" s="12" t="n">
        <x:v>0</x:v>
      </x:c>
      <x:c r="K758" s="12" t="n">
        <x:v>0</x:v>
      </x:c>
      <x:c r="L758" s="12" t="n">
        <x:v>0</x:v>
      </x:c>
      <x:c r="M758" s="2" t="str">
        <x:v>持有</x:v>
      </x:c>
    </x:row>
    <x:row r="759" ht="23" customHeight="1">
      <x:c r="A759" s="11" t="d">
        <x:v>2017-12-28T00:00:00.000Z</x:v>
      </x:c>
      <x:c r="B759" s="12" t="n">
        <x:v>5914.912816</x:v>
      </x:c>
      <x:c r="C759" s="13" t="n">
        <x:v>484</x:v>
      </x:c>
      <x:c r="D759" s="12" t="n">
        <x:v>129649.08</x:v>
      </x:c>
      <x:c r="E759" s="12" t="n">
        <x:v>654.045172</x:v>
      </x:c>
      <x:c r="F759" s="12" t="n">
        <x:f>SUM(B759,D759:E759)</x:f>
        <x:v>136218.037988</x:v>
      </x:c>
      <x:c r="G759" s="12" t="n">
        <x:f>MAX(G758,F759)</x:f>
        <x:v>136377.757988</x:v>
      </x:c>
      <x:c r="H759" s="14" t="n">
        <x:f>F759/G759-1</x:f>
        <x:v>-0.0011711587164678905</x:v>
      </x:c>
      <x:c r="I759" s="14" t="n">
        <x:f>F759/F758-1</x:f>
        <x:v>0.0019580463489099476</x:v>
      </x:c>
      <x:c r="J759" s="12" t="n">
        <x:v>0</x:v>
      </x:c>
      <x:c r="K759" s="12" t="n">
        <x:v>0</x:v>
      </x:c>
      <x:c r="L759" s="12" t="n">
        <x:v>0</x:v>
      </x:c>
      <x:c r="M759" s="2" t="str">
        <x:v>持有</x:v>
      </x:c>
    </x:row>
    <x:row r="760" ht="23" customHeight="1">
      <x:c r="A760" s="11" t="d">
        <x:v>2017-12-29T00:00:00.000Z</x:v>
      </x:c>
      <x:c r="B760" s="12" t="n">
        <x:v>5914.912816</x:v>
      </x:c>
      <x:c r="C760" s="13" t="n">
        <x:v>484</x:v>
      </x:c>
      <x:c r="D760" s="12" t="n">
        <x:v>129160.24</x:v>
      </x:c>
      <x:c r="E760" s="12" t="n">
        <x:v>654.045172</x:v>
      </x:c>
      <x:c r="F760" s="12" t="n">
        <x:f>SUM(B760,D760:E760)</x:f>
        <x:v>135729.197988</x:v>
      </x:c>
      <x:c r="G760" s="12" t="n">
        <x:f>MAX(G759,F760)</x:f>
        <x:v>136377.757988</x:v>
      </x:c>
      <x:c r="H760" s="14" t="n">
        <x:f>F760/G760-1</x:f>
        <x:v>-0.004755614182021306</x:v>
      </x:c>
      <x:c r="I760" s="14" t="n">
        <x:f>F760/F759-1</x:f>
        <x:v>-0.0035886583540650774</x:v>
      </x:c>
      <x:c r="J760" s="12" t="n">
        <x:v>0</x:v>
      </x:c>
      <x:c r="K760" s="12" t="n">
        <x:v>0</x:v>
      </x:c>
      <x:c r="L760" s="12" t="n">
        <x:v>0</x:v>
      </x:c>
      <x:c r="M760" s="2" t="str">
        <x:v>持有</x:v>
      </x:c>
    </x:row>
    <x:row r="761" ht="23" customHeight="1">
      <x:c r="A761" s="11" t="d">
        <x:v>2018-01-02T00:00:00.000Z</x:v>
      </x:c>
      <x:c r="B761" s="12" t="n">
        <x:v>5914.912816</x:v>
      </x:c>
      <x:c r="C761" s="13" t="n">
        <x:v>484</x:v>
      </x:c>
      <x:c r="D761" s="12" t="n">
        <x:v>130084.68</x:v>
      </x:c>
      <x:c r="E761" s="12" t="n">
        <x:v>654.045172</x:v>
      </x:c>
      <x:c r="F761" s="12" t="n">
        <x:f>SUM(B761,D761:E761)</x:f>
        <x:v>136653.637988</x:v>
      </x:c>
      <x:c r="G761" s="12" t="n">
        <x:f>MAX(G760,F761)</x:f>
        <x:v>136653.637988</x:v>
      </x:c>
      <x:c r="H761" s="14" t="n">
        <x:f>F761/G761-1</x:f>
        <x:v>0</x:v>
      </x:c>
      <x:c r="I761" s="14" t="n">
        <x:f>F761/F760-1</x:f>
        <x:v>0.006810914775181587</x:v>
      </x:c>
      <x:c r="J761" s="12" t="n">
        <x:v>0</x:v>
      </x:c>
      <x:c r="K761" s="12" t="n">
        <x:v>0</x:v>
      </x:c>
      <x:c r="L761" s="12" t="n">
        <x:v>0</x:v>
      </x:c>
      <x:c r="M761" s="2" t="str">
        <x:v>持有</x:v>
      </x:c>
    </x:row>
    <x:row r="762" ht="23" customHeight="1">
      <x:c r="A762" s="11" t="d">
        <x:v>2018-01-03T00:00:00.000Z</x:v>
      </x:c>
      <x:c r="B762" s="12" t="n">
        <x:v>5914.912816</x:v>
      </x:c>
      <x:c r="C762" s="13" t="n">
        <x:v>484</x:v>
      </x:c>
      <x:c r="D762" s="12" t="n">
        <x:v>130907.48000000001</x:v>
      </x:c>
      <x:c r="E762" s="12" t="n">
        <x:v>654.045172</x:v>
      </x:c>
      <x:c r="F762" s="12" t="n">
        <x:f>SUM(B762,D762:E762)</x:f>
        <x:v>137476.43798800002</x:v>
      </x:c>
      <x:c r="G762" s="12" t="n">
        <x:f>MAX(G761,F762)</x:f>
        <x:v>137476.43798800002</x:v>
      </x:c>
      <x:c r="H762" s="14" t="n">
        <x:f>F762/G762-1</x:f>
        <x:v>0</x:v>
      </x:c>
      <x:c r="I762" s="14" t="n">
        <x:f>F762/F761-1</x:f>
        <x:v>0.006021061803508365</x:v>
      </x:c>
      <x:c r="J762" s="12" t="n">
        <x:v>0</x:v>
      </x:c>
      <x:c r="K762" s="12" t="n">
        <x:v>0</x:v>
      </x:c>
      <x:c r="L762" s="12" t="n">
        <x:v>0</x:v>
      </x:c>
      <x:c r="M762" s="2" t="str">
        <x:v>持有</x:v>
      </x:c>
    </x:row>
    <x:row r="763" ht="23" customHeight="1">
      <x:c r="A763" s="11" t="d">
        <x:v>2018-01-04T00:00:00.000Z</x:v>
      </x:c>
      <x:c r="B763" s="12" t="n">
        <x:v>5914.912816</x:v>
      </x:c>
      <x:c r="C763" s="13" t="n">
        <x:v>484</x:v>
      </x:c>
      <x:c r="D763" s="12" t="n">
        <x:v>131459.24000000002</x:v>
      </x:c>
      <x:c r="E763" s="12" t="n">
        <x:v>654.045172</x:v>
      </x:c>
      <x:c r="F763" s="12" t="n">
        <x:f>SUM(B763,D763:E763)</x:f>
        <x:v>138028.19798800003</x:v>
      </x:c>
      <x:c r="G763" s="12" t="n">
        <x:f>MAX(G762,F763)</x:f>
        <x:v>138028.19798800003</x:v>
      </x:c>
      <x:c r="H763" s="14" t="n">
        <x:f>F763/G763-1</x:f>
        <x:v>0</x:v>
      </x:c>
      <x:c r="I763" s="14" t="n">
        <x:f>F763/F762-1</x:f>
        <x:v>0.0040134877516113665</x:v>
      </x:c>
      <x:c r="J763" s="12" t="n">
        <x:v>0</x:v>
      </x:c>
      <x:c r="K763" s="12" t="n">
        <x:v>0</x:v>
      </x:c>
      <x:c r="L763" s="12" t="n">
        <x:v>0</x:v>
      </x:c>
      <x:c r="M763" s="2" t="str">
        <x:v>持有</x:v>
      </x:c>
    </x:row>
    <x:row r="764" ht="23" customHeight="1">
      <x:c r="A764" s="11" t="d">
        <x:v>2018-01-05T00:00:00.000Z</x:v>
      </x:c>
      <x:c r="B764" s="12" t="n">
        <x:v>5914.912816</x:v>
      </x:c>
      <x:c r="C764" s="13" t="n">
        <x:v>484</x:v>
      </x:c>
      <x:c r="D764" s="12" t="n">
        <x:v>132335.28</x:v>
      </x:c>
      <x:c r="E764" s="12" t="n">
        <x:v>654.045172</x:v>
      </x:c>
      <x:c r="F764" s="12" t="n">
        <x:f>SUM(B764,D764:E764)</x:f>
        <x:v>138904.237988</x:v>
      </x:c>
      <x:c r="G764" s="12" t="n">
        <x:f>MAX(G763,F764)</x:f>
        <x:v>138904.237988</x:v>
      </x:c>
      <x:c r="H764" s="14" t="n">
        <x:f>F764/G764-1</x:f>
        <x:v>0</x:v>
      </x:c>
      <x:c r="I764" s="14" t="n">
        <x:f>F764/F763-1</x:f>
        <x:v>0.006346819075882859</x:v>
      </x:c>
      <x:c r="J764" s="12" t="n">
        <x:v>0</x:v>
      </x:c>
      <x:c r="K764" s="12" t="n">
        <x:v>0</x:v>
      </x:c>
      <x:c r="L764" s="12" t="n">
        <x:v>0</x:v>
      </x:c>
      <x:c r="M764" s="2" t="str">
        <x:v>持有</x:v>
      </x:c>
    </x:row>
    <x:row r="765" ht="23" customHeight="1">
      <x:c r="A765" s="11" t="d">
        <x:v>2018-01-08T00:00:00.000Z</x:v>
      </x:c>
      <x:c r="B765" s="12" t="n">
        <x:v>5914.912816</x:v>
      </x:c>
      <x:c r="C765" s="13" t="n">
        <x:v>484</x:v>
      </x:c>
      <x:c r="D765" s="12" t="n">
        <x:v>132577.28</x:v>
      </x:c>
      <x:c r="E765" s="12" t="n">
        <x:v>654.045172</x:v>
      </x:c>
      <x:c r="F765" s="12" t="n">
        <x:f>SUM(B765,D765:E765)</x:f>
        <x:v>139146.237988</x:v>
      </x:c>
      <x:c r="G765" s="12" t="n">
        <x:f>MAX(G764,F765)</x:f>
        <x:v>139146.237988</x:v>
      </x:c>
      <x:c r="H765" s="14" t="n">
        <x:f>F765/G765-1</x:f>
        <x:v>0</x:v>
      </x:c>
      <x:c r="I765" s="14" t="n">
        <x:f>F765/F764-1</x:f>
        <x:v>0.0017422074625319528</x:v>
      </x:c>
      <x:c r="J765" s="12" t="n">
        <x:v>0</x:v>
      </x:c>
      <x:c r="K765" s="12" t="n">
        <x:v>0</x:v>
      </x:c>
      <x:c r="L765" s="12" t="n">
        <x:v>0</x:v>
      </x:c>
      <x:c r="M765" s="2" t="str">
        <x:v>持有</x:v>
      </x:c>
    </x:row>
    <x:row r="766" ht="23" customHeight="1">
      <x:c r="A766" s="11" t="d">
        <x:v>2018-01-09T00:00:00.000Z</x:v>
      </x:c>
      <x:c r="B766" s="12" t="n">
        <x:v>5914.912816</x:v>
      </x:c>
      <x:c r="C766" s="13" t="n">
        <x:v>484</x:v>
      </x:c>
      <x:c r="D766" s="12" t="n">
        <x:v>132877.36000000002</x:v>
      </x:c>
      <x:c r="E766" s="12" t="n">
        <x:v>654.045172</x:v>
      </x:c>
      <x:c r="F766" s="12" t="n">
        <x:f>SUM(B766,D766:E766)</x:f>
        <x:v>139446.31798800002</x:v>
      </x:c>
      <x:c r="G766" s="12" t="n">
        <x:f>MAX(G765,F766)</x:f>
        <x:v>139446.31798800002</x:v>
      </x:c>
      <x:c r="H766" s="14" t="n">
        <x:f>F766/G766-1</x:f>
        <x:v>0</x:v>
      </x:c>
      <x:c r="I766" s="14" t="n">
        <x:f>F766/F765-1</x:f>
        <x:v>0.002156580043694012</x:v>
      </x:c>
      <x:c r="J766" s="12" t="n">
        <x:v>0</x:v>
      </x:c>
      <x:c r="K766" s="12" t="n">
        <x:v>0</x:v>
      </x:c>
      <x:c r="L766" s="12" t="n">
        <x:v>0</x:v>
      </x:c>
      <x:c r="M766" s="2" t="str">
        <x:v>持有</x:v>
      </x:c>
    </x:row>
    <x:row r="767" ht="23" customHeight="1">
      <x:c r="A767" s="11" t="d">
        <x:v>2018-01-10T00:00:00.000Z</x:v>
      </x:c>
      <x:c r="B767" s="12" t="n">
        <x:v>5914.912816</x:v>
      </x:c>
      <x:c r="C767" s="13" t="n">
        <x:v>484</x:v>
      </x:c>
      <x:c r="D767" s="12" t="n">
        <x:v>132674.08000000002</x:v>
      </x:c>
      <x:c r="E767" s="12" t="n">
        <x:v>654.045172</x:v>
      </x:c>
      <x:c r="F767" s="12" t="n">
        <x:f>SUM(B767,D767:E767)</x:f>
        <x:v>139243.03798800003</x:v>
      </x:c>
      <x:c r="G767" s="12" t="n">
        <x:f>MAX(G766,F767)</x:f>
        <x:v>139446.31798800002</x:v>
      </x:c>
      <x:c r="H767" s="14" t="n">
        <x:f>F767/G767-1</x:f>
        <x:v>-0.001457765274358036</x:v>
      </x:c>
      <x:c r="I767" s="14" t="n">
        <x:f>F767/F766-1</x:f>
        <x:v>-0.001457765274358036</x:v>
      </x:c>
      <x:c r="J767" s="12" t="n">
        <x:v>0</x:v>
      </x:c>
      <x:c r="K767" s="12" t="n">
        <x:v>0</x:v>
      </x:c>
      <x:c r="L767" s="12" t="n">
        <x:v>0</x:v>
      </x:c>
      <x:c r="M767" s="2" t="str">
        <x:v>持有</x:v>
      </x:c>
    </x:row>
    <x:row r="768" ht="23" customHeight="1">
      <x:c r="A768" s="11" t="d">
        <x:v>2018-01-11T00:00:00.000Z</x:v>
      </x:c>
      <x:c r="B768" s="12" t="n">
        <x:v>5914.912816</x:v>
      </x:c>
      <x:c r="C768" s="13" t="n">
        <x:v>484</x:v>
      </x:c>
      <x:c r="D768" s="12" t="n">
        <x:v>133642.08000000002</x:v>
      </x:c>
      <x:c r="E768" s="12" t="n">
        <x:v>654.045172</x:v>
      </x:c>
      <x:c r="F768" s="12" t="n">
        <x:f>SUM(B768,D768:E768)</x:f>
        <x:v>140211.03798800003</x:v>
      </x:c>
      <x:c r="G768" s="12" t="n">
        <x:f>MAX(G767,F768)</x:f>
        <x:v>140211.03798800003</x:v>
      </x:c>
      <x:c r="H768" s="14" t="n">
        <x:f>F768/G768-1</x:f>
        <x:v>0</x:v>
      </x:c>
      <x:c r="I768" s="14" t="n">
        <x:f>F768/F767-1</x:f>
        <x:v>0.006951873601633407</x:v>
      </x:c>
      <x:c r="J768" s="12" t="n">
        <x:v>0</x:v>
      </x:c>
      <x:c r="K768" s="12" t="n">
        <x:v>0</x:v>
      </x:c>
      <x:c r="L768" s="12" t="n">
        <x:v>0</x:v>
      </x:c>
      <x:c r="M768" s="2" t="str">
        <x:v>持有</x:v>
      </x:c>
    </x:row>
    <x:row r="769" ht="23" customHeight="1">
      <x:c r="A769" s="11" t="d">
        <x:v>2018-01-12T00:00:00.000Z</x:v>
      </x:c>
      <x:c r="B769" s="12" t="n">
        <x:v>5914.912816</x:v>
      </x:c>
      <x:c r="C769" s="13" t="n">
        <x:v>484</x:v>
      </x:c>
      <x:c r="D769" s="12" t="n">
        <x:v>134513.28</x:v>
      </x:c>
      <x:c r="E769" s="12" t="n">
        <x:v>654.045172</x:v>
      </x:c>
      <x:c r="F769" s="12" t="n">
        <x:f>SUM(B769,D769:E769)</x:f>
        <x:v>141082.237988</x:v>
      </x:c>
      <x:c r="G769" s="12" t="n">
        <x:f>MAX(G768,F769)</x:f>
        <x:v>141082.237988</x:v>
      </x:c>
      <x:c r="H769" s="14" t="n">
        <x:f>F769/G769-1</x:f>
        <x:v>0</x:v>
      </x:c>
      <x:c r="I769" s="14" t="n">
        <x:f>F769/F768-1</x:f>
        <x:v>0.006213490838535396</x:v>
      </x:c>
      <x:c r="J769" s="12" t="n">
        <x:v>0</x:v>
      </x:c>
      <x:c r="K769" s="12" t="n">
        <x:v>0</x:v>
      </x:c>
      <x:c r="L769" s="12" t="n">
        <x:v>0</x:v>
      </x:c>
      <x:c r="M769" s="2" t="str">
        <x:v>持有</x:v>
      </x:c>
    </x:row>
    <x:row r="770" ht="23" customHeight="1">
      <x:c r="A770" s="11" t="d">
        <x:v>2018-01-16T00:00:00.000Z</x:v>
      </x:c>
      <x:c r="B770" s="12" t="n">
        <x:v>5914.912816</x:v>
      </x:c>
      <x:c r="C770" s="13" t="n">
        <x:v>484</x:v>
      </x:c>
      <x:c r="D770" s="12" t="n">
        <x:v>134053.48</x:v>
      </x:c>
      <x:c r="E770" s="12" t="n">
        <x:v>654.045172</x:v>
      </x:c>
      <x:c r="F770" s="12" t="n">
        <x:f>SUM(B770,D770:E770)</x:f>
        <x:v>140622.43798800002</x:v>
      </x:c>
      <x:c r="G770" s="12" t="n">
        <x:f>MAX(G769,F770)</x:f>
        <x:v>141082.237988</x:v>
      </x:c>
      <x:c r="H770" s="14" t="n">
        <x:f>F770/G770-1</x:f>
        <x:v>-0.003259092048420009</x:v>
      </x:c>
      <x:c r="I770" s="14" t="n">
        <x:f>F770/F769-1</x:f>
        <x:v>-0.003259092048420009</x:v>
      </x:c>
      <x:c r="J770" s="12" t="n">
        <x:v>0</x:v>
      </x:c>
      <x:c r="K770" s="12" t="n">
        <x:v>0</x:v>
      </x:c>
      <x:c r="L770" s="12" t="n">
        <x:v>0</x:v>
      </x:c>
      <x:c r="M770" s="2" t="str">
        <x:v>持有</x:v>
      </x:c>
    </x:row>
    <x:row r="771" ht="23" customHeight="1">
      <x:c r="A771" s="11" t="d">
        <x:v>2018-01-17T00:00:00.000Z</x:v>
      </x:c>
      <x:c r="B771" s="12" t="n">
        <x:v>5914.912816</x:v>
      </x:c>
      <x:c r="C771" s="13" t="n">
        <x:v>484</x:v>
      </x:c>
      <x:c r="D771" s="12" t="n">
        <x:v>135331.24000000002</x:v>
      </x:c>
      <x:c r="E771" s="12" t="n">
        <x:v>654.045172</x:v>
      </x:c>
      <x:c r="F771" s="12" t="n">
        <x:f>SUM(B771,D771:E771)</x:f>
        <x:v>141900.19798800003</x:v>
      </x:c>
      <x:c r="G771" s="12" t="n">
        <x:f>MAX(G770,F771)</x:f>
        <x:v>141900.19798800003</x:v>
      </x:c>
      <x:c r="H771" s="14" t="n">
        <x:f>F771/G771-1</x:f>
        <x:v>0</x:v>
      </x:c>
      <x:c r="I771" s="14" t="n">
        <x:f>F771/F770-1</x:f>
        <x:v>0.009086458877274328</x:v>
      </x:c>
      <x:c r="J771" s="12" t="n">
        <x:v>0</x:v>
      </x:c>
      <x:c r="K771" s="12" t="n">
        <x:v>0</x:v>
      </x:c>
      <x:c r="L771" s="12" t="n">
        <x:v>0</x:v>
      </x:c>
      <x:c r="M771" s="2" t="str">
        <x:v>持有</x:v>
      </x:c>
    </x:row>
    <x:row r="772" ht="23" customHeight="1">
      <x:c r="A772" s="11" t="d">
        <x:v>2018-01-18T00:00:00.000Z</x:v>
      </x:c>
      <x:c r="B772" s="12" t="n">
        <x:v>5914.912816</x:v>
      </x:c>
      <x:c r="C772" s="13" t="n">
        <x:v>484</x:v>
      </x:c>
      <x:c r="D772" s="12" t="n">
        <x:v>135103.75999999998</x:v>
      </x:c>
      <x:c r="E772" s="12" t="n">
        <x:v>654.045172</x:v>
      </x:c>
      <x:c r="F772" s="12" t="n">
        <x:f>SUM(B772,D772:E772)</x:f>
        <x:v>141672.717988</x:v>
      </x:c>
      <x:c r="G772" s="12" t="n">
        <x:f>MAX(G771,F772)</x:f>
        <x:v>141900.19798800003</x:v>
      </x:c>
      <x:c r="H772" s="14" t="n">
        <x:f>F772/G772-1</x:f>
        <x:v>-0.001603098538447978</x:v>
      </x:c>
      <x:c r="I772" s="14" t="n">
        <x:f>F772/F771-1</x:f>
        <x:v>-0.001603098538447978</x:v>
      </x:c>
      <x:c r="J772" s="12" t="n">
        <x:v>0</x:v>
      </x:c>
      <x:c r="K772" s="12" t="n">
        <x:v>0</x:v>
      </x:c>
      <x:c r="L772" s="12" t="n">
        <x:v>0</x:v>
      </x:c>
      <x:c r="M772" s="2" t="str">
        <x:v>持有</x:v>
      </x:c>
    </x:row>
    <x:row r="773" ht="23" customHeight="1">
      <x:c r="A773" s="11" t="d">
        <x:v>2018-01-19T00:00:00.000Z</x:v>
      </x:c>
      <x:c r="B773" s="12" t="n">
        <x:v>5914.912816</x:v>
      </x:c>
      <x:c r="C773" s="13" t="n">
        <x:v>484</x:v>
      </x:c>
      <x:c r="D773" s="12" t="n">
        <x:v>135718.44</x:v>
      </x:c>
      <x:c r="E773" s="12" t="n">
        <x:v>654.045172</x:v>
      </x:c>
      <x:c r="F773" s="12" t="n">
        <x:f>SUM(B773,D773:E773)</x:f>
        <x:v>142287.397988</x:v>
      </x:c>
      <x:c r="G773" s="12" t="n">
        <x:f>MAX(G772,F773)</x:f>
        <x:v>142287.397988</x:v>
      </x:c>
      <x:c r="H773" s="14" t="n">
        <x:f>F773/G773-1</x:f>
        <x:v>0</x:v>
      </x:c>
      <x:c r="I773" s="14" t="n">
        <x:f>F773/F772-1</x:f>
        <x:v>0.004338732317199501</x:v>
      </x:c>
      <x:c r="J773" s="12" t="n">
        <x:v>0</x:v>
      </x:c>
      <x:c r="K773" s="12" t="n">
        <x:v>0</x:v>
      </x:c>
      <x:c r="L773" s="12" t="n">
        <x:v>0</x:v>
      </x:c>
      <x:c r="M773" s="2" t="str">
        <x:v>持有</x:v>
      </x:c>
    </x:row>
    <x:row r="774" ht="23" customHeight="1">
      <x:c r="A774" s="11" t="d">
        <x:v>2018-01-22T00:00:00.000Z</x:v>
      </x:c>
      <x:c r="B774" s="12" t="n">
        <x:v>5914.912816</x:v>
      </x:c>
      <x:c r="C774" s="13" t="n">
        <x:v>484</x:v>
      </x:c>
      <x:c r="D774" s="12" t="n">
        <x:v>136821.96</x:v>
      </x:c>
      <x:c r="E774" s="12" t="n">
        <x:v>654.045172</x:v>
      </x:c>
      <x:c r="F774" s="12" t="n">
        <x:f>SUM(B774,D774:E774)</x:f>
        <x:v>143390.917988</x:v>
      </x:c>
      <x:c r="G774" s="12" t="n">
        <x:f>MAX(G773,F774)</x:f>
        <x:v>143390.917988</x:v>
      </x:c>
      <x:c r="H774" s="14" t="n">
        <x:f>F774/G774-1</x:f>
        <x:v>0</x:v>
      </x:c>
      <x:c r="I774" s="14" t="n">
        <x:f>F774/F773-1</x:f>
        <x:v>0.007755570877000961</x:v>
      </x:c>
      <x:c r="J774" s="12" t="n">
        <x:v>0</x:v>
      </x:c>
      <x:c r="K774" s="12" t="n">
        <x:v>0</x:v>
      </x:c>
      <x:c r="L774" s="12" t="n">
        <x:v>0</x:v>
      </x:c>
      <x:c r="M774" s="2" t="str">
        <x:v>持有</x:v>
      </x:c>
    </x:row>
    <x:row r="775" ht="23" customHeight="1">
      <x:c r="A775" s="11" t="d">
        <x:v>2018-01-23T00:00:00.000Z</x:v>
      </x:c>
      <x:c r="B775" s="12" t="n">
        <x:v>5914.912816</x:v>
      </x:c>
      <x:c r="C775" s="13" t="n">
        <x:v>484</x:v>
      </x:c>
      <x:c r="D775" s="12" t="n">
        <x:v>137112.36000000002</x:v>
      </x:c>
      <x:c r="E775" s="12" t="n">
        <x:v>654.045172</x:v>
      </x:c>
      <x:c r="F775" s="12" t="n">
        <x:f>SUM(B775,D775:E775)</x:f>
        <x:v>143681.31798800002</x:v>
      </x:c>
      <x:c r="G775" s="12" t="n">
        <x:f>MAX(G774,F775)</x:f>
        <x:v>143681.31798800002</x:v>
      </x:c>
      <x:c r="H775" s="14" t="n">
        <x:f>F775/G775-1</x:f>
        <x:v>0</x:v>
      </x:c>
      <x:c r="I775" s="14" t="n">
        <x:f>F775/F774-1</x:f>
        <x:v>0.002025232867428395</x:v>
      </x:c>
      <x:c r="J775" s="12" t="n">
        <x:v>0</x:v>
      </x:c>
      <x:c r="K775" s="12" t="n">
        <x:v>0</x:v>
      </x:c>
      <x:c r="L775" s="12" t="n">
        <x:v>0</x:v>
      </x:c>
      <x:c r="M775" s="2" t="str">
        <x:v>持有</x:v>
      </x:c>
    </x:row>
    <x:row r="776" ht="23" customHeight="1">
      <x:c r="A776" s="11" t="d">
        <x:v>2018-01-24T00:00:00.000Z</x:v>
      </x:c>
      <x:c r="B776" s="12" t="n">
        <x:v>5914.912816</x:v>
      </x:c>
      <x:c r="C776" s="13" t="n">
        <x:v>484</x:v>
      </x:c>
      <x:c r="D776" s="12" t="n">
        <x:v>137059.12</x:v>
      </x:c>
      <x:c r="E776" s="12" t="n">
        <x:v>654.045172</x:v>
      </x:c>
      <x:c r="F776" s="12" t="n">
        <x:f>SUM(B776,D776:E776)</x:f>
        <x:v>143628.077988</x:v>
      </x:c>
      <x:c r="G776" s="12" t="n">
        <x:f>MAX(G775,F776)</x:f>
        <x:v>143681.31798800002</x:v>
      </x:c>
      <x:c r="H776" s="14" t="n">
        <x:f>F776/G776-1</x:f>
        <x:v>-0.00037054225800225993</x:v>
      </x:c>
      <x:c r="I776" s="14" t="n">
        <x:f>F776/F775-1</x:f>
        <x:v>-0.00037054225800225993</x:v>
      </x:c>
      <x:c r="J776" s="12" t="n">
        <x:v>0</x:v>
      </x:c>
      <x:c r="K776" s="12" t="n">
        <x:v>0</x:v>
      </x:c>
      <x:c r="L776" s="12" t="n">
        <x:v>0</x:v>
      </x:c>
      <x:c r="M776" s="2" t="str">
        <x:v>持有</x:v>
      </x:c>
    </x:row>
    <x:row r="777" ht="23" customHeight="1">
      <x:c r="A777" s="11" t="d">
        <x:v>2018-01-25T00:00:00.000Z</x:v>
      </x:c>
      <x:c r="B777" s="12" t="n">
        <x:v>5914.912816</x:v>
      </x:c>
      <x:c r="C777" s="13" t="n">
        <x:v>484</x:v>
      </x:c>
      <x:c r="D777" s="12" t="n">
        <x:v>137117.2</x:v>
      </x:c>
      <x:c r="E777" s="12" t="n">
        <x:v>654.045172</x:v>
      </x:c>
      <x:c r="F777" s="12" t="n">
        <x:f>SUM(B777,D777:E777)</x:f>
        <x:v>143686.15798800002</x:v>
      </x:c>
      <x:c r="G777" s="12" t="n">
        <x:f>MAX(G776,F777)</x:f>
        <x:v>143686.15798800002</x:v>
      </x:c>
      <x:c r="H777" s="14" t="n">
        <x:f>F777/G777-1</x:f>
        <x:v>0</x:v>
      </x:c>
      <x:c r="I777" s="14" t="n">
        <x:f>F777/F776-1</x:f>
        <x:v>0.0004043777568678575</x:v>
      </x:c>
      <x:c r="J777" s="12" t="n">
        <x:v>0</x:v>
      </x:c>
      <x:c r="K777" s="12" t="n">
        <x:v>0</x:v>
      </x:c>
      <x:c r="L777" s="12" t="n">
        <x:v>0</x:v>
      </x:c>
      <x:c r="M777" s="2" t="str">
        <x:v>持有</x:v>
      </x:c>
    </x:row>
    <x:row r="778" ht="23" customHeight="1">
      <x:c r="A778" s="11" t="d">
        <x:v>2018-01-26T00:00:00.000Z</x:v>
      </x:c>
      <x:c r="B778" s="12" t="n">
        <x:v>5914.912816</x:v>
      </x:c>
      <x:c r="C778" s="13" t="n">
        <x:v>484</x:v>
      </x:c>
      <x:c r="D778" s="12" t="n">
        <x:v>138704.72</x:v>
      </x:c>
      <x:c r="E778" s="12" t="n">
        <x:v>654.045172</x:v>
      </x:c>
      <x:c r="F778" s="12" t="n">
        <x:f>SUM(B778,D778:E778)</x:f>
        <x:v>145273.677988</x:v>
      </x:c>
      <x:c r="G778" s="12" t="n">
        <x:f>MAX(G777,F778)</x:f>
        <x:v>145273.677988</x:v>
      </x:c>
      <x:c r="H778" s="14" t="n">
        <x:f>F778/G778-1</x:f>
        <x:v>0</x:v>
      </x:c>
      <x:c r="I778" s="14" t="n">
        <x:f>F778/F777-1</x:f>
        <x:v>0.011048524243598923</x:v>
      </x:c>
      <x:c r="J778" s="12" t="n">
        <x:v>0</x:v>
      </x:c>
      <x:c r="K778" s="12" t="n">
        <x:v>0</x:v>
      </x:c>
      <x:c r="L778" s="12" t="n">
        <x:v>0</x:v>
      </x:c>
      <x:c r="M778" s="2" t="str">
        <x:v>持有</x:v>
      </x:c>
    </x:row>
    <x:row r="779" ht="23" customHeight="1">
      <x:c r="A779" s="11" t="d">
        <x:v>2018-01-29T00:00:00.000Z</x:v>
      </x:c>
      <x:c r="B779" s="12" t="n">
        <x:v>5914.912816</x:v>
      </x:c>
      <x:c r="C779" s="13" t="n">
        <x:v>484</x:v>
      </x:c>
      <x:c r="D779" s="12" t="n">
        <x:v>137785.12</x:v>
      </x:c>
      <x:c r="E779" s="12" t="n">
        <x:v>654.045172</x:v>
      </x:c>
      <x:c r="F779" s="12" t="n">
        <x:f>SUM(B779,D779:E779)</x:f>
        <x:v>144354.077988</x:v>
      </x:c>
      <x:c r="G779" s="12" t="n">
        <x:f>MAX(G778,F779)</x:f>
        <x:v>145273.677988</x:v>
      </x:c>
      <x:c r="H779" s="14" t="n">
        <x:f>F779/G779-1</x:f>
        <x:v>-0.006330121276863165</x:v>
      </x:c>
      <x:c r="I779" s="14" t="n">
        <x:f>F779/F778-1</x:f>
        <x:v>-0.006330121276863165</x:v>
      </x:c>
      <x:c r="J779" s="12" t="n">
        <x:v>0</x:v>
      </x:c>
      <x:c r="K779" s="12" t="n">
        <x:v>0</x:v>
      </x:c>
      <x:c r="L779" s="12" t="n">
        <x:v>0</x:v>
      </x:c>
      <x:c r="M779" s="2" t="str">
        <x:v>持有</x:v>
      </x:c>
    </x:row>
    <x:row r="780" ht="23" customHeight="1">
      <x:c r="A780" s="11" t="d">
        <x:v>2018-01-30T00:00:00.000Z</x:v>
      </x:c>
      <x:c r="B780" s="12" t="n">
        <x:v>5914.912816</x:v>
      </x:c>
      <x:c r="C780" s="13" t="n">
        <x:v>484</x:v>
      </x:c>
      <x:c r="D780" s="12" t="n">
        <x:v>136371.84</x:v>
      </x:c>
      <x:c r="E780" s="12" t="n">
        <x:v>654.045172</x:v>
      </x:c>
      <x:c r="F780" s="12" t="n">
        <x:f>SUM(B780,D780:E780)</x:f>
        <x:v>142940.797988</x:v>
      </x:c>
      <x:c r="G780" s="12" t="n">
        <x:f>MAX(G779,F780)</x:f>
        <x:v>145273.677988</x:v>
      </x:c>
      <x:c r="H780" s="14" t="n">
        <x:f>F780/G780-1</x:f>
        <x:v>-0.01605851818656856</x:v>
      </x:c>
      <x:c r="I780" s="14" t="n">
        <x:f>F780/F779-1</x:f>
        <x:v>-0.009790371146407684</x:v>
      </x:c>
      <x:c r="J780" s="12" t="n">
        <x:v>0</x:v>
      </x:c>
      <x:c r="K780" s="12" t="n">
        <x:v>0</x:v>
      </x:c>
      <x:c r="L780" s="12" t="n">
        <x:v>0</x:v>
      </x:c>
      <x:c r="M780" s="2" t="str">
        <x:v>持有</x:v>
      </x:c>
    </x:row>
    <x:row r="781" ht="23" customHeight="1">
      <x:c r="A781" s="11" t="d">
        <x:v>2018-01-31T00:00:00.000Z</x:v>
      </x:c>
      <x:c r="B781" s="12" t="n">
        <x:v>6568.957988</x:v>
      </x:c>
      <x:c r="C781" s="13" t="n">
        <x:v>484</x:v>
      </x:c>
      <x:c r="D781" s="12" t="n">
        <x:v>136439.59999999998</x:v>
      </x:c>
      <x:c r="E781" s="12" t="n">
        <x:v>0</x:v>
      </x:c>
      <x:c r="F781" s="12" t="n">
        <x:f>SUM(B781,D781:E781)</x:f>
        <x:v>143008.557988</x:v>
      </x:c>
      <x:c r="G781" s="12" t="n">
        <x:f>MAX(G780,F781)</x:f>
        <x:v>145273.677988</x:v>
      </x:c>
      <x:c r="H781" s="14" t="n">
        <x:f>F781/G781-1</x:f>
        <x:v>-0.015592088197747267</x:v>
      </x:c>
      <x:c r="I781" s="14" t="n">
        <x:f>F781/F780-1</x:f>
        <x:v>0.000474042407442532</x:v>
      </x:c>
      <x:c r="J781" s="12" t="n">
        <x:v>0</x:v>
      </x:c>
      <x:c r="K781" s="12" t="n">
        <x:v>654.045172</x:v>
      </x:c>
      <x:c r="L781" s="12" t="n">
        <x:v>0</x:v>
      </x:c>
      <x:c r="M781" s="2" t="str">
        <x:v>持有</x:v>
      </x:c>
    </x:row>
    <x:row r="782" ht="23" customHeight="1">
      <x:c r="A782" s="11" t="d">
        <x:v>2018-02-01T00:00:00.000Z</x:v>
      </x:c>
      <x:c r="B782" s="12" t="n">
        <x:v>6568.957988</x:v>
      </x:c>
      <x:c r="C782" s="13" t="n">
        <x:v>484</x:v>
      </x:c>
      <x:c r="D782" s="12" t="n">
        <x:v>136284.72</x:v>
      </x:c>
      <x:c r="E782" s="12" t="n">
        <x:v>0</x:v>
      </x:c>
      <x:c r="F782" s="12" t="n">
        <x:f>SUM(B782,D782:E782)</x:f>
        <x:v>142853.677988</x:v>
      </x:c>
      <x:c r="G782" s="12" t="n">
        <x:f>MAX(G781,F782)</x:f>
        <x:v>145273.677988</x:v>
      </x:c>
      <x:c r="H782" s="14" t="n">
        <x:f>F782/G782-1</x:f>
        <x:v>-0.01665821388648192</x:v>
      </x:c>
      <x:c r="I782" s="14" t="n">
        <x:f>F782/F781-1</x:f>
        <x:v>-0.0010830121090583678</x:v>
      </x:c>
      <x:c r="J782" s="12" t="n">
        <x:v>0</x:v>
      </x:c>
      <x:c r="K782" s="12" t="n">
        <x:v>0</x:v>
      </x:c>
      <x:c r="L782" s="12" t="n">
        <x:v>0</x:v>
      </x:c>
      <x:c r="M782" s="2" t="str">
        <x:v>持有</x:v>
      </x:c>
    </x:row>
    <x:row r="783" ht="23" customHeight="1">
      <x:c r="A783" s="11" t="d">
        <x:v>2018-02-02T00:00:00.000Z</x:v>
      </x:c>
      <x:c r="B783" s="12" t="n">
        <x:v>6568.957988</x:v>
      </x:c>
      <x:c r="C783" s="13" t="n">
        <x:v>484</x:v>
      </x:c>
      <x:c r="D783" s="12" t="n">
        <x:v>133317.8</x:v>
      </x:c>
      <x:c r="E783" s="12" t="n">
        <x:v>0</x:v>
      </x:c>
      <x:c r="F783" s="12" t="n">
        <x:f>SUM(B783,D783:E783)</x:f>
        <x:v>139886.757988</x:v>
      </x:c>
      <x:c r="G783" s="12" t="n">
        <x:f>MAX(G782,F783)</x:f>
        <x:v>145273.677988</x:v>
      </x:c>
      <x:c r="H783" s="14" t="n">
        <x:f>F783/G783-1</x:f>
        <x:v>-0.037081184111308785</x:v>
      </x:c>
      <x:c r="I783" s="14" t="n">
        <x:f>F783/F782-1</x:f>
        <x:v>-0.020768943731705902</x:v>
      </x:c>
      <x:c r="J783" s="12" t="n">
        <x:v>0</x:v>
      </x:c>
      <x:c r="K783" s="12" t="n">
        <x:v>0</x:v>
      </x:c>
      <x:c r="L783" s="12" t="n">
        <x:v>0</x:v>
      </x:c>
      <x:c r="M783" s="2" t="str">
        <x:v>持有</x:v>
      </x:c>
    </x:row>
    <x:row r="784" ht="23" customHeight="1">
      <x:c r="A784" s="11" t="d">
        <x:v>2018-02-05T00:00:00.000Z</x:v>
      </x:c>
      <x:c r="B784" s="12" t="n">
        <x:v>6568.957988</x:v>
      </x:c>
      <x:c r="C784" s="13" t="n">
        <x:v>484</x:v>
      </x:c>
      <x:c r="D784" s="12" t="n">
        <x:v>127742.12000000001</x:v>
      </x:c>
      <x:c r="E784" s="12" t="n">
        <x:v>0</x:v>
      </x:c>
      <x:c r="F784" s="12" t="n">
        <x:f>SUM(B784,D784:E784)</x:f>
        <x:v>134311.077988</x:v>
      </x:c>
      <x:c r="G784" s="12" t="n">
        <x:f>MAX(G783,F784)</x:f>
        <x:v>145273.677988</x:v>
      </x:c>
      <x:c r="H784" s="14" t="n">
        <x:f>F784/G784-1</x:f>
        <x:v>-0.07546170890576298</x:v>
      </x:c>
      <x:c r="I784" s="14" t="n">
        <x:f>F784/F783-1</x:f>
        <x:v>-0.039858526140682304</x:v>
      </x:c>
      <x:c r="J784" s="12" t="n">
        <x:v>0</x:v>
      </x:c>
      <x:c r="K784" s="12" t="n">
        <x:v>0</x:v>
      </x:c>
      <x:c r="L784" s="12" t="n">
        <x:v>0</x:v>
      </x:c>
      <x:c r="M784" s="2" t="str">
        <x:v>持有</x:v>
      </x:c>
    </x:row>
    <x:row r="785" ht="23" customHeight="1">
      <x:c r="A785" s="11" t="d">
        <x:v>2018-02-06T00:00:00.000Z</x:v>
      </x:c>
      <x:c r="B785" s="12" t="n">
        <x:v>6568.957988</x:v>
      </x:c>
      <x:c r="C785" s="13" t="n">
        <x:v>484</x:v>
      </x:c>
      <x:c r="D785" s="12" t="n">
        <x:v>130258.92</x:v>
      </x:c>
      <x:c r="E785" s="12" t="n">
        <x:v>0</x:v>
      </x:c>
      <x:c r="F785" s="12" t="n">
        <x:f>SUM(B785,D785:E785)</x:f>
        <x:v>136827.877988</x:v>
      </x:c>
      <x:c r="G785" s="12" t="n">
        <x:f>MAX(G784,F785)</x:f>
        <x:v>145273.677988</x:v>
      </x:c>
      <x:c r="H785" s="14" t="n">
        <x:f>F785/G785-1</x:f>
        <x:v>-0.05813716646382194</x:v>
      </x:c>
      <x:c r="I785" s="14" t="n">
        <x:f>F785/F784-1</x:f>
        <x:v>0.018738588340604823</x:v>
      </x:c>
      <x:c r="J785" s="12" t="n">
        <x:v>0</x:v>
      </x:c>
      <x:c r="K785" s="12" t="n">
        <x:v>0</x:v>
      </x:c>
      <x:c r="L785" s="12" t="n">
        <x:v>0</x:v>
      </x:c>
      <x:c r="M785" s="2" t="str">
        <x:v>持有</x:v>
      </x:c>
    </x:row>
    <x:row r="786" ht="23" customHeight="1">
      <x:c r="A786" s="11" t="d">
        <x:v>2018-02-07T00:00:00.000Z</x:v>
      </x:c>
      <x:c r="B786" s="12" t="n">
        <x:v>6568.957988</x:v>
      </x:c>
      <x:c r="C786" s="13" t="n">
        <x:v>484</x:v>
      </x:c>
      <x:c r="D786" s="12" t="n">
        <x:v>129552.28000000001</x:v>
      </x:c>
      <x:c r="E786" s="12" t="n">
        <x:v>0</x:v>
      </x:c>
      <x:c r="F786" s="12" t="n">
        <x:f>SUM(B786,D786:E786)</x:f>
        <x:v>136121.237988</x:v>
      </x:c>
      <x:c r="G786" s="12" t="n">
        <x:f>MAX(G785,F786)</x:f>
        <x:v>145273.677988</x:v>
      </x:c>
      <x:c r="H786" s="14" t="n">
        <x:f>F786/G786-1</x:f>
        <x:v>-0.06300136491867447</x:v>
      </x:c>
      <x:c r="I786" s="14" t="n">
        <x:f>F786/F785-1</x:f>
        <x:v>-0.0051644446321236215</x:v>
      </x:c>
      <x:c r="J786" s="12" t="n">
        <x:v>0</x:v>
      </x:c>
      <x:c r="K786" s="12" t="n">
        <x:v>0</x:v>
      </x:c>
      <x:c r="L786" s="12" t="n">
        <x:v>0</x:v>
      </x:c>
      <x:c r="M786" s="2" t="str">
        <x:v>持有</x:v>
      </x:c>
    </x:row>
    <x:row r="787" ht="23" customHeight="1">
      <x:c r="A787" s="11" t="d">
        <x:v>2018-02-08T00:00:00.000Z</x:v>
      </x:c>
      <x:c r="B787" s="12" t="n">
        <x:v>6568.957988</x:v>
      </x:c>
      <x:c r="C787" s="13" t="n">
        <x:v>484</x:v>
      </x:c>
      <x:c r="D787" s="12" t="n">
        <x:v>124692.92</x:v>
      </x:c>
      <x:c r="E787" s="12" t="n">
        <x:v>0</x:v>
      </x:c>
      <x:c r="F787" s="12" t="n">
        <x:f>SUM(B787,D787:E787)</x:f>
        <x:v>131261.877988</x:v>
      </x:c>
      <x:c r="G787" s="12" t="n">
        <x:f>MAX(G786,F787)</x:f>
        <x:v>145273.677988</x:v>
      </x:c>
      <x:c r="H787" s="14" t="n">
        <x:f>F787/G787-1</x:f>
        <x:v>-0.09645105840273027</x:v>
      </x:c>
      <x:c r="I787" s="14" t="n">
        <x:f>F787/F786-1</x:f>
        <x:v>-0.035698764364958224</x:v>
      </x:c>
      <x:c r="J787" s="12" t="n">
        <x:v>0</x:v>
      </x:c>
      <x:c r="K787" s="12" t="n">
        <x:v>0</x:v>
      </x:c>
      <x:c r="L787" s="12" t="n">
        <x:v>0</x:v>
      </x:c>
      <x:c r="M787" s="2" t="str">
        <x:v>持有</x:v>
      </x:c>
    </x:row>
    <x:row r="788" ht="23" customHeight="1">
      <x:c r="A788" s="11" t="d">
        <x:v>2018-02-09T00:00:00.000Z</x:v>
      </x:c>
      <x:c r="B788" s="12" t="n">
        <x:v>6568.957988</x:v>
      </x:c>
      <x:c r="C788" s="13" t="n">
        <x:v>484</x:v>
      </x:c>
      <x:c r="D788" s="12" t="n">
        <x:v>126566</x:v>
      </x:c>
      <x:c r="E788" s="12" t="n">
        <x:v>0</x:v>
      </x:c>
      <x:c r="F788" s="12" t="n">
        <x:f>SUM(B788,D788:E788)</x:f>
        <x:v>133134.957988</x:v>
      </x:c>
      <x:c r="G788" s="12" t="n">
        <x:f>MAX(G787,F788)</x:f>
        <x:v>145273.677988</x:v>
      </x:c>
      <x:c r="H788" s="14" t="n">
        <x:f>F788/G788-1</x:f>
        <x:v>-0.08355760085459318</x:v>
      </x:c>
      <x:c r="I788" s="14" t="n">
        <x:f>F788/F787-1</x:f>
        <x:v>0.014269794312795403</x:v>
      </x:c>
      <x:c r="J788" s="12" t="n">
        <x:v>0</x:v>
      </x:c>
      <x:c r="K788" s="12" t="n">
        <x:v>0</x:v>
      </x:c>
      <x:c r="L788" s="12" t="n">
        <x:v>0</x:v>
      </x:c>
      <x:c r="M788" s="2" t="str">
        <x:v>持有</x:v>
      </x:c>
    </x:row>
    <x:row r="789" ht="23" customHeight="1">
      <x:c r="A789" s="11" t="d">
        <x:v>2018-02-12T00:00:00.000Z</x:v>
      </x:c>
      <x:c r="B789" s="12" t="n">
        <x:v>6568.957988</x:v>
      </x:c>
      <x:c r="C789" s="13" t="n">
        <x:v>484</x:v>
      </x:c>
      <x:c r="D789" s="12" t="n">
        <x:v>128424.55999999998</x:v>
      </x:c>
      <x:c r="E789" s="12" t="n">
        <x:v>0</x:v>
      </x:c>
      <x:c r="F789" s="12" t="n">
        <x:f>SUM(B789,D789:E789)</x:f>
        <x:v>134993.51798799998</x:v>
      </x:c>
      <x:c r="G789" s="12" t="n">
        <x:f>MAX(G788,F789)</x:f>
        <x:v>145273.677988</x:v>
      </x:c>
      <x:c r="H789" s="14" t="n">
        <x:f>F789/G789-1</x:f>
        <x:v>-0.07076409258977534</x:v>
      </x:c>
      <x:c r="I789" s="14" t="n">
        <x:f>F789/F788-1</x:f>
        <x:v>0.01395996985380421</x:v>
      </x:c>
      <x:c r="J789" s="12" t="n">
        <x:v>0</x:v>
      </x:c>
      <x:c r="K789" s="12" t="n">
        <x:v>0</x:v>
      </x:c>
      <x:c r="L789" s="12" t="n">
        <x:v>0</x:v>
      </x:c>
      <x:c r="M789" s="2" t="str">
        <x:v>持有</x:v>
      </x:c>
    </x:row>
    <x:row r="790" ht="23" customHeight="1">
      <x:c r="A790" s="11" t="d">
        <x:v>2018-02-13T00:00:00.000Z</x:v>
      </x:c>
      <x:c r="B790" s="12" t="n">
        <x:v>6568.957988</x:v>
      </x:c>
      <x:c r="C790" s="13" t="n">
        <x:v>484</x:v>
      </x:c>
      <x:c r="D790" s="12" t="n">
        <x:v>128744</x:v>
      </x:c>
      <x:c r="E790" s="12" t="n">
        <x:v>0</x:v>
      </x:c>
      <x:c r="F790" s="12" t="n">
        <x:f>SUM(B790,D790:E790)</x:f>
        <x:v>135312.957988</x:v>
      </x:c>
      <x:c r="G790" s="12" t="n">
        <x:f>MAX(G789,F790)</x:f>
        <x:v>145273.677988</x:v>
      </x:c>
      <x:c r="H790" s="14" t="n">
        <x:f>F790/G790-1</x:f>
        <x:v>-0.0685652083567595</x:v>
      </x:c>
      <x:c r="I790" s="14" t="n">
        <x:f>F790/F789-1</x:f>
        <x:v>0.0023663358416099456</x:v>
      </x:c>
      <x:c r="J790" s="12" t="n">
        <x:v>0</x:v>
      </x:c>
      <x:c r="K790" s="12" t="n">
        <x:v>0</x:v>
      </x:c>
      <x:c r="L790" s="12" t="n">
        <x:v>0</x:v>
      </x:c>
      <x:c r="M790" s="2" t="str">
        <x:v>持有</x:v>
      </x:c>
    </x:row>
    <x:row r="791" ht="23" customHeight="1">
      <x:c r="A791" s="11" t="d">
        <x:v>2018-02-14T00:00:00.000Z</x:v>
      </x:c>
      <x:c r="B791" s="12" t="n">
        <x:v>6568.957988</x:v>
      </x:c>
      <x:c r="C791" s="13" t="n">
        <x:v>484</x:v>
      </x:c>
      <x:c r="D791" s="12" t="n">
        <x:v>130481.55999999998</x:v>
      </x:c>
      <x:c r="E791" s="12" t="n">
        <x:v>0</x:v>
      </x:c>
      <x:c r="F791" s="12" t="n">
        <x:f>SUM(B791,D791:E791)</x:f>
        <x:v>137050.51798799998</x:v>
      </x:c>
      <x:c r="G791" s="12" t="n">
        <x:f>MAX(G790,F791)</x:f>
        <x:v>145273.677988</x:v>
      </x:c>
      <x:c r="H791" s="14" t="n">
        <x:f>F791/G791-1</x:f>
        <x:v>-0.05660461078626566</x:v>
      </x:c>
      <x:c r="I791" s="14" t="n">
        <x:f>F791/F790-1</x:f>
        <x:v>0.012841046606593798</x:v>
      </x:c>
      <x:c r="J791" s="12" t="n">
        <x:v>0</x:v>
      </x:c>
      <x:c r="K791" s="12" t="n">
        <x:v>0</x:v>
      </x:c>
      <x:c r="L791" s="12" t="n">
        <x:v>0</x:v>
      </x:c>
      <x:c r="M791" s="2" t="str">
        <x:v>持有</x:v>
      </x:c>
    </x:row>
    <x:row r="792" ht="23" customHeight="1">
      <x:c r="A792" s="11" t="d">
        <x:v>2018-02-15T00:00:00.000Z</x:v>
      </x:c>
      <x:c r="B792" s="12" t="n">
        <x:v>6568.957988</x:v>
      </x:c>
      <x:c r="C792" s="13" t="n">
        <x:v>484</x:v>
      </x:c>
      <x:c r="D792" s="12" t="n">
        <x:v>132146.52</x:v>
      </x:c>
      <x:c r="E792" s="12" t="n">
        <x:v>0</x:v>
      </x:c>
      <x:c r="F792" s="12" t="n">
        <x:f>SUM(B792,D792:E792)</x:f>
        <x:v>138715.477988</x:v>
      </x:c>
      <x:c r="G792" s="12" t="n">
        <x:f>MAX(G791,F792)</x:f>
        <x:v>145273.677988</x:v>
      </x:c>
      <x:c r="H792" s="14" t="n">
        <x:f>F792/G792-1</x:f>
        <x:v>-0.04514375963236594</x:v>
      </x:c>
      <x:c r="I792" s="14" t="n">
        <x:f>F792/F791-1</x:f>
        <x:v>0.012148513004130335</x:v>
      </x:c>
      <x:c r="J792" s="12" t="n">
        <x:v>0</x:v>
      </x:c>
      <x:c r="K792" s="12" t="n">
        <x:v>0</x:v>
      </x:c>
      <x:c r="L792" s="12" t="n">
        <x:v>0</x:v>
      </x:c>
      <x:c r="M792" s="2" t="str">
        <x:v>持有</x:v>
      </x:c>
    </x:row>
    <x:row r="793" ht="23" customHeight="1">
      <x:c r="A793" s="11" t="d">
        <x:v>2018-02-16T00:00:00.000Z</x:v>
      </x:c>
      <x:c r="B793" s="12" t="n">
        <x:v>6568.957988</x:v>
      </x:c>
      <x:c r="C793" s="13" t="n">
        <x:v>484</x:v>
      </x:c>
      <x:c r="D793" s="12" t="n">
        <x:v>132185.24000000002</x:v>
      </x:c>
      <x:c r="E793" s="12" t="n">
        <x:v>0</x:v>
      </x:c>
      <x:c r="F793" s="12" t="n">
        <x:f>SUM(B793,D793:E793)</x:f>
        <x:v>138754.19798800003</x:v>
      </x:c>
      <x:c r="G793" s="12" t="n">
        <x:f>MAX(G792,F793)</x:f>
        <x:v>145273.677988</x:v>
      </x:c>
      <x:c r="H793" s="14" t="n">
        <x:f>F793/G793-1</x:f>
        <x:v>-0.04487722821018203</x:v>
      </x:c>
      <x:c r="I793" s="14" t="n">
        <x:f>F793/F792-1</x:f>
        <x:v>0.00027913251326849853</x:v>
      </x:c>
      <x:c r="J793" s="12" t="n">
        <x:v>0</x:v>
      </x:c>
      <x:c r="K793" s="12" t="n">
        <x:v>0</x:v>
      </x:c>
      <x:c r="L793" s="12" t="n">
        <x:v>0</x:v>
      </x:c>
      <x:c r="M793" s="2" t="str">
        <x:v>持有</x:v>
      </x:c>
    </x:row>
    <x:row r="794" ht="23" customHeight="1">
      <x:c r="A794" s="11" t="d">
        <x:v>2018-02-20T00:00:00.000Z</x:v>
      </x:c>
      <x:c r="B794" s="12" t="n">
        <x:v>6568.957988</x:v>
      </x:c>
      <x:c r="C794" s="13" t="n">
        <x:v>484</x:v>
      </x:c>
      <x:c r="D794" s="12" t="n">
        <x:v>131357.59999999998</x:v>
      </x:c>
      <x:c r="E794" s="12" t="n">
        <x:v>0</x:v>
      </x:c>
      <x:c r="F794" s="12" t="n">
        <x:f>SUM(B794,D794:E794)</x:f>
        <x:v>137926.557988</x:v>
      </x:c>
      <x:c r="G794" s="12" t="n">
        <x:f>MAX(G793,F794)</x:f>
        <x:v>145273.677988</x:v>
      </x:c>
      <x:c r="H794" s="14" t="n">
        <x:f>F794/G794-1</x:f>
        <x:v>-0.050574337359359234</x:v>
      </x:c>
      <x:c r="I794" s="14" t="n">
        <x:f>F794/F793-1</x:f>
        <x:v>-0.0059647925035869465</x:v>
      </x:c>
      <x:c r="J794" s="12" t="n">
        <x:v>0</x:v>
      </x:c>
      <x:c r="K794" s="12" t="n">
        <x:v>0</x:v>
      </x:c>
      <x:c r="L794" s="12" t="n">
        <x:v>0</x:v>
      </x:c>
      <x:c r="M794" s="2" t="str">
        <x:v>持有</x:v>
      </x:c>
    </x:row>
    <x:row r="795" ht="23" customHeight="1">
      <x:c r="A795" s="11" t="d">
        <x:v>2018-02-21T00:00:00.000Z</x:v>
      </x:c>
      <x:c r="B795" s="12" t="n">
        <x:v>6568.957988</x:v>
      </x:c>
      <x:c r="C795" s="13" t="n">
        <x:v>484</x:v>
      </x:c>
      <x:c r="D795" s="12" t="n">
        <x:v>130704.20000000001</x:v>
      </x:c>
      <x:c r="E795" s="12" t="n">
        <x:v>0</x:v>
      </x:c>
      <x:c r="F795" s="12" t="n">
        <x:f>SUM(B795,D795:E795)</x:f>
        <x:v>137273.15798800002</x:v>
      </x:c>
      <x:c r="G795" s="12" t="n">
        <x:f>MAX(G794,F795)</x:f>
        <x:v>145273.677988</x:v>
      </x:c>
      <x:c r="H795" s="14" t="n">
        <x:f>F795/G795-1</x:f>
        <x:v>-0.05507205510870905</x:v>
      </x:c>
      <x:c r="I795" s="14" t="n">
        <x:f>F795/F794-1</x:f>
        <x:v>-0.004737303747236354</x:v>
      </x:c>
      <x:c r="J795" s="12" t="n">
        <x:v>0</x:v>
      </x:c>
      <x:c r="K795" s="12" t="n">
        <x:v>0</x:v>
      </x:c>
      <x:c r="L795" s="12" t="n">
        <x:v>0</x:v>
      </x:c>
      <x:c r="M795" s="2" t="str">
        <x:v>持有</x:v>
      </x:c>
    </x:row>
    <x:row r="796" ht="23" customHeight="1">
      <x:c r="A796" s="11" t="d">
        <x:v>2018-02-22T00:00:00.000Z</x:v>
      </x:c>
      <x:c r="B796" s="12" t="n">
        <x:v>6568.957988</x:v>
      </x:c>
      <x:c r="C796" s="13" t="n">
        <x:v>484</x:v>
      </x:c>
      <x:c r="D796" s="12" t="n">
        <x:v>130873.59999999999</x:v>
      </x:c>
      <x:c r="E796" s="12" t="n">
        <x:v>0</x:v>
      </x:c>
      <x:c r="F796" s="12" t="n">
        <x:f>SUM(B796,D796:E796)</x:f>
        <x:v>137442.557988</x:v>
      </x:c>
      <x:c r="G796" s="12" t="n">
        <x:f>MAX(G795,F796)</x:f>
        <x:v>145273.677988</x:v>
      </x:c>
      <x:c r="H796" s="14" t="n">
        <x:f>F796/G796-1</x:f>
        <x:v>-0.053905980136655596</x:v>
      </x:c>
      <x:c r="I796" s="14" t="n">
        <x:f>F796/F795-1</x:f>
        <x:v>0.0012340358631128812</x:v>
      </x:c>
      <x:c r="J796" s="12" t="n">
        <x:v>0</x:v>
      </x:c>
      <x:c r="K796" s="12" t="n">
        <x:v>0</x:v>
      </x:c>
      <x:c r="L796" s="12" t="n">
        <x:v>0</x:v>
      </x:c>
      <x:c r="M796" s="2" t="str">
        <x:v>持有</x:v>
      </x:c>
    </x:row>
    <x:row r="797" ht="23" customHeight="1">
      <x:c r="A797" s="11" t="d">
        <x:v>2018-02-23T00:00:00.000Z</x:v>
      </x:c>
      <x:c r="B797" s="12" t="n">
        <x:v>6568.957988</x:v>
      </x:c>
      <x:c r="C797" s="13" t="n">
        <x:v>484</x:v>
      </x:c>
      <x:c r="D797" s="12" t="n">
        <x:v>132959.63999999998</x:v>
      </x:c>
      <x:c r="E797" s="12" t="n">
        <x:v>0</x:v>
      </x:c>
      <x:c r="F797" s="12" t="n">
        <x:f>SUM(B797,D797:E797)</x:f>
        <x:v>139528.597988</x:v>
      </x:c>
      <x:c r="G797" s="12" t="n">
        <x:f>MAX(G796,F797)</x:f>
        <x:v>145273.677988</x:v>
      </x:c>
      <x:c r="H797" s="14" t="n">
        <x:f>F797/G797-1</x:f>
        <x:v>-0.039546599766508095</x:v>
      </x:c>
      <x:c r="I797" s="14" t="n">
        <x:f>F797/F796-1</x:f>
        <x:v>0.015177540570673553</x:v>
      </x:c>
      <x:c r="J797" s="12" t="n">
        <x:v>0</x:v>
      </x:c>
      <x:c r="K797" s="12" t="n">
        <x:v>0</x:v>
      </x:c>
      <x:c r="L797" s="12" t="n">
        <x:v>0</x:v>
      </x:c>
      <x:c r="M797" s="2" t="str">
        <x:v>持有</x:v>
      </x:c>
    </x:row>
    <x:row r="798" ht="23" customHeight="1">
      <x:c r="A798" s="11" t="d">
        <x:v>2018-02-26T00:00:00.000Z</x:v>
      </x:c>
      <x:c r="B798" s="12" t="n">
        <x:v>6568.957988</x:v>
      </x:c>
      <x:c r="C798" s="13" t="n">
        <x:v>484</x:v>
      </x:c>
      <x:c r="D798" s="12" t="n">
        <x:v>134503.59999999998</x:v>
      </x:c>
      <x:c r="E798" s="12" t="n">
        <x:v>0</x:v>
      </x:c>
      <x:c r="F798" s="12" t="n">
        <x:f>SUM(B798,D798:E798)</x:f>
        <x:v>141072.557988</x:v>
      </x:c>
      <x:c r="G798" s="12" t="n">
        <x:f>MAX(G797,F798)</x:f>
        <x:v>145273.677988</x:v>
      </x:c>
      <x:c r="H798" s="14" t="n">
        <x:f>F798/G798-1</x:f>
        <x:v>-0.028918659306932715</x:v>
      </x:c>
      <x:c r="I798" s="14" t="n">
        <x:f>F798/F797-1</x:f>
        <x:v>0.011065545144607336</x:v>
      </x:c>
      <x:c r="J798" s="12" t="n">
        <x:v>0</x:v>
      </x:c>
      <x:c r="K798" s="12" t="n">
        <x:v>0</x:v>
      </x:c>
      <x:c r="L798" s="12" t="n">
        <x:v>0</x:v>
      </x:c>
      <x:c r="M798" s="2" t="str">
        <x:v>持有</x:v>
      </x:c>
    </x:row>
    <x:row r="799" ht="23" customHeight="1">
      <x:c r="A799" s="11" t="d">
        <x:v>2018-02-27T00:00:00.000Z</x:v>
      </x:c>
      <x:c r="B799" s="12" t="n">
        <x:v>6568.957988</x:v>
      </x:c>
      <x:c r="C799" s="13" t="n">
        <x:v>484</x:v>
      </x:c>
      <x:c r="D799" s="12" t="n">
        <x:v>132824.12</x:v>
      </x:c>
      <x:c r="E799" s="12" t="n">
        <x:v>0</x:v>
      </x:c>
      <x:c r="F799" s="12" t="n">
        <x:f>SUM(B799,D799:E799)</x:f>
        <x:v>139393.077988</x:v>
      </x:c>
      <x:c r="G799" s="12" t="n">
        <x:f>MAX(G798,F799)</x:f>
        <x:v>145273.677988</x:v>
      </x:c>
      <x:c r="H799" s="14" t="n">
        <x:f>F799/G799-1</x:f>
        <x:v>-0.040479459744151014</x:v>
      </x:c>
      <x:c r="I799" s="14" t="n">
        <x:f>F799/F798-1</x:f>
        <x:v>-0.011905079371587246</x:v>
      </x:c>
      <x:c r="J799" s="12" t="n">
        <x:v>0</x:v>
      </x:c>
      <x:c r="K799" s="12" t="n">
        <x:v>0</x:v>
      </x:c>
      <x:c r="L799" s="12" t="n">
        <x:v>0</x:v>
      </x:c>
      <x:c r="M799" s="2" t="str">
        <x:v>持有</x:v>
      </x:c>
    </x:row>
    <x:row r="800" ht="23" customHeight="1">
      <x:c r="A800" s="11" t="d">
        <x:v>2018-02-28T00:00:00.000Z</x:v>
      </x:c>
      <x:c r="B800" s="12" t="n">
        <x:v>6568.957988</x:v>
      </x:c>
      <x:c r="C800" s="13" t="n">
        <x:v>484</x:v>
      </x:c>
      <x:c r="D800" s="12" t="n">
        <x:v>131478.59999999998</x:v>
      </x:c>
      <x:c r="E800" s="12" t="n">
        <x:v>0</x:v>
      </x:c>
      <x:c r="F800" s="12" t="n">
        <x:f>SUM(B800,D800:E800)</x:f>
        <x:v>138047.557988</x:v>
      </x:c>
      <x:c r="G800" s="12" t="n">
        <x:f>MAX(G799,F800)</x:f>
        <x:v>145273.677988</x:v>
      </x:c>
      <x:c r="H800" s="14" t="n">
        <x:f>F800/G800-1</x:f>
        <x:v>-0.049741426665035116</x:v>
      </x:c>
      <x:c r="I800" s="14" t="n">
        <x:f>F800/F799-1</x:f>
        <x:v>-0.009652703128600448</x:v>
      </x:c>
      <x:c r="J800" s="12" t="n">
        <x:v>0</x:v>
      </x:c>
      <x:c r="K800" s="12" t="n">
        <x:v>0</x:v>
      </x:c>
      <x:c r="L800" s="12" t="n">
        <x:v>0</x:v>
      </x:c>
      <x:c r="M800" s="2" t="str">
        <x:v>持有</x:v>
      </x:c>
    </x:row>
    <x:row r="801" ht="23" customHeight="1">
      <x:c r="A801" s="11" t="d">
        <x:v>2018-03-01T00:00:00.000Z</x:v>
      </x:c>
      <x:c r="B801" s="12" t="n">
        <x:v>6568.957988</x:v>
      </x:c>
      <x:c r="C801" s="13" t="n">
        <x:v>484</x:v>
      </x:c>
      <x:c r="D801" s="12" t="n">
        <x:v>129566.79999999999</x:v>
      </x:c>
      <x:c r="E801" s="12" t="n">
        <x:v>0</x:v>
      </x:c>
      <x:c r="F801" s="12" t="n">
        <x:f>SUM(B801,D801:E801)</x:f>
        <x:v>136135.757988</x:v>
      </x:c>
      <x:c r="G801" s="12" t="n">
        <x:f>MAX(G800,F801)</x:f>
        <x:v>145273.677988</x:v>
      </x:c>
      <x:c r="H801" s="14" t="n">
        <x:f>F801/G801-1</x:f>
        <x:v>-0.06290141563535567</x:v>
      </x:c>
      <x:c r="I801" s="14" t="n">
        <x:f>F801/F800-1</x:f>
        <x:v>-0.013848850554576075</x:v>
      </x:c>
      <x:c r="J801" s="12" t="n">
        <x:v>0</x:v>
      </x:c>
      <x:c r="K801" s="12" t="n">
        <x:v>0</x:v>
      </x:c>
      <x:c r="L801" s="12" t="n">
        <x:v>0</x:v>
      </x:c>
      <x:c r="M801" s="2" t="str">
        <x:v>持有</x:v>
      </x:c>
    </x:row>
    <x:row r="802" ht="23" customHeight="1">
      <x:c r="A802" s="11" t="d">
        <x:v>2018-03-02T00:00:00.000Z</x:v>
      </x:c>
      <x:c r="B802" s="12" t="n">
        <x:v>6568.957988</x:v>
      </x:c>
      <x:c r="C802" s="13" t="n">
        <x:v>484</x:v>
      </x:c>
      <x:c r="D802" s="12" t="n">
        <x:v>130234.71999999999</x:v>
      </x:c>
      <x:c r="E802" s="12" t="n">
        <x:v>0</x:v>
      </x:c>
      <x:c r="F802" s="12" t="n">
        <x:f>SUM(B802,D802:E802)</x:f>
        <x:v>136803.67798799998</x:v>
      </x:c>
      <x:c r="G802" s="12" t="n">
        <x:f>MAX(G801,F802)</x:f>
        <x:v>145273.677988</x:v>
      </x:c>
      <x:c r="H802" s="14" t="n">
        <x:f>F802/G802-1</x:f>
        <x:v>-0.05830374860268683</x:v>
      </x:c>
      <x:c r="I802" s="14" t="n">
        <x:f>F802/F801-1</x:f>
        <x:v>0.00490627892238904</x:v>
      </x:c>
      <x:c r="J802" s="12" t="n">
        <x:v>0</x:v>
      </x:c>
      <x:c r="K802" s="12" t="n">
        <x:v>0</x:v>
      </x:c>
      <x:c r="L802" s="12" t="n">
        <x:v>0</x:v>
      </x:c>
      <x:c r="M802" s="2" t="str">
        <x:v>持有</x:v>
      </x:c>
    </x:row>
    <x:row r="803" ht="23" customHeight="1">
      <x:c r="A803" s="11" t="d">
        <x:v>2018-03-05T00:00:00.000Z</x:v>
      </x:c>
      <x:c r="B803" s="12" t="n">
        <x:v>6568.957988</x:v>
      </x:c>
      <x:c r="C803" s="13" t="n">
        <x:v>484</x:v>
      </x:c>
      <x:c r="D803" s="12" t="n">
        <x:v>131739.96</x:v>
      </x:c>
      <x:c r="E803" s="12" t="n">
        <x:v>0</x:v>
      </x:c>
      <x:c r="F803" s="12" t="n">
        <x:f>SUM(B803,D803:E803)</x:f>
        <x:v>138308.917988</x:v>
      </x:c>
      <x:c r="G803" s="12" t="n">
        <x:f>MAX(G802,F803)</x:f>
        <x:v>145273.677988</x:v>
      </x:c>
      <x:c r="H803" s="14" t="n">
        <x:f>F803/G803-1</x:f>
        <x:v>-0.04794233956529492</x:v>
      </x:c>
      <x:c r="I803" s="14" t="n">
        <x:f>F803/F802-1</x:f>
        <x:v>0.011002920551098416</x:v>
      </x:c>
      <x:c r="J803" s="12" t="n">
        <x:v>0</x:v>
      </x:c>
      <x:c r="K803" s="12" t="n">
        <x:v>0</x:v>
      </x:c>
      <x:c r="L803" s="12" t="n">
        <x:v>0</x:v>
      </x:c>
      <x:c r="M803" s="2" t="str">
        <x:v>持有</x:v>
      </x:c>
    </x:row>
    <x:row r="804" ht="23" customHeight="1">
      <x:c r="A804" s="11" t="d">
        <x:v>2018-03-06T00:00:00.000Z</x:v>
      </x:c>
      <x:c r="B804" s="12" t="n">
        <x:v>6568.957988</x:v>
      </x:c>
      <x:c r="C804" s="13" t="n">
        <x:v>484</x:v>
      </x:c>
      <x:c r="D804" s="12" t="n">
        <x:v>132073.91999999998</x:v>
      </x:c>
      <x:c r="E804" s="12" t="n">
        <x:v>0</x:v>
      </x:c>
      <x:c r="F804" s="12" t="n">
        <x:f>SUM(B804,D804:E804)</x:f>
        <x:v>138642.877988</x:v>
      </x:c>
      <x:c r="G804" s="12" t="n">
        <x:f>MAX(G803,F804)</x:f>
        <x:v>145273.677988</x:v>
      </x:c>
      <x:c r="H804" s="14" t="n">
        <x:f>F804/G804-1</x:f>
        <x:v>-0.0456435060489605</x:v>
      </x:c>
      <x:c r="I804" s="14" t="n">
        <x:f>F804/F803-1</x:f>
        <x:v>0.0024145948421703256</x:v>
      </x:c>
      <x:c r="J804" s="12" t="n">
        <x:v>0</x:v>
      </x:c>
      <x:c r="K804" s="12" t="n">
        <x:v>0</x:v>
      </x:c>
      <x:c r="L804" s="12" t="n">
        <x:v>0</x:v>
      </x:c>
      <x:c r="M804" s="2" t="str">
        <x:v>持有</x:v>
      </x:c>
    </x:row>
    <x:row r="805" ht="23" customHeight="1">
      <x:c r="A805" s="11" t="d">
        <x:v>2018-03-07T00:00:00.000Z</x:v>
      </x:c>
      <x:c r="B805" s="12" t="n">
        <x:v>6568.957988</x:v>
      </x:c>
      <x:c r="C805" s="13" t="n">
        <x:v>484</x:v>
      </x:c>
      <x:c r="D805" s="12" t="n">
        <x:v>132025.52</x:v>
      </x:c>
      <x:c r="E805" s="12" t="n">
        <x:v>0</x:v>
      </x:c>
      <x:c r="F805" s="12" t="n">
        <x:f>SUM(B805,D805:E805)</x:f>
        <x:v>138594.477988</x:v>
      </x:c>
      <x:c r="G805" s="12" t="n">
        <x:f>MAX(G804,F805)</x:f>
        <x:v>145273.677988</x:v>
      </x:c>
      <x:c r="H805" s="14" t="n">
        <x:f>F805/G805-1</x:f>
        <x:v>-0.04597667032669006</x:v>
      </x:c>
      <x:c r="I805" s="14" t="n">
        <x:f>F805/F804-1</x:f>
        <x:v>-0.00034909835039764747</x:v>
      </x:c>
      <x:c r="J805" s="12" t="n">
        <x:v>0</x:v>
      </x:c>
      <x:c r="K805" s="12" t="n">
        <x:v>0</x:v>
      </x:c>
      <x:c r="L805" s="12" t="n">
        <x:v>0</x:v>
      </x:c>
      <x:c r="M805" s="2" t="str">
        <x:v>持有</x:v>
      </x:c>
    </x:row>
    <x:row r="806" ht="23" customHeight="1">
      <x:c r="A806" s="11" t="d">
        <x:v>2018-03-08T00:00:00.000Z</x:v>
      </x:c>
      <x:c r="B806" s="12" t="n">
        <x:v>6568.957988</x:v>
      </x:c>
      <x:c r="C806" s="13" t="n">
        <x:v>484</x:v>
      </x:c>
      <x:c r="D806" s="12" t="n">
        <x:v>132664.40000000002</x:v>
      </x:c>
      <x:c r="E806" s="12" t="n">
        <x:v>0</x:v>
      </x:c>
      <x:c r="F806" s="12" t="n">
        <x:f>SUM(B806,D806:E806)</x:f>
        <x:v>139233.35798800003</x:v>
      </x:c>
      <x:c r="G806" s="12" t="n">
        <x:f>MAX(G805,F806)</x:f>
        <x:v>145273.677988</x:v>
      </x:c>
      <x:c r="H806" s="14" t="n">
        <x:f>F806/G806-1</x:f>
        <x:v>-0.0415789018606586</x:v>
      </x:c>
      <x:c r="I806" s="14" t="n">
        <x:f>F806/F805-1</x:f>
        <x:v>0.004609707466522117</x:v>
      </x:c>
      <x:c r="J806" s="12" t="n">
        <x:v>0</x:v>
      </x:c>
      <x:c r="K806" s="12" t="n">
        <x:v>0</x:v>
      </x:c>
      <x:c r="L806" s="12" t="n">
        <x:v>0</x:v>
      </x:c>
      <x:c r="M806" s="2" t="str">
        <x:v>持有</x:v>
      </x:c>
    </x:row>
    <x:row r="807" ht="23" customHeight="1">
      <x:c r="A807" s="11" t="d">
        <x:v>2018-03-09T00:00:00.000Z</x:v>
      </x:c>
      <x:c r="B807" s="12" t="n">
        <x:v>6568.957988</x:v>
      </x:c>
      <x:c r="C807" s="13" t="n">
        <x:v>484</x:v>
      </x:c>
      <x:c r="D807" s="12" t="n">
        <x:v>134973.08000000002</x:v>
      </x:c>
      <x:c r="E807" s="12" t="n">
        <x:v>0</x:v>
      </x:c>
      <x:c r="F807" s="12" t="n">
        <x:f>SUM(B807,D807:E807)</x:f>
        <x:v>141542.03798800003</x:v>
      </x:c>
      <x:c r="G807" s="12" t="n">
        <x:f>MAX(G806,F807)</x:f>
        <x:v>145273.677988</x:v>
      </x:c>
      <x:c r="H807" s="14" t="n">
        <x:f>F807/G807-1</x:f>
        <x:v>-0.02568696581295493</x:v>
      </x:c>
      <x:c r="I807" s="14" t="n">
        <x:f>F807/F806-1</x:f>
        <x:v>0.01658137125586645</x:v>
      </x:c>
      <x:c r="J807" s="12" t="n">
        <x:v>0</x:v>
      </x:c>
      <x:c r="K807" s="12" t="n">
        <x:v>0</x:v>
      </x:c>
      <x:c r="L807" s="12" t="n">
        <x:v>0</x:v>
      </x:c>
      <x:c r="M807" s="2" t="str">
        <x:v>持有</x:v>
      </x:c>
    </x:row>
    <x:row r="808" ht="23" customHeight="1">
      <x:c r="A808" s="11" t="d">
        <x:v>2018-03-12T00:00:00.000Z</x:v>
      </x:c>
      <x:c r="B808" s="12" t="n">
        <x:v>6568.957988</x:v>
      </x:c>
      <x:c r="C808" s="13" t="n">
        <x:v>484</x:v>
      </x:c>
      <x:c r="D808" s="12" t="n">
        <x:v>134803.68</x:v>
      </x:c>
      <x:c r="E808" s="12" t="n">
        <x:v>0</x:v>
      </x:c>
      <x:c r="F808" s="12" t="n">
        <x:f>SUM(B808,D808:E808)</x:f>
        <x:v>141372.637988</x:v>
      </x:c>
      <x:c r="G808" s="12" t="n">
        <x:f>MAX(G807,F808)</x:f>
        <x:v>145273.677988</x:v>
      </x:c>
      <x:c r="H808" s="14" t="n">
        <x:f>F808/G808-1</x:f>
        <x:v>-0.02685304078500883</x:v>
      </x:c>
      <x:c r="I808" s="14" t="n">
        <x:f>F808/F807-1</x:f>
        <x:v>-0.001196817584429466</x:v>
      </x:c>
      <x:c r="J808" s="12" t="n">
        <x:v>0</x:v>
      </x:c>
      <x:c r="K808" s="12" t="n">
        <x:v>0</x:v>
      </x:c>
      <x:c r="L808" s="12" t="n">
        <x:v>0</x:v>
      </x:c>
      <x:c r="M808" s="2" t="str">
        <x:v>持有</x:v>
      </x:c>
    </x:row>
    <x:row r="809" ht="23" customHeight="1">
      <x:c r="A809" s="11" t="d">
        <x:v>2018-03-13T00:00:00.000Z</x:v>
      </x:c>
      <x:c r="B809" s="12" t="n">
        <x:v>6568.957988</x:v>
      </x:c>
      <x:c r="C809" s="13" t="n">
        <x:v>484</x:v>
      </x:c>
      <x:c r="D809" s="12" t="n">
        <x:v>133932.48</x:v>
      </x:c>
      <x:c r="E809" s="12" t="n">
        <x:v>0</x:v>
      </x:c>
      <x:c r="F809" s="12" t="n">
        <x:f>SUM(B809,D809:E809)</x:f>
        <x:v>140501.43798800002</x:v>
      </x:c>
      <x:c r="G809" s="12" t="n">
        <x:f>MAX(G808,F809)</x:f>
        <x:v>145273.677988</x:v>
      </x:c>
      <x:c r="H809" s="14" t="n">
        <x:f>F809/G809-1</x:f>
        <x:v>-0.032849997784142215</x:v>
      </x:c>
      <x:c r="I809" s="14" t="n">
        <x:f>F809/F808-1</x:f>
        <x:v>-0.006162437175954327</x:v>
      </x:c>
      <x:c r="J809" s="12" t="n">
        <x:v>0</x:v>
      </x:c>
      <x:c r="K809" s="12" t="n">
        <x:v>0</x:v>
      </x:c>
      <x:c r="L809" s="12" t="n">
        <x:v>0</x:v>
      </x:c>
      <x:c r="M809" s="2" t="str">
        <x:v>持有</x:v>
      </x:c>
    </x:row>
    <x:row r="810" ht="23" customHeight="1">
      <x:c r="A810" s="11" t="d">
        <x:v>2018-03-14T00:00:00.000Z</x:v>
      </x:c>
      <x:c r="B810" s="12" t="n">
        <x:v>6568.957988</x:v>
      </x:c>
      <x:c r="C810" s="13" t="n">
        <x:v>484</x:v>
      </x:c>
      <x:c r="D810" s="12" t="n">
        <x:v>133245.2</x:v>
      </x:c>
      <x:c r="E810" s="12" t="n">
        <x:v>0</x:v>
      </x:c>
      <x:c r="F810" s="12" t="n">
        <x:f>SUM(B810,D810:E810)</x:f>
        <x:v>139814.15798800002</x:v>
      </x:c>
      <x:c r="G810" s="12" t="n">
        <x:f>MAX(G809,F810)</x:f>
        <x:v>145273.677988</x:v>
      </x:c>
      <x:c r="H810" s="14" t="n">
        <x:f>F810/G810-1</x:f>
        <x:v>-0.03758093052790312</x:v>
      </x:c>
      <x:c r="I810" s="14" t="n">
        <x:f>F810/F809-1</x:f>
        <x:v>-0.0048916225331352425</x:v>
      </x:c>
      <x:c r="J810" s="12" t="n">
        <x:v>0</x:v>
      </x:c>
      <x:c r="K810" s="12" t="n">
        <x:v>0</x:v>
      </x:c>
      <x:c r="L810" s="12" t="n">
        <x:v>0</x:v>
      </x:c>
      <x:c r="M810" s="2" t="str">
        <x:v>持有</x:v>
      </x:c>
    </x:row>
    <x:row r="811" ht="23" customHeight="1">
      <x:c r="A811" s="11" t="d">
        <x:v>2018-03-15T00:00:00.000Z</x:v>
      </x:c>
      <x:c r="B811" s="12" t="n">
        <x:v>6568.957988</x:v>
      </x:c>
      <x:c r="C811" s="13" t="n">
        <x:v>484</x:v>
      </x:c>
      <x:c r="D811" s="12" t="n">
        <x:v>133100</x:v>
      </x:c>
      <x:c r="E811" s="12" t="n">
        <x:v>0</x:v>
      </x:c>
      <x:c r="F811" s="12" t="n">
        <x:f>SUM(B811,D811:E811)</x:f>
        <x:v>139668.957988</x:v>
      </x:c>
      <x:c r="G811" s="12" t="n">
        <x:f>MAX(G810,F811)</x:f>
        <x:v>145273.677988</x:v>
      </x:c>
      <x:c r="H811" s="14" t="n">
        <x:f>F811/G811-1</x:f>
        <x:v>-0.03858042336109202</x:v>
      </x:c>
      <x:c r="I811" s="14" t="n">
        <x:f>F811/F810-1</x:f>
        <x:v>-0.0010385214350929761</x:v>
      </x:c>
      <x:c r="J811" s="12" t="n">
        <x:v>0</x:v>
      </x:c>
      <x:c r="K811" s="12" t="n">
        <x:v>0</x:v>
      </x:c>
      <x:c r="L811" s="12" t="n">
        <x:v>0</x:v>
      </x:c>
      <x:c r="M811" s="2" t="str">
        <x:v>持有</x:v>
      </x:c>
    </x:row>
    <x:row r="812" ht="23" customHeight="1">
      <x:c r="A812" s="11" t="d">
        <x:v>2018-03-16T00:00:00.000Z</x:v>
      </x:c>
      <x:c r="B812" s="12" t="n">
        <x:v>6568.957988</x:v>
      </x:c>
      <x:c r="C812" s="13" t="n">
        <x:v>484</x:v>
      </x:c>
      <x:c r="D812" s="12" t="n">
        <x:v>132712.8</x:v>
      </x:c>
      <x:c r="E812" s="12" t="n">
        <x:v>530.8391</x:v>
      </x:c>
      <x:c r="F812" s="12" t="n">
        <x:f>SUM(B812,D812:E812)</x:f>
        <x:v>139812.597088</x:v>
      </x:c>
      <x:c r="G812" s="12" t="n">
        <x:f>MAX(G811,F812)</x:f>
        <x:v>145273.677988</x:v>
      </x:c>
      <x:c r="H812" s="14" t="n">
        <x:f>F812/G812-1</x:f>
        <x:v>-0.03759167507585992</x:v>
      </x:c>
      <x:c r="I812" s="14" t="n">
        <x:f>F812/F811-1</x:f>
        <x:v>0.001028425371458308</x:v>
      </x:c>
      <x:c r="J812" s="12" t="n">
        <x:v>530.8391</x:v>
      </x:c>
      <x:c r="K812" s="12" t="n">
        <x:v>0</x:v>
      </x:c>
      <x:c r="L812" s="12" t="n">
        <x:v>0</x:v>
      </x:c>
      <x:c r="M812" s="2" t="str">
        <x:v>持有</x:v>
      </x:c>
    </x:row>
    <x:row r="813" ht="23" customHeight="1">
      <x:c r="A813" s="11" t="d">
        <x:v>2018-03-19T00:00:00.000Z</x:v>
      </x:c>
      <x:c r="B813" s="12" t="n">
        <x:v>6568.957988</x:v>
      </x:c>
      <x:c r="C813" s="13" t="n">
        <x:v>484</x:v>
      </x:c>
      <x:c r="D813" s="12" t="n">
        <x:v>130917.16</x:v>
      </x:c>
      <x:c r="E813" s="12" t="n">
        <x:v>530.8391</x:v>
      </x:c>
      <x:c r="F813" s="12" t="n">
        <x:f>SUM(B813,D813:E813)</x:f>
        <x:v>138016.95708800002</x:v>
      </x:c>
      <x:c r="G813" s="12" t="n">
        <x:f>MAX(G812,F813)</x:f>
        <x:v>145273.677988</x:v>
      </x:c>
      <x:c r="H813" s="14" t="n">
        <x:f>F813/G813-1</x:f>
        <x:v>-0.049952069779629404</x:v>
      </x:c>
      <x:c r="I813" s="14" t="n">
        <x:f>F813/F812-1</x:f>
        <x:v>-0.012843191796728992</x:v>
      </x:c>
      <x:c r="J813" s="12" t="n">
        <x:v>0</x:v>
      </x:c>
      <x:c r="K813" s="12" t="n">
        <x:v>0</x:v>
      </x:c>
      <x:c r="L813" s="12" t="n">
        <x:v>0</x:v>
      </x:c>
      <x:c r="M813" s="2" t="str">
        <x:v>持有</x:v>
      </x:c>
    </x:row>
    <x:row r="814" ht="23" customHeight="1">
      <x:c r="A814" s="11" t="d">
        <x:v>2018-03-20T00:00:00.000Z</x:v>
      </x:c>
      <x:c r="B814" s="12" t="n">
        <x:v>6568.957988</x:v>
      </x:c>
      <x:c r="C814" s="13" t="n">
        <x:v>484</x:v>
      </x:c>
      <x:c r="D814" s="12" t="n">
        <x:v>131139.8</x:v>
      </x:c>
      <x:c r="E814" s="12" t="n">
        <x:v>530.8391</x:v>
      </x:c>
      <x:c r="F814" s="12" t="n">
        <x:f>SUM(B814,D814:E814)</x:f>
        <x:v>138239.597088</x:v>
      </x:c>
      <x:c r="G814" s="12" t="n">
        <x:f>MAX(G813,F814)</x:f>
        <x:v>145273.677988</x:v>
      </x:c>
      <x:c r="H814" s="14" t="n">
        <x:f>F814/G814-1</x:f>
        <x:v>-0.048419514102073125</x:v>
      </x:c>
      <x:c r="I814" s="14" t="n">
        <x:f>F814/F813-1</x:f>
        <x:v>0.0016131351154049511</x:v>
      </x:c>
      <x:c r="J814" s="12" t="n">
        <x:v>0</x:v>
      </x:c>
      <x:c r="K814" s="12" t="n">
        <x:v>0</x:v>
      </x:c>
      <x:c r="L814" s="12" t="n">
        <x:v>0</x:v>
      </x:c>
      <x:c r="M814" s="2" t="str">
        <x:v>持有</x:v>
      </x:c>
    </x:row>
    <x:row r="815" ht="23" customHeight="1">
      <x:c r="A815" s="11" t="d">
        <x:v>2018-03-21T00:00:00.000Z</x:v>
      </x:c>
      <x:c r="B815" s="12" t="n">
        <x:v>6568.957988</x:v>
      </x:c>
      <x:c r="C815" s="13" t="n">
        <x:v>484</x:v>
      </x:c>
      <x:c r="D815" s="12" t="n">
        <x:v>130888.12000000001</x:v>
      </x:c>
      <x:c r="E815" s="12" t="n">
        <x:v>530.8391</x:v>
      </x:c>
      <x:c r="F815" s="12" t="n">
        <x:f>SUM(B815,D815:E815)</x:f>
        <x:v>137987.91708800002</x:v>
      </x:c>
      <x:c r="G815" s="12" t="n">
        <x:f>MAX(G814,F815)</x:f>
        <x:v>145273.677988</x:v>
      </x:c>
      <x:c r="H815" s="14" t="n">
        <x:f>F815/G815-1</x:f>
        <x:v>-0.05015196834626723</x:v>
      </x:c>
      <x:c r="I815" s="14" t="n">
        <x:f>F815/F814-1</x:f>
        <x:v>-0.0018206071581631234</x:v>
      </x:c>
      <x:c r="J815" s="12" t="n">
        <x:v>0</x:v>
      </x:c>
      <x:c r="K815" s="12" t="n">
        <x:v>0</x:v>
      </x:c>
      <x:c r="L815" s="12" t="n">
        <x:v>0</x:v>
      </x:c>
      <x:c r="M815" s="2" t="str">
        <x:v>持有</x:v>
      </x:c>
    </x:row>
    <x:row r="816" ht="23" customHeight="1">
      <x:c r="A816" s="11" t="d">
        <x:v>2018-03-22T00:00:00.000Z</x:v>
      </x:c>
      <x:c r="B816" s="12" t="n">
        <x:v>6568.957988</x:v>
      </x:c>
      <x:c r="C816" s="13" t="n">
        <x:v>484</x:v>
      </x:c>
      <x:c r="D816" s="12" t="n">
        <x:v>127616.28000000001</x:v>
      </x:c>
      <x:c r="E816" s="12" t="n">
        <x:v>530.8391</x:v>
      </x:c>
      <x:c r="F816" s="12" t="n">
        <x:f>SUM(B816,D816:E816)</x:f>
        <x:v>134716.07708800002</x:v>
      </x:c>
      <x:c r="G816" s="12" t="n">
        <x:f>MAX(G815,F816)</x:f>
        <x:v>145273.677988</x:v>
      </x:c>
      <x:c r="H816" s="14" t="n">
        <x:f>F816/G816-1</x:f>
        <x:v>-0.07267387352079069</x:v>
      </x:c>
      <x:c r="I816" s="14" t="n">
        <x:f>F816/F815-1</x:f>
        <x:v>-0.02371106158456915</x:v>
      </x:c>
      <x:c r="J816" s="12" t="n">
        <x:v>0</x:v>
      </x:c>
      <x:c r="K816" s="12" t="n">
        <x:v>0</x:v>
      </x:c>
      <x:c r="L816" s="12" t="n">
        <x:v>0</x:v>
      </x:c>
      <x:c r="M816" s="2" t="str">
        <x:v>持有</x:v>
      </x:c>
    </x:row>
    <x:row r="817" ht="23" customHeight="1">
      <x:c r="A817" s="11" t="d">
        <x:v>2018-03-23T00:00:00.000Z</x:v>
      </x:c>
      <x:c r="B817" s="12" t="n">
        <x:v>6568.957988</x:v>
      </x:c>
      <x:c r="C817" s="13" t="n">
        <x:v>484</x:v>
      </x:c>
      <x:c r="D817" s="12" t="n">
        <x:v>124896.20000000001</x:v>
      </x:c>
      <x:c r="E817" s="12" t="n">
        <x:v>530.8391</x:v>
      </x:c>
      <x:c r="F817" s="12" t="n">
        <x:f>SUM(B817,D817:E817)</x:f>
        <x:v>131995.997088</x:v>
      </x:c>
      <x:c r="G817" s="12" t="n">
        <x:f>MAX(G816,F817)</x:f>
        <x:v>145273.677988</x:v>
      </x:c>
      <x:c r="H817" s="14" t="n">
        <x:f>F817/G817-1</x:f>
        <x:v>-0.0913977059291965</x:v>
      </x:c>
      <x:c r="I817" s="14" t="n">
        <x:f>F817/F816-1</x:f>
        <x:v>-0.0201912055249589</x:v>
      </x:c>
      <x:c r="J817" s="12" t="n">
        <x:v>0</x:v>
      </x:c>
      <x:c r="K817" s="12" t="n">
        <x:v>0</x:v>
      </x:c>
      <x:c r="L817" s="12" t="n">
        <x:v>0</x:v>
      </x:c>
      <x:c r="M817" s="2" t="str">
        <x:v>持有</x:v>
      </x:c>
    </x:row>
    <x:row r="818" ht="23" customHeight="1">
      <x:c r="A818" s="11" t="d">
        <x:v>2018-03-26T00:00:00.000Z</x:v>
      </x:c>
      <x:c r="B818" s="12" t="n">
        <x:v>6568.957988</x:v>
      </x:c>
      <x:c r="C818" s="13" t="n">
        <x:v>484</x:v>
      </x:c>
      <x:c r="D818" s="12" t="n">
        <x:v>128313.24</x:v>
      </x:c>
      <x:c r="E818" s="12" t="n">
        <x:v>530.8391</x:v>
      </x:c>
      <x:c r="F818" s="12" t="n">
        <x:f>SUM(B818,D818:E818)</x:f>
        <x:v>135413.037088</x:v>
      </x:c>
      <x:c r="G818" s="12" t="n">
        <x:f>MAX(G817,F818)</x:f>
        <x:v>145273.677988</x:v>
      </x:c>
      <x:c r="H818" s="14" t="n">
        <x:f>F818/G818-1</x:f>
        <x:v>-0.06787630792148402</x:v>
      </x:c>
      <x:c r="I818" s="14" t="n">
        <x:f>F818/F817-1</x:f>
        <x:v>0.025887451705993048</x:v>
      </x:c>
      <x:c r="J818" s="12" t="n">
        <x:v>0</x:v>
      </x:c>
      <x:c r="K818" s="12" t="n">
        <x:v>0</x:v>
      </x:c>
      <x:c r="L818" s="12" t="n">
        <x:v>0</x:v>
      </x:c>
      <x:c r="M818" s="2" t="str">
        <x:v>持有</x:v>
      </x:c>
    </x:row>
    <x:row r="819" ht="23" customHeight="1">
      <x:c r="A819" s="11" t="d">
        <x:v>2018-03-27T00:00:00.000Z</x:v>
      </x:c>
      <x:c r="B819" s="12" t="n">
        <x:v>6568.957988</x:v>
      </x:c>
      <x:c r="C819" s="13" t="n">
        <x:v>484</x:v>
      </x:c>
      <x:c r="D819" s="12" t="n">
        <x:v>126130.40000000001</x:v>
      </x:c>
      <x:c r="E819" s="12" t="n">
        <x:v>530.8391</x:v>
      </x:c>
      <x:c r="F819" s="12" t="n">
        <x:f>SUM(B819,D819:E819)</x:f>
        <x:v>133230.19708800002</x:v>
      </x:c>
      <x:c r="G819" s="12" t="n">
        <x:f>MAX(G818,F819)</x:f>
        <x:v>145273.677988</x:v>
      </x:c>
      <x:c r="H819" s="14" t="n">
        <x:f>F819/G819-1</x:f>
        <x:v>-0.08290201684709064</x:v>
      </x:c>
      <x:c r="I819" s="14" t="n">
        <x:f>F819/F818-1</x:f>
        <x:v>-0.01611986590760417</x:v>
      </x:c>
      <x:c r="J819" s="12" t="n">
        <x:v>0</x:v>
      </x:c>
      <x:c r="K819" s="12" t="n">
        <x:v>0</x:v>
      </x:c>
      <x:c r="L819" s="12" t="n">
        <x:v>0</x:v>
      </x:c>
      <x:c r="M819" s="2" t="str">
        <x:v>持有</x:v>
      </x:c>
    </x:row>
    <x:row r="820" ht="23" customHeight="1">
      <x:c r="A820" s="11" t="d">
        <x:v>2018-03-28T00:00:00.000Z</x:v>
      </x:c>
      <x:c r="B820" s="12" t="n">
        <x:v>6568.957988</x:v>
      </x:c>
      <x:c r="C820" s="13" t="n">
        <x:v>484</x:v>
      </x:c>
      <x:c r="D820" s="12" t="n">
        <x:v>125757.71999999999</x:v>
      </x:c>
      <x:c r="E820" s="12" t="n">
        <x:v>530.8391</x:v>
      </x:c>
      <x:c r="F820" s="12" t="n">
        <x:f>SUM(B820,D820:E820)</x:f>
        <x:v>132857.517088</x:v>
      </x:c>
      <x:c r="G820" s="12" t="n">
        <x:f>MAX(G819,F820)</x:f>
        <x:v>145273.677988</x:v>
      </x:c>
      <x:c r="H820" s="14" t="n">
        <x:f>F820/G820-1</x:f>
        <x:v>-0.08546738178560898</x:v>
      </x:c>
      <x:c r="I820" s="14" t="n">
        <x:f>F820/F819-1</x:f>
        <x:v>-0.002797263744598877</x:v>
      </x:c>
      <x:c r="J820" s="12" t="n">
        <x:v>0</x:v>
      </x:c>
      <x:c r="K820" s="12" t="n">
        <x:v>0</x:v>
      </x:c>
      <x:c r="L820" s="12" t="n">
        <x:v>0</x:v>
      </x:c>
      <x:c r="M820" s="2" t="str">
        <x:v>持有</x:v>
      </x:c>
    </x:row>
    <x:row r="821" ht="23" customHeight="1">
      <x:c r="A821" s="11" t="d">
        <x:v>2018-03-29T00:00:00.000Z</x:v>
      </x:c>
      <x:c r="B821" s="12" t="n">
        <x:v>6568.957988</x:v>
      </x:c>
      <x:c r="C821" s="13" t="n">
        <x:v>484</x:v>
      </x:c>
      <x:c r="D821" s="12" t="n">
        <x:v>127364.59999999999</x:v>
      </x:c>
      <x:c r="E821" s="12" t="n">
        <x:v>530.8391</x:v>
      </x:c>
      <x:c r="F821" s="12" t="n">
        <x:f>SUM(B821,D821:E821)</x:f>
        <x:v>134464.397088</x:v>
      </x:c>
      <x:c r="G821" s="12" t="n">
        <x:f>MAX(G820,F821)</x:f>
        <x:v>145273.677988</x:v>
      </x:c>
      <x:c r="H821" s="14" t="n">
        <x:f>F821/G821-1</x:f>
        <x:v>-0.07440632776498501</x:v>
      </x:c>
      <x:c r="I821" s="14" t="n">
        <x:f>F821/F820-1</x:f>
        <x:v>0.01209476163050427</x:v>
      </x:c>
      <x:c r="J821" s="12" t="n">
        <x:v>0</x:v>
      </x:c>
      <x:c r="K821" s="12" t="n">
        <x:v>0</x:v>
      </x:c>
      <x:c r="L821" s="12" t="n">
        <x:v>0</x:v>
      </x:c>
      <x:c r="M821" s="2" t="str">
        <x:v>持有</x:v>
      </x:c>
    </x:row>
    <x:row r="822" ht="23" customHeight="1">
      <x:c r="A822" s="11" t="d">
        <x:v>2018-04-02T00:00:00.000Z</x:v>
      </x:c>
      <x:c r="B822" s="12" t="n">
        <x:v>6568.957988</x:v>
      </x:c>
      <x:c r="C822" s="13" t="n">
        <x:v>484</x:v>
      </x:c>
      <x:c r="D822" s="12" t="n">
        <x:v>124615.48000000001</x:v>
      </x:c>
      <x:c r="E822" s="12" t="n">
        <x:v>530.8391</x:v>
      </x:c>
      <x:c r="F822" s="12" t="n">
        <x:f>SUM(B822,D822:E822)</x:f>
        <x:v>131715.277088</x:v>
      </x:c>
      <x:c r="G822" s="12" t="n">
        <x:f>MAX(G821,F822)</x:f>
        <x:v>145273.677988</x:v>
      </x:c>
      <x:c r="H822" s="14" t="n">
        <x:f>F822/G822-1</x:f>
        <x:v>-0.09333005874002842</x:v>
      </x:c>
      <x:c r="I822" s="14" t="n">
        <x:f>F822/F821-1</x:f>
        <x:v>-0.020444965801622805</x:v>
      </x:c>
      <x:c r="J822" s="12" t="n">
        <x:v>0</x:v>
      </x:c>
      <x:c r="K822" s="12" t="n">
        <x:v>0</x:v>
      </x:c>
      <x:c r="L822" s="12" t="n">
        <x:v>0</x:v>
      </x:c>
      <x:c r="M822" s="2" t="str">
        <x:v>持有</x:v>
      </x:c>
    </x:row>
    <x:row r="823" ht="23" customHeight="1">
      <x:c r="A823" s="11" t="d">
        <x:v>2018-04-03T00:00:00.000Z</x:v>
      </x:c>
      <x:c r="B823" s="12" t="n">
        <x:v>6568.957988</x:v>
      </x:c>
      <x:c r="C823" s="13" t="n">
        <x:v>484</x:v>
      </x:c>
      <x:c r="D823" s="12" t="n">
        <x:v>126212.68</x:v>
      </x:c>
      <x:c r="E823" s="12" t="n">
        <x:v>530.8391</x:v>
      </x:c>
      <x:c r="F823" s="12" t="n">
        <x:f>SUM(B823,D823:E823)</x:f>
        <x:v>133312.47708799999</x:v>
      </x:c>
      <x:c r="G823" s="12" t="n">
        <x:f>MAX(G822,F823)</x:f>
        <x:v>145273.677988</x:v>
      </x:c>
      <x:c r="H823" s="14" t="n">
        <x:f>F823/G823-1</x:f>
        <x:v>-0.08233563757495044</x:v>
      </x:c>
      <x:c r="I823" s="14" t="n">
        <x:f>F823/F822-1</x:f>
        <x:v>0.012126156018583023</x:v>
      </x:c>
      <x:c r="J823" s="12" t="n">
        <x:v>0</x:v>
      </x:c>
      <x:c r="K823" s="12" t="n">
        <x:v>0</x:v>
      </x:c>
      <x:c r="L823" s="12" t="n">
        <x:v>0</x:v>
      </x:c>
      <x:c r="M823" s="2" t="str">
        <x:v>持有</x:v>
      </x:c>
    </x:row>
    <x:row r="824" ht="23" customHeight="1">
      <x:c r="A824" s="11" t="d">
        <x:v>2018-04-04T00:00:00.000Z</x:v>
      </x:c>
      <x:c r="B824" s="12" t="n">
        <x:v>6568.957988</x:v>
      </x:c>
      <x:c r="C824" s="13" t="n">
        <x:v>484</x:v>
      </x:c>
      <x:c r="D824" s="12" t="n">
        <x:v>127563.04000000001</x:v>
      </x:c>
      <x:c r="E824" s="12" t="n">
        <x:v>530.8391</x:v>
      </x:c>
      <x:c r="F824" s="12" t="n">
        <x:f>SUM(B824,D824:E824)</x:f>
        <x:v>134662.837088</x:v>
      </x:c>
      <x:c r="G824" s="12" t="n">
        <x:f>MAX(G823,F824)</x:f>
        <x:v>145273.677988</x:v>
      </x:c>
      <x:c r="H824" s="14" t="n">
        <x:f>F824/G824-1</x:f>
        <x:v>-0.0730403542262934</x:v>
      </x:c>
      <x:c r="I824" s="14" t="n">
        <x:f>F824/F823-1</x:f>
        <x:v>0.010129284441310338</x:v>
      </x:c>
      <x:c r="J824" s="12" t="n">
        <x:v>0</x:v>
      </x:c>
      <x:c r="K824" s="12" t="n">
        <x:v>0</x:v>
      </x:c>
      <x:c r="L824" s="12" t="n">
        <x:v>0</x:v>
      </x:c>
      <x:c r="M824" s="2" t="str">
        <x:v>持有</x:v>
      </x:c>
    </x:row>
    <x:row r="825" ht="23" customHeight="1">
      <x:c r="A825" s="11" t="d">
        <x:v>2018-04-05T00:00:00.000Z</x:v>
      </x:c>
      <x:c r="B825" s="12" t="n">
        <x:v>6568.957988</x:v>
      </x:c>
      <x:c r="C825" s="13" t="n">
        <x:v>484</x:v>
      </x:c>
      <x:c r="D825" s="12" t="n">
        <x:v>128569.76</x:v>
      </x:c>
      <x:c r="E825" s="12" t="n">
        <x:v>530.8391</x:v>
      </x:c>
      <x:c r="F825" s="12" t="n">
        <x:f>SUM(B825,D825:E825)</x:f>
        <x:v>135669.557088</x:v>
      </x:c>
      <x:c r="G825" s="12" t="n">
        <x:f>MAX(G824,F825)</x:f>
        <x:v>145273.677988</x:v>
      </x:c>
      <x:c r="H825" s="14" t="n">
        <x:f>F825/G825-1</x:f>
        <x:v>-0.06611053724951699</x:v>
      </x:c>
      <x:c r="I825" s="14" t="n">
        <x:f>F825/F824-1</x:f>
        <x:v>0.0074758561587568995</x:v>
      </x:c>
      <x:c r="J825" s="12" t="n">
        <x:v>0</x:v>
      </x:c>
      <x:c r="K825" s="12" t="n">
        <x:v>0</x:v>
      </x:c>
      <x:c r="L825" s="12" t="n">
        <x:v>0</x:v>
      </x:c>
      <x:c r="M825" s="2" t="str">
        <x:v>持有</x:v>
      </x:c>
    </x:row>
    <x:row r="826" ht="23" customHeight="1">
      <x:c r="A826" s="11" t="d">
        <x:v>2018-04-06T00:00:00.000Z</x:v>
      </x:c>
      <x:c r="B826" s="12" t="n">
        <x:v>6568.957988</x:v>
      </x:c>
      <x:c r="C826" s="13" t="n">
        <x:v>484</x:v>
      </x:c>
      <x:c r="D826" s="12" t="n">
        <x:v>125704.48000000001</x:v>
      </x:c>
      <x:c r="E826" s="12" t="n">
        <x:v>530.8391</x:v>
      </x:c>
      <x:c r="F826" s="12" t="n">
        <x:f>SUM(B826,D826:E826)</x:f>
        <x:v>132804.277088</x:v>
      </x:c>
      <x:c r="G826" s="12" t="n">
        <x:f>MAX(G825,F826)</x:f>
        <x:v>145273.677988</x:v>
      </x:c>
      <x:c r="H826" s="14" t="n">
        <x:f>F826/G826-1</x:f>
        <x:v>-0.08583386249111147</x:v>
      </x:c>
      <x:c r="I826" s="14" t="n">
        <x:f>F826/F825-1</x:f>
        <x:v>-0.0211195500412924</x:v>
      </x:c>
      <x:c r="J826" s="12" t="n">
        <x:v>0</x:v>
      </x:c>
      <x:c r="K826" s="12" t="n">
        <x:v>0</x:v>
      </x:c>
      <x:c r="L826" s="12" t="n">
        <x:v>0</x:v>
      </x:c>
      <x:c r="M826" s="2" t="str">
        <x:v>持有</x:v>
      </x:c>
    </x:row>
    <x:row r="827" ht="23" customHeight="1">
      <x:c r="A827" s="11" t="d">
        <x:v>2018-04-09T00:00:00.000Z</x:v>
      </x:c>
      <x:c r="B827" s="12" t="n">
        <x:v>6568.957988</x:v>
      </x:c>
      <x:c r="C827" s="13" t="n">
        <x:v>484</x:v>
      </x:c>
      <x:c r="D827" s="12" t="n">
        <x:v>126324</x:v>
      </x:c>
      <x:c r="E827" s="12" t="n">
        <x:v>530.8391</x:v>
      </x:c>
      <x:c r="F827" s="12" t="n">
        <x:f>SUM(B827,D827:E827)</x:f>
        <x:v>133423.797088</x:v>
      </x:c>
      <x:c r="G827" s="12" t="n">
        <x:f>MAX(G826,F827)</x:f>
        <x:v>145273.677988</x:v>
      </x:c>
      <x:c r="H827" s="14" t="n">
        <x:f>F827/G827-1</x:f>
        <x:v>-0.08156935973617219</x:v>
      </x:c>
      <x:c r="I827" s="14" t="n">
        <x:f>F827/F826-1</x:f>
        <x:v>0.004664909998263633</x:v>
      </x:c>
      <x:c r="J827" s="12" t="n">
        <x:v>0</x:v>
      </x:c>
      <x:c r="K827" s="12" t="n">
        <x:v>0</x:v>
      </x:c>
      <x:c r="L827" s="12" t="n">
        <x:v>0</x:v>
      </x:c>
      <x:c r="M827" s="2" t="str">
        <x:v>持有</x:v>
      </x:c>
    </x:row>
    <x:row r="828" ht="23" customHeight="1">
      <x:c r="A828" s="11" t="d">
        <x:v>2018-04-10T00:00:00.000Z</x:v>
      </x:c>
      <x:c r="B828" s="12" t="n">
        <x:v>6568.957988</x:v>
      </x:c>
      <x:c r="C828" s="13" t="n">
        <x:v>484</x:v>
      </x:c>
      <x:c r="D828" s="12" t="n">
        <x:v>128332.59999999999</x:v>
      </x:c>
      <x:c r="E828" s="12" t="n">
        <x:v>530.8391</x:v>
      </x:c>
      <x:c r="F828" s="12" t="n">
        <x:f>SUM(B828,D828:E828)</x:f>
        <x:v>135432.397088</x:v>
      </x:c>
      <x:c r="G828" s="12" t="n">
        <x:f>MAX(G827,F828)</x:f>
        <x:v>145273.677988</x:v>
      </x:c>
      <x:c r="H828" s="14" t="n">
        <x:f>F828/G828-1</x:f>
        <x:v>-0.06774304221039218</x:v>
      </x:c>
      <x:c r="I828" s="14" t="n">
        <x:f>F828/F827-1</x:f>
        <x:v>0.015054285995737438</x:v>
      </x:c>
      <x:c r="J828" s="12" t="n">
        <x:v>0</x:v>
      </x:c>
      <x:c r="K828" s="12" t="n">
        <x:v>0</x:v>
      </x:c>
      <x:c r="L828" s="12" t="n">
        <x:v>0</x:v>
      </x:c>
      <x:c r="M828" s="2" t="str">
        <x:v>持有</x:v>
      </x:c>
    </x:row>
    <x:row r="829" ht="23" customHeight="1">
      <x:c r="A829" s="11" t="d">
        <x:v>2018-04-11T00:00:00.000Z</x:v>
      </x:c>
      <x:c r="B829" s="12" t="n">
        <x:v>6568.957988</x:v>
      </x:c>
      <x:c r="C829" s="13" t="n">
        <x:v>484</x:v>
      </x:c>
      <x:c r="D829" s="12" t="n">
        <x:v>127659.84</x:v>
      </x:c>
      <x:c r="E829" s="12" t="n">
        <x:v>530.8391</x:v>
      </x:c>
      <x:c r="F829" s="12" t="n">
        <x:f>SUM(B829,D829:E829)</x:f>
        <x:v>134759.637088</x:v>
      </x:c>
      <x:c r="G829" s="12" t="n">
        <x:f>MAX(G828,F829)</x:f>
        <x:v>145273.677988</x:v>
      </x:c>
      <x:c r="H829" s="14" t="n">
        <x:f>F829/G829-1</x:f>
        <x:v>-0.07237402567083429</x:v>
      </x:c>
      <x:c r="I829" s="14" t="n">
        <x:f>F829/F828-1</x:f>
        <x:v>-0.004967496806269067</x:v>
      </x:c>
      <x:c r="J829" s="12" t="n">
        <x:v>0</x:v>
      </x:c>
      <x:c r="K829" s="12" t="n">
        <x:v>0</x:v>
      </x:c>
      <x:c r="L829" s="12" t="n">
        <x:v>0</x:v>
      </x:c>
      <x:c r="M829" s="2" t="str">
        <x:v>持有</x:v>
      </x:c>
    </x:row>
    <x:row r="830" ht="23" customHeight="1">
      <x:c r="A830" s="11" t="d">
        <x:v>2018-04-12T00:00:00.000Z</x:v>
      </x:c>
      <x:c r="B830" s="12" t="n">
        <x:v>6568.957988</x:v>
      </x:c>
      <x:c r="C830" s="13" t="n">
        <x:v>484</x:v>
      </x:c>
      <x:c r="D830" s="12" t="n">
        <x:v>128710.12000000001</x:v>
      </x:c>
      <x:c r="E830" s="12" t="n">
        <x:v>530.8391</x:v>
      </x:c>
      <x:c r="F830" s="12" t="n">
        <x:f>SUM(B830,D830:E830)</x:f>
        <x:v>135809.91708800002</x:v>
      </x:c>
      <x:c r="G830" s="12" t="n">
        <x:f>MAX(G829,F830)</x:f>
        <x:v>145273.677988</x:v>
      </x:c>
      <x:c r="H830" s="14" t="n">
        <x:f>F830/G830-1</x:f>
        <x:v>-0.06514436084410091</x:v>
      </x:c>
      <x:c r="I830" s="14" t="n">
        <x:f>F830/F829-1</x:f>
        <x:v>0.0077937283202549335</x:v>
      </x:c>
      <x:c r="J830" s="12" t="n">
        <x:v>0</x:v>
      </x:c>
      <x:c r="K830" s="12" t="n">
        <x:v>0</x:v>
      </x:c>
      <x:c r="L830" s="12" t="n">
        <x:v>0</x:v>
      </x:c>
      <x:c r="M830" s="2" t="str">
        <x:v>持有</x:v>
      </x:c>
    </x:row>
    <x:row r="831" ht="23" customHeight="1">
      <x:c r="A831" s="11" t="d">
        <x:v>2018-04-13T00:00:00.000Z</x:v>
      </x:c>
      <x:c r="B831" s="12" t="n">
        <x:v>6568.957988</x:v>
      </x:c>
      <x:c r="C831" s="13" t="n">
        <x:v>484</x:v>
      </x:c>
      <x:c r="D831" s="12" t="n">
        <x:v>128332.59999999999</x:v>
      </x:c>
      <x:c r="E831" s="12" t="n">
        <x:v>530.8391</x:v>
      </x:c>
      <x:c r="F831" s="12" t="n">
        <x:f>SUM(B831,D831:E831)</x:f>
        <x:v>135432.397088</x:v>
      </x:c>
      <x:c r="G831" s="12" t="n">
        <x:f>MAX(G830,F831)</x:f>
        <x:v>145273.677988</x:v>
      </x:c>
      <x:c r="H831" s="14" t="n">
        <x:f>F831/G831-1</x:f>
        <x:v>-0.06774304221039218</x:v>
      </x:c>
      <x:c r="I831" s="14" t="n">
        <x:f>F831/F830-1</x:f>
        <x:v>-0.0027797675463965277</x:v>
      </x:c>
      <x:c r="J831" s="12" t="n">
        <x:v>0</x:v>
      </x:c>
      <x:c r="K831" s="12" t="n">
        <x:v>0</x:v>
      </x:c>
      <x:c r="L831" s="12" t="n">
        <x:v>0</x:v>
      </x:c>
      <x:c r="M831" s="2" t="str">
        <x:v>持有</x:v>
      </x:c>
    </x:row>
    <x:row r="832" ht="23" customHeight="1">
      <x:c r="A832" s="11" t="d">
        <x:v>2018-04-16T00:00:00.000Z</x:v>
      </x:c>
      <x:c r="B832" s="12" t="n">
        <x:v>6568.957988</x:v>
      </x:c>
      <x:c r="C832" s="13" t="n">
        <x:v>484</x:v>
      </x:c>
      <x:c r="D832" s="12" t="n">
        <x:v>129387.71999999999</x:v>
      </x:c>
      <x:c r="E832" s="12" t="n">
        <x:v>530.8391</x:v>
      </x:c>
      <x:c r="F832" s="12" t="n">
        <x:f>SUM(B832,D832:E832)</x:f>
        <x:v>136487.517088</x:v>
      </x:c>
      <x:c r="G832" s="12" t="n">
        <x:f>MAX(G831,F832)</x:f>
        <x:v>145273.677988</x:v>
      </x:c>
      <x:c r="H832" s="14" t="n">
        <x:f>F832/G832-1</x:f>
        <x:v>-0.060480060955886206</x:v>
      </x:c>
      <x:c r="I832" s="14" t="n">
        <x:f>F832/F831-1</x:f>
        <x:v>0.00779075038681043</x:v>
      </x:c>
      <x:c r="J832" s="12" t="n">
        <x:v>0</x:v>
      </x:c>
      <x:c r="K832" s="12" t="n">
        <x:v>0</x:v>
      </x:c>
      <x:c r="L832" s="12" t="n">
        <x:v>0</x:v>
      </x:c>
      <x:c r="M832" s="2" t="str">
        <x:v>持有</x:v>
      </x:c>
    </x:row>
    <x:row r="833" ht="23" customHeight="1">
      <x:c r="A833" s="11" t="d">
        <x:v>2018-04-17T00:00:00.000Z</x:v>
      </x:c>
      <x:c r="B833" s="12" t="n">
        <x:v>6568.957988</x:v>
      </x:c>
      <x:c r="C833" s="13" t="n">
        <x:v>484</x:v>
      </x:c>
      <x:c r="D833" s="12" t="n">
        <x:v>130771.95999999999</x:v>
      </x:c>
      <x:c r="E833" s="12" t="n">
        <x:v>530.8391</x:v>
      </x:c>
      <x:c r="F833" s="12" t="n">
        <x:f>SUM(B833,D833:E833)</x:f>
        <x:v>137871.757088</x:v>
      </x:c>
      <x:c r="G833" s="12" t="n">
        <x:f>MAX(G832,F833)</x:f>
        <x:v>145273.677988</x:v>
      </x:c>
      <x:c r="H833" s="14" t="n">
        <x:f>F833/G833-1</x:f>
        <x:v>-0.05095156261281841</x:v>
      </x:c>
      <x:c r="I833" s="14" t="n">
        <x:f>F833/F832-1</x:f>
        <x:v>0.010141879854899338</x:v>
      </x:c>
      <x:c r="J833" s="12" t="n">
        <x:v>0</x:v>
      </x:c>
      <x:c r="K833" s="12" t="n">
        <x:v>0</x:v>
      </x:c>
      <x:c r="L833" s="12" t="n">
        <x:v>0</x:v>
      </x:c>
      <x:c r="M833" s="2" t="str">
        <x:v>持有</x:v>
      </x:c>
    </x:row>
    <x:row r="834" ht="23" customHeight="1">
      <x:c r="A834" s="11" t="d">
        <x:v>2018-04-18T00:00:00.000Z</x:v>
      </x:c>
      <x:c r="B834" s="12" t="n">
        <x:v>6568.957988</x:v>
      </x:c>
      <x:c r="C834" s="13" t="n">
        <x:v>484</x:v>
      </x:c>
      <x:c r="D834" s="12" t="n">
        <x:v>130868.76</x:v>
      </x:c>
      <x:c r="E834" s="12" t="n">
        <x:v>530.8391</x:v>
      </x:c>
      <x:c r="F834" s="12" t="n">
        <x:f>SUM(B834,D834:E834)</x:f>
        <x:v>137968.557088</x:v>
      </x:c>
      <x:c r="G834" s="12" t="n">
        <x:f>MAX(G833,F834)</x:f>
        <x:v>145273.677988</x:v>
      </x:c>
      <x:c r="H834" s="14" t="n">
        <x:f>F834/G834-1</x:f>
        <x:v>-0.050285234057359185</x:v>
      </x:c>
      <x:c r="I834" s="14" t="n">
        <x:f>F834/F833-1</x:f>
        <x:v>0.0007021017360226978</x:v>
      </x:c>
      <x:c r="J834" s="12" t="n">
        <x:v>0</x:v>
      </x:c>
      <x:c r="K834" s="12" t="n">
        <x:v>0</x:v>
      </x:c>
      <x:c r="L834" s="12" t="n">
        <x:v>0</x:v>
      </x:c>
      <x:c r="M834" s="2" t="str">
        <x:v>持有</x:v>
      </x:c>
    </x:row>
    <x:row r="835" ht="23" customHeight="1">
      <x:c r="A835" s="11" t="d">
        <x:v>2018-04-19T00:00:00.000Z</x:v>
      </x:c>
      <x:c r="B835" s="12" t="n">
        <x:v>6568.957988</x:v>
      </x:c>
      <x:c r="C835" s="13" t="n">
        <x:v>484</x:v>
      </x:c>
      <x:c r="D835" s="12" t="n">
        <x:v>130142.76</x:v>
      </x:c>
      <x:c r="E835" s="12" t="n">
        <x:v>530.8391</x:v>
      </x:c>
      <x:c r="F835" s="12" t="n">
        <x:f>SUM(B835,D835:E835)</x:f>
        <x:v>137242.557088</x:v>
      </x:c>
      <x:c r="G835" s="12" t="n">
        <x:f>MAX(G834,F835)</x:f>
        <x:v>145273.677988</x:v>
      </x:c>
      <x:c r="H835" s="14" t="n">
        <x:f>F835/G835-1</x:f>
        <x:v>-0.05528269822330378</x:v>
      </x:c>
      <x:c r="I835" s="14" t="n">
        <x:f>F835/F834-1</x:f>
        <x:v>-0.005262068512733253</x:v>
      </x:c>
      <x:c r="J835" s="12" t="n">
        <x:v>0</x:v>
      </x:c>
      <x:c r="K835" s="12" t="n">
        <x:v>0</x:v>
      </x:c>
      <x:c r="L835" s="12" t="n">
        <x:v>0</x:v>
      </x:c>
      <x:c r="M835" s="2" t="str">
        <x:v>持有</x:v>
      </x:c>
    </x:row>
    <x:row r="836" ht="23" customHeight="1">
      <x:c r="A836" s="11" t="d">
        <x:v>2018-04-20T00:00:00.000Z</x:v>
      </x:c>
      <x:c r="B836" s="12" t="n">
        <x:v>6568.957988</x:v>
      </x:c>
      <x:c r="C836" s="13" t="n">
        <x:v>484</x:v>
      </x:c>
      <x:c r="D836" s="12" t="n">
        <x:v>129039.24</x:v>
      </x:c>
      <x:c r="E836" s="12" t="n">
        <x:v>530.8391</x:v>
      </x:c>
      <x:c r="F836" s="12" t="n">
        <x:f>SUM(B836,D836:E836)</x:f>
        <x:v>136139.037088</x:v>
      </x:c>
      <x:c r="G836" s="12" t="n">
        <x:f>MAX(G835,F836)</x:f>
        <x:v>145273.677988</x:v>
      </x:c>
      <x:c r="H836" s="14" t="n">
        <x:f>F836/G836-1</x:f>
        <x:v>-0.06287884375553943</x:v>
      </x:c>
      <x:c r="I836" s="14" t="n">
        <x:f>F836/F835-1</x:f>
        <x:v>-0.008040654614824838</x:v>
      </x:c>
      <x:c r="J836" s="12" t="n">
        <x:v>0</x:v>
      </x:c>
      <x:c r="K836" s="12" t="n">
        <x:v>0</x:v>
      </x:c>
      <x:c r="L836" s="12" t="n">
        <x:v>0</x:v>
      </x:c>
      <x:c r="M836" s="2" t="str">
        <x:v>持有</x:v>
      </x:c>
    </x:row>
    <x:row r="837" ht="23" customHeight="1">
      <x:c r="A837" s="11" t="d">
        <x:v>2018-04-23T00:00:00.000Z</x:v>
      </x:c>
      <x:c r="B837" s="12" t="n">
        <x:v>6568.957988</x:v>
      </x:c>
      <x:c r="C837" s="13" t="n">
        <x:v>484</x:v>
      </x:c>
      <x:c r="D837" s="12" t="n">
        <x:v>129019.87999999999</x:v>
      </x:c>
      <x:c r="E837" s="12" t="n">
        <x:v>530.8391</x:v>
      </x:c>
      <x:c r="F837" s="12" t="n">
        <x:f>SUM(B837,D837:E837)</x:f>
        <x:v>136119.677088</x:v>
      </x:c>
      <x:c r="G837" s="12" t="n">
        <x:f>MAX(G836,F837)</x:f>
        <x:v>145273.677988</x:v>
      </x:c>
      <x:c r="H837" s="14" t="n">
        <x:f>F837/G837-1</x:f>
        <x:v>-0.06301210946663138</x:v>
      </x:c>
      <x:c r="I837" s="14" t="n">
        <x:f>F837/F836-1</x:f>
        <x:v>-0.00014220755790639306</x:v>
      </x:c>
      <x:c r="J837" s="12" t="n">
        <x:v>0</x:v>
      </x:c>
      <x:c r="K837" s="12" t="n">
        <x:v>0</x:v>
      </x:c>
      <x:c r="L837" s="12" t="n">
        <x:v>0</x:v>
      </x:c>
      <x:c r="M837" s="2" t="str">
        <x:v>持有</x:v>
      </x:c>
    </x:row>
    <x:row r="838" ht="23" customHeight="1">
      <x:c r="A838" s="11" t="d">
        <x:v>2018-04-24T00:00:00.000Z</x:v>
      </x:c>
      <x:c r="B838" s="12" t="n">
        <x:v>6568.957988</x:v>
      </x:c>
      <x:c r="C838" s="13" t="n">
        <x:v>484</x:v>
      </x:c>
      <x:c r="D838" s="12" t="n">
        <x:v>127282.32</x:v>
      </x:c>
      <x:c r="E838" s="12" t="n">
        <x:v>530.8391</x:v>
      </x:c>
      <x:c r="F838" s="12" t="n">
        <x:f>SUM(B838,D838:E838)</x:f>
        <x:v>134382.117088</x:v>
      </x:c>
      <x:c r="G838" s="12" t="n">
        <x:f>MAX(G837,F838)</x:f>
        <x:v>145273.677988</x:v>
      </x:c>
      <x:c r="H838" s="14" t="n">
        <x:f>F838/G838-1</x:f>
        <x:v>-0.07497270703712533</x:v>
      </x:c>
      <x:c r="I838" s="14" t="n">
        <x:f>F838/F837-1</x:f>
        <x:v>-0.012764943593545852</x:v>
      </x:c>
      <x:c r="J838" s="12" t="n">
        <x:v>0</x:v>
      </x:c>
      <x:c r="K838" s="12" t="n">
        <x:v>0</x:v>
      </x:c>
      <x:c r="L838" s="12" t="n">
        <x:v>0</x:v>
      </x:c>
      <x:c r="M838" s="2" t="str">
        <x:v>持有</x:v>
      </x:c>
    </x:row>
    <x:row r="839" ht="23" customHeight="1">
      <x:c r="A839" s="11" t="d">
        <x:v>2018-04-25T00:00:00.000Z</x:v>
      </x:c>
      <x:c r="B839" s="12" t="n">
        <x:v>6568.957988</x:v>
      </x:c>
      <x:c r="C839" s="13" t="n">
        <x:v>484</x:v>
      </x:c>
      <x:c r="D839" s="12" t="n">
        <x:v>127596.92</x:v>
      </x:c>
      <x:c r="E839" s="12" t="n">
        <x:v>530.8391</x:v>
      </x:c>
      <x:c r="F839" s="12" t="n">
        <x:f>SUM(B839,D839:E839)</x:f>
        <x:v>134696.717088</x:v>
      </x:c>
      <x:c r="G839" s="12" t="n">
        <x:f>MAX(G838,F839)</x:f>
        <x:v>145273.677988</x:v>
      </x:c>
      <x:c r="H839" s="14" t="n">
        <x:f>F839/G839-1</x:f>
        <x:v>-0.07280713923188264</x:v>
      </x:c>
      <x:c r="I839" s="14" t="n">
        <x:f>F839/F838-1</x:f>
        <x:v>0.0023410853082035388</x:v>
      </x:c>
      <x:c r="J839" s="12" t="n">
        <x:v>0</x:v>
      </x:c>
      <x:c r="K839" s="12" t="n">
        <x:v>0</x:v>
      </x:c>
      <x:c r="L839" s="12" t="n">
        <x:v>0</x:v>
      </x:c>
      <x:c r="M839" s="2" t="str">
        <x:v>持有</x:v>
      </x:c>
    </x:row>
    <x:row r="840" ht="23" customHeight="1">
      <x:c r="A840" s="11" t="d">
        <x:v>2018-04-26T00:00:00.000Z</x:v>
      </x:c>
      <x:c r="B840" s="12" t="n">
        <x:v>6568.957988</x:v>
      </x:c>
      <x:c r="C840" s="13" t="n">
        <x:v>484</x:v>
      </x:c>
      <x:c r="D840" s="12" t="n">
        <x:v>128894.04000000001</x:v>
      </x:c>
      <x:c r="E840" s="12" t="n">
        <x:v>530.8391</x:v>
      </x:c>
      <x:c r="F840" s="12" t="n">
        <x:f>SUM(B840,D840:E840)</x:f>
        <x:v>135993.837088</x:v>
      </x:c>
      <x:c r="G840" s="12" t="n">
        <x:f>MAX(G839,F840)</x:f>
        <x:v>145273.677988</x:v>
      </x:c>
      <x:c r="H840" s="14" t="n">
        <x:f>F840/G840-1</x:f>
        <x:v>-0.06387833658872843</x:v>
      </x:c>
      <x:c r="I840" s="14" t="n">
        <x:f>F840/F839-1</x:f>
        <x:v>0.009629930320815161</x:v>
      </x:c>
      <x:c r="J840" s="12" t="n">
        <x:v>0</x:v>
      </x:c>
      <x:c r="K840" s="12" t="n">
        <x:v>0</x:v>
      </x:c>
      <x:c r="L840" s="12" t="n">
        <x:v>0</x:v>
      </x:c>
      <x:c r="M840" s="2" t="str">
        <x:v>持有</x:v>
      </x:c>
    </x:row>
    <x:row r="841" ht="23" customHeight="1">
      <x:c r="A841" s="11" t="d">
        <x:v>2018-04-27T00:00:00.000Z</x:v>
      </x:c>
      <x:c r="B841" s="12" t="n">
        <x:v>6568.957988</x:v>
      </x:c>
      <x:c r="C841" s="13" t="n">
        <x:v>484</x:v>
      </x:c>
      <x:c r="D841" s="12" t="n">
        <x:v>129015.04000000001</x:v>
      </x:c>
      <x:c r="E841" s="12" t="n">
        <x:v>530.8391</x:v>
      </x:c>
      <x:c r="F841" s="12" t="n">
        <x:f>SUM(B841,D841:E841)</x:f>
        <x:v>136114.837088</x:v>
      </x:c>
      <x:c r="G841" s="12" t="n">
        <x:f>MAX(G840,F841)</x:f>
        <x:v>145273.677988</x:v>
      </x:c>
      <x:c r="H841" s="14" t="n">
        <x:f>F841/G841-1</x:f>
        <x:v>-0.06304542589440432</x:v>
      </x:c>
      <x:c r="I841" s="14" t="n">
        <x:f>F841/F840-1</x:f>
        <x:v>0.0008897462016730362</x:v>
      </x:c>
      <x:c r="J841" s="12" t="n">
        <x:v>0</x:v>
      </x:c>
      <x:c r="K841" s="12" t="n">
        <x:v>0</x:v>
      </x:c>
      <x:c r="L841" s="12" t="n">
        <x:v>0</x:v>
      </x:c>
      <x:c r="M841" s="2" t="str">
        <x:v>持有</x:v>
      </x:c>
    </x:row>
    <x:row r="842" ht="23" customHeight="1">
      <x:c r="A842" s="11" t="d">
        <x:v>2018-04-30T00:00:00.000Z</x:v>
      </x:c>
      <x:c r="B842" s="12" t="n">
        <x:v>7099.797088</x:v>
      </x:c>
      <x:c r="C842" s="13" t="n">
        <x:v>484</x:v>
      </x:c>
      <x:c r="D842" s="12" t="n">
        <x:v>128022.84</x:v>
      </x:c>
      <x:c r="E842" s="12" t="n">
        <x:v>0</x:v>
      </x:c>
      <x:c r="F842" s="12" t="n">
        <x:f>SUM(B842,D842:E842)</x:f>
        <x:v>135122.637088</x:v>
      </x:c>
      <x:c r="G842" s="12" t="n">
        <x:f>MAX(G841,F842)</x:f>
        <x:v>145273.677988</x:v>
      </x:c>
      <x:c r="H842" s="14" t="n">
        <x:f>F842/G842-1</x:f>
        <x:v>-0.06987529358786193</x:v>
      </x:c>
      <x:c r="I842" s="14" t="n">
        <x:f>F842/F841-1</x:f>
        <x:v>-0.007289433108299104</x:v>
      </x:c>
      <x:c r="J842" s="12" t="n">
        <x:v>0</x:v>
      </x:c>
      <x:c r="K842" s="12" t="n">
        <x:v>530.8391</x:v>
      </x:c>
      <x:c r="L842" s="12" t="n">
        <x:v>0</x:v>
      </x:c>
      <x:c r="M842" s="2" t="str">
        <x:v>持有</x:v>
      </x:c>
    </x:row>
    <x:row r="843" ht="23" customHeight="1">
      <x:c r="A843" s="11" t="d">
        <x:v>2018-05-01T00:00:00.000Z</x:v>
      </x:c>
      <x:c r="B843" s="12" t="n">
        <x:v>7099.797088</x:v>
      </x:c>
      <x:c r="C843" s="13" t="n">
        <x:v>484</x:v>
      </x:c>
      <x:c r="D843" s="12" t="n">
        <x:v>128250.32</x:v>
      </x:c>
      <x:c r="E843" s="12" t="n">
        <x:v>0</x:v>
      </x:c>
      <x:c r="F843" s="12" t="n">
        <x:f>SUM(B843,D843:E843)</x:f>
        <x:v>135350.117088</x:v>
      </x:c>
      <x:c r="G843" s="12" t="n">
        <x:f>MAX(G842,F843)</x:f>
        <x:v>145273.677988</x:v>
      </x:c>
      <x:c r="H843" s="14" t="n">
        <x:f>F843/G843-1</x:f>
        <x:v>-0.0683094214825326</x:v>
      </x:c>
      <x:c r="I843" s="14" t="n">
        <x:f>F843/F842-1</x:f>
        <x:v>0.0016835077001335907</x:v>
      </x:c>
      <x:c r="J843" s="12" t="n">
        <x:v>0</x:v>
      </x:c>
      <x:c r="K843" s="12" t="n">
        <x:v>0</x:v>
      </x:c>
      <x:c r="L843" s="12" t="n">
        <x:v>0</x:v>
      </x:c>
      <x:c r="M843" s="2" t="str">
        <x:v>持有</x:v>
      </x:c>
    </x:row>
    <x:row r="844" ht="23" customHeight="1">
      <x:c r="A844" s="11" t="d">
        <x:v>2018-05-02T00:00:00.000Z</x:v>
      </x:c>
      <x:c r="B844" s="12" t="n">
        <x:v>7099.797088</x:v>
      </x:c>
      <x:c r="C844" s="13" t="n">
        <x:v>484</x:v>
      </x:c>
      <x:c r="D844" s="12" t="n">
        <x:v>127388.79999999999</x:v>
      </x:c>
      <x:c r="E844" s="12" t="n">
        <x:v>0</x:v>
      </x:c>
      <x:c r="F844" s="12" t="n">
        <x:f>SUM(B844,D844:E844)</x:f>
        <x:v>134488.59708799998</x:v>
      </x:c>
      <x:c r="G844" s="12" t="n">
        <x:f>MAX(G843,F844)</x:f>
        <x:v>145273.677988</x:v>
      </x:c>
      <x:c r="H844" s="14" t="n">
        <x:f>F844/G844-1</x:f>
        <x:v>-0.07423974562612023</x:v>
      </x:c>
      <x:c r="I844" s="14" t="n">
        <x:f>F844/F843-1</x:f>
        <x:v>-0.0063651219410463256</x:v>
      </x:c>
      <x:c r="J844" s="12" t="n">
        <x:v>0</x:v>
      </x:c>
      <x:c r="K844" s="12" t="n">
        <x:v>0</x:v>
      </x:c>
      <x:c r="L844" s="12" t="n">
        <x:v>0</x:v>
      </x:c>
      <x:c r="M844" s="2" t="str">
        <x:v>持有</x:v>
      </x:c>
    </x:row>
    <x:row r="845" ht="23" customHeight="1">
      <x:c r="A845" s="11" t="d">
        <x:v>2018-05-03T00:00:00.000Z</x:v>
      </x:c>
      <x:c r="B845" s="12" t="n">
        <x:v>7099.797088</x:v>
      </x:c>
      <x:c r="C845" s="13" t="n">
        <x:v>484</x:v>
      </x:c>
      <x:c r="D845" s="12" t="n">
        <x:v>127108.08</x:v>
      </x:c>
      <x:c r="E845" s="12" t="n">
        <x:v>0</x:v>
      </x:c>
      <x:c r="F845" s="12" t="n">
        <x:f>SUM(B845,D845:E845)</x:f>
        <x:v>134207.877088</x:v>
      </x:c>
      <x:c r="G845" s="12" t="n">
        <x:f>MAX(G844,F845)</x:f>
        <x:v>145273.677988</x:v>
      </x:c>
      <x:c r="H845" s="14" t="n">
        <x:f>F845/G845-1</x:f>
        <x:v>-0.07617209843695194</x:v>
      </x:c>
      <x:c r="I845" s="14" t="n">
        <x:f>F845/F844-1</x:f>
        <x:v>-0.0020873145090233303</x:v>
      </x:c>
      <x:c r="J845" s="12" t="n">
        <x:v>0</x:v>
      </x:c>
      <x:c r="K845" s="12" t="n">
        <x:v>0</x:v>
      </x:c>
      <x:c r="L845" s="12" t="n">
        <x:v>0</x:v>
      </x:c>
      <x:c r="M845" s="2" t="str">
        <x:v>持有</x:v>
      </x:c>
    </x:row>
    <x:row r="846" ht="23" customHeight="1">
      <x:c r="A846" s="11" t="d">
        <x:v>2018-05-04T00:00:00.000Z</x:v>
      </x:c>
      <x:c r="B846" s="12" t="n">
        <x:v>7099.797088</x:v>
      </x:c>
      <x:c r="C846" s="13" t="n">
        <x:v>484</x:v>
      </x:c>
      <x:c r="D846" s="12" t="n">
        <x:v>128753.68</x:v>
      </x:c>
      <x:c r="E846" s="12" t="n">
        <x:v>0</x:v>
      </x:c>
      <x:c r="F846" s="12" t="n">
        <x:f>SUM(B846,D846:E846)</x:f>
        <x:v>135853.47708799999</x:v>
      </x:c>
      <x:c r="G846" s="12" t="n">
        <x:f>MAX(G845,F846)</x:f>
        <x:v>145273.677988</x:v>
      </x:c>
      <x:c r="H846" s="14" t="n">
        <x:f>F846/G846-1</x:f>
        <x:v>-0.06484451299414451</x:v>
      </x:c>
      <x:c r="I846" s="14" t="n">
        <x:f>F846/F845-1</x:f>
        <x:v>0.012261575368791133</x:v>
      </x:c>
      <x:c r="J846" s="12" t="n">
        <x:v>0</x:v>
      </x:c>
      <x:c r="K846" s="12" t="n">
        <x:v>0</x:v>
      </x:c>
      <x:c r="L846" s="12" t="n">
        <x:v>0</x:v>
      </x:c>
      <x:c r="M846" s="2" t="str">
        <x:v>持有</x:v>
      </x:c>
    </x:row>
    <x:row r="847" ht="23" customHeight="1">
      <x:c r="A847" s="11" t="d">
        <x:v>2018-05-07T00:00:00.000Z</x:v>
      </x:c>
      <x:c r="B847" s="12" t="n">
        <x:v>7099.797088</x:v>
      </x:c>
      <x:c r="C847" s="13" t="n">
        <x:v>484</x:v>
      </x:c>
      <x:c r="D847" s="12" t="n">
        <x:v>129189.28000000001</x:v>
      </x:c>
      <x:c r="E847" s="12" t="n">
        <x:v>0</x:v>
      </x:c>
      <x:c r="F847" s="12" t="n">
        <x:f>SUM(B847,D847:E847)</x:f>
        <x:v>136289.07708800002</x:v>
      </x:c>
      <x:c r="G847" s="12" t="n">
        <x:f>MAX(G846,F847)</x:f>
        <x:v>145273.677988</x:v>
      </x:c>
      <x:c r="H847" s="14" t="n">
        <x:f>F847/G847-1</x:f>
        <x:v>-0.061846034494577484</x:v>
      </x:c>
      <x:c r="I847" s="14" t="n">
        <x:f>F847/F846-1</x:f>
        <x:v>0.003206395664925532</x:v>
      </x:c>
      <x:c r="J847" s="12" t="n">
        <x:v>0</x:v>
      </x:c>
      <x:c r="K847" s="12" t="n">
        <x:v>0</x:v>
      </x:c>
      <x:c r="L847" s="12" t="n">
        <x:v>0</x:v>
      </x:c>
      <x:c r="M847" s="2" t="str">
        <x:v>持有</x:v>
      </x:c>
    </x:row>
    <x:row r="848" ht="23" customHeight="1">
      <x:c r="A848" s="11" t="d">
        <x:v>2018-05-08T00:00:00.000Z</x:v>
      </x:c>
      <x:c r="B848" s="12" t="n">
        <x:v>7099.797088</x:v>
      </x:c>
      <x:c r="C848" s="13" t="n">
        <x:v>484</x:v>
      </x:c>
      <x:c r="D848" s="12" t="n">
        <x:v>129189.28000000001</x:v>
      </x:c>
      <x:c r="E848" s="12" t="n">
        <x:v>0</x:v>
      </x:c>
      <x:c r="F848" s="12" t="n">
        <x:f>SUM(B848,D848:E848)</x:f>
        <x:v>136289.07708800002</x:v>
      </x:c>
      <x:c r="G848" s="12" t="n">
        <x:f>MAX(G847,F848)</x:f>
        <x:v>145273.677988</x:v>
      </x:c>
      <x:c r="H848" s="14" t="n">
        <x:f>F848/G848-1</x:f>
        <x:v>-0.061846034494577484</x:v>
      </x:c>
      <x:c r="I848" s="14" t="n">
        <x:f>F848/F847-1</x:f>
        <x:v>0</x:v>
      </x:c>
      <x:c r="J848" s="12" t="n">
        <x:v>0</x:v>
      </x:c>
      <x:c r="K848" s="12" t="n">
        <x:v>0</x:v>
      </x:c>
      <x:c r="L848" s="12" t="n">
        <x:v>0</x:v>
      </x:c>
      <x:c r="M848" s="2" t="str">
        <x:v>持有</x:v>
      </x:c>
    </x:row>
    <x:row r="849" ht="23" customHeight="1">
      <x:c r="A849" s="11" t="d">
        <x:v>2018-05-09T00:00:00.000Z</x:v>
      </x:c>
      <x:c r="B849" s="12" t="n">
        <x:v>7099.797088</x:v>
      </x:c>
      <x:c r="C849" s="13" t="n">
        <x:v>484</x:v>
      </x:c>
      <x:c r="D849" s="12" t="n">
        <x:v>130438</x:v>
      </x:c>
      <x:c r="E849" s="12" t="n">
        <x:v>0</x:v>
      </x:c>
      <x:c r="F849" s="12" t="n">
        <x:f>SUM(B849,D849:E849)</x:f>
        <x:v>137537.797088</x:v>
      </x:c>
      <x:c r="G849" s="12" t="n">
        <x:f>MAX(G848,F849)</x:f>
        <x:v>145273.677988</x:v>
      </x:c>
      <x:c r="H849" s="14" t="n">
        <x:f>F849/G849-1</x:f>
        <x:v>-0.053250396129153055</x:v>
      </x:c>
      <x:c r="I849" s="14" t="n">
        <x:f>F849/F848-1</x:f>
        <x:v>0.009162289646980959</x:v>
      </x:c>
      <x:c r="J849" s="12" t="n">
        <x:v>0</x:v>
      </x:c>
      <x:c r="K849" s="12" t="n">
        <x:v>0</x:v>
      </x:c>
      <x:c r="L849" s="12" t="n">
        <x:v>0</x:v>
      </x:c>
      <x:c r="M849" s="2" t="str">
        <x:v>持有</x:v>
      </x:c>
    </x:row>
    <x:row r="850" ht="23" customHeight="1">
      <x:c r="A850" s="11" t="d">
        <x:v>2018-05-10T00:00:00.000Z</x:v>
      </x:c>
      <x:c r="B850" s="12" t="n">
        <x:v>7099.797088</x:v>
      </x:c>
      <x:c r="C850" s="13" t="n">
        <x:v>484</x:v>
      </x:c>
      <x:c r="D850" s="12" t="n">
        <x:v>131657.68</x:v>
      </x:c>
      <x:c r="E850" s="12" t="n">
        <x:v>0</x:v>
      </x:c>
      <x:c r="F850" s="12" t="n">
        <x:f>SUM(B850,D850:E850)</x:f>
        <x:v>138757.47708799999</x:v>
      </x:c>
      <x:c r="G850" s="12" t="n">
        <x:f>MAX(G849,F850)</x:f>
        <x:v>145273.677988</x:v>
      </x:c>
      <x:c r="H850" s="14" t="n">
        <x:f>F850/G850-1</x:f>
        <x:v>-0.04485465633036623</x:v>
      </x:c>
      <x:c r="I850" s="14" t="n">
        <x:f>F850/F849-1</x:f>
        <x:v>0.00886796230435194</x:v>
      </x:c>
      <x:c r="J850" s="12" t="n">
        <x:v>0</x:v>
      </x:c>
      <x:c r="K850" s="12" t="n">
        <x:v>0</x:v>
      </x:c>
      <x:c r="L850" s="12" t="n">
        <x:v>0</x:v>
      </x:c>
      <x:c r="M850" s="2" t="str">
        <x:v>持有</x:v>
      </x:c>
    </x:row>
    <x:row r="851" ht="23" customHeight="1">
      <x:c r="A851" s="11" t="d">
        <x:v>2018-05-11T00:00:00.000Z</x:v>
      </x:c>
      <x:c r="B851" s="12" t="n">
        <x:v>7099.797088</x:v>
      </x:c>
      <x:c r="C851" s="13" t="n">
        <x:v>484</x:v>
      </x:c>
      <x:c r="D851" s="12" t="n">
        <x:v>132059.40000000002</x:v>
      </x:c>
      <x:c r="E851" s="12" t="n">
        <x:v>0</x:v>
      </x:c>
      <x:c r="F851" s="12" t="n">
        <x:f>SUM(B851,D851:E851)</x:f>
        <x:v>139159.19708800002</x:v>
      </x:c>
      <x:c r="G851" s="12" t="n">
        <x:f>MAX(G850,F851)</x:f>
        <x:v>145273.677988</x:v>
      </x:c>
      <x:c r="H851" s="14" t="n">
        <x:f>F851/G851-1</x:f>
        <x:v>-0.04208939282520996</x:v>
      </x:c>
      <x:c r="I851" s="14" t="n">
        <x:f>F851/F850-1</x:f>
        <x:v>0.0028951232642062674</x:v>
      </x:c>
      <x:c r="J851" s="12" t="n">
        <x:v>0</x:v>
      </x:c>
      <x:c r="K851" s="12" t="n">
        <x:v>0</x:v>
      </x:c>
      <x:c r="L851" s="12" t="n">
        <x:v>0</x:v>
      </x:c>
      <x:c r="M851" s="2" t="str">
        <x:v>持有</x:v>
      </x:c>
    </x:row>
    <x:row r="852" ht="23" customHeight="1">
      <x:c r="A852" s="11" t="d">
        <x:v>2018-05-14T00:00:00.000Z</x:v>
      </x:c>
      <x:c r="B852" s="12" t="n">
        <x:v>7099.797088</x:v>
      </x:c>
      <x:c r="C852" s="13" t="n">
        <x:v>484</x:v>
      </x:c>
      <x:c r="D852" s="12" t="n">
        <x:v>132122.32</x:v>
      </x:c>
      <x:c r="E852" s="12" t="n">
        <x:v>0</x:v>
      </x:c>
      <x:c r="F852" s="12" t="n">
        <x:f>SUM(B852,D852:E852)</x:f>
        <x:v>139222.117088</x:v>
      </x:c>
      <x:c r="G852" s="12" t="n">
        <x:f>MAX(G851,F852)</x:f>
        <x:v>145273.677988</x:v>
      </x:c>
      <x:c r="H852" s="14" t="n">
        <x:f>F852/G852-1</x:f>
        <x:v>-0.0416562792641616</x:v>
      </x:c>
      <x:c r="I852" s="14" t="n">
        <x:f>F852/F851-1</x:f>
        <x:v>0.00045214402868531955</x:v>
      </x:c>
      <x:c r="J852" s="12" t="n">
        <x:v>0</x:v>
      </x:c>
      <x:c r="K852" s="12" t="n">
        <x:v>0</x:v>
      </x:c>
      <x:c r="L852" s="12" t="n">
        <x:v>0</x:v>
      </x:c>
      <x:c r="M852" s="2" t="str">
        <x:v>持有</x:v>
      </x:c>
    </x:row>
    <x:row r="853" ht="23" customHeight="1">
      <x:c r="A853" s="11" t="d">
        <x:v>2018-05-15T00:00:00.000Z</x:v>
      </x:c>
      <x:c r="B853" s="12" t="n">
        <x:v>7099.797088</x:v>
      </x:c>
      <x:c r="C853" s="13" t="n">
        <x:v>484</x:v>
      </x:c>
      <x:c r="D853" s="12" t="n">
        <x:v>131212.40000000002</x:v>
      </x:c>
      <x:c r="E853" s="12" t="n">
        <x:v>0</x:v>
      </x:c>
      <x:c r="F853" s="12" t="n">
        <x:f>SUM(B853,D853:E853)</x:f>
        <x:v>138312.19708800002</x:v>
      </x:c>
      <x:c r="G853" s="12" t="n">
        <x:f>MAX(G852,F853)</x:f>
        <x:v>145273.677988</x:v>
      </x:c>
      <x:c r="H853" s="14" t="n">
        <x:f>F853/G853-1</x:f>
        <x:v>-0.047919767685478676</x:v>
      </x:c>
      <x:c r="I853" s="14" t="n">
        <x:f>F853/F852-1</x:f>
        <x:v>-0.006535743163744834</x:v>
      </x:c>
      <x:c r="J853" s="12" t="n">
        <x:v>0</x:v>
      </x:c>
      <x:c r="K853" s="12" t="n">
        <x:v>0</x:v>
      </x:c>
      <x:c r="L853" s="12" t="n">
        <x:v>0</x:v>
      </x:c>
      <x:c r="M853" s="2" t="str">
        <x:v>持有</x:v>
      </x:c>
    </x:row>
    <x:row r="854" ht="23" customHeight="1">
      <x:c r="A854" s="11" t="d">
        <x:v>2018-05-16T00:00:00.000Z</x:v>
      </x:c>
      <x:c r="B854" s="12" t="n">
        <x:v>7099.797088</x:v>
      </x:c>
      <x:c r="C854" s="13" t="n">
        <x:v>484</x:v>
      </x:c>
      <x:c r="D854" s="12" t="n">
        <x:v>131764.16</x:v>
      </x:c>
      <x:c r="E854" s="12" t="n">
        <x:v>0</x:v>
      </x:c>
      <x:c r="F854" s="12" t="n">
        <x:f>SUM(B854,D854:E854)</x:f>
        <x:v>138863.957088</x:v>
      </x:c>
      <x:c r="G854" s="12" t="n">
        <x:f>MAX(G853,F854)</x:f>
        <x:v>145273.677988</x:v>
      </x:c>
      <x:c r="H854" s="14" t="n">
        <x:f>F854/G854-1</x:f>
        <x:v>-0.04412169491936091</x:v>
      </x:c>
      <x:c r="I854" s="14" t="n">
        <x:f>F854/F853-1</x:f>
        <x:v>0.003989236029913634</x:v>
      </x:c>
      <x:c r="J854" s="12" t="n">
        <x:v>0</x:v>
      </x:c>
      <x:c r="K854" s="12" t="n">
        <x:v>0</x:v>
      </x:c>
      <x:c r="L854" s="12" t="n">
        <x:v>0</x:v>
      </x:c>
      <x:c r="M854" s="2" t="str">
        <x:v>持有</x:v>
      </x:c>
    </x:row>
    <x:row r="855" ht="23" customHeight="1">
      <x:c r="A855" s="11" t="d">
        <x:v>2018-05-17T00:00:00.000Z</x:v>
      </x:c>
      <x:c r="B855" s="12" t="n">
        <x:v>7099.797088</x:v>
      </x:c>
      <x:c r="C855" s="13" t="n">
        <x:v>484</x:v>
      </x:c>
      <x:c r="D855" s="12" t="n">
        <x:v>131652.84</x:v>
      </x:c>
      <x:c r="E855" s="12" t="n">
        <x:v>0</x:v>
      </x:c>
      <x:c r="F855" s="12" t="n">
        <x:f>SUM(B855,D855:E855)</x:f>
        <x:v>138752.637088</x:v>
      </x:c>
      <x:c r="G855" s="12" t="n">
        <x:f>MAX(G854,F855)</x:f>
        <x:v>145273.677988</x:v>
      </x:c>
      <x:c r="H855" s="14" t="n">
        <x:f>F855/G855-1</x:f>
        <x:v>-0.04488797275813916</x:v>
      </x:c>
      <x:c r="I855" s="14" t="n">
        <x:f>F855/F854-1</x:f>
        <x:v>-0.0008016479029865353</x:v>
      </x:c>
      <x:c r="J855" s="12" t="n">
        <x:v>0</x:v>
      </x:c>
      <x:c r="K855" s="12" t="n">
        <x:v>0</x:v>
      </x:c>
      <x:c r="L855" s="12" t="n">
        <x:v>0</x:v>
      </x:c>
      <x:c r="M855" s="2" t="str">
        <x:v>持有</x:v>
      </x:c>
    </x:row>
    <x:row r="856" ht="23" customHeight="1">
      <x:c r="A856" s="11" t="d">
        <x:v>2018-05-18T00:00:00.000Z</x:v>
      </x:c>
      <x:c r="B856" s="12" t="n">
        <x:v>7099.797088</x:v>
      </x:c>
      <x:c r="C856" s="13" t="n">
        <x:v>484</x:v>
      </x:c>
      <x:c r="D856" s="12" t="n">
        <x:v>131323.72</x:v>
      </x:c>
      <x:c r="E856" s="12" t="n">
        <x:v>0</x:v>
      </x:c>
      <x:c r="F856" s="12" t="n">
        <x:f>SUM(B856,D856:E856)</x:f>
        <x:v>138423.517088</x:v>
      </x:c>
      <x:c r="G856" s="12" t="n">
        <x:f>MAX(G855,F856)</x:f>
        <x:v>145273.677988</x:v>
      </x:c>
      <x:c r="H856" s="14" t="n">
        <x:f>F856/G856-1</x:f>
        <x:v>-0.04715348984670065</x:v>
      </x:c>
      <x:c r="I856" s="14" t="n">
        <x:f>F856/F855-1</x:f>
        <x:v>-0.002371990953881853</x:v>
      </x:c>
      <x:c r="J856" s="12" t="n">
        <x:v>0</x:v>
      </x:c>
      <x:c r="K856" s="12" t="n">
        <x:v>0</x:v>
      </x:c>
      <x:c r="L856" s="12" t="n">
        <x:v>0</x:v>
      </x:c>
      <x:c r="M856" s="2" t="str">
        <x:v>持有</x:v>
      </x:c>
    </x:row>
    <x:row r="857" ht="23" customHeight="1">
      <x:c r="A857" s="11" t="d">
        <x:v>2018-05-21T00:00:00.000Z</x:v>
      </x:c>
      <x:c r="B857" s="12" t="n">
        <x:v>7099.797088</x:v>
      </x:c>
      <x:c r="C857" s="13" t="n">
        <x:v>484</x:v>
      </x:c>
      <x:c r="D857" s="12" t="n">
        <x:v>132311.08000000002</x:v>
      </x:c>
      <x:c r="E857" s="12" t="n">
        <x:v>0</x:v>
      </x:c>
      <x:c r="F857" s="12" t="n">
        <x:f>SUM(B857,D857:E857)</x:f>
        <x:v>139410.877088</x:v>
      </x:c>
      <x:c r="G857" s="12" t="n">
        <x:f>MAX(G856,F857)</x:f>
        <x:v>145273.677988</x:v>
      </x:c>
      <x:c r="H857" s="14" t="n">
        <x:f>F857/G857-1</x:f>
        <x:v>-0.040356938581015966</x:v>
      </x:c>
      <x:c r="I857" s="14" t="n">
        <x:f>F857/F856-1</x:f>
        <x:v>0.007132892016985304</x:v>
      </x:c>
      <x:c r="J857" s="12" t="n">
        <x:v>0</x:v>
      </x:c>
      <x:c r="K857" s="12" t="n">
        <x:v>0</x:v>
      </x:c>
      <x:c r="L857" s="12" t="n">
        <x:v>0</x:v>
      </x:c>
      <x:c r="M857" s="2" t="str">
        <x:v>持有</x:v>
      </x:c>
    </x:row>
    <x:row r="858" ht="23" customHeight="1">
      <x:c r="A858" s="11" t="d">
        <x:v>2018-05-22T00:00:00.000Z</x:v>
      </x:c>
      <x:c r="B858" s="12" t="n">
        <x:v>7099.797088</x:v>
      </x:c>
      <x:c r="C858" s="13" t="n">
        <x:v>484</x:v>
      </x:c>
      <x:c r="D858" s="12" t="n">
        <x:v>131943.24000000002</x:v>
      </x:c>
      <x:c r="E858" s="12" t="n">
        <x:v>0</x:v>
      </x:c>
      <x:c r="F858" s="12" t="n">
        <x:f>SUM(B858,D858:E858)</x:f>
        <x:v>139043.037088</x:v>
      </x:c>
      <x:c r="G858" s="12" t="n">
        <x:f>MAX(G857,F858)</x:f>
        <x:v>145273.677988</x:v>
      </x:c>
      <x:c r="H858" s="14" t="n">
        <x:f>F858/G858-1</x:f>
        <x:v>-0.042888987091761144</x:v>
      </x:c>
      <x:c r="I858" s="14" t="n">
        <x:f>F858/F857-1</x:f>
        <x:v>-0.002638531567144553</x:v>
      </x:c>
      <x:c r="J858" s="12" t="n">
        <x:v>0</x:v>
      </x:c>
      <x:c r="K858" s="12" t="n">
        <x:v>0</x:v>
      </x:c>
      <x:c r="L858" s="12" t="n">
        <x:v>0</x:v>
      </x:c>
      <x:c r="M858" s="2" t="str">
        <x:v>持有</x:v>
      </x:c>
    </x:row>
    <x:row r="859" ht="23" customHeight="1">
      <x:c r="A859" s="11" t="d">
        <x:v>2018-05-23T00:00:00.000Z</x:v>
      </x:c>
      <x:c r="B859" s="12" t="n">
        <x:v>7099.797088</x:v>
      </x:c>
      <x:c r="C859" s="13" t="n">
        <x:v>484</x:v>
      </x:c>
      <x:c r="D859" s="12" t="n">
        <x:v>132306.24000000002</x:v>
      </x:c>
      <x:c r="E859" s="12" t="n">
        <x:v>0</x:v>
      </x:c>
      <x:c r="F859" s="12" t="n">
        <x:f>SUM(B859,D859:E859)</x:f>
        <x:v>139406.037088</x:v>
      </x:c>
      <x:c r="G859" s="12" t="n">
        <x:f>MAX(G858,F859)</x:f>
        <x:v>145273.677988</x:v>
      </x:c>
      <x:c r="H859" s="14" t="n">
        <x:f>F859/G859-1</x:f>
        <x:v>-0.0403902550087889</x:v>
      </x:c>
      <x:c r="I859" s="14" t="n">
        <x:f>F859/F858-1</x:f>
        <x:v>0.0026107024673969192</x:v>
      </x:c>
      <x:c r="J859" s="12" t="n">
        <x:v>0</x:v>
      </x:c>
      <x:c r="K859" s="12" t="n">
        <x:v>0</x:v>
      </x:c>
      <x:c r="L859" s="12" t="n">
        <x:v>0</x:v>
      </x:c>
      <x:c r="M859" s="2" t="str">
        <x:v>持有</x:v>
      </x:c>
    </x:row>
    <x:row r="860" ht="23" customHeight="1">
      <x:c r="A860" s="11" t="d">
        <x:v>2018-05-24T00:00:00.000Z</x:v>
      </x:c>
      <x:c r="B860" s="12" t="n">
        <x:v>7099.797088</x:v>
      </x:c>
      <x:c r="C860" s="13" t="n">
        <x:v>484</x:v>
      </x:c>
      <x:c r="D860" s="12" t="n">
        <x:v>132035.2</x:v>
      </x:c>
      <x:c r="E860" s="12" t="n">
        <x:v>0</x:v>
      </x:c>
      <x:c r="F860" s="12" t="n">
        <x:f>SUM(B860,D860:E860)</x:f>
        <x:v>139134.997088</x:v>
      </x:c>
      <x:c r="G860" s="12" t="n">
        <x:f>MAX(G859,F860)</x:f>
        <x:v>145273.677988</x:v>
      </x:c>
      <x:c r="H860" s="14" t="n">
        <x:f>F860/G860-1</x:f>
        <x:v>-0.04225597496407485</x:v>
      </x:c>
      <x:c r="I860" s="14" t="n">
        <x:f>F860/F859-1</x:f>
        <x:v>-0.001944248654230929</x:v>
      </x:c>
      <x:c r="J860" s="12" t="n">
        <x:v>0</x:v>
      </x:c>
      <x:c r="K860" s="12" t="n">
        <x:v>0</x:v>
      </x:c>
      <x:c r="L860" s="12" t="n">
        <x:v>0</x:v>
      </x:c>
      <x:c r="M860" s="2" t="str">
        <x:v>持有</x:v>
      </x:c>
    </x:row>
    <x:row r="861" ht="23" customHeight="1">
      <x:c r="A861" s="11" t="d">
        <x:v>2018-05-25T00:00:00.000Z</x:v>
      </x:c>
      <x:c r="B861" s="12" t="n">
        <x:v>7099.797088</x:v>
      </x:c>
      <x:c r="C861" s="13" t="n">
        <x:v>484</x:v>
      </x:c>
      <x:c r="D861" s="12" t="n">
        <x:v>131720.59999999998</x:v>
      </x:c>
      <x:c r="E861" s="12" t="n">
        <x:v>0</x:v>
      </x:c>
      <x:c r="F861" s="12" t="n">
        <x:f>SUM(B861,D861:E861)</x:f>
        <x:v>138820.39708799997</x:v>
      </x:c>
      <x:c r="G861" s="12" t="n">
        <x:f>MAX(G860,F861)</x:f>
        <x:v>145273.677988</x:v>
      </x:c>
      <x:c r="H861" s="14" t="n">
        <x:f>F861/G861-1</x:f>
        <x:v>-0.04442154276931776</x:v>
      </x:c>
      <x:c r="I861" s="14" t="n">
        <x:f>F861/F860-1</x:f>
        <x:v>-0.002261113354543376</x:v>
      </x:c>
      <x:c r="J861" s="12" t="n">
        <x:v>0</x:v>
      </x:c>
      <x:c r="K861" s="12" t="n">
        <x:v>0</x:v>
      </x:c>
      <x:c r="L861" s="12" t="n">
        <x:v>0</x:v>
      </x:c>
      <x:c r="M861" s="2" t="str">
        <x:v>持有</x:v>
      </x:c>
    </x:row>
    <x:row r="862" ht="23" customHeight="1">
      <x:c r="A862" s="11" t="d">
        <x:v>2018-05-29T00:00:00.000Z</x:v>
      </x:c>
      <x:c r="B862" s="12" t="n">
        <x:v>7099.797088</x:v>
      </x:c>
      <x:c r="C862" s="13" t="n">
        <x:v>484</x:v>
      </x:c>
      <x:c r="D862" s="12" t="n">
        <x:v>130205.68</x:v>
      </x:c>
      <x:c r="E862" s="12" t="n">
        <x:v>0</x:v>
      </x:c>
      <x:c r="F862" s="12" t="n">
        <x:f>SUM(B862,D862:E862)</x:f>
        <x:v>137305.47708799999</x:v>
      </x:c>
      <x:c r="G862" s="12" t="n">
        <x:f>MAX(G861,F862)</x:f>
        <x:v>145273.677988</x:v>
      </x:c>
      <x:c r="H862" s="14" t="n">
        <x:f>F862/G862-1</x:f>
        <x:v>-0.05484958466225531</x:v>
      </x:c>
      <x:c r="I862" s="14" t="n">
        <x:f>F862/F861-1</x:f>
        <x:v>-0.010912805551475668</x:v>
      </x:c>
      <x:c r="J862" s="12" t="n">
        <x:v>0</x:v>
      </x:c>
      <x:c r="K862" s="12" t="n">
        <x:v>0</x:v>
      </x:c>
      <x:c r="L862" s="12" t="n">
        <x:v>0</x:v>
      </x:c>
      <x:c r="M862" s="2" t="str">
        <x:v>持有</x:v>
      </x:c>
    </x:row>
    <x:row r="863" ht="23" customHeight="1">
      <x:c r="A863" s="11" t="d">
        <x:v>2018-05-30T00:00:00.000Z</x:v>
      </x:c>
      <x:c r="B863" s="12" t="n">
        <x:v>7099.797088</x:v>
      </x:c>
      <x:c r="C863" s="13" t="n">
        <x:v>484</x:v>
      </x:c>
      <x:c r="D863" s="12" t="n">
        <x:v>131943.24000000002</x:v>
      </x:c>
      <x:c r="E863" s="12" t="n">
        <x:v>0</x:v>
      </x:c>
      <x:c r="F863" s="12" t="n">
        <x:f>SUM(B863,D863:E863)</x:f>
        <x:v>139043.037088</x:v>
      </x:c>
      <x:c r="G863" s="12" t="n">
        <x:f>MAX(G862,F863)</x:f>
        <x:v>145273.677988</x:v>
      </x:c>
      <x:c r="H863" s="14" t="n">
        <x:f>F863/G863-1</x:f>
        <x:v>-0.042888987091761144</x:v>
      </x:c>
      <x:c r="I863" s="14" t="n">
        <x:f>F863/F862-1</x:f>
        <x:v>0.012654702760956926</x:v>
      </x:c>
      <x:c r="J863" s="12" t="n">
        <x:v>0</x:v>
      </x:c>
      <x:c r="K863" s="12" t="n">
        <x:v>0</x:v>
      </x:c>
      <x:c r="L863" s="12" t="n">
        <x:v>0</x:v>
      </x:c>
      <x:c r="M863" s="2" t="str">
        <x:v>持有</x:v>
      </x:c>
    </x:row>
    <x:row r="864" ht="23" customHeight="1">
      <x:c r="A864" s="11" t="d">
        <x:v>2018-05-31T00:00:00.000Z</x:v>
      </x:c>
      <x:c r="B864" s="12" t="n">
        <x:v>7099.797088</x:v>
      </x:c>
      <x:c r="C864" s="13" t="n">
        <x:v>484</x:v>
      </x:c>
      <x:c r="D864" s="12" t="n">
        <x:v>131134.96</x:v>
      </x:c>
      <x:c r="E864" s="12" t="n">
        <x:v>0</x:v>
      </x:c>
      <x:c r="F864" s="12" t="n">
        <x:f>SUM(B864,D864:E864)</x:f>
        <x:v>138234.75708799998</x:v>
      </x:c>
      <x:c r="G864" s="12" t="n">
        <x:f>MAX(G863,F864)</x:f>
        <x:v>145273.677988</x:v>
      </x:c>
      <x:c r="H864" s="14" t="n">
        <x:f>F864/G864-1</x:f>
        <x:v>-0.04845283052984628</x:v>
      </x:c>
      <x:c r="I864" s="14" t="n">
        <x:f>F864/F863-1</x:f>
        <x:v>-0.005813164160737294</x:v>
      </x:c>
      <x:c r="J864" s="12" t="n">
        <x:v>0</x:v>
      </x:c>
      <x:c r="K864" s="12" t="n">
        <x:v>0</x:v>
      </x:c>
      <x:c r="L864" s="12" t="n">
        <x:v>0</x:v>
      </x:c>
      <x:c r="M864" s="2" t="str">
        <x:v>持有</x:v>
      </x:c>
    </x:row>
    <x:row r="865" ht="23" customHeight="1">
      <x:c r="A865" s="11" t="d">
        <x:v>2018-06-01T00:00:00.000Z</x:v>
      </x:c>
      <x:c r="B865" s="12" t="n">
        <x:v>7099.797088</x:v>
      </x:c>
      <x:c r="C865" s="13" t="n">
        <x:v>484</x:v>
      </x:c>
      <x:c r="D865" s="12" t="n">
        <x:v>132422.40000000002</x:v>
      </x:c>
      <x:c r="E865" s="12" t="n">
        <x:v>0</x:v>
      </x:c>
      <x:c r="F865" s="12" t="n">
        <x:f>SUM(B865,D865:E865)</x:f>
        <x:v>139522.19708800002</x:v>
      </x:c>
      <x:c r="G865" s="12" t="n">
        <x:f>MAX(G864,F865)</x:f>
        <x:v>145273.677988</x:v>
      </x:c>
      <x:c r="H865" s="14" t="n">
        <x:f>F865/G865-1</x:f>
        <x:v>-0.039590660742237715</x:v>
      </x:c>
      <x:c r="I865" s="14" t="n">
        <x:f>F865/F864-1</x:f>
        <x:v>0.009313431926389226</x:v>
      </x:c>
      <x:c r="J865" s="12" t="n">
        <x:v>0</x:v>
      </x:c>
      <x:c r="K865" s="12" t="n">
        <x:v>0</x:v>
      </x:c>
      <x:c r="L865" s="12" t="n">
        <x:v>0</x:v>
      </x:c>
      <x:c r="M865" s="2" t="str">
        <x:v>持有</x:v>
      </x:c>
    </x:row>
    <x:row r="866" ht="23" customHeight="1">
      <x:c r="A866" s="11" t="d">
        <x:v>2018-06-04T00:00:00.000Z</x:v>
      </x:c>
      <x:c r="B866" s="12" t="n">
        <x:v>7099.797088</x:v>
      </x:c>
      <x:c r="C866" s="13" t="n">
        <x:v>484</x:v>
      </x:c>
      <x:c r="D866" s="12" t="n">
        <x:v>133051.59999999998</x:v>
      </x:c>
      <x:c r="E866" s="12" t="n">
        <x:v>0</x:v>
      </x:c>
      <x:c r="F866" s="12" t="n">
        <x:f>SUM(B866,D866:E866)</x:f>
        <x:v>140151.39708799997</x:v>
      </x:c>
      <x:c r="G866" s="12" t="n">
        <x:f>MAX(G865,F866)</x:f>
        <x:v>145273.677988</x:v>
      </x:c>
      <x:c r="H866" s="14" t="n">
        <x:f>F866/G866-1</x:f>
        <x:v>-0.03525952513175279</x:v>
      </x:c>
      <x:c r="I866" s="14" t="n">
        <x:f>F866/F865-1</x:f>
        <x:v>0.004509676690391373</x:v>
      </x:c>
      <x:c r="J866" s="12" t="n">
        <x:v>0</x:v>
      </x:c>
      <x:c r="K866" s="12" t="n">
        <x:v>0</x:v>
      </x:c>
      <x:c r="L866" s="12" t="n">
        <x:v>0</x:v>
      </x:c>
      <x:c r="M866" s="2" t="str">
        <x:v>持有</x:v>
      </x:c>
    </x:row>
    <x:row r="867" ht="23" customHeight="1">
      <x:c r="A867" s="11" t="d">
        <x:v>2018-06-05T00:00:00.000Z</x:v>
      </x:c>
      <x:c r="B867" s="12" t="n">
        <x:v>7099.797088</x:v>
      </x:c>
      <x:c r="C867" s="13" t="n">
        <x:v>484</x:v>
      </x:c>
      <x:c r="D867" s="12" t="n">
        <x:v>133148.40000000002</x:v>
      </x:c>
      <x:c r="E867" s="12" t="n">
        <x:v>0</x:v>
      </x:c>
      <x:c r="F867" s="12" t="n">
        <x:f>SUM(B867,D867:E867)</x:f>
        <x:v>140248.19708800002</x:v>
      </x:c>
      <x:c r="G867" s="12" t="n">
        <x:f>MAX(G866,F867)</x:f>
        <x:v>145273.677988</x:v>
      </x:c>
      <x:c r="H867" s="14" t="n">
        <x:f>F867/G867-1</x:f>
        <x:v>-0.03459319657629312</x:v>
      </x:c>
      <x:c r="I867" s="14" t="n">
        <x:f>F867/F866-1</x:f>
        <x:v>0.0006906816629110857</x:v>
      </x:c>
      <x:c r="J867" s="12" t="n">
        <x:v>0</x:v>
      </x:c>
      <x:c r="K867" s="12" t="n">
        <x:v>0</x:v>
      </x:c>
      <x:c r="L867" s="12" t="n">
        <x:v>0</x:v>
      </x:c>
      <x:c r="M867" s="2" t="str">
        <x:v>持有</x:v>
      </x:c>
    </x:row>
    <x:row r="868" ht="23" customHeight="1">
      <x:c r="A868" s="11" t="d">
        <x:v>2018-06-06T00:00:00.000Z</x:v>
      </x:c>
      <x:c r="B868" s="12" t="n">
        <x:v>7099.797088</x:v>
      </x:c>
      <x:c r="C868" s="13" t="n">
        <x:v>484</x:v>
      </x:c>
      <x:c r="D868" s="12" t="n">
        <x:v>134261.59999999998</x:v>
      </x:c>
      <x:c r="E868" s="12" t="n">
        <x:v>0</x:v>
      </x:c>
      <x:c r="F868" s="12" t="n">
        <x:f>SUM(B868,D868:E868)</x:f>
        <x:v>141361.39708799997</x:v>
      </x:c>
      <x:c r="G868" s="12" t="n">
        <x:f>MAX(G867,F868)</x:f>
        <x:v>145273.677988</x:v>
      </x:c>
      <x:c r="H868" s="14" t="n">
        <x:f>F868/G868-1</x:f>
        <x:v>-0.02693041818851183</x:v>
      </x:c>
      <x:c r="I868" s="14" t="n">
        <x:f>F868/F867-1</x:f>
        <x:v>0.007937356936584816</x:v>
      </x:c>
      <x:c r="J868" s="12" t="n">
        <x:v>0</x:v>
      </x:c>
      <x:c r="K868" s="12" t="n">
        <x:v>0</x:v>
      </x:c>
      <x:c r="L868" s="12" t="n">
        <x:v>0</x:v>
      </x:c>
      <x:c r="M868" s="2" t="str">
        <x:v>持有</x:v>
      </x:c>
    </x:row>
    <x:row r="869" ht="23" customHeight="1">
      <x:c r="A869" s="11" t="d">
        <x:v>2018-06-07T00:00:00.000Z</x:v>
      </x:c>
      <x:c r="B869" s="12" t="n">
        <x:v>7099.797088</x:v>
      </x:c>
      <x:c r="C869" s="13" t="n">
        <x:v>484</x:v>
      </x:c>
      <x:c r="D869" s="12" t="n">
        <x:v>134247.08000000002</x:v>
      </x:c>
      <x:c r="E869" s="12" t="n">
        <x:v>0</x:v>
      </x:c>
      <x:c r="F869" s="12" t="n">
        <x:f>SUM(B869,D869:E869)</x:f>
        <x:v>141346.877088</x:v>
      </x:c>
      <x:c r="G869" s="12" t="n">
        <x:f>MAX(G868,F869)</x:f>
        <x:v>145273.677988</x:v>
      </x:c>
      <x:c r="H869" s="14" t="n">
        <x:f>F869/G869-1</x:f>
        <x:v>-0.027030367471830408</x:v>
      </x:c>
      <x:c r="I869" s="14" t="n">
        <x:f>F869/F868-1</x:f>
        <x:v>-0.00010271545343398802</x:v>
      </x:c>
      <x:c r="J869" s="12" t="n">
        <x:v>0</x:v>
      </x:c>
      <x:c r="K869" s="12" t="n">
        <x:v>0</x:v>
      </x:c>
      <x:c r="L869" s="12" t="n">
        <x:v>0</x:v>
      </x:c>
      <x:c r="M869" s="2" t="str">
        <x:v>持有</x:v>
      </x:c>
    </x:row>
    <x:row r="870" ht="23" customHeight="1">
      <x:c r="A870" s="11" t="d">
        <x:v>2018-06-08T00:00:00.000Z</x:v>
      </x:c>
      <x:c r="B870" s="12" t="n">
        <x:v>7099.797088</x:v>
      </x:c>
      <x:c r="C870" s="13" t="n">
        <x:v>484</x:v>
      </x:c>
      <x:c r="D870" s="12" t="n">
        <x:v>134643.96</x:v>
      </x:c>
      <x:c r="E870" s="12" t="n">
        <x:v>0</x:v>
      </x:c>
      <x:c r="F870" s="12" t="n">
        <x:f>SUM(B870,D870:E870)</x:f>
        <x:v>141743.75708799998</x:v>
      </x:c>
      <x:c r="G870" s="12" t="n">
        <x:f>MAX(G869,F870)</x:f>
        <x:v>145273.677988</x:v>
      </x:c>
      <x:c r="H870" s="14" t="n">
        <x:f>F870/G870-1</x:f>
        <x:v>-0.024298420394447517</x:v>
      </x:c>
      <x:c r="I870" s="14" t="n">
        <x:f>F870/F869-1</x:f>
        <x:v>0.0028078441361876205</x:v>
      </x:c>
      <x:c r="J870" s="12" t="n">
        <x:v>0</x:v>
      </x:c>
      <x:c r="K870" s="12" t="n">
        <x:v>0</x:v>
      </x:c>
      <x:c r="L870" s="12" t="n">
        <x:v>0</x:v>
      </x:c>
      <x:c r="M870" s="2" t="str">
        <x:v>持有</x:v>
      </x:c>
    </x:row>
    <x:row r="871" ht="23" customHeight="1">
      <x:c r="A871" s="11" t="d">
        <x:v>2018-06-11T00:00:00.000Z</x:v>
      </x:c>
      <x:c r="B871" s="12" t="n">
        <x:v>7099.797088</x:v>
      </x:c>
      <x:c r="C871" s="13" t="n">
        <x:v>484</x:v>
      </x:c>
      <x:c r="D871" s="12" t="n">
        <x:v>134823.04</x:v>
      </x:c>
      <x:c r="E871" s="12" t="n">
        <x:v>0</x:v>
      </x:c>
      <x:c r="F871" s="12" t="n">
        <x:f>SUM(B871,D871:E871)</x:f>
        <x:v>141922.837088</x:v>
      </x:c>
      <x:c r="G871" s="12" t="n">
        <x:f>MAX(G870,F871)</x:f>
        <x:v>145273.677988</x:v>
      </x:c>
      <x:c r="H871" s="14" t="n">
        <x:f>F871/G871-1</x:f>
        <x:v>-0.02306571256684775</x:v>
      </x:c>
      <x:c r="I871" s="14" t="n">
        <x:f>F871/F870-1</x:f>
        <x:v>0.001263406612601825</x:v>
      </x:c>
      <x:c r="J871" s="12" t="n">
        <x:v>0</x:v>
      </x:c>
      <x:c r="K871" s="12" t="n">
        <x:v>0</x:v>
      </x:c>
      <x:c r="L871" s="12" t="n">
        <x:v>0</x:v>
      </x:c>
      <x:c r="M871" s="2" t="str">
        <x:v>持有</x:v>
      </x:c>
    </x:row>
    <x:row r="872" ht="23" customHeight="1">
      <x:c r="A872" s="11" t="d">
        <x:v>2018-06-12T00:00:00.000Z</x:v>
      </x:c>
      <x:c r="B872" s="12" t="n">
        <x:v>7099.797088</x:v>
      </x:c>
      <x:c r="C872" s="13" t="n">
        <x:v>484</x:v>
      </x:c>
      <x:c r="D872" s="12" t="n">
        <x:v>134997.28</x:v>
      </x:c>
      <x:c r="E872" s="12" t="n">
        <x:v>0</x:v>
      </x:c>
      <x:c r="F872" s="12" t="n">
        <x:f>SUM(B872,D872:E872)</x:f>
        <x:v>142097.077088</x:v>
      </x:c>
      <x:c r="G872" s="12" t="n">
        <x:f>MAX(G871,F872)</x:f>
        <x:v>145273.677988</x:v>
      </x:c>
      <x:c r="H872" s="14" t="n">
        <x:f>F872/G872-1</x:f>
        <x:v>-0.02186632116702114</x:v>
      </x:c>
      <x:c r="I872" s="14" t="n">
        <x:f>F872/F871-1</x:f>
        <x:v>0.0012277093917729687</x:v>
      </x:c>
      <x:c r="J872" s="12" t="n">
        <x:v>0</x:v>
      </x:c>
      <x:c r="K872" s="12" t="n">
        <x:v>0</x:v>
      </x:c>
      <x:c r="L872" s="12" t="n">
        <x:v>0</x:v>
      </x:c>
      <x:c r="M872" s="2" t="str">
        <x:v>持有</x:v>
      </x:c>
    </x:row>
    <x:row r="873" ht="23" customHeight="1">
      <x:c r="A873" s="11" t="d">
        <x:v>2018-06-13T00:00:00.000Z</x:v>
      </x:c>
      <x:c r="B873" s="12" t="n">
        <x:v>7099.797088</x:v>
      </x:c>
      <x:c r="C873" s="13" t="n">
        <x:v>484</x:v>
      </x:c>
      <x:c r="D873" s="12" t="n">
        <x:v>134566.52</x:v>
      </x:c>
      <x:c r="E873" s="12" t="n">
        <x:v>0</x:v>
      </x:c>
      <x:c r="F873" s="12" t="n">
        <x:f>SUM(B873,D873:E873)</x:f>
        <x:v>141666.31708799998</x:v>
      </x:c>
      <x:c r="G873" s="12" t="n">
        <x:f>MAX(G872,F873)</x:f>
        <x:v>145273.677988</x:v>
      </x:c>
      <x:c r="H873" s="14" t="n">
        <x:f>F873/G873-1</x:f>
        <x:v>-0.02483148323881501</x:v>
      </x:c>
      <x:c r="I873" s="14" t="n">
        <x:f>F873/F872-1</x:f>
        <x:v>-0.0030314487027290893</x:v>
      </x:c>
      <x:c r="J873" s="12" t="n">
        <x:v>0</x:v>
      </x:c>
      <x:c r="K873" s="12" t="n">
        <x:v>0</x:v>
      </x:c>
      <x:c r="L873" s="12" t="n">
        <x:v>0</x:v>
      </x:c>
      <x:c r="M873" s="2" t="str">
        <x:v>持有</x:v>
      </x:c>
    </x:row>
    <x:row r="874" ht="23" customHeight="1">
      <x:c r="A874" s="11" t="d">
        <x:v>2018-06-14T00:00:00.000Z</x:v>
      </x:c>
      <x:c r="B874" s="12" t="n">
        <x:v>7099.797088</x:v>
      </x:c>
      <x:c r="C874" s="13" t="n">
        <x:v>484</x:v>
      </x:c>
      <x:c r="D874" s="12" t="n">
        <x:v>134905.32</x:v>
      </x:c>
      <x:c r="E874" s="12" t="n">
        <x:v>0</x:v>
      </x:c>
      <x:c r="F874" s="12" t="n">
        <x:f>SUM(B874,D874:E874)</x:f>
        <x:v>142005.117088</x:v>
      </x:c>
      <x:c r="G874" s="12" t="n">
        <x:f>MAX(G873,F874)</x:f>
        <x:v>145273.677988</x:v>
      </x:c>
      <x:c r="H874" s="14" t="n">
        <x:f>F874/G874-1</x:f>
        <x:v>-0.022499333294707435</x:v>
      </x:c>
      <x:c r="I874" s="14" t="n">
        <x:f>F874/F873-1</x:f>
        <x:v>0.002391535313151172</x:v>
      </x:c>
      <x:c r="J874" s="12" t="n">
        <x:v>0</x:v>
      </x:c>
      <x:c r="K874" s="12" t="n">
        <x:v>0</x:v>
      </x:c>
      <x:c r="L874" s="12" t="n">
        <x:v>0</x:v>
      </x:c>
      <x:c r="M874" s="2" t="str">
        <x:v>持有</x:v>
      </x:c>
    </x:row>
    <x:row r="875" ht="23" customHeight="1">
      <x:c r="A875" s="11" t="d">
        <x:v>2018-06-15T00:00:00.000Z</x:v>
      </x:c>
      <x:c r="B875" s="12" t="n">
        <x:v>7099.797088</x:v>
      </x:c>
      <x:c r="C875" s="13" t="n">
        <x:v>484</x:v>
      </x:c>
      <x:c r="D875" s="12" t="n">
        <x:v>134130.91999999998</x:v>
      </x:c>
      <x:c r="E875" s="12" t="n">
        <x:v>602.854912</x:v>
      </x:c>
      <x:c r="F875" s="12" t="n">
        <x:f>SUM(B875,D875:E875)</x:f>
        <x:v>141833.572</x:v>
      </x:c>
      <x:c r="G875" s="12" t="n">
        <x:f>MAX(G874,F875)</x:f>
        <x:v>145273.677988</x:v>
      </x:c>
      <x:c r="H875" s="14" t="n">
        <x:f>F875/G875-1</x:f>
        <x:v>-0.02368017410755019</x:v>
      </x:c>
      <x:c r="I875" s="14" t="n">
        <x:f>F875/F874-1</x:f>
        <x:v>-0.0012080204679786322</x:v>
      </x:c>
      <x:c r="J875" s="12" t="n">
        <x:v>602.854912</x:v>
      </x:c>
      <x:c r="K875" s="12" t="n">
        <x:v>0</x:v>
      </x:c>
      <x:c r="L875" s="12" t="n">
        <x:v>0</x:v>
      </x:c>
      <x:c r="M875" s="2" t="str">
        <x:v>持有</x:v>
      </x:c>
    </x:row>
    <x:row r="876" ht="23" customHeight="1">
      <x:c r="A876" s="11" t="d">
        <x:v>2018-06-18T00:00:00.000Z</x:v>
      </x:c>
      <x:c r="B876" s="12" t="n">
        <x:v>7099.797088</x:v>
      </x:c>
      <x:c r="C876" s="13" t="n">
        <x:v>484</x:v>
      </x:c>
      <x:c r="D876" s="12" t="n">
        <x:v>133855.04</x:v>
      </x:c>
      <x:c r="E876" s="12" t="n">
        <x:v>602.854912</x:v>
      </x:c>
      <x:c r="F876" s="12" t="n">
        <x:f>SUM(B876,D876:E876)</x:f>
        <x:v>141557.692</x:v>
      </x:c>
      <x:c r="G876" s="12" t="n">
        <x:f>MAX(G875,F876)</x:f>
        <x:v>145273.677988</x:v>
      </x:c>
      <x:c r="H876" s="14" t="n">
        <x:f>F876/G876-1</x:f>
        <x:v>-0.02557921049060896</x:v>
      </x:c>
      <x:c r="I876" s="14" t="n">
        <x:f>F876/F875-1</x:f>
        <x:v>-0.0019450966094259892</x:v>
      </x:c>
      <x:c r="J876" s="12" t="n">
        <x:v>0</x:v>
      </x:c>
      <x:c r="K876" s="12" t="n">
        <x:v>0</x:v>
      </x:c>
      <x:c r="L876" s="12" t="n">
        <x:v>0</x:v>
      </x:c>
      <x:c r="M876" s="2" t="str">
        <x:v>持有</x:v>
      </x:c>
    </x:row>
    <x:row r="877" ht="23" customHeight="1">
      <x:c r="A877" s="11" t="d">
        <x:v>2018-06-19T00:00:00.000Z</x:v>
      </x:c>
      <x:c r="B877" s="12" t="n">
        <x:v>7099.797088</x:v>
      </x:c>
      <x:c r="C877" s="13" t="n">
        <x:v>484</x:v>
      </x:c>
      <x:c r="D877" s="12" t="n">
        <x:v>133342</x:v>
      </x:c>
      <x:c r="E877" s="12" t="n">
        <x:v>602.854912</x:v>
      </x:c>
      <x:c r="F877" s="12" t="n">
        <x:f>SUM(B877,D877:E877)</x:f>
        <x:v>141044.652</x:v>
      </x:c>
      <x:c r="G877" s="12" t="n">
        <x:f>MAX(G876,F877)</x:f>
        <x:v>145273.677988</x:v>
      </x:c>
      <x:c r="H877" s="14" t="n">
        <x:f>F877/G877-1</x:f>
        <x:v>-0.029110751834543147</x:v>
      </x:c>
      <x:c r="I877" s="14" t="n">
        <x:f>F877/F876-1</x:f>
        <x:v>-0.003624246713488488</x:v>
      </x:c>
      <x:c r="J877" s="12" t="n">
        <x:v>0</x:v>
      </x:c>
      <x:c r="K877" s="12" t="n">
        <x:v>0</x:v>
      </x:c>
      <x:c r="L877" s="12" t="n">
        <x:v>0</x:v>
      </x:c>
      <x:c r="M877" s="2" t="str">
        <x:v>持有</x:v>
      </x:c>
    </x:row>
    <x:row r="878" ht="23" customHeight="1">
      <x:c r="A878" s="11" t="d">
        <x:v>2018-06-20T00:00:00.000Z</x:v>
      </x:c>
      <x:c r="B878" s="12" t="n">
        <x:v>7099.797088</x:v>
      </x:c>
      <x:c r="C878" s="13" t="n">
        <x:v>484</x:v>
      </x:c>
      <x:c r="D878" s="12" t="n">
        <x:v>133569.48</x:v>
      </x:c>
      <x:c r="E878" s="12" t="n">
        <x:v>602.854912</x:v>
      </x:c>
      <x:c r="F878" s="12" t="n">
        <x:f>SUM(B878,D878:E878)</x:f>
        <x:v>141272.132</x:v>
      </x:c>
      <x:c r="G878" s="12" t="n">
        <x:f>MAX(G877,F878)</x:f>
        <x:v>145273.677988</x:v>
      </x:c>
      <x:c r="H878" s="14" t="n">
        <x:f>F878/G878-1</x:f>
        <x:v>-0.027544879729213823</x:v>
      </x:c>
      <x:c r="I878" s="14" t="n">
        <x:f>F878/F877-1</x:f>
        <x:v>0.0016128225833051957</x:v>
      </x:c>
      <x:c r="J878" s="12" t="n">
        <x:v>0</x:v>
      </x:c>
      <x:c r="K878" s="12" t="n">
        <x:v>0</x:v>
      </x:c>
      <x:c r="L878" s="12" t="n">
        <x:v>0</x:v>
      </x:c>
      <x:c r="M878" s="2" t="str">
        <x:v>持有</x:v>
      </x:c>
    </x:row>
    <x:row r="879" ht="23" customHeight="1">
      <x:c r="A879" s="11" t="d">
        <x:v>2018-06-21T00:00:00.000Z</x:v>
      </x:c>
      <x:c r="B879" s="12" t="n">
        <x:v>7099.797088</x:v>
      </x:c>
      <x:c r="C879" s="13" t="n">
        <x:v>484</x:v>
      </x:c>
      <x:c r="D879" s="12" t="n">
        <x:v>132732.16</x:v>
      </x:c>
      <x:c r="E879" s="12" t="n">
        <x:v>602.854912</x:v>
      </x:c>
      <x:c r="F879" s="12" t="n">
        <x:f>SUM(B879,D879:E879)</x:f>
        <x:v>140434.812</x:v>
      </x:c>
      <x:c r="G879" s="12" t="n">
        <x:f>MAX(G878,F879)</x:f>
        <x:v>145273.677988</x:v>
      </x:c>
      <x:c r="H879" s="14" t="n">
        <x:f>F879/G879-1</x:f>
        <x:v>-0.03330862173393656</x:v>
      </x:c>
      <x:c r="I879" s="14" t="n">
        <x:f>F879/F878-1</x:f>
        <x:v>-0.005927000521235182</x:v>
      </x:c>
      <x:c r="J879" s="12" t="n">
        <x:v>0</x:v>
      </x:c>
      <x:c r="K879" s="12" t="n">
        <x:v>0</x:v>
      </x:c>
      <x:c r="L879" s="12" t="n">
        <x:v>0</x:v>
      </x:c>
      <x:c r="M879" s="2" t="str">
        <x:v>持有</x:v>
      </x:c>
    </x:row>
    <x:row r="880" ht="23" customHeight="1">
      <x:c r="A880" s="11" t="d">
        <x:v>2018-06-22T00:00:00.000Z</x:v>
      </x:c>
      <x:c r="B880" s="12" t="n">
        <x:v>7099.797088</x:v>
      </x:c>
      <x:c r="C880" s="13" t="n">
        <x:v>484</x:v>
      </x:c>
      <x:c r="D880" s="12" t="n">
        <x:v>132974.16</x:v>
      </x:c>
      <x:c r="E880" s="12" t="n">
        <x:v>602.854912</x:v>
      </x:c>
      <x:c r="F880" s="12" t="n">
        <x:f>SUM(B880,D880:E880)</x:f>
        <x:v>140676.812</x:v>
      </x:c>
      <x:c r="G880" s="12" t="n">
        <x:f>MAX(G879,F880)</x:f>
        <x:v>145273.677988</x:v>
      </x:c>
      <x:c r="H880" s="14" t="n">
        <x:f>F880/G880-1</x:f>
        <x:v>-0.031642800345288435</x:v>
      </x:c>
      <x:c r="I880" s="14" t="n">
        <x:f>F880/F879-1</x:f>
        <x:v>0.0017232194535925505</x:v>
      </x:c>
      <x:c r="J880" s="12" t="n">
        <x:v>0</x:v>
      </x:c>
      <x:c r="K880" s="12" t="n">
        <x:v>0</x:v>
      </x:c>
      <x:c r="L880" s="12" t="n">
        <x:v>0</x:v>
      </x:c>
      <x:c r="M880" s="2" t="str">
        <x:v>持有</x:v>
      </x:c>
    </x:row>
    <x:row r="881" ht="23" customHeight="1">
      <x:c r="A881" s="11" t="d">
        <x:v>2018-06-25T00:00:00.000Z</x:v>
      </x:c>
      <x:c r="B881" s="12" t="n">
        <x:v>7099.797088</x:v>
      </x:c>
      <x:c r="C881" s="13" t="n">
        <x:v>484</x:v>
      </x:c>
      <x:c r="D881" s="12" t="n">
        <x:v>131164</x:v>
      </x:c>
      <x:c r="E881" s="12" t="n">
        <x:v>602.854912</x:v>
      </x:c>
      <x:c r="F881" s="12" t="n">
        <x:f>SUM(B881,D881:E881)</x:f>
        <x:v>138866.652</x:v>
      </x:c>
      <x:c r="G881" s="12" t="n">
        <x:f>MAX(G880,F881)</x:f>
        <x:v>145273.677988</x:v>
      </x:c>
      <x:c r="H881" s="14" t="n">
        <x:f>F881/G881-1</x:f>
        <x:v>-0.04410314433237694</x:v>
      </x:c>
      <x:c r="I881" s="14" t="n">
        <x:f>F881/F880-1</x:f>
        <x:v>-0.012867507972813663</x:v>
      </x:c>
      <x:c r="J881" s="12" t="n">
        <x:v>0</x:v>
      </x:c>
      <x:c r="K881" s="12" t="n">
        <x:v>0</x:v>
      </x:c>
      <x:c r="L881" s="12" t="n">
        <x:v>0</x:v>
      </x:c>
      <x:c r="M881" s="2" t="str">
        <x:v>持有</x:v>
      </x:c>
    </x:row>
    <x:row r="882" ht="23" customHeight="1">
      <x:c r="A882" s="11" t="d">
        <x:v>2018-06-26T00:00:00.000Z</x:v>
      </x:c>
      <x:c r="B882" s="12" t="n">
        <x:v>7099.797088</x:v>
      </x:c>
      <x:c r="C882" s="13" t="n">
        <x:v>484</x:v>
      </x:c>
      <x:c r="D882" s="12" t="n">
        <x:v>131454.40000000002</x:v>
      </x:c>
      <x:c r="E882" s="12" t="n">
        <x:v>602.854912</x:v>
      </x:c>
      <x:c r="F882" s="12" t="n">
        <x:f>SUM(B882,D882:E882)</x:f>
        <x:v>139157.05200000003</x:v>
      </x:c>
      <x:c r="G882" s="12" t="n">
        <x:f>MAX(G881,F882)</x:f>
        <x:v>145273.677988</x:v>
      </x:c>
      <x:c r="H882" s="14" t="n">
        <x:f>F882/G882-1</x:f>
        <x:v>-0.042104158665998925</x:v>
      </x:c>
      <x:c r="I882" s="14" t="n">
        <x:f>F882/F881-1</x:f>
        <x:v>0.002091214815202802</x:v>
      </x:c>
      <x:c r="J882" s="12" t="n">
        <x:v>0</x:v>
      </x:c>
      <x:c r="K882" s="12" t="n">
        <x:v>0</x:v>
      </x:c>
      <x:c r="L882" s="12" t="n">
        <x:v>0</x:v>
      </x:c>
      <x:c r="M882" s="2" t="str">
        <x:v>持有</x:v>
      </x:c>
    </x:row>
    <x:row r="883" ht="23" customHeight="1">
      <x:c r="A883" s="11" t="d">
        <x:v>2018-06-27T00:00:00.000Z</x:v>
      </x:c>
      <x:c r="B883" s="12" t="n">
        <x:v>7099.797088</x:v>
      </x:c>
      <x:c r="C883" s="13" t="n">
        <x:v>484</x:v>
      </x:c>
      <x:c r="D883" s="12" t="n">
        <x:v>130365.40000000001</x:v>
      </x:c>
      <x:c r="E883" s="12" t="n">
        <x:v>602.854912</x:v>
      </x:c>
      <x:c r="F883" s="12" t="n">
        <x:f>SUM(B883,D883:E883)</x:f>
        <x:v>138068.052</x:v>
      </x:c>
      <x:c r="G883" s="12" t="n">
        <x:f>MAX(G882,F883)</x:f>
        <x:v>145273.677988</x:v>
      </x:c>
      <x:c r="H883" s="14" t="n">
        <x:f>F883/G883-1</x:f>
        <x:v>-0.04960035491491599</x:v>
      </x:c>
      <x:c r="I883" s="14" t="n">
        <x:f>F883/F882-1</x:f>
        <x:v>-0.007825690357395776</x:v>
      </x:c>
      <x:c r="J883" s="12" t="n">
        <x:v>0</x:v>
      </x:c>
      <x:c r="K883" s="12" t="n">
        <x:v>0</x:v>
      </x:c>
      <x:c r="L883" s="12" t="n">
        <x:v>0</x:v>
      </x:c>
      <x:c r="M883" s="2" t="str">
        <x:v>持有</x:v>
      </x:c>
    </x:row>
    <x:row r="884" ht="23" customHeight="1">
      <x:c r="A884" s="11" t="d">
        <x:v>2018-06-28T00:00:00.000Z</x:v>
      </x:c>
      <x:c r="B884" s="12" t="n">
        <x:v>7099.797088</x:v>
      </x:c>
      <x:c r="C884" s="13" t="n">
        <x:v>484</x:v>
      </x:c>
      <x:c r="D884" s="12" t="n">
        <x:v>131110.75999999998</x:v>
      </x:c>
      <x:c r="E884" s="12" t="n">
        <x:v>602.854912</x:v>
      </x:c>
      <x:c r="F884" s="12" t="n">
        <x:f>SUM(B884,D884:E884)</x:f>
        <x:v>138813.41199999998</x:v>
      </x:c>
      <x:c r="G884" s="12" t="n">
        <x:f>MAX(G883,F884)</x:f>
        <x:v>145273.677988</x:v>
      </x:c>
      <x:c r="H884" s="14" t="n">
        <x:f>F884/G884-1</x:f>
        <x:v>-0.044469625037879656</x:v>
      </x:c>
      <x:c r="I884" s="14" t="n">
        <x:f>F884/F883-1</x:f>
        <x:v>0.0053984972569902645</x:v>
      </x:c>
      <x:c r="J884" s="12" t="n">
        <x:v>0</x:v>
      </x:c>
      <x:c r="K884" s="12" t="n">
        <x:v>0</x:v>
      </x:c>
      <x:c r="L884" s="12" t="n">
        <x:v>0</x:v>
      </x:c>
      <x:c r="M884" s="2" t="str">
        <x:v>持有</x:v>
      </x:c>
    </x:row>
    <x:row r="885" ht="23" customHeight="1">
      <x:c r="A885" s="11" t="d">
        <x:v>2018-06-29T00:00:00.000Z</x:v>
      </x:c>
      <x:c r="B885" s="12" t="n">
        <x:v>7099.797088</x:v>
      </x:c>
      <x:c r="C885" s="13" t="n">
        <x:v>484</x:v>
      </x:c>
      <x:c r="D885" s="12" t="n">
        <x:v>131299.52</x:v>
      </x:c>
      <x:c r="E885" s="12" t="n">
        <x:v>602.854912</x:v>
      </x:c>
      <x:c r="F885" s="12" t="n">
        <x:f>SUM(B885,D885:E885)</x:f>
        <x:v>139002.172</x:v>
      </x:c>
      <x:c r="G885" s="12" t="n">
        <x:f>MAX(G884,F885)</x:f>
        <x:v>145273.677988</x:v>
      </x:c>
      <x:c r="H885" s="14" t="n">
        <x:f>F885/G885-1</x:f>
        <x:v>-0.04317028435473402</x:v>
      </x:c>
      <x:c r="I885" s="14" t="n">
        <x:f>F885/F884-1</x:f>
        <x:v>0.0013598109669692438</x:v>
      </x:c>
      <x:c r="J885" s="12" t="n">
        <x:v>0</x:v>
      </x:c>
      <x:c r="K885" s="12" t="n">
        <x:v>0</x:v>
      </x:c>
      <x:c r="L885" s="12" t="n">
        <x:v>0</x:v>
      </x:c>
      <x:c r="M885" s="2" t="str">
        <x:v>持有</x:v>
      </x:c>
    </x:row>
    <x:row r="886" ht="23" customHeight="1">
      <x:c r="A886" s="11" t="d">
        <x:v>2018-07-02T00:00:00.000Z</x:v>
      </x:c>
      <x:c r="B886" s="12" t="n">
        <x:v>7099.797088</x:v>
      </x:c>
      <x:c r="C886" s="13" t="n">
        <x:v>484</x:v>
      </x:c>
      <x:c r="D886" s="12" t="n">
        <x:v>131580.24000000002</x:v>
      </x:c>
      <x:c r="E886" s="12" t="n">
        <x:v>602.854912</x:v>
      </x:c>
      <x:c r="F886" s="12" t="n">
        <x:f>SUM(B886,D886:E886)</x:f>
        <x:v>139282.89200000002</x:v>
      </x:c>
      <x:c r="G886" s="12" t="n">
        <x:f>MAX(G885,F886)</x:f>
        <x:v>145273.677988</x:v>
      </x:c>
      <x:c r="H886" s="14" t="n">
        <x:f>F886/G886-1</x:f>
        <x:v>-0.04123793154390187</x:v>
      </x:c>
      <x:c r="I886" s="14" t="n">
        <x:f>F886/F885-1</x:f>
        <x:v>0.002019536788245402</x:v>
      </x:c>
      <x:c r="J886" s="12" t="n">
        <x:v>0</x:v>
      </x:c>
      <x:c r="K886" s="12" t="n">
        <x:v>0</x:v>
      </x:c>
      <x:c r="L886" s="12" t="n">
        <x:v>0</x:v>
      </x:c>
      <x:c r="M886" s="2" t="str">
        <x:v>持有</x:v>
      </x:c>
    </x:row>
    <x:row r="887" ht="23" customHeight="1">
      <x:c r="A887" s="11" t="d">
        <x:v>2018-07-03T00:00:00.000Z</x:v>
      </x:c>
      <x:c r="B887" s="12" t="n">
        <x:v>7099.797088</x:v>
      </x:c>
      <x:c r="C887" s="13" t="n">
        <x:v>484</x:v>
      </x:c>
      <x:c r="D887" s="12" t="n">
        <x:v>131115.59999999998</x:v>
      </x:c>
      <x:c r="E887" s="12" t="n">
        <x:v>602.854912</x:v>
      </x:c>
      <x:c r="F887" s="12" t="n">
        <x:f>SUM(B887,D887:E887)</x:f>
        <x:v>138818.25199999998</x:v>
      </x:c>
      <x:c r="G887" s="12" t="n">
        <x:f>MAX(G886,F887)</x:f>
        <x:v>145273.677988</x:v>
      </x:c>
      <x:c r="H887" s="14" t="n">
        <x:f>F887/G887-1</x:f>
        <x:v>-0.04443630861010672</x:v>
      </x:c>
      <x:c r="I887" s="14" t="n">
        <x:f>F887/F886-1</x:f>
        <x:v>-0.0033359445178668956</x:v>
      </x:c>
      <x:c r="J887" s="12" t="n">
        <x:v>0</x:v>
      </x:c>
      <x:c r="K887" s="12" t="n">
        <x:v>0</x:v>
      </x:c>
      <x:c r="L887" s="12" t="n">
        <x:v>0</x:v>
      </x:c>
      <x:c r="M887" s="2" t="str">
        <x:v>持有</x:v>
      </x:c>
    </x:row>
    <x:row r="888" ht="23" customHeight="1">
      <x:c r="A888" s="11" t="d">
        <x:v>2018-07-05T00:00:00.000Z</x:v>
      </x:c>
      <x:c r="B888" s="12" t="n">
        <x:v>7099.797088</x:v>
      </x:c>
      <x:c r="C888" s="13" t="n">
        <x:v>484</x:v>
      </x:c>
      <x:c r="D888" s="12" t="n">
        <x:v>132185.24000000002</x:v>
      </x:c>
      <x:c r="E888" s="12" t="n">
        <x:v>602.854912</x:v>
      </x:c>
      <x:c r="F888" s="12" t="n">
        <x:f>SUM(B888,D888:E888)</x:f>
        <x:v>139887.89200000002</x:v>
      </x:c>
      <x:c r="G888" s="12" t="n">
        <x:f>MAX(G887,F888)</x:f>
        <x:v>145273.677988</x:v>
      </x:c>
      <x:c r="H888" s="14" t="n">
        <x:f>F888/G888-1</x:f>
        <x:v>-0.03707337807228139</x:v>
      </x:c>
      <x:c r="I888" s="14" t="n">
        <x:f>F888/F887-1</x:f>
        <x:v>0.007705326818263414</x:v>
      </x:c>
      <x:c r="J888" s="12" t="n">
        <x:v>0</x:v>
      </x:c>
      <x:c r="K888" s="12" t="n">
        <x:v>0</x:v>
      </x:c>
      <x:c r="L888" s="12" t="n">
        <x:v>0</x:v>
      </x:c>
      <x:c r="M888" s="2" t="str">
        <x:v>持有</x:v>
      </x:c>
    </x:row>
    <x:row r="889" ht="23" customHeight="1">
      <x:c r="A889" s="11" t="d">
        <x:v>2018-07-06T00:00:00.000Z</x:v>
      </x:c>
      <x:c r="B889" s="12" t="n">
        <x:v>7099.797088</x:v>
      </x:c>
      <x:c r="C889" s="13" t="n">
        <x:v>484</x:v>
      </x:c>
      <x:c r="D889" s="12" t="n">
        <x:v>133303.28</x:v>
      </x:c>
      <x:c r="E889" s="12" t="n">
        <x:v>602.854912</x:v>
      </x:c>
      <x:c r="F889" s="12" t="n">
        <x:f>SUM(B889,D889:E889)</x:f>
        <x:v>141005.932</x:v>
      </x:c>
      <x:c r="G889" s="12" t="n">
        <x:f>MAX(G888,F889)</x:f>
        <x:v>145273.677988</x:v>
      </x:c>
      <x:c r="H889" s="14" t="n">
        <x:f>F889/G889-1</x:f>
        <x:v>-0.02937728325672695</x:v>
      </x:c>
      <x:c r="I889" s="14" t="n">
        <x:f>F889/F888-1</x:f>
        <x:v>0.007992400085634177</x:v>
      </x:c>
      <x:c r="J889" s="12" t="n">
        <x:v>0</x:v>
      </x:c>
      <x:c r="K889" s="12" t="n">
        <x:v>0</x:v>
      </x:c>
      <x:c r="L889" s="12" t="n">
        <x:v>0</x:v>
      </x:c>
      <x:c r="M889" s="2" t="str">
        <x:v>持有</x:v>
      </x:c>
    </x:row>
    <x:row r="890" ht="23" customHeight="1">
      <x:c r="A890" s="11" t="d">
        <x:v>2018-07-09T00:00:00.000Z</x:v>
      </x:c>
      <x:c r="B890" s="12" t="n">
        <x:v>7099.797088</x:v>
      </x:c>
      <x:c r="C890" s="13" t="n">
        <x:v>484</x:v>
      </x:c>
      <x:c r="D890" s="12" t="n">
        <x:v>134503.59999999998</x:v>
      </x:c>
      <x:c r="E890" s="12" t="n">
        <x:v>602.854912</x:v>
      </x:c>
      <x:c r="F890" s="12" t="n">
        <x:f>SUM(B890,D890:E890)</x:f>
        <x:v>142206.25199999998</x:v>
      </x:c>
      <x:c r="G890" s="12" t="n">
        <x:f>MAX(G889,F890)</x:f>
        <x:v>145273.677988</x:v>
      </x:c>
      <x:c r="H890" s="14" t="n">
        <x:f>F890/G890-1</x:f>
        <x:v>-0.02111480916903208</x:v>
      </x:c>
      <x:c r="I890" s="14" t="n">
        <x:f>F890/F889-1</x:f>
        <x:v>0.008512549670605107</x:v>
      </x:c>
      <x:c r="J890" s="12" t="n">
        <x:v>0</x:v>
      </x:c>
      <x:c r="K890" s="12" t="n">
        <x:v>0</x:v>
      </x:c>
      <x:c r="L890" s="12" t="n">
        <x:v>0</x:v>
      </x:c>
      <x:c r="M890" s="2" t="str">
        <x:v>持有</x:v>
      </x:c>
    </x:row>
    <x:row r="891" ht="23" customHeight="1">
      <x:c r="A891" s="11" t="d">
        <x:v>2018-07-10T00:00:00.000Z</x:v>
      </x:c>
      <x:c r="B891" s="12" t="n">
        <x:v>7099.797088</x:v>
      </x:c>
      <x:c r="C891" s="13" t="n">
        <x:v>484</x:v>
      </x:c>
      <x:c r="D891" s="12" t="n">
        <x:v>134987.59999999998</x:v>
      </x:c>
      <x:c r="E891" s="12" t="n">
        <x:v>602.854912</x:v>
      </x:c>
      <x:c r="F891" s="12" t="n">
        <x:f>SUM(B891,D891:E891)</x:f>
        <x:v>142690.25199999998</x:v>
      </x:c>
      <x:c r="G891" s="12" t="n">
        <x:f>MAX(G890,F891)</x:f>
        <x:v>145273.677988</x:v>
      </x:c>
      <x:c r="H891" s="14" t="n">
        <x:f>F891/G891-1</x:f>
        <x:v>-0.017783166391735716</x:v>
      </x:c>
      <x:c r="I891" s="14" t="n">
        <x:f>F891/F890-1</x:f>
        <x:v>0.003403507181948706</x:v>
      </x:c>
      <x:c r="J891" s="12" t="n">
        <x:v>0</x:v>
      </x:c>
      <x:c r="K891" s="12" t="n">
        <x:v>0</x:v>
      </x:c>
      <x:c r="L891" s="12" t="n">
        <x:v>0</x:v>
      </x:c>
      <x:c r="M891" s="2" t="str">
        <x:v>持有</x:v>
      </x:c>
    </x:row>
    <x:row r="892" ht="23" customHeight="1">
      <x:c r="A892" s="11" t="d">
        <x:v>2018-07-11T00:00:00.000Z</x:v>
      </x:c>
      <x:c r="B892" s="12" t="n">
        <x:v>7099.797088</x:v>
      </x:c>
      <x:c r="C892" s="13" t="n">
        <x:v>484</x:v>
      </x:c>
      <x:c r="D892" s="12" t="n">
        <x:v>134000.24000000002</x:v>
      </x:c>
      <x:c r="E892" s="12" t="n">
        <x:v>602.854912</x:v>
      </x:c>
      <x:c r="F892" s="12" t="n">
        <x:f>SUM(B892,D892:E892)</x:f>
        <x:v>141702.89200000002</x:v>
      </x:c>
      <x:c r="G892" s="12" t="n">
        <x:f>MAX(G891,F892)</x:f>
        <x:v>145273.677988</x:v>
      </x:c>
      <x:c r="H892" s="14" t="n">
        <x:f>F892/G892-1</x:f>
        <x:v>-0.024579717657419953</x:v>
      </x:c>
      <x:c r="I892" s="14" t="n">
        <x:f>F892/F891-1</x:f>
        <x:v>-0.006919603730183077</x:v>
      </x:c>
      <x:c r="J892" s="12" t="n">
        <x:v>0</x:v>
      </x:c>
      <x:c r="K892" s="12" t="n">
        <x:v>0</x:v>
      </x:c>
      <x:c r="L892" s="12" t="n">
        <x:v>0</x:v>
      </x:c>
      <x:c r="M892" s="2" t="str">
        <x:v>持有</x:v>
      </x:c>
    </x:row>
    <x:row r="893" ht="23" customHeight="1">
      <x:c r="A893" s="11" t="d">
        <x:v>2018-07-12T00:00:00.000Z</x:v>
      </x:c>
      <x:c r="B893" s="12" t="n">
        <x:v>7099.797088</x:v>
      </x:c>
      <x:c r="C893" s="13" t="n">
        <x:v>484</x:v>
      </x:c>
      <x:c r="D893" s="12" t="n">
        <x:v>135215.08000000002</x:v>
      </x:c>
      <x:c r="E893" s="12" t="n">
        <x:v>602.854912</x:v>
      </x:c>
      <x:c r="F893" s="12" t="n">
        <x:f>SUM(B893,D893:E893)</x:f>
        <x:v>142917.73200000002</x:v>
      </x:c>
      <x:c r="G893" s="12" t="n">
        <x:f>MAX(G892,F893)</x:f>
        <x:v>145273.677988</x:v>
      </x:c>
      <x:c r="H893" s="14" t="n">
        <x:f>F893/G893-1</x:f>
        <x:v>-0.01621729428640606</x:v>
      </x:c>
      <x:c r="I893" s="14" t="n">
        <x:f>F893/F892-1</x:f>
        <x:v>0.008573148951681153</x:v>
      </x:c>
      <x:c r="J893" s="12" t="n">
        <x:v>0</x:v>
      </x:c>
      <x:c r="K893" s="12" t="n">
        <x:v>0</x:v>
      </x:c>
      <x:c r="L893" s="12" t="n">
        <x:v>0</x:v>
      </x:c>
      <x:c r="M893" s="2" t="str">
        <x:v>持有</x:v>
      </x:c>
    </x:row>
    <x:row r="894" ht="23" customHeight="1">
      <x:c r="A894" s="11" t="d">
        <x:v>2018-07-13T00:00:00.000Z</x:v>
      </x:c>
      <x:c r="B894" s="12" t="n">
        <x:v>7099.797088</x:v>
      </x:c>
      <x:c r="C894" s="13" t="n">
        <x:v>484</x:v>
      </x:c>
      <x:c r="D894" s="12" t="n">
        <x:v>135321.56</x:v>
      </x:c>
      <x:c r="E894" s="12" t="n">
        <x:v>602.854912</x:v>
      </x:c>
      <x:c r="F894" s="12" t="n">
        <x:f>SUM(B894,D894:E894)</x:f>
        <x:v>143024.212</x:v>
      </x:c>
      <x:c r="G894" s="12" t="n">
        <x:f>MAX(G893,F894)</x:f>
        <x:v>145273.677988</x:v>
      </x:c>
      <x:c r="H894" s="14" t="n">
        <x:f>F894/G894-1</x:f>
        <x:v>-0.015484332875401075</x:v>
      </x:c>
      <x:c r="I894" s="14" t="n">
        <x:f>F894/F893-1</x:f>
        <x:v>0.0007450440089546984</x:v>
      </x:c>
      <x:c r="J894" s="12" t="n">
        <x:v>0</x:v>
      </x:c>
      <x:c r="K894" s="12" t="n">
        <x:v>0</x:v>
      </x:c>
      <x:c r="L894" s="12" t="n">
        <x:v>0</x:v>
      </x:c>
      <x:c r="M894" s="2" t="str">
        <x:v>持有</x:v>
      </x:c>
    </x:row>
    <x:row r="895" ht="23" customHeight="1">
      <x:c r="A895" s="11" t="d">
        <x:v>2018-07-16T00:00:00.000Z</x:v>
      </x:c>
      <x:c r="B895" s="12" t="n">
        <x:v>7099.797088</x:v>
      </x:c>
      <x:c r="C895" s="13" t="n">
        <x:v>484</x:v>
      </x:c>
      <x:c r="D895" s="12" t="n">
        <x:v>135200.56</x:v>
      </x:c>
      <x:c r="E895" s="12" t="n">
        <x:v>602.854912</x:v>
      </x:c>
      <x:c r="F895" s="12" t="n">
        <x:f>SUM(B895,D895:E895)</x:f>
        <x:v>142903.212</x:v>
      </x:c>
      <x:c r="G895" s="12" t="n">
        <x:f>MAX(G894,F895)</x:f>
        <x:v>145273.677988</x:v>
      </x:c>
      <x:c r="H895" s="14" t="n">
        <x:f>F895/G895-1</x:f>
        <x:v>-0.01631724356972508</x:v>
      </x:c>
      <x:c r="I895" s="14" t="n">
        <x:f>F895/F894-1</x:f>
        <x:v>-0.0008460106041345838</x:v>
      </x:c>
      <x:c r="J895" s="12" t="n">
        <x:v>0</x:v>
      </x:c>
      <x:c r="K895" s="12" t="n">
        <x:v>0</x:v>
      </x:c>
      <x:c r="L895" s="12" t="n">
        <x:v>0</x:v>
      </x:c>
      <x:c r="M895" s="2" t="str">
        <x:v>持有</x:v>
      </x:c>
    </x:row>
    <x:row r="896" ht="23" customHeight="1">
      <x:c r="A896" s="11" t="d">
        <x:v>2018-07-17T00:00:00.000Z</x:v>
      </x:c>
      <x:c r="B896" s="12" t="n">
        <x:v>7099.797088</x:v>
      </x:c>
      <x:c r="C896" s="13" t="n">
        <x:v>484</x:v>
      </x:c>
      <x:c r="D896" s="12" t="n">
        <x:v>135747.48</x:v>
      </x:c>
      <x:c r="E896" s="12" t="n">
        <x:v>602.854912</x:v>
      </x:c>
      <x:c r="F896" s="12" t="n">
        <x:f>SUM(B896,D896:E896)</x:f>
        <x:v>143450.132</x:v>
      </x:c>
      <x:c r="G896" s="12" t="n">
        <x:f>MAX(G895,F896)</x:f>
        <x:v>145273.677988</x:v>
      </x:c>
      <x:c r="H896" s="14" t="n">
        <x:f>F896/G896-1</x:f>
        <x:v>-0.012552487231380138</x:v>
      </x:c>
      <x:c r="I896" s="14" t="n">
        <x:f>F896/F895-1</x:f>
        <x:v>0.003827205787368948</x:v>
      </x:c>
      <x:c r="J896" s="12" t="n">
        <x:v>0</x:v>
      </x:c>
      <x:c r="K896" s="12" t="n">
        <x:v>0</x:v>
      </x:c>
      <x:c r="L896" s="12" t="n">
        <x:v>0</x:v>
      </x:c>
      <x:c r="M896" s="2" t="str">
        <x:v>持有</x:v>
      </x:c>
    </x:row>
    <x:row r="897" ht="23" customHeight="1">
      <x:c r="A897" s="11" t="d">
        <x:v>2018-07-18T00:00:00.000Z</x:v>
      </x:c>
      <x:c r="B897" s="12" t="n">
        <x:v>7099.797088</x:v>
      </x:c>
      <x:c r="C897" s="13" t="n">
        <x:v>484</x:v>
      </x:c>
      <x:c r="D897" s="12" t="n">
        <x:v>136033.04</x:v>
      </x:c>
      <x:c r="E897" s="12" t="n">
        <x:v>602.854912</x:v>
      </x:c>
      <x:c r="F897" s="12" t="n">
        <x:f>SUM(B897,D897:E897)</x:f>
        <x:v>143735.692</x:v>
      </x:c>
      <x:c r="G897" s="12" t="n">
        <x:f>MAX(G896,F897)</x:f>
        <x:v>145273.677988</x:v>
      </x:c>
      <x:c r="H897" s="14" t="n">
        <x:f>F897/G897-1</x:f>
        <x:v>-0.010586817992775277</x:v>
      </x:c>
      <x:c r="I897" s="14" t="n">
        <x:f>F897/F896-1</x:f>
        <x:v>0.001990656934355295</x:v>
      </x:c>
      <x:c r="J897" s="12" t="n">
        <x:v>0</x:v>
      </x:c>
      <x:c r="K897" s="12" t="n">
        <x:v>0</x:v>
      </x:c>
      <x:c r="L897" s="12" t="n">
        <x:v>0</x:v>
      </x:c>
      <x:c r="M897" s="2" t="str">
        <x:v>持有</x:v>
      </x:c>
    </x:row>
    <x:row r="898" ht="23" customHeight="1">
      <x:c r="A898" s="11" t="d">
        <x:v>2018-07-19T00:00:00.000Z</x:v>
      </x:c>
      <x:c r="B898" s="12" t="n">
        <x:v>7099.797088</x:v>
      </x:c>
      <x:c r="C898" s="13" t="n">
        <x:v>484</x:v>
      </x:c>
      <x:c r="D898" s="12" t="n">
        <x:v>135520</x:v>
      </x:c>
      <x:c r="E898" s="12" t="n">
        <x:v>602.854912</x:v>
      </x:c>
      <x:c r="F898" s="12" t="n">
        <x:f>SUM(B898,D898:E898)</x:f>
        <x:v>143222.652</x:v>
      </x:c>
      <x:c r="G898" s="12" t="n">
        <x:f>MAX(G897,F898)</x:f>
        <x:v>145273.677988</x:v>
      </x:c>
      <x:c r="H898" s="14" t="n">
        <x:f>F898/G898-1</x:f>
        <x:v>-0.014118359336709463</x:v>
      </x:c>
      <x:c r="I898" s="14" t="n">
        <x:f>F898/F897-1</x:f>
        <x:v>-0.0035693291823439832</x:v>
      </x:c>
      <x:c r="J898" s="12" t="n">
        <x:v>0</x:v>
      </x:c>
      <x:c r="K898" s="12" t="n">
        <x:v>0</x:v>
      </x:c>
      <x:c r="L898" s="12" t="n">
        <x:v>0</x:v>
      </x:c>
      <x:c r="M898" s="2" t="str">
        <x:v>持有</x:v>
      </x:c>
    </x:row>
    <x:row r="899" ht="23" customHeight="1">
      <x:c r="A899" s="11" t="d">
        <x:v>2018-07-20T00:00:00.000Z</x:v>
      </x:c>
      <x:c r="B899" s="12" t="n">
        <x:v>7099.797088</x:v>
      </x:c>
      <x:c r="C899" s="13" t="n">
        <x:v>484</x:v>
      </x:c>
      <x:c r="D899" s="12" t="n">
        <x:v>135365.12</x:v>
      </x:c>
      <x:c r="E899" s="12" t="n">
        <x:v>602.854912</x:v>
      </x:c>
      <x:c r="F899" s="12" t="n">
        <x:f>SUM(B899,D899:E899)</x:f>
        <x:v>143067.772</x:v>
      </x:c>
      <x:c r="G899" s="12" t="n">
        <x:f>MAX(G898,F899)</x:f>
        <x:v>145273.677988</x:v>
      </x:c>
      <x:c r="H899" s="14" t="n">
        <x:f>F899/G899-1</x:f>
        <x:v>-0.015184485025444339</x:v>
      </x:c>
      <x:c r="I899" s="14" t="n">
        <x:f>F899/F898-1</x:f>
        <x:v>-0.0010813931863236093</x:v>
      </x:c>
      <x:c r="J899" s="12" t="n">
        <x:v>0</x:v>
      </x:c>
      <x:c r="K899" s="12" t="n">
        <x:v>0</x:v>
      </x:c>
      <x:c r="L899" s="12" t="n">
        <x:v>0</x:v>
      </x:c>
      <x:c r="M899" s="2" t="str">
        <x:v>持有</x:v>
      </x:c>
    </x:row>
    <x:row r="900" ht="23" customHeight="1">
      <x:c r="A900" s="11" t="d">
        <x:v>2018-07-23T00:00:00.000Z</x:v>
      </x:c>
      <x:c r="B900" s="12" t="n">
        <x:v>7099.797088</x:v>
      </x:c>
      <x:c r="C900" s="13" t="n">
        <x:v>484</x:v>
      </x:c>
      <x:c r="D900" s="12" t="n">
        <x:v>135616.8</x:v>
      </x:c>
      <x:c r="E900" s="12" t="n">
        <x:v>602.854912</x:v>
      </x:c>
      <x:c r="F900" s="12" t="n">
        <x:f>SUM(B900,D900:E900)</x:f>
        <x:v>143319.452</x:v>
      </x:c>
      <x:c r="G900" s="12" t="n">
        <x:f>MAX(G899,F900)</x:f>
        <x:v>145273.677988</x:v>
      </x:c>
      <x:c r="H900" s="14" t="n">
        <x:f>F900/G900-1</x:f>
        <x:v>-0.013452030781250346</x:v>
      </x:c>
      <x:c r="I900" s="14" t="n">
        <x:f>F900/F899-1</x:f>
        <x:v>0.0017591662782026063</x:v>
      </x:c>
      <x:c r="J900" s="12" t="n">
        <x:v>0</x:v>
      </x:c>
      <x:c r="K900" s="12" t="n">
        <x:v>0</x:v>
      </x:c>
      <x:c r="L900" s="12" t="n">
        <x:v>0</x:v>
      </x:c>
      <x:c r="M900" s="2" t="str">
        <x:v>持有</x:v>
      </x:c>
    </x:row>
    <x:row r="901" ht="23" customHeight="1">
      <x:c r="A901" s="11" t="d">
        <x:v>2018-07-24T00:00:00.000Z</x:v>
      </x:c>
      <x:c r="B901" s="12" t="n">
        <x:v>7099.797088</x:v>
      </x:c>
      <x:c r="C901" s="13" t="n">
        <x:v>484</x:v>
      </x:c>
      <x:c r="D901" s="12" t="n">
        <x:v>136299.24000000002</x:v>
      </x:c>
      <x:c r="E901" s="12" t="n">
        <x:v>602.854912</x:v>
      </x:c>
      <x:c r="F901" s="12" t="n">
        <x:f>SUM(B901,D901:E901)</x:f>
        <x:v>144001.89200000002</x:v>
      </x:c>
      <x:c r="G901" s="12" t="n">
        <x:f>MAX(G900,F901)</x:f>
        <x:v>145273.677988</x:v>
      </x:c>
      <x:c r="H901" s="14" t="n">
        <x:f>F901/G901-1</x:f>
        <x:v>-0.00875441446526215</x:v>
      </x:c>
      <x:c r="I901" s="14" t="n">
        <x:f>F901/F900-1</x:f>
        <x:v>0.004761670453498734</x:v>
      </x:c>
      <x:c r="J901" s="12" t="n">
        <x:v>0</x:v>
      </x:c>
      <x:c r="K901" s="12" t="n">
        <x:v>0</x:v>
      </x:c>
      <x:c r="L901" s="12" t="n">
        <x:v>0</x:v>
      </x:c>
      <x:c r="M901" s="2" t="str">
        <x:v>持有</x:v>
      </x:c>
    </x:row>
    <x:row r="902" ht="23" customHeight="1">
      <x:c r="A902" s="11" t="d">
        <x:v>2018-07-25T00:00:00.000Z</x:v>
      </x:c>
      <x:c r="B902" s="12" t="n">
        <x:v>7099.797088</x:v>
      </x:c>
      <x:c r="C902" s="13" t="n">
        <x:v>484</x:v>
      </x:c>
      <x:c r="D902" s="12" t="n">
        <x:v>137460.84</x:v>
      </x:c>
      <x:c r="E902" s="12" t="n">
        <x:v>602.854912</x:v>
      </x:c>
      <x:c r="F902" s="12" t="n">
        <x:f>SUM(B902,D902:E902)</x:f>
        <x:v>145163.492</x:v>
      </x:c>
      <x:c r="G902" s="12" t="n">
        <x:f>MAX(G901,F902)</x:f>
        <x:v>145273.677988</x:v>
      </x:c>
      <x:c r="H902" s="14" t="n">
        <x:f>F902/G902-1</x:f>
        <x:v>-0.0007584717997510815</x:v>
      </x:c>
      <x:c r="I902" s="14" t="n">
        <x:f>F902/F901-1</x:f>
        <x:v>0.008066560681021961</x:v>
      </x:c>
      <x:c r="J902" s="12" t="n">
        <x:v>0</x:v>
      </x:c>
      <x:c r="K902" s="12" t="n">
        <x:v>0</x:v>
      </x:c>
      <x:c r="L902" s="12" t="n">
        <x:v>0</x:v>
      </x:c>
      <x:c r="M902" s="2" t="str">
        <x:v>持有</x:v>
      </x:c>
    </x:row>
    <x:row r="903" ht="23" customHeight="1">
      <x:c r="A903" s="11" t="d">
        <x:v>2018-07-26T00:00:00.000Z</x:v>
      </x:c>
      <x:c r="B903" s="12" t="n">
        <x:v>7099.797088</x:v>
      </x:c>
      <x:c r="C903" s="13" t="n">
        <x:v>484</x:v>
      </x:c>
      <x:c r="D903" s="12" t="n">
        <x:v>137136.56</x:v>
      </x:c>
      <x:c r="E903" s="12" t="n">
        <x:v>602.854912</x:v>
      </x:c>
      <x:c r="F903" s="12" t="n">
        <x:f>SUM(B903,D903:E903)</x:f>
        <x:v>144839.212</x:v>
      </x:c>
      <x:c r="G903" s="12" t="n">
        <x:f>MAX(G902,F903)</x:f>
        <x:v>145273.677988</x:v>
      </x:c>
      <x:c r="H903" s="14" t="n">
        <x:f>F903/G903-1</x:f>
        <x:v>-0.002990672460539634</x:v>
      </x:c>
      <x:c r="I903" s="14" t="n">
        <x:f>F903/F902-1</x:f>
        <x:v>-0.0022338950071550956</x:v>
      </x:c>
      <x:c r="J903" s="12" t="n">
        <x:v>0</x:v>
      </x:c>
      <x:c r="K903" s="12" t="n">
        <x:v>0</x:v>
      </x:c>
      <x:c r="L903" s="12" t="n">
        <x:v>0</x:v>
      </x:c>
      <x:c r="M903" s="2" t="str">
        <x:v>持有</x:v>
      </x:c>
    </x:row>
    <x:row r="904" ht="23" customHeight="1">
      <x:c r="A904" s="11" t="d">
        <x:v>2018-07-27T00:00:00.000Z</x:v>
      </x:c>
      <x:c r="B904" s="12" t="n">
        <x:v>7099.797088</x:v>
      </x:c>
      <x:c r="C904" s="13" t="n">
        <x:v>484</x:v>
      </x:c>
      <x:c r="D904" s="12" t="n">
        <x:v>136207.28</x:v>
      </x:c>
      <x:c r="E904" s="12" t="n">
        <x:v>602.854912</x:v>
      </x:c>
      <x:c r="F904" s="12" t="n">
        <x:f>SUM(B904,D904:E904)</x:f>
        <x:v>143909.932</x:v>
      </x:c>
      <x:c r="G904" s="12" t="n">
        <x:f>MAX(G903,F904)</x:f>
        <x:v>145273.677988</x:v>
      </x:c>
      <x:c r="H904" s="14" t="n">
        <x:f>F904/G904-1</x:f>
        <x:v>-0.009387426592948667</x:v>
      </x:c>
      <x:c r="I904" s="14" t="n">
        <x:f>F904/F903-1</x:f>
        <x:v>-0.006415942113797146</x:v>
      </x:c>
      <x:c r="J904" s="12" t="n">
        <x:v>0</x:v>
      </x:c>
      <x:c r="K904" s="12" t="n">
        <x:v>0</x:v>
      </x:c>
      <x:c r="L904" s="12" t="n">
        <x:v>0</x:v>
      </x:c>
      <x:c r="M904" s="2" t="str">
        <x:v>持有</x:v>
      </x:c>
    </x:row>
    <x:row r="905" ht="23" customHeight="1">
      <x:c r="A905" s="11" t="d">
        <x:v>2018-07-30T00:00:00.000Z</x:v>
      </x:c>
      <x:c r="B905" s="12" t="n">
        <x:v>7099.797088</x:v>
      </x:c>
      <x:c r="C905" s="13" t="n">
        <x:v>484</x:v>
      </x:c>
      <x:c r="D905" s="12" t="n">
        <x:v>135495.8</x:v>
      </x:c>
      <x:c r="E905" s="12" t="n">
        <x:v>602.854912</x:v>
      </x:c>
      <x:c r="F905" s="12" t="n">
        <x:f>SUM(B905,D905:E905)</x:f>
        <x:v>143198.452</x:v>
      </x:c>
      <x:c r="G905" s="12" t="n">
        <x:f>MAX(G904,F905)</x:f>
        <x:v>145273.677988</x:v>
      </x:c>
      <x:c r="H905" s="14" t="n">
        <x:f>F905/G905-1</x:f>
        <x:v>-0.014284941475574353</x:v>
      </x:c>
      <x:c r="I905" s="14" t="n">
        <x:f>F905/F904-1</x:f>
        <x:v>-0.0049439256214783844</x:v>
      </x:c>
      <x:c r="J905" s="12" t="n">
        <x:v>0</x:v>
      </x:c>
      <x:c r="K905" s="12" t="n">
        <x:v>0</x:v>
      </x:c>
      <x:c r="L905" s="12" t="n">
        <x:v>0</x:v>
      </x:c>
      <x:c r="M905" s="2" t="str">
        <x:v>持有</x:v>
      </x:c>
    </x:row>
    <x:row r="906" ht="23" customHeight="1">
      <x:c r="A906" s="11" t="d">
        <x:v>2018-07-31T00:00:00.000Z</x:v>
      </x:c>
      <x:c r="B906" s="12" t="n">
        <x:v>7702.652</x:v>
      </x:c>
      <x:c r="C906" s="13" t="n">
        <x:v>484</x:v>
      </x:c>
      <x:c r="D906" s="12" t="n">
        <x:v>136163.72</x:v>
      </x:c>
      <x:c r="E906" s="12" t="n">
        <x:v>0</x:v>
      </x:c>
      <x:c r="F906" s="12" t="n">
        <x:f>SUM(B906,D906:E906)</x:f>
        <x:v>143866.372</x:v>
      </x:c>
      <x:c r="G906" s="12" t="n">
        <x:f>MAX(G905,F906)</x:f>
        <x:v>145273.677988</x:v>
      </x:c>
      <x:c r="H906" s="14" t="n">
        <x:f>F906/G906-1</x:f>
        <x:v>-0.009687274442905291</x:v>
      </x:c>
      <x:c r="I906" s="14" t="n">
        <x:f>F906/F905-1</x:f>
        <x:v>0.004664296231358778</x:v>
      </x:c>
      <x:c r="J906" s="12" t="n">
        <x:v>0</x:v>
      </x:c>
      <x:c r="K906" s="12" t="n">
        <x:v>602.854912</x:v>
      </x:c>
      <x:c r="L906" s="12" t="n">
        <x:v>0</x:v>
      </x:c>
      <x:c r="M906" s="2" t="str">
        <x:v>持有</x:v>
      </x:c>
    </x:row>
    <x:row r="907" ht="23" customHeight="1">
      <x:c r="A907" s="11" t="d">
        <x:v>2018-08-01T00:00:00.000Z</x:v>
      </x:c>
      <x:c r="B907" s="12" t="n">
        <x:v>7702.652</x:v>
      </x:c>
      <x:c r="C907" s="13" t="n">
        <x:v>484</x:v>
      </x:c>
      <x:c r="D907" s="12" t="n">
        <x:v>135936.24000000002</x:v>
      </x:c>
      <x:c r="E907" s="12" t="n">
        <x:v>0</x:v>
      </x:c>
      <x:c r="F907" s="12" t="n">
        <x:f>SUM(B907,D907:E907)</x:f>
        <x:v>143638.89200000002</x:v>
      </x:c>
      <x:c r="G907" s="12" t="n">
        <x:f>MAX(G906,F907)</x:f>
        <x:v>145273.677988</x:v>
      </x:c>
      <x:c r="H907" s="14" t="n">
        <x:f>F907/G907-1</x:f>
        <x:v>-0.011253146548234505</x:v>
      </x:c>
      <x:c r="I907" s="14" t="n">
        <x:f>F907/F906-1</x:f>
        <x:v>-0.0015811895221767847</x:v>
      </x:c>
      <x:c r="J907" s="12" t="n">
        <x:v>0</x:v>
      </x:c>
      <x:c r="K907" s="12" t="n">
        <x:v>0</x:v>
      </x:c>
      <x:c r="L907" s="12" t="n">
        <x:v>0</x:v>
      </x:c>
      <x:c r="M907" s="2" t="str">
        <x:v>持有</x:v>
      </x:c>
    </x:row>
    <x:row r="908" ht="23" customHeight="1">
      <x:c r="A908" s="11" t="d">
        <x:v>2018-08-02T00:00:00.000Z</x:v>
      </x:c>
      <x:c r="B908" s="12" t="n">
        <x:v>7702.652</x:v>
      </x:c>
      <x:c r="C908" s="13" t="n">
        <x:v>484</x:v>
      </x:c>
      <x:c r="D908" s="12" t="n">
        <x:v>136676.75999999998</x:v>
      </x:c>
      <x:c r="E908" s="12" t="n">
        <x:v>0</x:v>
      </x:c>
      <x:c r="F908" s="12" t="n">
        <x:f>SUM(B908,D908:E908)</x:f>
        <x:v>144379.41199999998</x:v>
      </x:c>
      <x:c r="G908" s="12" t="n">
        <x:f>MAX(G907,F908)</x:f>
        <x:v>145273.677988</x:v>
      </x:c>
      <x:c r="H908" s="14" t="n">
        <x:f>F908/G908-1</x:f>
        <x:v>-0.006155733098971328</x:v>
      </x:c>
      <x:c r="I908" s="14" t="n">
        <x:f>F908/F907-1</x:f>
        <x:v>0.005155428238752702</x:v>
      </x:c>
      <x:c r="J908" s="12" t="n">
        <x:v>0</x:v>
      </x:c>
      <x:c r="K908" s="12" t="n">
        <x:v>0</x:v>
      </x:c>
      <x:c r="L908" s="12" t="n">
        <x:v>0</x:v>
      </x:c>
      <x:c r="M908" s="2" t="str">
        <x:v>持有</x:v>
      </x:c>
    </x:row>
    <x:row r="909" ht="23" customHeight="1">
      <x:c r="A909" s="11" t="d">
        <x:v>2018-08-03T00:00:00.000Z</x:v>
      </x:c>
      <x:c r="B909" s="12" t="n">
        <x:v>7702.652</x:v>
      </x:c>
      <x:c r="C909" s="13" t="n">
        <x:v>484</x:v>
      </x:c>
      <x:c r="D909" s="12" t="n">
        <x:v>137262.40000000002</x:v>
      </x:c>
      <x:c r="E909" s="12" t="n">
        <x:v>0</x:v>
      </x:c>
      <x:c r="F909" s="12" t="n">
        <x:f>SUM(B909,D909:E909)</x:f>
        <x:v>144965.05200000003</x:v>
      </x:c>
      <x:c r="G909" s="12" t="n">
        <x:f>MAX(G908,F909)</x:f>
        <x:v>145273.677988</x:v>
      </x:c>
      <x:c r="H909" s="14" t="n">
        <x:f>F909/G909-1</x:f>
        <x:v>-0.00212444533844236</x:v>
      </x:c>
      <x:c r="I909" s="14" t="n">
        <x:f>F909/F908-1</x:f>
        <x:v>0.004056256995977003</x:v>
      </x:c>
      <x:c r="J909" s="12" t="n">
        <x:v>0</x:v>
      </x:c>
      <x:c r="K909" s="12" t="n">
        <x:v>0</x:v>
      </x:c>
      <x:c r="L909" s="12" t="n">
        <x:v>0</x:v>
      </x:c>
      <x:c r="M909" s="2" t="str">
        <x:v>持有</x:v>
      </x:c>
    </x:row>
    <x:row r="910" ht="23" customHeight="1">
      <x:c r="A910" s="11" t="d">
        <x:v>2018-08-06T00:00:00.000Z</x:v>
      </x:c>
      <x:c r="B910" s="12" t="n">
        <x:v>7702.652</x:v>
      </x:c>
      <x:c r="C910" s="13" t="n">
        <x:v>484</x:v>
      </x:c>
      <x:c r="D910" s="12" t="n">
        <x:v>137765.75999999998</x:v>
      </x:c>
      <x:c r="E910" s="12" t="n">
        <x:v>0</x:v>
      </x:c>
      <x:c r="F910" s="12" t="n">
        <x:f>SUM(B910,D910:E910)</x:f>
        <x:v>145468.41199999998</x:v>
      </x:c>
      <x:c r="G910" s="12" t="n">
        <x:f>MAX(G909,F910)</x:f>
        <x:v>145468.41199999998</x:v>
      </x:c>
      <x:c r="H910" s="14" t="n">
        <x:f>F910/G910-1</x:f>
        <x:v>0</x:v>
      </x:c>
      <x:c r="I910" s="14" t="n">
        <x:f>F910/F909-1</x:f>
        <x:v>0.00347228516842768</x:v>
      </x:c>
      <x:c r="J910" s="12" t="n">
        <x:v>0</x:v>
      </x:c>
      <x:c r="K910" s="12" t="n">
        <x:v>0</x:v>
      </x:c>
      <x:c r="L910" s="12" t="n">
        <x:v>0</x:v>
      </x:c>
      <x:c r="M910" s="2" t="str">
        <x:v>持有</x:v>
      </x:c>
    </x:row>
    <x:row r="911" ht="23" customHeight="1">
      <x:c r="A911" s="11" t="d">
        <x:v>2018-08-07T00:00:00.000Z</x:v>
      </x:c>
      <x:c r="B911" s="12" t="n">
        <x:v>7702.652</x:v>
      </x:c>
      <x:c r="C911" s="13" t="n">
        <x:v>484</x:v>
      </x:c>
      <x:c r="D911" s="12" t="n">
        <x:v>138220.72</x:v>
      </x:c>
      <x:c r="E911" s="12" t="n">
        <x:v>0</x:v>
      </x:c>
      <x:c r="F911" s="12" t="n">
        <x:f>SUM(B911,D911:E911)</x:f>
        <x:v>145923.372</x:v>
      </x:c>
      <x:c r="G911" s="12" t="n">
        <x:f>MAX(G910,F911)</x:f>
        <x:v>145923.372</x:v>
      </x:c>
      <x:c r="H911" s="14" t="n">
        <x:f>F911/G911-1</x:f>
        <x:v>0</x:v>
      </x:c>
      <x:c r="I911" s="14" t="n">
        <x:f>F911/F910-1</x:f>
        <x:v>0.0031275518426641113</x:v>
      </x:c>
      <x:c r="J911" s="12" t="n">
        <x:v>0</x:v>
      </x:c>
      <x:c r="K911" s="12" t="n">
        <x:v>0</x:v>
      </x:c>
      <x:c r="L911" s="12" t="n">
        <x:v>0</x:v>
      </x:c>
      <x:c r="M911" s="2" t="str">
        <x:v>持有</x:v>
      </x:c>
    </x:row>
    <x:row r="912" ht="23" customHeight="1">
      <x:c r="A912" s="11" t="d">
        <x:v>2018-08-08T00:00:00.000Z</x:v>
      </x:c>
      <x:c r="B912" s="12" t="n">
        <x:v>7702.652</x:v>
      </x:c>
      <x:c r="C912" s="13" t="n">
        <x:v>484</x:v>
      </x:c>
      <x:c r="D912" s="12" t="n">
        <x:v>138162.63999999998</x:v>
      </x:c>
      <x:c r="E912" s="12" t="n">
        <x:v>0</x:v>
      </x:c>
      <x:c r="F912" s="12" t="n">
        <x:f>SUM(B912,D912:E912)</x:f>
        <x:v>145865.292</x:v>
      </x:c>
      <x:c r="G912" s="12" t="n">
        <x:f>MAX(G911,F912)</x:f>
        <x:v>145923.372</x:v>
      </x:c>
      <x:c r="H912" s="14" t="n">
        <x:f>F912/G912-1</x:f>
        <x:v>-0.0003980171181900971</x:v>
      </x:c>
      <x:c r="I912" s="14" t="n">
        <x:f>F912/F911-1</x:f>
        <x:v>-0.0003980171181900971</x:v>
      </x:c>
      <x:c r="J912" s="12" t="n">
        <x:v>0</x:v>
      </x:c>
      <x:c r="K912" s="12" t="n">
        <x:v>0</x:v>
      </x:c>
      <x:c r="L912" s="12" t="n">
        <x:v>0</x:v>
      </x:c>
      <x:c r="M912" s="2" t="str">
        <x:v>持有</x:v>
      </x:c>
    </x:row>
    <x:row r="913" ht="23" customHeight="1">
      <x:c r="A913" s="11" t="d">
        <x:v>2018-08-09T00:00:00.000Z</x:v>
      </x:c>
      <x:c r="B913" s="12" t="n">
        <x:v>7702.652</x:v>
      </x:c>
      <x:c r="C913" s="13" t="n">
        <x:v>484</x:v>
      </x:c>
      <x:c r="D913" s="12" t="n">
        <x:v>137973.88</x:v>
      </x:c>
      <x:c r="E913" s="12" t="n">
        <x:v>0</x:v>
      </x:c>
      <x:c r="F913" s="12" t="n">
        <x:f>SUM(B913,D913:E913)</x:f>
        <x:v>145676.532</x:v>
      </x:c>
      <x:c r="G913" s="12" t="n">
        <x:f>MAX(G912,F913)</x:f>
        <x:v>145923.372</x:v>
      </x:c>
      <x:c r="H913" s="14" t="n">
        <x:f>F913/G913-1</x:f>
        <x:v>-0.0016915727523072466</x:v>
      </x:c>
      <x:c r="I913" s="14" t="n">
        <x:f>F913/F912-1</x:f>
        <x:v>-0.001294070696406524</x:v>
      </x:c>
      <x:c r="J913" s="12" t="n">
        <x:v>0</x:v>
      </x:c>
      <x:c r="K913" s="12" t="n">
        <x:v>0</x:v>
      </x:c>
      <x:c r="L913" s="12" t="n">
        <x:v>0</x:v>
      </x:c>
      <x:c r="M913" s="2" t="str">
        <x:v>持有</x:v>
      </x:c>
    </x:row>
    <x:row r="914" ht="23" customHeight="1">
      <x:c r="A914" s="11" t="d">
        <x:v>2018-08-10T00:00:00.000Z</x:v>
      </x:c>
      <x:c r="B914" s="12" t="n">
        <x:v>7702.652</x:v>
      </x:c>
      <x:c r="C914" s="13" t="n">
        <x:v>484</x:v>
      </x:c>
      <x:c r="D914" s="12" t="n">
        <x:v>137049.44</x:v>
      </x:c>
      <x:c r="E914" s="12" t="n">
        <x:v>0</x:v>
      </x:c>
      <x:c r="F914" s="12" t="n">
        <x:f>SUM(B914,D914:E914)</x:f>
        <x:v>144752.092</x:v>
      </x:c>
      <x:c r="G914" s="12" t="n">
        <x:f>MAX(G913,F914)</x:f>
        <x:v>145923.372</x:v>
      </x:c>
      <x:c r="H914" s="14" t="n">
        <x:f>F914/G914-1</x:f>
        <x:v>-0.008026678550163924</x:v>
      </x:c>
      <x:c r="I914" s="14" t="n">
        <x:f>F914/F913-1</x:f>
        <x:v>-0.0063458402483113074</x:v>
      </x:c>
      <x:c r="J914" s="12" t="n">
        <x:v>0</x:v>
      </x:c>
      <x:c r="K914" s="12" t="n">
        <x:v>0</x:v>
      </x:c>
      <x:c r="L914" s="12" t="n">
        <x:v>0</x:v>
      </x:c>
      <x:c r="M914" s="2" t="str">
        <x:v>持有</x:v>
      </x:c>
    </x:row>
    <x:row r="915" ht="23" customHeight="1">
      <x:c r="A915" s="11" t="d">
        <x:v>2018-08-13T00:00:00.000Z</x:v>
      </x:c>
      <x:c r="B915" s="12" t="n">
        <x:v>7702.652</x:v>
      </x:c>
      <x:c r="C915" s="13" t="n">
        <x:v>484</x:v>
      </x:c>
      <x:c r="D915" s="12" t="n">
        <x:v>136536.40000000002</x:v>
      </x:c>
      <x:c r="E915" s="12" t="n">
        <x:v>0</x:v>
      </x:c>
      <x:c r="F915" s="12" t="n">
        <x:f>SUM(B915,D915:E915)</x:f>
        <x:v>144239.05200000003</x:v>
      </x:c>
      <x:c r="G915" s="12" t="n">
        <x:f>MAX(G914,F915)</x:f>
        <x:v>145923.372</x:v>
      </x:c>
      <x:c r="H915" s="14" t="n">
        <x:f>F915/G915-1</x:f>
        <x:v>-0.011542496427508375</x:v>
      </x:c>
      <x:c r="I915" s="14" t="n">
        <x:f>F915/F914-1</x:f>
        <x:v>-0.0035442665657638983</x:v>
      </x:c>
      <x:c r="J915" s="12" t="n">
        <x:v>0</x:v>
      </x:c>
      <x:c r="K915" s="12" t="n">
        <x:v>0</x:v>
      </x:c>
      <x:c r="L915" s="12" t="n">
        <x:v>0</x:v>
      </x:c>
      <x:c r="M915" s="2" t="str">
        <x:v>持有</x:v>
      </x:c>
    </x:row>
    <x:row r="916" ht="23" customHeight="1">
      <x:c r="A916" s="11" t="d">
        <x:v>2018-08-14T00:00:00.000Z</x:v>
      </x:c>
      <x:c r="B916" s="12" t="n">
        <x:v>7702.652</x:v>
      </x:c>
      <x:c r="C916" s="13" t="n">
        <x:v>484</x:v>
      </x:c>
      <x:c r="D916" s="12" t="n">
        <x:v>137407.59999999998</x:v>
      </x:c>
      <x:c r="E916" s="12" t="n">
        <x:v>0</x:v>
      </x:c>
      <x:c r="F916" s="12" t="n">
        <x:f>SUM(B916,D916:E916)</x:f>
        <x:v>145110.25199999998</x:v>
      </x:c>
      <x:c r="G916" s="12" t="n">
        <x:f>MAX(G915,F916)</x:f>
        <x:v>145923.372</x:v>
      </x:c>
      <x:c r="H916" s="14" t="n">
        <x:f>F916/G916-1</x:f>
        <x:v>-0.005572239654659472</x:v>
      </x:c>
      <x:c r="I916" s="14" t="n">
        <x:f>F916/F915-1</x:f>
        <x:v>0.006039973141254151</x:v>
      </x:c>
      <x:c r="J916" s="12" t="n">
        <x:v>0</x:v>
      </x:c>
      <x:c r="K916" s="12" t="n">
        <x:v>0</x:v>
      </x:c>
      <x:c r="L916" s="12" t="n">
        <x:v>0</x:v>
      </x:c>
      <x:c r="M916" s="2" t="str">
        <x:v>持有</x:v>
      </x:c>
    </x:row>
    <x:row r="917" ht="23" customHeight="1">
      <x:c r="A917" s="11" t="d">
        <x:v>2018-08-15T00:00:00.000Z</x:v>
      </x:c>
      <x:c r="B917" s="12" t="n">
        <x:v>7702.652</x:v>
      </x:c>
      <x:c r="C917" s="13" t="n">
        <x:v>484</x:v>
      </x:c>
      <x:c r="D917" s="12" t="n">
        <x:v>136381.52</x:v>
      </x:c>
      <x:c r="E917" s="12" t="n">
        <x:v>0</x:v>
      </x:c>
      <x:c r="F917" s="12" t="n">
        <x:f>SUM(B917,D917:E917)</x:f>
        <x:v>144084.172</x:v>
      </x:c>
      <x:c r="G917" s="12" t="n">
        <x:f>MAX(G916,F917)</x:f>
        <x:v>145923.372</x:v>
      </x:c>
      <x:c r="H917" s="14" t="n">
        <x:f>F917/G917-1</x:f>
        <x:v>-0.012603875409348486</x:v>
      </x:c>
      <x:c r="I917" s="14" t="n">
        <x:f>F917/F916-1</x:f>
        <x:v>-0.007071037268958635</x:v>
      </x:c>
      <x:c r="J917" s="12" t="n">
        <x:v>0</x:v>
      </x:c>
      <x:c r="K917" s="12" t="n">
        <x:v>0</x:v>
      </x:c>
      <x:c r="L917" s="12" t="n">
        <x:v>0</x:v>
      </x:c>
      <x:c r="M917" s="2" t="str">
        <x:v>持有</x:v>
      </x:c>
    </x:row>
    <x:row r="918" ht="23" customHeight="1">
      <x:c r="A918" s="11" t="d">
        <x:v>2018-08-16T00:00:00.000Z</x:v>
      </x:c>
      <x:c r="B918" s="12" t="n">
        <x:v>7702.652</x:v>
      </x:c>
      <x:c r="C918" s="13" t="n">
        <x:v>484</x:v>
      </x:c>
      <x:c r="D918" s="12" t="n">
        <x:v>137485.04</x:v>
      </x:c>
      <x:c r="E918" s="12" t="n">
        <x:v>0</x:v>
      </x:c>
      <x:c r="F918" s="12" t="n">
        <x:f>SUM(B918,D918:E918)</x:f>
        <x:v>145187.692</x:v>
      </x:c>
      <x:c r="G918" s="12" t="n">
        <x:f>MAX(G917,F918)</x:f>
        <x:v>145923.372</x:v>
      </x:c>
      <x:c r="H918" s="14" t="n">
        <x:f>F918/G918-1</x:f>
        <x:v>-0.005041550163739306</x:v>
      </x:c>
      <x:c r="I918" s="14" t="n">
        <x:f>F918/F917-1</x:f>
        <x:v>0.007658856518952151</x:v>
      </x:c>
      <x:c r="J918" s="12" t="n">
        <x:v>0</x:v>
      </x:c>
      <x:c r="K918" s="12" t="n">
        <x:v>0</x:v>
      </x:c>
      <x:c r="L918" s="12" t="n">
        <x:v>0</x:v>
      </x:c>
      <x:c r="M918" s="2" t="str">
        <x:v>持有</x:v>
      </x:c>
    </x:row>
    <x:row r="919" ht="23" customHeight="1">
      <x:c r="A919" s="11" t="d">
        <x:v>2018-08-17T00:00:00.000Z</x:v>
      </x:c>
      <x:c r="B919" s="12" t="n">
        <x:v>7702.652</x:v>
      </x:c>
      <x:c r="C919" s="13" t="n">
        <x:v>484</x:v>
      </x:c>
      <x:c r="D919" s="12" t="n">
        <x:v>137969.04</x:v>
      </x:c>
      <x:c r="E919" s="12" t="n">
        <x:v>0</x:v>
      </x:c>
      <x:c r="F919" s="12" t="n">
        <x:f>SUM(B919,D919:E919)</x:f>
        <x:v>145671.692</x:v>
      </x:c>
      <x:c r="G919" s="12" t="n">
        <x:f>MAX(G918,F919)</x:f>
        <x:v>145923.372</x:v>
      </x:c>
      <x:c r="H919" s="14" t="n">
        <x:f>F919/G919-1</x:f>
        <x:v>-0.0017247408454896807</x:v>
      </x:c>
      <x:c r="I919" s="14" t="n">
        <x:f>F919/F918-1</x:f>
        <x:v>0.0033336159100869622</x:v>
      </x:c>
      <x:c r="J919" s="12" t="n">
        <x:v>0</x:v>
      </x:c>
      <x:c r="K919" s="12" t="n">
        <x:v>0</x:v>
      </x:c>
      <x:c r="L919" s="12" t="n">
        <x:v>0</x:v>
      </x:c>
      <x:c r="M919" s="2" t="str">
        <x:v>持有</x:v>
      </x:c>
    </x:row>
    <x:row r="920" ht="23" customHeight="1">
      <x:c r="A920" s="11" t="d">
        <x:v>2018-08-20T00:00:00.000Z</x:v>
      </x:c>
      <x:c r="B920" s="12" t="n">
        <x:v>7702.652</x:v>
      </x:c>
      <x:c r="C920" s="13" t="n">
        <x:v>484</x:v>
      </x:c>
      <x:c r="D920" s="12" t="n">
        <x:v>138264.28</x:v>
      </x:c>
      <x:c r="E920" s="12" t="n">
        <x:v>0</x:v>
      </x:c>
      <x:c r="F920" s="12" t="n">
        <x:f>SUM(B920,D920:E920)</x:f>
        <x:v>145966.932</x:v>
      </x:c>
      <x:c r="G920" s="12" t="n">
        <x:f>MAX(G919,F920)</x:f>
        <x:v>145966.932</x:v>
      </x:c>
      <x:c r="H920" s="14" t="n">
        <x:f>F920/G920-1</x:f>
        <x:v>0</x:v>
      </x:c>
      <x:c r="I920" s="14" t="n">
        <x:f>F920/F919-1</x:f>
        <x:v>0.0020267493014358706</x:v>
      </x:c>
      <x:c r="J920" s="12" t="n">
        <x:v>0</x:v>
      </x:c>
      <x:c r="K920" s="12" t="n">
        <x:v>0</x:v>
      </x:c>
      <x:c r="L920" s="12" t="n">
        <x:v>0</x:v>
      </x:c>
      <x:c r="M920" s="2" t="str">
        <x:v>持有</x:v>
      </x:c>
    </x:row>
    <x:row r="921" ht="23" customHeight="1">
      <x:c r="A921" s="11" t="d">
        <x:v>2018-08-21T00:00:00.000Z</x:v>
      </x:c>
      <x:c r="B921" s="12" t="n">
        <x:v>7702.652</x:v>
      </x:c>
      <x:c r="C921" s="13" t="n">
        <x:v>484</x:v>
      </x:c>
      <x:c r="D921" s="12" t="n">
        <x:v>138588.56</x:v>
      </x:c>
      <x:c r="E921" s="12" t="n">
        <x:v>0</x:v>
      </x:c>
      <x:c r="F921" s="12" t="n">
        <x:f>SUM(B921,D921:E921)</x:f>
        <x:v>146291.212</x:v>
      </x:c>
      <x:c r="G921" s="12" t="n">
        <x:f>MAX(G920,F921)</x:f>
        <x:v>146291.212</x:v>
      </x:c>
      <x:c r="H921" s="14" t="n">
        <x:f>F921/G921-1</x:f>
        <x:v>0</x:v>
      </x:c>
      <x:c r="I921" s="14" t="n">
        <x:f>F921/F920-1</x:f>
        <x:v>0.002221599067383284</x:v>
      </x:c>
      <x:c r="J921" s="12" t="n">
        <x:v>0</x:v>
      </x:c>
      <x:c r="K921" s="12" t="n">
        <x:v>0</x:v>
      </x:c>
      <x:c r="L921" s="12" t="n">
        <x:v>0</x:v>
      </x:c>
      <x:c r="M921" s="2" t="str">
        <x:v>持有</x:v>
      </x:c>
    </x:row>
    <x:row r="922" ht="23" customHeight="1">
      <x:c r="A922" s="11" t="d">
        <x:v>2018-08-22T00:00:00.000Z</x:v>
      </x:c>
      <x:c r="B922" s="12" t="n">
        <x:v>7702.652</x:v>
      </x:c>
      <x:c r="C922" s="13" t="n">
        <x:v>484</x:v>
      </x:c>
      <x:c r="D922" s="12" t="n">
        <x:v>138506.28</x:v>
      </x:c>
      <x:c r="E922" s="12" t="n">
        <x:v>0</x:v>
      </x:c>
      <x:c r="F922" s="12" t="n">
        <x:f>SUM(B922,D922:E922)</x:f>
        <x:v>146208.932</x:v>
      </x:c>
      <x:c r="G922" s="12" t="n">
        <x:f>MAX(G921,F922)</x:f>
        <x:v>146291.212</x:v>
      </x:c>
      <x:c r="H922" s="14" t="n">
        <x:f>F922/G922-1</x:f>
        <x:v>-0.0005624397998698072</x:v>
      </x:c>
      <x:c r="I922" s="14" t="n">
        <x:f>F922/F921-1</x:f>
        <x:v>-0.0005624397998698072</x:v>
      </x:c>
      <x:c r="J922" s="12" t="n">
        <x:v>0</x:v>
      </x:c>
      <x:c r="K922" s="12" t="n">
        <x:v>0</x:v>
      </x:c>
      <x:c r="L922" s="12" t="n">
        <x:v>0</x:v>
      </x:c>
      <x:c r="M922" s="2" t="str">
        <x:v>持有</x:v>
      </x:c>
    </x:row>
    <x:row r="923" ht="23" customHeight="1">
      <x:c r="A923" s="11" t="d">
        <x:v>2018-08-23T00:00:00.000Z</x:v>
      </x:c>
      <x:c r="B923" s="12" t="n">
        <x:v>7702.652</x:v>
      </x:c>
      <x:c r="C923" s="13" t="n">
        <x:v>484</x:v>
      </x:c>
      <x:c r="D923" s="12" t="n">
        <x:v>138322.36000000002</x:v>
      </x:c>
      <x:c r="E923" s="12" t="n">
        <x:v>0</x:v>
      </x:c>
      <x:c r="F923" s="12" t="n">
        <x:f>SUM(B923,D923:E923)</x:f>
        <x:v>146025.01200000002</x:v>
      </x:c>
      <x:c r="G923" s="12" t="n">
        <x:f>MAX(G922,F923)</x:f>
        <x:v>146291.212</x:v>
      </x:c>
      <x:c r="H923" s="14" t="n">
        <x:f>F923/G923-1</x:f>
        <x:v>-0.0018196581760494546</x:v>
      </x:c>
      <x:c r="I923" s="14" t="n">
        <x:f>F923/F922-1</x:f>
        <x:v>-0.0012579258837619456</x:v>
      </x:c>
      <x:c r="J923" s="12" t="n">
        <x:v>0</x:v>
      </x:c>
      <x:c r="K923" s="12" t="n">
        <x:v>0</x:v>
      </x:c>
      <x:c r="L923" s="12" t="n">
        <x:v>0</x:v>
      </x:c>
      <x:c r="M923" s="2" t="str">
        <x:v>持有</x:v>
      </x:c>
    </x:row>
    <x:row r="924" ht="23" customHeight="1">
      <x:c r="A924" s="11" t="d">
        <x:v>2018-08-24T00:00:00.000Z</x:v>
      </x:c>
      <x:c r="B924" s="12" t="n">
        <x:v>7702.652</x:v>
      </x:c>
      <x:c r="C924" s="13" t="n">
        <x:v>484</x:v>
      </x:c>
      <x:c r="D924" s="12" t="n">
        <x:v>139154.84</x:v>
      </x:c>
      <x:c r="E924" s="12" t="n">
        <x:v>0</x:v>
      </x:c>
      <x:c r="F924" s="12" t="n">
        <x:f>SUM(B924,D924:E924)</x:f>
        <x:v>146857.492</x:v>
      </x:c>
      <x:c r="G924" s="12" t="n">
        <x:f>MAX(G923,F924)</x:f>
        <x:v>146857.492</x:v>
      </x:c>
      <x:c r="H924" s="14" t="n">
        <x:f>F924/G924-1</x:f>
        <x:v>0</x:v>
      </x:c>
      <x:c r="I924" s="14" t="n">
        <x:f>F924/F923-1</x:f>
        <x:v>0.005700941151095318</x:v>
      </x:c>
      <x:c r="J924" s="12" t="n">
        <x:v>0</x:v>
      </x:c>
      <x:c r="K924" s="12" t="n">
        <x:v>0</x:v>
      </x:c>
      <x:c r="L924" s="12" t="n">
        <x:v>0</x:v>
      </x:c>
      <x:c r="M924" s="2" t="str">
        <x:v>持有</x:v>
      </x:c>
    </x:row>
    <x:row r="925" ht="23" customHeight="1">
      <x:c r="A925" s="11" t="d">
        <x:v>2018-08-27T00:00:00.000Z</x:v>
      </x:c>
      <x:c r="B925" s="12" t="n">
        <x:v>7702.652</x:v>
      </x:c>
      <x:c r="C925" s="13" t="n">
        <x:v>484</x:v>
      </x:c>
      <x:c r="D925" s="12" t="n">
        <x:v>140253.52</x:v>
      </x:c>
      <x:c r="E925" s="12" t="n">
        <x:v>0</x:v>
      </x:c>
      <x:c r="F925" s="12" t="n">
        <x:f>SUM(B925,D925:E925)</x:f>
        <x:v>147956.172</x:v>
      </x:c>
      <x:c r="G925" s="12" t="n">
        <x:f>MAX(G924,F925)</x:f>
        <x:v>147956.172</x:v>
      </x:c>
      <x:c r="H925" s="14" t="n">
        <x:f>F925/G925-1</x:f>
        <x:v>0</x:v>
      </x:c>
      <x:c r="I925" s="14" t="n">
        <x:f>F925/F924-1</x:f>
        <x:v>0.007481266260491504</x:v>
      </x:c>
      <x:c r="J925" s="12" t="n">
        <x:v>0</x:v>
      </x:c>
      <x:c r="K925" s="12" t="n">
        <x:v>0</x:v>
      </x:c>
      <x:c r="L925" s="12" t="n">
        <x:v>0</x:v>
      </x:c>
      <x:c r="M925" s="2" t="str">
        <x:v>持有</x:v>
      </x:c>
    </x:row>
    <x:row r="926" ht="23" customHeight="1">
      <x:c r="A926" s="11" t="d">
        <x:v>2018-08-28T00:00:00.000Z</x:v>
      </x:c>
      <x:c r="B926" s="12" t="n">
        <x:v>7702.652</x:v>
      </x:c>
      <x:c r="C926" s="13" t="n">
        <x:v>484</x:v>
      </x:c>
      <x:c r="D926" s="12" t="n">
        <x:v>140321.28</x:v>
      </x:c>
      <x:c r="E926" s="12" t="n">
        <x:v>0</x:v>
      </x:c>
      <x:c r="F926" s="12" t="n">
        <x:f>SUM(B926,D926:E926)</x:f>
        <x:v>148023.932</x:v>
      </x:c>
      <x:c r="G926" s="12" t="n">
        <x:f>MAX(G925,F926)</x:f>
        <x:v>148023.932</x:v>
      </x:c>
      <x:c r="H926" s="14" t="n">
        <x:f>F926/G926-1</x:f>
        <x:v>0</x:v>
      </x:c>
      <x:c r="I926" s="14" t="n">
        <x:f>F926/F925-1</x:f>
        <x:v>0.00045797345987041993</x:v>
      </x:c>
      <x:c r="J926" s="12" t="n">
        <x:v>0</x:v>
      </x:c>
      <x:c r="K926" s="12" t="n">
        <x:v>0</x:v>
      </x:c>
      <x:c r="L926" s="12" t="n">
        <x:v>0</x:v>
      </x:c>
      <x:c r="M926" s="2" t="str">
        <x:v>持有</x:v>
      </x:c>
    </x:row>
    <x:row r="927" ht="23" customHeight="1">
      <x:c r="A927" s="11" t="d">
        <x:v>2018-08-29T00:00:00.000Z</x:v>
      </x:c>
      <x:c r="B927" s="12" t="n">
        <x:v>7702.652</x:v>
      </x:c>
      <x:c r="C927" s="13" t="n">
        <x:v>484</x:v>
      </x:c>
      <x:c r="D927" s="12" t="n">
        <x:v>141076.32</x:v>
      </x:c>
      <x:c r="E927" s="12" t="n">
        <x:v>0</x:v>
      </x:c>
      <x:c r="F927" s="12" t="n">
        <x:f>SUM(B927,D927:E927)</x:f>
        <x:v>148778.972</x:v>
      </x:c>
      <x:c r="G927" s="12" t="n">
        <x:f>MAX(G926,F927)</x:f>
        <x:v>148778.972</x:v>
      </x:c>
      <x:c r="H927" s="14" t="n">
        <x:f>F927/G927-1</x:f>
        <x:v>0</x:v>
      </x:c>
      <x:c r="I927" s="14" t="n">
        <x:f>F927/F926-1</x:f>
        <x:v>0.005100796808991781</x:v>
      </x:c>
      <x:c r="J927" s="12" t="n">
        <x:v>0</x:v>
      </x:c>
      <x:c r="K927" s="12" t="n">
        <x:v>0</x:v>
      </x:c>
      <x:c r="L927" s="12" t="n">
        <x:v>0</x:v>
      </x:c>
      <x:c r="M927" s="2" t="str">
        <x:v>持有</x:v>
      </x:c>
    </x:row>
    <x:row r="928" ht="23" customHeight="1">
      <x:c r="A928" s="11" t="d">
        <x:v>2018-08-30T00:00:00.000Z</x:v>
      </x:c>
      <x:c r="B928" s="12" t="n">
        <x:v>7702.652</x:v>
      </x:c>
      <x:c r="C928" s="13" t="n">
        <x:v>484</x:v>
      </x:c>
      <x:c r="D928" s="12" t="n">
        <x:v>140505.2</x:v>
      </x:c>
      <x:c r="E928" s="12" t="n">
        <x:v>0</x:v>
      </x:c>
      <x:c r="F928" s="12" t="n">
        <x:f>SUM(B928,D928:E928)</x:f>
        <x:v>148207.852</x:v>
      </x:c>
      <x:c r="G928" s="12" t="n">
        <x:f>MAX(G927,F928)</x:f>
        <x:v>148778.972</x:v>
      </x:c>
      <x:c r="H928" s="14" t="n">
        <x:f>F928/G928-1</x:f>
        <x:v>-0.0038387145194147543</x:v>
      </x:c>
      <x:c r="I928" s="14" t="n">
        <x:f>F928/F927-1</x:f>
        <x:v>-0.0038387145194147543</x:v>
      </x:c>
      <x:c r="J928" s="12" t="n">
        <x:v>0</x:v>
      </x:c>
      <x:c r="K928" s="12" t="n">
        <x:v>0</x:v>
      </x:c>
      <x:c r="L928" s="12" t="n">
        <x:v>0</x:v>
      </x:c>
      <x:c r="M928" s="2" t="str">
        <x:v>持有</x:v>
      </x:c>
    </x:row>
    <x:row r="929" ht="23" customHeight="1">
      <x:c r="A929" s="11" t="d">
        <x:v>2018-08-31T00:00:00.000Z</x:v>
      </x:c>
      <x:c r="B929" s="12" t="n">
        <x:v>7702.652</x:v>
      </x:c>
      <x:c r="C929" s="13" t="n">
        <x:v>484</x:v>
      </x:c>
      <x:c r="D929" s="12" t="n">
        <x:v>140510.04</x:v>
      </x:c>
      <x:c r="E929" s="12" t="n">
        <x:v>0</x:v>
      </x:c>
      <x:c r="F929" s="12" t="n">
        <x:f>SUM(B929,D929:E929)</x:f>
        <x:v>148212.692</x:v>
      </x:c>
      <x:c r="G929" s="12" t="n">
        <x:f>MAX(G928,F929)</x:f>
        <x:v>148778.972</x:v>
      </x:c>
      <x:c r="H929" s="14" t="n">
        <x:f>F929/G929-1</x:f>
        <x:v>-0.0038061830404366725</x:v>
      </x:c>
      <x:c r="I929" s="14" t="n">
        <x:f>F929/F928-1</x:f>
        <x:v>0.000032656839261013815</x:v>
      </x:c>
      <x:c r="J929" s="12" t="n">
        <x:v>0</x:v>
      </x:c>
      <x:c r="K929" s="12" t="n">
        <x:v>0</x:v>
      </x:c>
      <x:c r="L929" s="12" t="n">
        <x:v>0</x:v>
      </x:c>
      <x:c r="M929" s="2" t="str">
        <x:v>持有</x:v>
      </x:c>
    </x:row>
    <x:row r="930" ht="23" customHeight="1">
      <x:c r="A930" s="11" t="d">
        <x:v>2018-09-04T00:00:00.000Z</x:v>
      </x:c>
      <x:c r="B930" s="12" t="n">
        <x:v>7702.652</x:v>
      </x:c>
      <x:c r="C930" s="13" t="n">
        <x:v>484</x:v>
      </x:c>
      <x:c r="D930" s="12" t="n">
        <x:v>140268.04</x:v>
      </x:c>
      <x:c r="E930" s="12" t="n">
        <x:v>0</x:v>
      </x:c>
      <x:c r="F930" s="12" t="n">
        <x:f>SUM(B930,D930:E930)</x:f>
        <x:v>147970.692</x:v>
      </x:c>
      <x:c r="G930" s="12" t="n">
        <x:f>MAX(G929,F930)</x:f>
        <x:v>148778.972</x:v>
      </x:c>
      <x:c r="H930" s="14" t="n">
        <x:f>F930/G930-1</x:f>
        <x:v>-0.005432756989341203</x:v>
      </x:c>
      <x:c r="I930" s="14" t="n">
        <x:f>F930/F929-1</x:f>
        <x:v>-0.0016327886413398662</x:v>
      </x:c>
      <x:c r="J930" s="12" t="n">
        <x:v>0</x:v>
      </x:c>
      <x:c r="K930" s="12" t="n">
        <x:v>0</x:v>
      </x:c>
      <x:c r="L930" s="12" t="n">
        <x:v>0</x:v>
      </x:c>
      <x:c r="M930" s="2" t="str">
        <x:v>持有</x:v>
      </x:c>
    </x:row>
    <x:row r="931" ht="23" customHeight="1">
      <x:c r="A931" s="11" t="d">
        <x:v>2018-09-05T00:00:00.000Z</x:v>
      </x:c>
      <x:c r="B931" s="12" t="n">
        <x:v>7702.652</x:v>
      </x:c>
      <x:c r="C931" s="13" t="n">
        <x:v>484</x:v>
      </x:c>
      <x:c r="D931" s="12" t="n">
        <x:v>139890.52</x:v>
      </x:c>
      <x:c r="E931" s="12" t="n">
        <x:v>0</x:v>
      </x:c>
      <x:c r="F931" s="12" t="n">
        <x:f>SUM(B931,D931:E931)</x:f>
        <x:v>147593.172</x:v>
      </x:c>
      <x:c r="G931" s="12" t="n">
        <x:f>MAX(G930,F931)</x:f>
        <x:v>148778.972</x:v>
      </x:c>
      <x:c r="H931" s="14" t="n">
        <x:f>F931/G931-1</x:f>
        <x:v>-0.007970212349632466</x:v>
      </x:c>
      <x:c r="I931" s="14" t="n">
        <x:f>F931/F930-1</x:f>
        <x:v>-0.0025513160403414226</x:v>
      </x:c>
      <x:c r="J931" s="12" t="n">
        <x:v>0</x:v>
      </x:c>
      <x:c r="K931" s="12" t="n">
        <x:v>0</x:v>
      </x:c>
      <x:c r="L931" s="12" t="n">
        <x:v>0</x:v>
      </x:c>
      <x:c r="M931" s="2" t="str">
        <x:v>持有</x:v>
      </x:c>
    </x:row>
    <x:row r="932" ht="23" customHeight="1">
      <x:c r="A932" s="11" t="d">
        <x:v>2018-09-06T00:00:00.000Z</x:v>
      </x:c>
      <x:c r="B932" s="12" t="n">
        <x:v>7702.652</x:v>
      </x:c>
      <x:c r="C932" s="13" t="n">
        <x:v>484</x:v>
      </x:c>
      <x:c r="D932" s="12" t="n">
        <x:v>139469.44</x:v>
      </x:c>
      <x:c r="E932" s="12" t="n">
        <x:v>0</x:v>
      </x:c>
      <x:c r="F932" s="12" t="n">
        <x:f>SUM(B932,D932:E932)</x:f>
        <x:v>147172.092</x:v>
      </x:c>
      <x:c r="G932" s="12" t="n">
        <x:f>MAX(G931,F932)</x:f>
        <x:v>148778.972</x:v>
      </x:c>
      <x:c r="H932" s="14" t="n">
        <x:f>F932/G932-1</x:f>
        <x:v>-0.010800451020726243</x:v>
      </x:c>
      <x:c r="I932" s="14" t="n">
        <x:f>F932/F931-1</x:f>
        <x:v>-0.0028529775076585606</x:v>
      </x:c>
      <x:c r="J932" s="12" t="n">
        <x:v>0</x:v>
      </x:c>
      <x:c r="K932" s="12" t="n">
        <x:v>0</x:v>
      </x:c>
      <x:c r="L932" s="12" t="n">
        <x:v>0</x:v>
      </x:c>
      <x:c r="M932" s="2" t="str">
        <x:v>持有</x:v>
      </x:c>
    </x:row>
    <x:row r="933" ht="23" customHeight="1">
      <x:c r="A933" s="11" t="d">
        <x:v>2018-09-07T00:00:00.000Z</x:v>
      </x:c>
      <x:c r="B933" s="12" t="n">
        <x:v>7702.652</x:v>
      </x:c>
      <x:c r="C933" s="13" t="n">
        <x:v>484</x:v>
      </x:c>
      <x:c r="D933" s="12" t="n">
        <x:v>139198.40000000002</x:v>
      </x:c>
      <x:c r="E933" s="12" t="n">
        <x:v>0</x:v>
      </x:c>
      <x:c r="F933" s="12" t="n">
        <x:f>SUM(B933,D933:E933)</x:f>
        <x:v>146901.05200000003</x:v>
      </x:c>
      <x:c r="G933" s="12" t="n">
        <x:f>MAX(G932,F933)</x:f>
        <x:v>148778.972</x:v>
      </x:c>
      <x:c r="H933" s="14" t="n">
        <x:f>F933/G933-1</x:f>
        <x:v>-0.012622213843499264</x:v>
      </x:c>
      <x:c r="I933" s="14" t="n">
        <x:f>F933/F932-1</x:f>
        <x:v>-0.0018416535113191523</x:v>
      </x:c>
      <x:c r="J933" s="12" t="n">
        <x:v>0</x:v>
      </x:c>
      <x:c r="K933" s="12" t="n">
        <x:v>0</x:v>
      </x:c>
      <x:c r="L933" s="12" t="n">
        <x:v>0</x:v>
      </x:c>
      <x:c r="M933" s="2" t="str">
        <x:v>持有</x:v>
      </x:c>
    </x:row>
    <x:row r="934" ht="23" customHeight="1">
      <x:c r="A934" s="11" t="d">
        <x:v>2018-09-10T00:00:00.000Z</x:v>
      </x:c>
      <x:c r="B934" s="12" t="n">
        <x:v>7702.652</x:v>
      </x:c>
      <x:c r="C934" s="13" t="n">
        <x:v>484</x:v>
      </x:c>
      <x:c r="D934" s="12" t="n">
        <x:v>139440.40000000002</x:v>
      </x:c>
      <x:c r="E934" s="12" t="n">
        <x:v>0</x:v>
      </x:c>
      <x:c r="F934" s="12" t="n">
        <x:f>SUM(B934,D934:E934)</x:f>
        <x:v>147143.05200000003</x:v>
      </x:c>
      <x:c r="G934" s="12" t="n">
        <x:f>MAX(G933,F934)</x:f>
        <x:v>148778.972</x:v>
      </x:c>
      <x:c r="H934" s="14" t="n">
        <x:f>F934/G934-1</x:f>
        <x:v>-0.010995639894594622</x:v>
      </x:c>
      <x:c r="I934" s="14" t="n">
        <x:f>F934/F933-1</x:f>
        <x:v>0.0016473673721546511</x:v>
      </x:c>
      <x:c r="J934" s="12" t="n">
        <x:v>0</x:v>
      </x:c>
      <x:c r="K934" s="12" t="n">
        <x:v>0</x:v>
      </x:c>
      <x:c r="L934" s="12" t="n">
        <x:v>0</x:v>
      </x:c>
      <x:c r="M934" s="2" t="str">
        <x:v>持有</x:v>
      </x:c>
    </x:row>
    <x:row r="935" ht="23" customHeight="1">
      <x:c r="A935" s="11" t="d">
        <x:v>2018-09-11T00:00:00.000Z</x:v>
      </x:c>
      <x:c r="B935" s="12" t="n">
        <x:v>7702.652</x:v>
      </x:c>
      <x:c r="C935" s="13" t="n">
        <x:v>484</x:v>
      </x:c>
      <x:c r="D935" s="12" t="n">
        <x:v>139900.2</x:v>
      </x:c>
      <x:c r="E935" s="12" t="n">
        <x:v>0</x:v>
      </x:c>
      <x:c r="F935" s="12" t="n">
        <x:f>SUM(B935,D935:E935)</x:f>
        <x:v>147602.852</x:v>
      </x:c>
      <x:c r="G935" s="12" t="n">
        <x:f>MAX(G934,F935)</x:f>
        <x:v>148778.972</x:v>
      </x:c>
      <x:c r="H935" s="14" t="n">
        <x:f>F935/G935-1</x:f>
        <x:v>-0.00790514939167608</x:v>
      </x:c>
      <x:c r="I935" s="14" t="n">
        <x:f>F935/F934-1</x:f>
        <x:v>0.0031248502307807957</x:v>
      </x:c>
      <x:c r="J935" s="12" t="n">
        <x:v>0</x:v>
      </x:c>
      <x:c r="K935" s="12" t="n">
        <x:v>0</x:v>
      </x:c>
      <x:c r="L935" s="12" t="n">
        <x:v>0</x:v>
      </x:c>
      <x:c r="M935" s="2" t="str">
        <x:v>持有</x:v>
      </x:c>
    </x:row>
    <x:row r="936" ht="23" customHeight="1">
      <x:c r="A936" s="11" t="d">
        <x:v>2018-09-12T00:00:00.000Z</x:v>
      </x:c>
      <x:c r="B936" s="12" t="n">
        <x:v>7702.652</x:v>
      </x:c>
      <x:c r="C936" s="13" t="n">
        <x:v>484</x:v>
      </x:c>
      <x:c r="D936" s="12" t="n">
        <x:v>139934.08000000002</x:v>
      </x:c>
      <x:c r="E936" s="12" t="n">
        <x:v>0</x:v>
      </x:c>
      <x:c r="F936" s="12" t="n">
        <x:f>SUM(B936,D936:E936)</x:f>
        <x:v>147636.73200000002</x:v>
      </x:c>
      <x:c r="G936" s="12" t="n">
        <x:f>MAX(G935,F936)</x:f>
        <x:v>148778.972</x:v>
      </x:c>
      <x:c r="H936" s="14" t="n">
        <x:f>F936/G936-1</x:f>
        <x:v>-0.0076774290388293975</x:v>
      </x:c>
      <x:c r="I936" s="14" t="n">
        <x:f>F936/F935-1</x:f>
        <x:v>0.00022953486020726999</x:v>
      </x:c>
      <x:c r="J936" s="12" t="n">
        <x:v>0</x:v>
      </x:c>
      <x:c r="K936" s="12" t="n">
        <x:v>0</x:v>
      </x:c>
      <x:c r="L936" s="12" t="n">
        <x:v>0</x:v>
      </x:c>
      <x:c r="M936" s="2" t="str">
        <x:v>持有</x:v>
      </x:c>
    </x:row>
    <x:row r="937" ht="23" customHeight="1">
      <x:c r="A937" s="11" t="d">
        <x:v>2018-09-13T00:00:00.000Z</x:v>
      </x:c>
      <x:c r="B937" s="12" t="n">
        <x:v>7702.652</x:v>
      </x:c>
      <x:c r="C937" s="13" t="n">
        <x:v>484</x:v>
      </x:c>
      <x:c r="D937" s="12" t="n">
        <x:v>140761.72</x:v>
      </x:c>
      <x:c r="E937" s="12" t="n">
        <x:v>0</x:v>
      </x:c>
      <x:c r="F937" s="12" t="n">
        <x:f>SUM(B937,D937:E937)</x:f>
        <x:v>148464.372</x:v>
      </x:c>
      <x:c r="G937" s="12" t="n">
        <x:f>MAX(G936,F937)</x:f>
        <x:v>148778.972</x:v>
      </x:c>
      <x:c r="H937" s="14" t="n">
        <x:f>F937/G937-1</x:f>
        <x:v>-0.0021145461335759785</x:v>
      </x:c>
      <x:c r="I937" s="14" t="n">
        <x:f>F937/F936-1</x:f>
        <x:v>0.005605921973401484</x:v>
      </x:c>
      <x:c r="J937" s="12" t="n">
        <x:v>0</x:v>
      </x:c>
      <x:c r="K937" s="12" t="n">
        <x:v>0</x:v>
      </x:c>
      <x:c r="L937" s="12" t="n">
        <x:v>0</x:v>
      </x:c>
      <x:c r="M937" s="2" t="str">
        <x:v>持有</x:v>
      </x:c>
    </x:row>
    <x:row r="938" ht="23" customHeight="1">
      <x:c r="A938" s="11" t="d">
        <x:v>2018-09-14T00:00:00.000Z</x:v>
      </x:c>
      <x:c r="B938" s="12" t="n">
        <x:v>7702.652</x:v>
      </x:c>
      <x:c r="C938" s="13" t="n">
        <x:v>484</x:v>
      </x:c>
      <x:c r="D938" s="12" t="n">
        <x:v>140785.91999999998</x:v>
      </x:c>
      <x:c r="E938" s="12" t="n">
        <x:v>0</x:v>
      </x:c>
      <x:c r="F938" s="12" t="n">
        <x:f>SUM(B938,D938:E938)</x:f>
        <x:v>148488.572</x:v>
      </x:c>
      <x:c r="G938" s="12" t="n">
        <x:f>MAX(G937,F938)</x:f>
        <x:v>148778.972</x:v>
      </x:c>
      <x:c r="H938" s="14" t="n">
        <x:f>F938/G938-1</x:f>
        <x:v>-0.0019518887386855699</x:v>
      </x:c>
      <x:c r="I938" s="14" t="n">
        <x:f>F938/F937-1</x:f>
        <x:v>0.0001630020702878543</x:v>
      </x:c>
      <x:c r="J938" s="12" t="n">
        <x:v>0</x:v>
      </x:c>
      <x:c r="K938" s="12" t="n">
        <x:v>0</x:v>
      </x:c>
      <x:c r="L938" s="12" t="n">
        <x:v>0</x:v>
      </x:c>
      <x:c r="M938" s="2" t="str">
        <x:v>持有</x:v>
      </x:c>
    </x:row>
    <x:row r="939" ht="23" customHeight="1">
      <x:c r="A939" s="11" t="d">
        <x:v>2018-09-17T00:00:00.000Z</x:v>
      </x:c>
      <x:c r="B939" s="12" t="n">
        <x:v>7702.652</x:v>
      </x:c>
      <x:c r="C939" s="13" t="n">
        <x:v>484</x:v>
      </x:c>
      <x:c r="D939" s="12" t="n">
        <x:v>140040.56</x:v>
      </x:c>
      <x:c r="E939" s="12" t="n">
        <x:v>0</x:v>
      </x:c>
      <x:c r="F939" s="12" t="n">
        <x:f>SUM(B939,D939:E939)</x:f>
        <x:v>147743.212</x:v>
      </x:c>
      <x:c r="G939" s="12" t="n">
        <x:f>MAX(G938,F939)</x:f>
        <x:v>148778.972</x:v>
      </x:c>
      <x:c r="H939" s="14" t="n">
        <x:f>F939/G939-1</x:f>
        <x:v>-0.0069617365013115995</x:v>
      </x:c>
      <x:c r="I939" s="14" t="n">
        <x:f>F939/F938-1</x:f>
        <x:v>-0.005019645552251539</x:v>
      </x:c>
      <x:c r="J939" s="12" t="n">
        <x:v>0</x:v>
      </x:c>
      <x:c r="K939" s="12" t="n">
        <x:v>0</x:v>
      </x:c>
      <x:c r="L939" s="12" t="n">
        <x:v>0</x:v>
      </x:c>
      <x:c r="M939" s="2" t="str">
        <x:v>持有</x:v>
      </x:c>
    </x:row>
    <x:row r="940" ht="23" customHeight="1">
      <x:c r="A940" s="11" t="d">
        <x:v>2018-09-18T00:00:00.000Z</x:v>
      </x:c>
      <x:c r="B940" s="12" t="n">
        <x:v>7702.652</x:v>
      </x:c>
      <x:c r="C940" s="13" t="n">
        <x:v>484</x:v>
      </x:c>
      <x:c r="D940" s="12" t="n">
        <x:v>140800.44</x:v>
      </x:c>
      <x:c r="E940" s="12" t="n">
        <x:v>0</x:v>
      </x:c>
      <x:c r="F940" s="12" t="n">
        <x:f>SUM(B940,D940:E940)</x:f>
        <x:v>148503.092</x:v>
      </x:c>
      <x:c r="G940" s="12" t="n">
        <x:f>MAX(G939,F940)</x:f>
        <x:v>148778.972</x:v>
      </x:c>
      <x:c r="H940" s="14" t="n">
        <x:f>F940/G940-1</x:f>
        <x:v>-0.0018542943017512137</x:v>
      </x:c>
      <x:c r="I940" s="14" t="n">
        <x:f>F940/F939-1</x:f>
        <x:v>0.005143248137857048</x:v>
      </x:c>
      <x:c r="J940" s="12" t="n">
        <x:v>0</x:v>
      </x:c>
      <x:c r="K940" s="12" t="n">
        <x:v>0</x:v>
      </x:c>
      <x:c r="L940" s="12" t="n">
        <x:v>0</x:v>
      </x:c>
      <x:c r="M940" s="2" t="str">
        <x:v>持有</x:v>
      </x:c>
    </x:row>
    <x:row r="941" ht="23" customHeight="1">
      <x:c r="A941" s="11" t="d">
        <x:v>2018-09-19T00:00:00.000Z</x:v>
      </x:c>
      <x:c r="B941" s="12" t="n">
        <x:v>7702.652</x:v>
      </x:c>
      <x:c r="C941" s="13" t="n">
        <x:v>484</x:v>
      </x:c>
      <x:c r="D941" s="12" t="n">
        <x:v>140950.48</x:v>
      </x:c>
      <x:c r="E941" s="12" t="n">
        <x:v>0</x:v>
      </x:c>
      <x:c r="F941" s="12" t="n">
        <x:f>SUM(B941,D941:E941)</x:f>
        <x:v>148653.132</x:v>
      </x:c>
      <x:c r="G941" s="12" t="n">
        <x:f>MAX(G940,F941)</x:f>
        <x:v>148778.972</x:v>
      </x:c>
      <x:c r="H941" s="14" t="n">
        <x:f>F941/G941-1</x:f>
        <x:v>-0.000845818453430347</x:v>
      </x:c>
      <x:c r="I941" s="14" t="n">
        <x:f>F941/F940-1</x:f>
        <x:v>0.0010103493333324387</x:v>
      </x:c>
      <x:c r="J941" s="12" t="n">
        <x:v>0</x:v>
      </x:c>
      <x:c r="K941" s="12" t="n">
        <x:v>0</x:v>
      </x:c>
      <x:c r="L941" s="12" t="n">
        <x:v>0</x:v>
      </x:c>
      <x:c r="M941" s="2" t="str">
        <x:v>持有</x:v>
      </x:c>
    </x:row>
    <x:row r="942" ht="23" customHeight="1">
      <x:c r="A942" s="11" t="d">
        <x:v>2018-09-20T00:00:00.000Z</x:v>
      </x:c>
      <x:c r="B942" s="12" t="n">
        <x:v>7702.652</x:v>
      </x:c>
      <x:c r="C942" s="13" t="n">
        <x:v>484</x:v>
      </x:c>
      <x:c r="D942" s="12" t="n">
        <x:v>142092.72</x:v>
      </x:c>
      <x:c r="E942" s="12" t="n">
        <x:v>0</x:v>
      </x:c>
      <x:c r="F942" s="12" t="n">
        <x:f>SUM(B942,D942:E942)</x:f>
        <x:v>149795.372</x:v>
      </x:c>
      <x:c r="G942" s="12" t="n">
        <x:f>MAX(G941,F942)</x:f>
        <x:v>149795.372</x:v>
      </x:c>
      <x:c r="H942" s="14" t="n">
        <x:f>F942/G942-1</x:f>
        <x:v>0</x:v>
      </x:c>
      <x:c r="I942" s="14" t="n">
        <x:f>F942/F941-1</x:f>
        <x:v>0.007683928247135707</x:v>
      </x:c>
      <x:c r="J942" s="12" t="n">
        <x:v>0</x:v>
      </x:c>
      <x:c r="K942" s="12" t="n">
        <x:v>0</x:v>
      </x:c>
      <x:c r="L942" s="12" t="n">
        <x:v>0</x:v>
      </x:c>
      <x:c r="M942" s="2" t="str">
        <x:v>持有</x:v>
      </x:c>
    </x:row>
    <x:row r="943" ht="23" customHeight="1">
      <x:c r="A943" s="11" t="d">
        <x:v>2018-09-21T00:00:00.000Z</x:v>
      </x:c>
      <x:c r="B943" s="12" t="n">
        <x:v>7702.652</x:v>
      </x:c>
      <x:c r="C943" s="13" t="n">
        <x:v>484</x:v>
      </x:c>
      <x:c r="D943" s="12" t="n">
        <x:v>141323.16</x:v>
      </x:c>
      <x:c r="E943" s="12" t="n">
        <x:v>640.143724</x:v>
      </x:c>
      <x:c r="F943" s="12" t="n">
        <x:f>SUM(B943,D943:E943)</x:f>
        <x:v>149665.955724</x:v>
      </x:c>
      <x:c r="G943" s="12" t="n">
        <x:f>MAX(G942,F943)</x:f>
        <x:v>149795.372</x:v>
      </x:c>
      <x:c r="H943" s="14" t="n">
        <x:f>F943/G943-1</x:f>
        <x:v>-0.0008639537675436681</x:v>
      </x:c>
      <x:c r="I943" s="14" t="n">
        <x:f>F943/F942-1</x:f>
        <x:v>-0.0008639537675436681</x:v>
      </x:c>
      <x:c r="J943" s="12" t="n">
        <x:v>640.143724</x:v>
      </x:c>
      <x:c r="K943" s="12" t="n">
        <x:v>0</x:v>
      </x:c>
      <x:c r="L943" s="12" t="n">
        <x:v>0</x:v>
      </x:c>
      <x:c r="M943" s="2" t="str">
        <x:v>持有</x:v>
      </x:c>
    </x:row>
    <x:row r="944" ht="23" customHeight="1">
      <x:c r="A944" s="11" t="d">
        <x:v>2018-09-24T00:00:00.000Z</x:v>
      </x:c>
      <x:c r="B944" s="12" t="n">
        <x:v>7702.652</x:v>
      </x:c>
      <x:c r="C944" s="13" t="n">
        <x:v>484</x:v>
      </x:c>
      <x:c r="D944" s="12" t="n">
        <x:v>140853.68</x:v>
      </x:c>
      <x:c r="E944" s="12" t="n">
        <x:v>640.143724</x:v>
      </x:c>
      <x:c r="F944" s="12" t="n">
        <x:f>SUM(B944,D944:E944)</x:f>
        <x:v>149196.475724</x:v>
      </x:c>
      <x:c r="G944" s="12" t="n">
        <x:f>MAX(G943,F944)</x:f>
        <x:v>149795.372</x:v>
      </x:c>
      <x:c r="H944" s="14" t="n">
        <x:f>F944/G944-1</x:f>
        <x:v>-0.003998095989240724</x:v>
      </x:c>
      <x:c r="I944" s="14" t="n">
        <x:f>F944/F943-1</x:f>
        <x:v>-0.003136852317074612</x:v>
      </x:c>
      <x:c r="J944" s="12" t="n">
        <x:v>0</x:v>
      </x:c>
      <x:c r="K944" s="12" t="n">
        <x:v>0</x:v>
      </x:c>
      <x:c r="L944" s="12" t="n">
        <x:v>0</x:v>
      </x:c>
      <x:c r="M944" s="2" t="str">
        <x:v>持有</x:v>
      </x:c>
    </x:row>
    <x:row r="945" ht="23" customHeight="1">
      <x:c r="A945" s="11" t="d">
        <x:v>2018-09-25T00:00:00.000Z</x:v>
      </x:c>
      <x:c r="B945" s="12" t="n">
        <x:v>7702.652</x:v>
      </x:c>
      <x:c r="C945" s="13" t="n">
        <x:v>484</x:v>
      </x:c>
      <x:c r="D945" s="12" t="n">
        <x:v>140723</x:v>
      </x:c>
      <x:c r="E945" s="12" t="n">
        <x:v>640.143724</x:v>
      </x:c>
      <x:c r="F945" s="12" t="n">
        <x:f>SUM(B945,D945:E945)</x:f>
        <x:v>149065.795724</x:v>
      </x:c>
      <x:c r="G945" s="12" t="n">
        <x:f>MAX(G944,F945)</x:f>
        <x:v>149795.372</x:v>
      </x:c>
      <x:c r="H945" s="14" t="n">
        <x:f>F945/G945-1</x:f>
        <x:v>-0.0048704860921872095</x:v>
      </x:c>
      <x:c r="I945" s="14" t="n">
        <x:f>F945/F944-1</x:f>
        <x:v>-0.000875892003251777</x:v>
      </x:c>
      <x:c r="J945" s="12" t="n">
        <x:v>0</x:v>
      </x:c>
      <x:c r="K945" s="12" t="n">
        <x:v>0</x:v>
      </x:c>
      <x:c r="L945" s="12" t="n">
        <x:v>0</x:v>
      </x:c>
      <x:c r="M945" s="2" t="str">
        <x:v>持有</x:v>
      </x:c>
    </x:row>
    <x:row r="946" ht="23" customHeight="1">
      <x:c r="A946" s="11" t="d">
        <x:v>2018-09-26T00:00:00.000Z</x:v>
      </x:c>
      <x:c r="B946" s="12" t="n">
        <x:v>7702.652</x:v>
      </x:c>
      <x:c r="C946" s="13" t="n">
        <x:v>484</x:v>
      </x:c>
      <x:c r="D946" s="12" t="n">
        <x:v>140301.91999999998</x:v>
      </x:c>
      <x:c r="E946" s="12" t="n">
        <x:v>640.143724</x:v>
      </x:c>
      <x:c r="F946" s="12" t="n">
        <x:f>SUM(B946,D946:E946)</x:f>
        <x:v>148644.71572399998</x:v>
      </x:c>
      <x:c r="G946" s="12" t="n">
        <x:f>MAX(G945,F946)</x:f>
        <x:v>149795.372</x:v>
      </x:c>
      <x:c r="H946" s="14" t="n">
        <x:f>F946/G946-1</x:f>
        <x:v>-0.0076815208683485015</x:v>
      </x:c>
      <x:c r="I946" s="14" t="n">
        <x:f>F946/F945-1</x:f>
        <x:v>-0.00282479289064852</x:v>
      </x:c>
      <x:c r="J946" s="12" t="n">
        <x:v>0</x:v>
      </x:c>
      <x:c r="K946" s="12" t="n">
        <x:v>0</x:v>
      </x:c>
      <x:c r="L946" s="12" t="n">
        <x:v>0</x:v>
      </x:c>
      <x:c r="M946" s="2" t="str">
        <x:v>持有</x:v>
      </x:c>
    </x:row>
    <x:row r="947" ht="23" customHeight="1">
      <x:c r="A947" s="11" t="d">
        <x:v>2018-09-27T00:00:00.000Z</x:v>
      </x:c>
      <x:c r="B947" s="12" t="n">
        <x:v>7702.652</x:v>
      </x:c>
      <x:c r="C947" s="13" t="n">
        <x:v>484</x:v>
      </x:c>
      <x:c r="D947" s="12" t="n">
        <x:v>140693.96</x:v>
      </x:c>
      <x:c r="E947" s="12" t="n">
        <x:v>640.143724</x:v>
      </x:c>
      <x:c r="F947" s="12" t="n">
        <x:f>SUM(B947,D947:E947)</x:f>
        <x:v>149036.755724</x:v>
      </x:c>
      <x:c r="G947" s="12" t="n">
        <x:f>MAX(G946,F947)</x:f>
        <x:v>149795.372</x:v>
      </x:c>
      <x:c r="H947" s="14" t="n">
        <x:f>F947/G947-1</x:f>
        <x:v>-0.005064350559508712</x:v>
      </x:c>
      <x:c r="I947" s="14" t="n">
        <x:f>F947/F946-1</x:f>
        <x:v>0.00263742978073922</x:v>
      </x:c>
      <x:c r="J947" s="12" t="n">
        <x:v>0</x:v>
      </x:c>
      <x:c r="K947" s="12" t="n">
        <x:v>0</x:v>
      </x:c>
      <x:c r="L947" s="12" t="n">
        <x:v>0</x:v>
      </x:c>
      <x:c r="M947" s="2" t="str">
        <x:v>持有</x:v>
      </x:c>
    </x:row>
    <x:row r="948" ht="23" customHeight="1">
      <x:c r="A948" s="11" t="d">
        <x:v>2018-09-28T00:00:00.000Z</x:v>
      </x:c>
      <x:c r="B948" s="12" t="n">
        <x:v>7702.652</x:v>
      </x:c>
      <x:c r="C948" s="13" t="n">
        <x:v>484</x:v>
      </x:c>
      <x:c r="D948" s="12" t="n">
        <x:v>140708.48</x:v>
      </x:c>
      <x:c r="E948" s="12" t="n">
        <x:v>640.143724</x:v>
      </x:c>
      <x:c r="F948" s="12" t="n">
        <x:f>SUM(B948,D948:E948)</x:f>
        <x:v>149051.275724</x:v>
      </x:c>
      <x:c r="G948" s="12" t="n">
        <x:f>MAX(G947,F948)</x:f>
        <x:v>149795.372</x:v>
      </x:c>
      <x:c r="H948" s="14" t="n">
        <x:f>F948/G948-1</x:f>
        <x:v>-0.0049674183258479054</x:v>
      </x:c>
      <x:c r="I948" s="14" t="n">
        <x:f>F948/F947-1</x:f>
        <x:v>0.00009742563121073466</x:v>
      </x:c>
      <x:c r="J948" s="12" t="n">
        <x:v>0</x:v>
      </x:c>
      <x:c r="K948" s="12" t="n">
        <x:v>0</x:v>
      </x:c>
      <x:c r="L948" s="12" t="n">
        <x:v>0</x:v>
      </x:c>
      <x:c r="M948" s="2" t="str">
        <x:v>持有</x:v>
      </x:c>
    </x:row>
    <x:row r="949" ht="23" customHeight="1">
      <x:c r="A949" s="11" t="d">
        <x:v>2018-10-01T00:00:00.000Z</x:v>
      </x:c>
      <x:c r="B949" s="12" t="n">
        <x:v>7702.652</x:v>
      </x:c>
      <x:c r="C949" s="13" t="n">
        <x:v>484</x:v>
      </x:c>
      <x:c r="D949" s="12" t="n">
        <x:v>141197.32</x:v>
      </x:c>
      <x:c r="E949" s="12" t="n">
        <x:v>640.143724</x:v>
      </x:c>
      <x:c r="F949" s="12" t="n">
        <x:f>SUM(B949,D949:E949)</x:f>
        <x:v>149540.115724</x:v>
      </x:c>
      <x:c r="G949" s="12" t="n">
        <x:f>MAX(G948,F949)</x:f>
        <x:v>149795.372</x:v>
      </x:c>
      <x:c r="H949" s="14" t="n">
        <x:f>F949/G949-1</x:f>
        <x:v>-0.0017040331259365882</x:v>
      </x:c>
      <x:c r="I949" s="14" t="n">
        <x:f>F949/F948-1</x:f>
        <x:v>0.003279676726183789</x:v>
      </x:c>
      <x:c r="J949" s="12" t="n">
        <x:v>0</x:v>
      </x:c>
      <x:c r="K949" s="12" t="n">
        <x:v>0</x:v>
      </x:c>
      <x:c r="L949" s="12" t="n">
        <x:v>0</x:v>
      </x:c>
      <x:c r="M949" s="2" t="str">
        <x:v>持有</x:v>
      </x:c>
    </x:row>
    <x:row r="950" ht="23" customHeight="1">
      <x:c r="A950" s="11" t="d">
        <x:v>2018-10-02T00:00:00.000Z</x:v>
      </x:c>
      <x:c r="B950" s="12" t="n">
        <x:v>7702.652</x:v>
      </x:c>
      <x:c r="C950" s="13" t="n">
        <x:v>484</x:v>
      </x:c>
      <x:c r="D950" s="12" t="n">
        <x:v>141115.04</x:v>
      </x:c>
      <x:c r="E950" s="12" t="n">
        <x:v>640.143724</x:v>
      </x:c>
      <x:c r="F950" s="12" t="n">
        <x:f>SUM(B950,D950:E950)</x:f>
        <x:v>149457.835724</x:v>
      </x:c>
      <x:c r="G950" s="12" t="n">
        <x:f>MAX(G949,F950)</x:f>
        <x:v>149795.372</x:v>
      </x:c>
      <x:c r="H950" s="14" t="n">
        <x:f>F950/G950-1</x:f>
        <x:v>-0.0022533157833474204</x:v>
      </x:c>
      <x:c r="I950" s="14" t="n">
        <x:f>F950/F949-1</x:f>
        <x:v>-0.0005502202509449772</x:v>
      </x:c>
      <x:c r="J950" s="12" t="n">
        <x:v>0</x:v>
      </x:c>
      <x:c r="K950" s="12" t="n">
        <x:v>0</x:v>
      </x:c>
      <x:c r="L950" s="12" t="n">
        <x:v>0</x:v>
      </x:c>
      <x:c r="M950" s="2" t="str">
        <x:v>持有</x:v>
      </x:c>
    </x:row>
    <x:row r="951" ht="23" customHeight="1">
      <x:c r="A951" s="11" t="d">
        <x:v>2018-10-03T00:00:00.000Z</x:v>
      </x:c>
      <x:c r="B951" s="12" t="n">
        <x:v>7702.652</x:v>
      </x:c>
      <x:c r="C951" s="13" t="n">
        <x:v>484</x:v>
      </x:c>
      <x:c r="D951" s="12" t="n">
        <x:v>141192.48</x:v>
      </x:c>
      <x:c r="E951" s="12" t="n">
        <x:v>640.143724</x:v>
      </x:c>
      <x:c r="F951" s="12" t="n">
        <x:f>SUM(B951,D951:E951)</x:f>
        <x:v>149535.275724</x:v>
      </x:c>
      <x:c r="G951" s="12" t="n">
        <x:f>MAX(G950,F951)</x:f>
        <x:v>149795.372</x:v>
      </x:c>
      <x:c r="H951" s="14" t="n">
        <x:f>F951/G951-1</x:f>
        <x:v>-0.0017363438704901535</x:v>
      </x:c>
      <x:c r="I951" s="14" t="n">
        <x:f>F951/F950-1</x:f>
        <x:v>0.0005181394446458487</x:v>
      </x:c>
      <x:c r="J951" s="12" t="n">
        <x:v>0</x:v>
      </x:c>
      <x:c r="K951" s="12" t="n">
        <x:v>0</x:v>
      </x:c>
      <x:c r="L951" s="12" t="n">
        <x:v>0</x:v>
      </x:c>
      <x:c r="M951" s="2" t="str">
        <x:v>持有</x:v>
      </x:c>
    </x:row>
    <x:row r="952" ht="23" customHeight="1">
      <x:c r="A952" s="11" t="d">
        <x:v>2018-10-04T00:00:00.000Z</x:v>
      </x:c>
      <x:c r="B952" s="12" t="n">
        <x:v>7702.652</x:v>
      </x:c>
      <x:c r="C952" s="13" t="n">
        <x:v>484</x:v>
      </x:c>
      <x:c r="D952" s="12" t="n">
        <x:v>140088.96</x:v>
      </x:c>
      <x:c r="E952" s="12" t="n">
        <x:v>640.143724</x:v>
      </x:c>
      <x:c r="F952" s="12" t="n">
        <x:f>SUM(B952,D952:E952)</x:f>
        <x:v>148431.755724</x:v>
      </x:c>
      <x:c r="G952" s="12" t="n">
        <x:f>MAX(G951,F952)</x:f>
        <x:v>149795.372</x:v>
      </x:c>
      <x:c r="H952" s="14" t="n">
        <x:f>F952/G952-1</x:f>
        <x:v>-0.009103193628705819</x:v>
      </x:c>
      <x:c r="I952" s="14" t="n">
        <x:f>F952/F951-1</x:f>
        <x:v>-0.007379663391511748</x:v>
      </x:c>
      <x:c r="J952" s="12" t="n">
        <x:v>0</x:v>
      </x:c>
      <x:c r="K952" s="12" t="n">
        <x:v>0</x:v>
      </x:c>
      <x:c r="L952" s="12" t="n">
        <x:v>0</x:v>
      </x:c>
      <x:c r="M952" s="2" t="str">
        <x:v>持有</x:v>
      </x:c>
    </x:row>
    <x:row r="953" ht="23" customHeight="1">
      <x:c r="A953" s="11" t="d">
        <x:v>2018-10-05T00:00:00.000Z</x:v>
      </x:c>
      <x:c r="B953" s="12" t="n">
        <x:v>7702.652</x:v>
      </x:c>
      <x:c r="C953" s="13" t="n">
        <x:v>484</x:v>
      </x:c>
      <x:c r="D953" s="12" t="n">
        <x:v>139304.88</x:v>
      </x:c>
      <x:c r="E953" s="12" t="n">
        <x:v>640.143724</x:v>
      </x:c>
      <x:c r="F953" s="12" t="n">
        <x:f>SUM(B953,D953:E953)</x:f>
        <x:v>147647.675724</x:v>
      </x:c>
      <x:c r="G953" s="12" t="n">
        <x:f>MAX(G952,F953)</x:f>
        <x:v>149795.372</x:v>
      </x:c>
      <x:c r="H953" s="14" t="n">
        <x:f>F953/G953-1</x:f>
        <x:v>-0.014337534246385175</x:v>
      </x:c>
      <x:c r="I953" s="14" t="n">
        <x:f>F953/F952-1</x:f>
        <x:v>-0.0052824275787584085</x:v>
      </x:c>
      <x:c r="J953" s="12" t="n">
        <x:v>0</x:v>
      </x:c>
      <x:c r="K953" s="12" t="n">
        <x:v>0</x:v>
      </x:c>
      <x:c r="L953" s="12" t="n">
        <x:v>0</x:v>
      </x:c>
      <x:c r="M953" s="2" t="str">
        <x:v>持有</x:v>
      </x:c>
    </x:row>
    <x:row r="954" ht="23" customHeight="1">
      <x:c r="A954" s="11" t="d">
        <x:v>2018-10-08T00:00:00.000Z</x:v>
      </x:c>
      <x:c r="B954" s="12" t="n">
        <x:v>7702.652</x:v>
      </x:c>
      <x:c r="C954" s="13" t="n">
        <x:v>484</x:v>
      </x:c>
      <x:c r="D954" s="12" t="n">
        <x:v>139304.88</x:v>
      </x:c>
      <x:c r="E954" s="12" t="n">
        <x:v>640.143724</x:v>
      </x:c>
      <x:c r="F954" s="12" t="n">
        <x:f>SUM(B954,D954:E954)</x:f>
        <x:v>147647.675724</x:v>
      </x:c>
      <x:c r="G954" s="12" t="n">
        <x:f>MAX(G953,F954)</x:f>
        <x:v>149795.372</x:v>
      </x:c>
      <x:c r="H954" s="14" t="n">
        <x:f>F954/G954-1</x:f>
        <x:v>-0.014337534246385175</x:v>
      </x:c>
      <x:c r="I954" s="14" t="n">
        <x:f>F954/F953-1</x:f>
        <x:v>0</x:v>
      </x:c>
      <x:c r="J954" s="12" t="n">
        <x:v>0</x:v>
      </x:c>
      <x:c r="K954" s="12" t="n">
        <x:v>0</x:v>
      </x:c>
      <x:c r="L954" s="12" t="n">
        <x:v>0</x:v>
      </x:c>
      <x:c r="M954" s="2" t="str">
        <x:v>持有</x:v>
      </x:c>
    </x:row>
    <x:row r="955" ht="23" customHeight="1">
      <x:c r="A955" s="11" t="d">
        <x:v>2018-10-09T00:00:00.000Z</x:v>
      </x:c>
      <x:c r="B955" s="12" t="n">
        <x:v>7702.652</x:v>
      </x:c>
      <x:c r="C955" s="13" t="n">
        <x:v>484</x:v>
      </x:c>
      <x:c r="D955" s="12" t="n">
        <x:v>139101.59999999998</x:v>
      </x:c>
      <x:c r="E955" s="12" t="n">
        <x:v>640.143724</x:v>
      </x:c>
      <x:c r="F955" s="12" t="n">
        <x:f>SUM(B955,D955:E955)</x:f>
        <x:v>147444.39572399997</x:v>
      </x:c>
      <x:c r="G955" s="12" t="n">
        <x:f>MAX(G954,F955)</x:f>
        <x:v>149795.372</x:v>
      </x:c>
      <x:c r="H955" s="14" t="n">
        <x:f>F955/G955-1</x:f>
        <x:v>-0.015694585517635584</x:v>
      </x:c>
      <x:c r="I955" s="14" t="n">
        <x:f>F955/F954-1</x:f>
        <x:v>-0.0013767910602264788</x:v>
      </x:c>
      <x:c r="J955" s="12" t="n">
        <x:v>0</x:v>
      </x:c>
      <x:c r="K955" s="12" t="n">
        <x:v>0</x:v>
      </x:c>
      <x:c r="L955" s="12" t="n">
        <x:v>0</x:v>
      </x:c>
      <x:c r="M955" s="2" t="str">
        <x:v>持有</x:v>
      </x:c>
    </x:row>
    <x:row r="956" ht="23" customHeight="1">
      <x:c r="A956" s="11" t="d">
        <x:v>2018-10-10T00:00:00.000Z</x:v>
      </x:c>
      <x:c r="B956" s="12" t="n">
        <x:v>7702.652</x:v>
      </x:c>
      <x:c r="C956" s="13" t="n">
        <x:v>484</x:v>
      </x:c>
      <x:c r="D956" s="12" t="n">
        <x:v>134697.2</x:v>
      </x:c>
      <x:c r="E956" s="12" t="n">
        <x:v>640.143724</x:v>
      </x:c>
      <x:c r="F956" s="12" t="n">
        <x:f>SUM(B956,D956:E956)</x:f>
        <x:v>143039.995724</x:v>
      </x:c>
      <x:c r="G956" s="12" t="n">
        <x:f>MAX(G955,F956)</x:f>
        <x:v>149795.372</x:v>
      </x:c>
      <x:c r="H956" s="14" t="n">
        <x:f>F956/G956-1</x:f>
        <x:v>-0.04509736306139012</x:v>
      </x:c>
      <x:c r="I956" s="14" t="n">
        <x:f>F956/F955-1</x:f>
        <x:v>-0.029871599923299352</x:v>
      </x:c>
      <x:c r="J956" s="12" t="n">
        <x:v>0</x:v>
      </x:c>
      <x:c r="K956" s="12" t="n">
        <x:v>0</x:v>
      </x:c>
      <x:c r="L956" s="12" t="n">
        <x:v>0</x:v>
      </x:c>
      <x:c r="M956" s="2" t="str">
        <x:v>持有</x:v>
      </x:c>
    </x:row>
    <x:row r="957" ht="23" customHeight="1">
      <x:c r="A957" s="11" t="d">
        <x:v>2018-10-11T00:00:00.000Z</x:v>
      </x:c>
      <x:c r="B957" s="12" t="n">
        <x:v>7702.652</x:v>
      </x:c>
      <x:c r="C957" s="13" t="n">
        <x:v>484</x:v>
      </x:c>
      <x:c r="D957" s="12" t="n">
        <x:v>131730.28</x:v>
      </x:c>
      <x:c r="E957" s="12" t="n">
        <x:v>640.143724</x:v>
      </x:c>
      <x:c r="F957" s="12" t="n">
        <x:f>SUM(B957,D957:E957)</x:f>
        <x:v>140073.075724</x:v>
      </x:c>
      <x:c r="G957" s="12" t="n">
        <x:f>MAX(G956,F957)</x:f>
        <x:v>149795.372</x:v>
      </x:c>
      <x:c r="H957" s="14" t="n">
        <x:f>F957/G957-1</x:f>
        <x:v>-0.06490384947273276</x:v>
      </x:c>
      <x:c r="I957" s="14" t="n">
        <x:f>F957/F956-1</x:f>
        <x:v>-0.020741891000365942</x:v>
      </x:c>
      <x:c r="J957" s="12" t="n">
        <x:v>0</x:v>
      </x:c>
      <x:c r="K957" s="12" t="n">
        <x:v>0</x:v>
      </x:c>
      <x:c r="L957" s="12" t="n">
        <x:v>0</x:v>
      </x:c>
      <x:c r="M957" s="2" t="str">
        <x:v>持有</x:v>
      </x:c>
    </x:row>
    <x:row r="958" ht="23" customHeight="1">
      <x:c r="A958" s="11" t="d">
        <x:v>2018-10-12T00:00:00.000Z</x:v>
      </x:c>
      <x:c r="B958" s="12" t="n">
        <x:v>7702.652</x:v>
      </x:c>
      <x:c r="C958" s="13" t="n">
        <x:v>484</x:v>
      </x:c>
      <x:c r="D958" s="12" t="n">
        <x:v>133559.8</x:v>
      </x:c>
      <x:c r="E958" s="12" t="n">
        <x:v>640.143724</x:v>
      </x:c>
      <x:c r="F958" s="12" t="n">
        <x:f>SUM(B958,D958:E958)</x:f>
        <x:v>141902.59572399998</x:v>
      </x:c>
      <x:c r="G958" s="12" t="n">
        <x:f>MAX(G957,F958)</x:f>
        <x:v>149795.372</x:v>
      </x:c>
      <x:c r="H958" s="14" t="n">
        <x:f>F958/G958-1</x:f>
        <x:v>-0.05269038803148085</x:v>
      </x:c>
      <x:c r="I958" s="14" t="n">
        <x:f>F958/F957-1</x:f>
        <x:v>0.013061182461680865</x:v>
      </x:c>
      <x:c r="J958" s="12" t="n">
        <x:v>0</x:v>
      </x:c>
      <x:c r="K958" s="12" t="n">
        <x:v>0</x:v>
      </x:c>
      <x:c r="L958" s="12" t="n">
        <x:v>0</x:v>
      </x:c>
      <x:c r="M958" s="2" t="str">
        <x:v>持有</x:v>
      </x:c>
    </x:row>
    <x:row r="959" ht="23" customHeight="1">
      <x:c r="A959" s="11" t="d">
        <x:v>2018-10-15T00:00:00.000Z</x:v>
      </x:c>
      <x:c r="B959" s="12" t="n">
        <x:v>7702.652</x:v>
      </x:c>
      <x:c r="C959" s="13" t="n">
        <x:v>484</x:v>
      </x:c>
      <x:c r="D959" s="12" t="n">
        <x:v>132809.59999999998</x:v>
      </x:c>
      <x:c r="E959" s="12" t="n">
        <x:v>640.143724</x:v>
      </x:c>
      <x:c r="F959" s="12" t="n">
        <x:f>SUM(B959,D959:E959)</x:f>
        <x:v>141152.39572399997</x:v>
      </x:c>
      <x:c r="G959" s="12" t="n">
        <x:f>MAX(G958,F959)</x:f>
        <x:v>149795.372</x:v>
      </x:c>
      <x:c r="H959" s="14" t="n">
        <x:f>F959/G959-1</x:f>
        <x:v>-0.05769855343728525</x:v>
      </x:c>
      <x:c r="I959" s="14" t="n">
        <x:f>F959/F958-1</x:f>
        <x:v>-0.005286724997329517</x:v>
      </x:c>
      <x:c r="J959" s="12" t="n">
        <x:v>0</x:v>
      </x:c>
      <x:c r="K959" s="12" t="n">
        <x:v>0</x:v>
      </x:c>
      <x:c r="L959" s="12" t="n">
        <x:v>0</x:v>
      </x:c>
      <x:c r="M959" s="2" t="str">
        <x:v>持有</x:v>
      </x:c>
    </x:row>
    <x:row r="960" ht="23" customHeight="1">
      <x:c r="A960" s="11" t="d">
        <x:v>2018-10-16T00:00:00.000Z</x:v>
      </x:c>
      <x:c r="B960" s="12" t="n">
        <x:v>7702.652</x:v>
      </x:c>
      <x:c r="C960" s="13" t="n">
        <x:v>484</x:v>
      </x:c>
      <x:c r="D960" s="12" t="n">
        <x:v>135713.59999999998</x:v>
      </x:c>
      <x:c r="E960" s="12" t="n">
        <x:v>640.143724</x:v>
      </x:c>
      <x:c r="F960" s="12" t="n">
        <x:f>SUM(B960,D960:E960)</x:f>
        <x:v>144056.39572399997</x:v>
      </x:c>
      <x:c r="G960" s="12" t="n">
        <x:f>MAX(G959,F960)</x:f>
        <x:v>149795.372</x:v>
      </x:c>
      <x:c r="H960" s="14" t="n">
        <x:f>F960/G960-1</x:f>
        <x:v>-0.03831210670513929</x:v>
      </x:c>
      <x:c r="I960" s="14" t="n">
        <x:f>F960/F959-1</x:f>
        <x:v>0.02057350840632055</x:v>
      </x:c>
      <x:c r="J960" s="12" t="n">
        <x:v>0</x:v>
      </x:c>
      <x:c r="K960" s="12" t="n">
        <x:v>0</x:v>
      </x:c>
      <x:c r="L960" s="12" t="n">
        <x:v>0</x:v>
      </x:c>
      <x:c r="M960" s="2" t="str">
        <x:v>持有</x:v>
      </x:c>
    </x:row>
    <x:row r="961" ht="23" customHeight="1">
      <x:c r="A961" s="11" t="d">
        <x:v>2018-10-17T00:00:00.000Z</x:v>
      </x:c>
      <x:c r="B961" s="12" t="n">
        <x:v>7702.652</x:v>
      </x:c>
      <x:c r="C961" s="13" t="n">
        <x:v>484</x:v>
      </x:c>
      <x:c r="D961" s="12" t="n">
        <x:v>135737.8</x:v>
      </x:c>
      <x:c r="E961" s="12" t="n">
        <x:v>640.143724</x:v>
      </x:c>
      <x:c r="F961" s="12" t="n">
        <x:f>SUM(B961,D961:E961)</x:f>
        <x:v>144080.59572399998</x:v>
      </x:c>
      <x:c r="G961" s="12" t="n">
        <x:f>MAX(G960,F961)</x:f>
        <x:v>149795.372</x:v>
      </x:c>
      <x:c r="H961" s="14" t="n">
        <x:f>F961/G961-1</x:f>
        <x:v>-0.038150552982371355</x:v>
      </x:c>
      <x:c r="I961" s="14" t="n">
        <x:f>F961/F960-1</x:f>
        <x:v>0.00016798976455278947</x:v>
      </x:c>
      <x:c r="J961" s="12" t="n">
        <x:v>0</x:v>
      </x:c>
      <x:c r="K961" s="12" t="n">
        <x:v>0</x:v>
      </x:c>
      <x:c r="L961" s="12" t="n">
        <x:v>0</x:v>
      </x:c>
      <x:c r="M961" s="2" t="str">
        <x:v>持有</x:v>
      </x:c>
    </x:row>
    <x:row r="962" ht="23" customHeight="1">
      <x:c r="A962" s="11" t="d">
        <x:v>2018-10-18T00:00:00.000Z</x:v>
      </x:c>
      <x:c r="B962" s="12" t="n">
        <x:v>7702.652</x:v>
      </x:c>
      <x:c r="C962" s="13" t="n">
        <x:v>484</x:v>
      </x:c>
      <x:c r="D962" s="12" t="n">
        <x:v>133777.59999999998</x:v>
      </x:c>
      <x:c r="E962" s="12" t="n">
        <x:v>640.143724</x:v>
      </x:c>
      <x:c r="F962" s="12" t="n">
        <x:f>SUM(B962,D962:E962)</x:f>
        <x:v>142120.39572399997</x:v>
      </x:c>
      <x:c r="G962" s="12" t="n">
        <x:f>MAX(G961,F962)</x:f>
        <x:v>149795.372</x:v>
      </x:c>
      <x:c r="H962" s="14" t="n">
        <x:f>F962/G962-1</x:f>
        <x:v>-0.05123640452656997</x:v>
      </x:c>
      <x:c r="I962" s="14" t="n">
        <x:f>F962/F961-1</x:f>
        <x:v>-0.013604885447274007</x:v>
      </x:c>
      <x:c r="J962" s="12" t="n">
        <x:v>0</x:v>
      </x:c>
      <x:c r="K962" s="12" t="n">
        <x:v>0</x:v>
      </x:c>
      <x:c r="L962" s="12" t="n">
        <x:v>0</x:v>
      </x:c>
      <x:c r="M962" s="2" t="str">
        <x:v>持有</x:v>
      </x:c>
    </x:row>
    <x:row r="963" ht="23" customHeight="1">
      <x:c r="A963" s="11" t="d">
        <x:v>2018-10-19T00:00:00.000Z</x:v>
      </x:c>
      <x:c r="B963" s="12" t="n">
        <x:v>7702.652</x:v>
      </x:c>
      <x:c r="C963" s="13" t="n">
        <x:v>484</x:v>
      </x:c>
      <x:c r="D963" s="12" t="n">
        <x:v>133705</x:v>
      </x:c>
      <x:c r="E963" s="12" t="n">
        <x:v>640.143724</x:v>
      </x:c>
      <x:c r="F963" s="12" t="n">
        <x:f>SUM(B963,D963:E963)</x:f>
        <x:v>142047.795724</x:v>
      </x:c>
      <x:c r="G963" s="12" t="n">
        <x:f>MAX(G962,F963)</x:f>
        <x:v>149795.372</x:v>
      </x:c>
      <x:c r="H963" s="14" t="n">
        <x:f>F963/G963-1</x:f>
        <x:v>-0.05172106569487345</x:v>
      </x:c>
      <x:c r="I963" s="14" t="n">
        <x:f>F963/F962-1</x:f>
        <x:v>-0.0005108344909267037</x:v>
      </x:c>
      <x:c r="J963" s="12" t="n">
        <x:v>0</x:v>
      </x:c>
      <x:c r="K963" s="12" t="n">
        <x:v>0</x:v>
      </x:c>
      <x:c r="L963" s="12" t="n">
        <x:v>0</x:v>
      </x:c>
      <x:c r="M963" s="2" t="str">
        <x:v>持有</x:v>
      </x:c>
    </x:row>
    <x:row r="964" ht="23" customHeight="1">
      <x:c r="A964" s="11" t="d">
        <x:v>2018-10-22T00:00:00.000Z</x:v>
      </x:c>
      <x:c r="B964" s="12" t="n">
        <x:v>7702.652</x:v>
      </x:c>
      <x:c r="C964" s="13" t="n">
        <x:v>484</x:v>
      </x:c>
      <x:c r="D964" s="12" t="n">
        <x:v>133104.84</x:v>
      </x:c>
      <x:c r="E964" s="12" t="n">
        <x:v>640.143724</x:v>
      </x:c>
      <x:c r="F964" s="12" t="n">
        <x:f>SUM(B964,D964:E964)</x:f>
        <x:v>141447.635724</x:v>
      </x:c>
      <x:c r="G964" s="12" t="n">
        <x:f>MAX(G963,F964)</x:f>
        <x:v>149795.372</x:v>
      </x:c>
      <x:c r="H964" s="14" t="n">
        <x:f>F964/G964-1</x:f>
        <x:v>-0.05572759801951699</x:v>
      </x:c>
      <x:c r="I964" s="14" t="n">
        <x:f>F964/F963-1</x:f>
        <x:v>-0.00422505676304985</x:v>
      </x:c>
      <x:c r="J964" s="12" t="n">
        <x:v>0</x:v>
      </x:c>
      <x:c r="K964" s="12" t="n">
        <x:v>0</x:v>
      </x:c>
      <x:c r="L964" s="12" t="n">
        <x:v>0</x:v>
      </x:c>
      <x:c r="M964" s="2" t="str">
        <x:v>持有</x:v>
      </x:c>
    </x:row>
    <x:row r="965" ht="23" customHeight="1">
      <x:c r="A965" s="11" t="d">
        <x:v>2018-10-23T00:00:00.000Z</x:v>
      </x:c>
      <x:c r="B965" s="12" t="n">
        <x:v>7702.652</x:v>
      </x:c>
      <x:c r="C965" s="13" t="n">
        <x:v>484</x:v>
      </x:c>
      <x:c r="D965" s="12" t="n">
        <x:v>132427.24000000002</x:v>
      </x:c>
      <x:c r="E965" s="12" t="n">
        <x:v>640.143724</x:v>
      </x:c>
      <x:c r="F965" s="12" t="n">
        <x:f>SUM(B965,D965:E965)</x:f>
        <x:v>140770.03572400002</x:v>
      </x:c>
      <x:c r="G965" s="12" t="n">
        <x:f>MAX(G964,F965)</x:f>
        <x:v>149795.372</x:v>
      </x:c>
      <x:c r="H965" s="14" t="n">
        <x:f>F965/G965-1</x:f>
        <x:v>-0.060251102257017575</x:v>
      </x:c>
      <x:c r="I965" s="14" t="n">
        <x:f>F965/F964-1</x:f>
        <x:v>-0.004790465365728358</x:v>
      </x:c>
      <x:c r="J965" s="12" t="n">
        <x:v>0</x:v>
      </x:c>
      <x:c r="K965" s="12" t="n">
        <x:v>0</x:v>
      </x:c>
      <x:c r="L965" s="12" t="n">
        <x:v>0</x:v>
      </x:c>
      <x:c r="M965" s="2" t="str">
        <x:v>持有</x:v>
      </x:c>
    </x:row>
    <x:row r="966" ht="23" customHeight="1">
      <x:c r="A966" s="11" t="d">
        <x:v>2018-10-24T00:00:00.000Z</x:v>
      </x:c>
      <x:c r="B966" s="12" t="n">
        <x:v>7702.652</x:v>
      </x:c>
      <x:c r="C966" s="13" t="n">
        <x:v>484</x:v>
      </x:c>
      <x:c r="D966" s="12" t="n">
        <x:v>128414.87999999999</x:v>
      </x:c>
      <x:c r="E966" s="12" t="n">
        <x:v>640.143724</x:v>
      </x:c>
      <x:c r="F966" s="12" t="n">
        <x:f>SUM(B966,D966:E966)</x:f>
        <x:v>136757.67572399997</x:v>
      </x:c>
      <x:c r="G966" s="12" t="n">
        <x:f>MAX(G965,F966)</x:f>
        <x:v>149795.372</x:v>
      </x:c>
      <x:c r="H966" s="14" t="n">
        <x:f>F966/G966-1</x:f>
        <x:v>-0.08703670949193298</x:v>
      </x:c>
      <x:c r="I966" s="14" t="n">
        <x:f>F966/F965-1</x:f>
        <x:v>-0.02850294083796967</x:v>
      </x:c>
      <x:c r="J966" s="12" t="n">
        <x:v>0</x:v>
      </x:c>
      <x:c r="K966" s="12" t="n">
        <x:v>0</x:v>
      </x:c>
      <x:c r="L966" s="12" t="n">
        <x:v>0</x:v>
      </x:c>
      <x:c r="M966" s="2" t="str">
        <x:v>持有</x:v>
      </x:c>
    </x:row>
    <x:row r="967" ht="23" customHeight="1">
      <x:c r="A967" s="11" t="d">
        <x:v>2018-10-25T00:00:00.000Z</x:v>
      </x:c>
      <x:c r="B967" s="12" t="n">
        <x:v>7702.652</x:v>
      </x:c>
      <x:c r="C967" s="13" t="n">
        <x:v>484</x:v>
      </x:c>
      <x:c r="D967" s="12" t="n">
        <x:v>130718.71999999999</x:v>
      </x:c>
      <x:c r="E967" s="12" t="n">
        <x:v>640.143724</x:v>
      </x:c>
      <x:c r="F967" s="12" t="n">
        <x:f>SUM(B967,D967:E967)</x:f>
        <x:v>139061.515724</x:v>
      </x:c>
      <x:c r="G967" s="12" t="n">
        <x:f>MAX(G966,F967)</x:f>
        <x:v>149795.372</x:v>
      </x:c>
      <x:c r="H967" s="14" t="n">
        <x:f>F967/G967-1</x:f>
        <x:v>-0.07165679508443024</x:v>
      </x:c>
      <x:c r="I967" s="14" t="n">
        <x:f>F967/F966-1</x:f>
        <x:v>0.016846147668154066</x:v>
      </x:c>
      <x:c r="J967" s="12" t="n">
        <x:v>0</x:v>
      </x:c>
      <x:c r="K967" s="12" t="n">
        <x:v>0</x:v>
      </x:c>
      <x:c r="L967" s="12" t="n">
        <x:v>0</x:v>
      </x:c>
      <x:c r="M967" s="2" t="str">
        <x:v>持有</x:v>
      </x:c>
    </x:row>
    <x:row r="968" ht="23" customHeight="1">
      <x:c r="A968" s="11" t="d">
        <x:v>2018-10-26T00:00:00.000Z</x:v>
      </x:c>
      <x:c r="B968" s="12" t="n">
        <x:v>7702.652</x:v>
      </x:c>
      <x:c r="C968" s="13" t="n">
        <x:v>484</x:v>
      </x:c>
      <x:c r="D968" s="12" t="n">
        <x:v>128419.71999999999</x:v>
      </x:c>
      <x:c r="E968" s="12" t="n">
        <x:v>640.143724</x:v>
      </x:c>
      <x:c r="F968" s="12" t="n">
        <x:f>SUM(B968,D968:E968)</x:f>
        <x:v>136762.51572399997</x:v>
      </x:c>
      <x:c r="G968" s="12" t="n">
        <x:f>MAX(G967,F968)</x:f>
        <x:v>149795.372</x:v>
      </x:c>
      <x:c r="H968" s="14" t="n">
        <x:f>F968/G968-1</x:f>
        <x:v>-0.08700439874737942</x:v>
      </x:c>
      <x:c r="I968" s="14" t="n">
        <x:f>F968/F967-1</x:f>
        <x:v>-0.016532251845743806</x:v>
      </x:c>
      <x:c r="J968" s="12" t="n">
        <x:v>0</x:v>
      </x:c>
      <x:c r="K968" s="12" t="n">
        <x:v>0</x:v>
      </x:c>
      <x:c r="L968" s="12" t="n">
        <x:v>0</x:v>
      </x:c>
      <x:c r="M968" s="2" t="str">
        <x:v>持有</x:v>
      </x:c>
    </x:row>
    <x:row r="969" ht="23" customHeight="1">
      <x:c r="A969" s="11" t="d">
        <x:v>2018-10-29T00:00:00.000Z</x:v>
      </x:c>
      <x:c r="B969" s="12" t="n">
        <x:v>7702.652</x:v>
      </x:c>
      <x:c r="C969" s="13" t="n">
        <x:v>484</x:v>
      </x:c>
      <x:c r="D969" s="12" t="n">
        <x:v>127708.24</x:v>
      </x:c>
      <x:c r="E969" s="12" t="n">
        <x:v>640.143724</x:v>
      </x:c>
      <x:c r="F969" s="12" t="n">
        <x:f>SUM(B969,D969:E969)</x:f>
        <x:v>136051.035724</x:v>
      </x:c>
      <x:c r="G969" s="12" t="n">
        <x:f>MAX(G968,F969)</x:f>
        <x:v>149795.372</x:v>
      </x:c>
      <x:c r="H969" s="14" t="n">
        <x:f>F969/G969-1</x:f>
        <x:v>-0.09175407819675507</x:v>
      </x:c>
      <x:c r="I969" s="14" t="n">
        <x:f>F969/F968-1</x:f>
        <x:v>-0.005202302664831127</x:v>
      </x:c>
      <x:c r="J969" s="12" t="n">
        <x:v>0</x:v>
      </x:c>
      <x:c r="K969" s="12" t="n">
        <x:v>0</x:v>
      </x:c>
      <x:c r="L969" s="12" t="n">
        <x:v>0</x:v>
      </x:c>
      <x:c r="M969" s="2" t="str">
        <x:v>持有</x:v>
      </x:c>
    </x:row>
    <x:row r="970" ht="23" customHeight="1">
      <x:c r="A970" s="11" t="d">
        <x:v>2018-10-30T00:00:00.000Z</x:v>
      </x:c>
      <x:c r="B970" s="12" t="n">
        <x:v>7702.652</x:v>
      </x:c>
      <x:c r="C970" s="13" t="n">
        <x:v>484</x:v>
      </x:c>
      <x:c r="D970" s="12" t="n">
        <x:v>129600.68</x:v>
      </x:c>
      <x:c r="E970" s="12" t="n">
        <x:v>640.143724</x:v>
      </x:c>
      <x:c r="F970" s="12" t="n">
        <x:f>SUM(B970,D970:E970)</x:f>
        <x:v>137943.475724</x:v>
      </x:c>
      <x:c r="G970" s="12" t="n">
        <x:f>MAX(G969,F970)</x:f>
        <x:v>149795.372</x:v>
      </x:c>
      <x:c r="H970" s="14" t="n">
        <x:f>F970/G970-1</x:f>
        <x:v>-0.0791205770763066</x:v>
      </x:c>
      <x:c r="I970" s="14" t="n">
        <x:f>F970/F969-1</x:f>
        <x:v>0.013909780178660958</x:v>
      </x:c>
      <x:c r="J970" s="12" t="n">
        <x:v>0</x:v>
      </x:c>
      <x:c r="K970" s="12" t="n">
        <x:v>0</x:v>
      </x:c>
      <x:c r="L970" s="12" t="n">
        <x:v>0</x:v>
      </x:c>
      <x:c r="M970" s="2" t="str">
        <x:v>持有</x:v>
      </x:c>
    </x:row>
    <x:row r="971" ht="23" customHeight="1">
      <x:c r="A971" s="11" t="d">
        <x:v>2018-10-31T00:00:00.000Z</x:v>
      </x:c>
      <x:c r="B971" s="12" t="n">
        <x:v>8342.795724</x:v>
      </x:c>
      <x:c r="C971" s="13" t="n">
        <x:v>484</x:v>
      </x:c>
      <x:c r="D971" s="12" t="n">
        <x:v>130984.92</x:v>
      </x:c>
      <x:c r="E971" s="12" t="n">
        <x:v>0</x:v>
      </x:c>
      <x:c r="F971" s="12" t="n">
        <x:f>SUM(B971,D971:E971)</x:f>
        <x:v>139327.715724</x:v>
      </x:c>
      <x:c r="G971" s="12" t="n">
        <x:f>MAX(G970,F971)</x:f>
        <x:v>149795.372</x:v>
      </x:c>
      <x:c r="H971" s="14" t="n">
        <x:f>F971/G971-1</x:f>
        <x:v>-0.06987970413398348</x:v>
      </x:c>
      <x:c r="I971" s="14" t="n">
        <x:f>F971/F970-1</x:f>
        <x:v>0.01003483486793999</x:v>
      </x:c>
      <x:c r="J971" s="12" t="n">
        <x:v>0</x:v>
      </x:c>
      <x:c r="K971" s="12" t="n">
        <x:v>640.143724</x:v>
      </x:c>
      <x:c r="L971" s="12" t="n">
        <x:v>0</x:v>
      </x:c>
      <x:c r="M971" s="2" t="str">
        <x:v>持有</x:v>
      </x:c>
    </x:row>
    <x:row r="972" ht="23" customHeight="1">
      <x:c r="A972" s="11" t="d">
        <x:v>2018-11-01T00:00:00.000Z</x:v>
      </x:c>
      <x:c r="B972" s="12" t="n">
        <x:v>8342.795724</x:v>
      </x:c>
      <x:c r="C972" s="13" t="n">
        <x:v>484</x:v>
      </x:c>
      <x:c r="D972" s="12" t="n">
        <x:v>132378.84</x:v>
      </x:c>
      <x:c r="E972" s="12" t="n">
        <x:v>0</x:v>
      </x:c>
      <x:c r="F972" s="12" t="n">
        <x:f>SUM(B972,D972:E972)</x:f>
        <x:v>140721.635724</x:v>
      </x:c>
      <x:c r="G972" s="12" t="n">
        <x:f>MAX(G971,F972)</x:f>
        <x:v>149795.372</x:v>
      </x:c>
      <x:c r="H972" s="14" t="n">
        <x:f>F972/G972-1</x:f>
        <x:v>-0.06057420970255345</x:v>
      </x:c>
      <x:c r="I972" s="14" t="n">
        <x:f>F972/F971-1</x:f>
        <x:v>0.010004613890040703</x:v>
      </x:c>
      <x:c r="J972" s="12" t="n">
        <x:v>0</x:v>
      </x:c>
      <x:c r="K972" s="12" t="n">
        <x:v>0</x:v>
      </x:c>
      <x:c r="L972" s="12" t="n">
        <x:v>0</x:v>
      </x:c>
      <x:c r="M972" s="2" t="str">
        <x:v>持有</x:v>
      </x:c>
    </x:row>
    <x:row r="973" ht="23" customHeight="1">
      <x:c r="A973" s="11" t="d">
        <x:v>2018-11-02T00:00:00.000Z</x:v>
      </x:c>
      <x:c r="B973" s="12" t="n">
        <x:v>8342.795724</x:v>
      </x:c>
      <x:c r="C973" s="13" t="n">
        <x:v>484</x:v>
      </x:c>
      <x:c r="D973" s="12" t="n">
        <x:v>131594.75999999998</x:v>
      </x:c>
      <x:c r="E973" s="12" t="n">
        <x:v>0</x:v>
      </x:c>
      <x:c r="F973" s="12" t="n">
        <x:f>SUM(B973,D973:E973)</x:f>
        <x:v>139937.55572399998</x:v>
      </x:c>
      <x:c r="G973" s="12" t="n">
        <x:f>MAX(G972,F973)</x:f>
        <x:v>149795.372</x:v>
      </x:c>
      <x:c r="H973" s="14" t="n">
        <x:f>F973/G973-1</x:f>
        <x:v>-0.06580855032023303</x:v>
      </x:c>
      <x:c r="I973" s="14" t="n">
        <x:f>F973/F972-1</x:f>
        <x:v>-0.00557185109429692</x:v>
      </x:c>
      <x:c r="J973" s="12" t="n">
        <x:v>0</x:v>
      </x:c>
      <x:c r="K973" s="12" t="n">
        <x:v>0</x:v>
      </x:c>
      <x:c r="L973" s="12" t="n">
        <x:v>0</x:v>
      </x:c>
      <x:c r="M973" s="2" t="str">
        <x:v>持有</x:v>
      </x:c>
    </x:row>
    <x:row r="974" ht="23" customHeight="1">
      <x:c r="A974" s="11" t="d">
        <x:v>2018-11-05T00:00:00.000Z</x:v>
      </x:c>
      <x:c r="B974" s="12" t="n">
        <x:v>8342.795724</x:v>
      </x:c>
      <x:c r="C974" s="13" t="n">
        <x:v>484</x:v>
      </x:c>
      <x:c r="D974" s="12" t="n">
        <x:v>132320.75999999998</x:v>
      </x:c>
      <x:c r="E974" s="12" t="n">
        <x:v>0</x:v>
      </x:c>
      <x:c r="F974" s="12" t="n">
        <x:f>SUM(B974,D974:E974)</x:f>
        <x:v>140663.55572399998</x:v>
      </x:c>
      <x:c r="G974" s="12" t="n">
        <x:f>MAX(G973,F974)</x:f>
        <x:v>149795.372</x:v>
      </x:c>
      <x:c r="H974" s="14" t="n">
        <x:f>F974/G974-1</x:f>
        <x:v>-0.06096193863719657</x:v>
      </x:c>
      <x:c r="I974" s="14" t="n">
        <x:f>F974/F973-1</x:f>
        <x:v>0.005188028304795367</x:v>
      </x:c>
      <x:c r="J974" s="12" t="n">
        <x:v>0</x:v>
      </x:c>
      <x:c r="K974" s="12" t="n">
        <x:v>0</x:v>
      </x:c>
      <x:c r="L974" s="12" t="n">
        <x:v>0</x:v>
      </x:c>
      <x:c r="M974" s="2" t="str">
        <x:v>持有</x:v>
      </x:c>
    </x:row>
    <x:row r="975" ht="23" customHeight="1">
      <x:c r="A975" s="11" t="d">
        <x:v>2018-11-06T00:00:00.000Z</x:v>
      </x:c>
      <x:c r="B975" s="12" t="n">
        <x:v>8342.795724</x:v>
      </x:c>
      <x:c r="C975" s="13" t="n">
        <x:v>484</x:v>
      </x:c>
      <x:c r="D975" s="12" t="n">
        <x:v>133158.08000000002</x:v>
      </x:c>
      <x:c r="E975" s="12" t="n">
        <x:v>0</x:v>
      </x:c>
      <x:c r="F975" s="12" t="n">
        <x:f>SUM(B975,D975:E975)</x:f>
        <x:v>141500.875724</x:v>
      </x:c>
      <x:c r="G975" s="12" t="n">
        <x:f>MAX(G974,F975)</x:f>
        <x:v>149795.372</x:v>
      </x:c>
      <x:c r="H975" s="14" t="n">
        <x:f>F975/G975-1</x:f>
        <x:v>-0.05537217982942755</x:v>
      </x:c>
      <x:c r="I975" s="14" t="n">
        <x:f>F975/F974-1</x:f>
        <x:v>0.005952643495255927</x:v>
      </x:c>
      <x:c r="J975" s="12" t="n">
        <x:v>0</x:v>
      </x:c>
      <x:c r="K975" s="12" t="n">
        <x:v>0</x:v>
      </x:c>
      <x:c r="L975" s="12" t="n">
        <x:v>0</x:v>
      </x:c>
      <x:c r="M975" s="2" t="str">
        <x:v>持有</x:v>
      </x:c>
    </x:row>
    <x:row r="976" ht="23" customHeight="1">
      <x:c r="A976" s="11" t="d">
        <x:v>2018-11-07T00:00:00.000Z</x:v>
      </x:c>
      <x:c r="B976" s="12" t="n">
        <x:v>8342.795724</x:v>
      </x:c>
      <x:c r="C976" s="13" t="n">
        <x:v>484</x:v>
      </x:c>
      <x:c r="D976" s="12" t="n">
        <x:v>136008.84</x:v>
      </x:c>
      <x:c r="E976" s="12" t="n">
        <x:v>0</x:v>
      </x:c>
      <x:c r="F976" s="12" t="n">
        <x:f>SUM(B976,D976:E976)</x:f>
        <x:v>144351.635724</x:v>
      </x:c>
      <x:c r="G976" s="12" t="n">
        <x:f>MAX(G975,F976)</x:f>
        <x:v>149795.372</x:v>
      </x:c>
      <x:c r="H976" s="14" t="n">
        <x:f>F976/G976-1</x:f>
        <x:v>-0.03634115128737092</x:v>
      </x:c>
      <x:c r="I976" s="14" t="n">
        <x:f>F976/F975-1</x:f>
        <x:v>0.020146589096454948</x:v>
      </x:c>
      <x:c r="J976" s="12" t="n">
        <x:v>0</x:v>
      </x:c>
      <x:c r="K976" s="12" t="n">
        <x:v>0</x:v>
      </x:c>
      <x:c r="L976" s="12" t="n">
        <x:v>0</x:v>
      </x:c>
      <x:c r="M976" s="2" t="str">
        <x:v>持有</x:v>
      </x:c>
    </x:row>
    <x:row r="977" ht="23" customHeight="1">
      <x:c r="A977" s="11" t="d">
        <x:v>2018-11-08T00:00:00.000Z</x:v>
      </x:c>
      <x:c r="B977" s="12" t="n">
        <x:v>8342.795724</x:v>
      </x:c>
      <x:c r="C977" s="13" t="n">
        <x:v>484</x:v>
      </x:c>
      <x:c r="D977" s="12" t="n">
        <x:v>135762</x:v>
      </x:c>
      <x:c r="E977" s="12" t="n">
        <x:v>0</x:v>
      </x:c>
      <x:c r="F977" s="12" t="n">
        <x:f>SUM(B977,D977:E977)</x:f>
        <x:v>144104.795724</x:v>
      </x:c>
      <x:c r="G977" s="12" t="n">
        <x:f>MAX(G976,F977)</x:f>
        <x:v>149795.372</x:v>
      </x:c>
      <x:c r="H977" s="14" t="n">
        <x:f>F977/G977-1</x:f>
        <x:v>-0.03798899925960331</x:v>
      </x:c>
      <x:c r="I977" s="14" t="n">
        <x:f>F977/F976-1</x:f>
        <x:v>-0.0017099910143862918</x:v>
      </x:c>
      <x:c r="J977" s="12" t="n">
        <x:v>0</x:v>
      </x:c>
      <x:c r="K977" s="12" t="n">
        <x:v>0</x:v>
      </x:c>
      <x:c r="L977" s="12" t="n">
        <x:v>0</x:v>
      </x:c>
      <x:c r="M977" s="2" t="str">
        <x:v>持有</x:v>
      </x:c>
    </x:row>
    <x:row r="978" ht="23" customHeight="1">
      <x:c r="A978" s="11" t="d">
        <x:v>2018-11-09T00:00:00.000Z</x:v>
      </x:c>
      <x:c r="B978" s="12" t="n">
        <x:v>8342.795724</x:v>
      </x:c>
      <x:c r="C978" s="13" t="n">
        <x:v>484</x:v>
      </x:c>
      <x:c r="D978" s="12" t="n">
        <x:v>134435.84</x:v>
      </x:c>
      <x:c r="E978" s="12" t="n">
        <x:v>0</x:v>
      </x:c>
      <x:c r="F978" s="12" t="n">
        <x:f>SUM(B978,D978:E978)</x:f>
        <x:v>142778.635724</x:v>
      </x:c>
      <x:c r="G978" s="12" t="n">
        <x:f>MAX(G977,F978)</x:f>
        <x:v>149795.372</x:v>
      </x:c>
      <x:c r="H978" s="14" t="n">
        <x:f>F978/G978-1</x:f>
        <x:v>-0.04684214326728342</x:v>
      </x:c>
      <x:c r="I978" s="14" t="n">
        <x:f>F978/F977-1</x:f>
        <x:v>-0.009202747162835312</x:v>
      </x:c>
      <x:c r="J978" s="12" t="n">
        <x:v>0</x:v>
      </x:c>
      <x:c r="K978" s="12" t="n">
        <x:v>0</x:v>
      </x:c>
      <x:c r="L978" s="12" t="n">
        <x:v>0</x:v>
      </x:c>
      <x:c r="M978" s="2" t="str">
        <x:v>持有</x:v>
      </x:c>
    </x:row>
    <x:row r="979" ht="23" customHeight="1">
      <x:c r="A979" s="11" t="d">
        <x:v>2018-11-12T00:00:00.000Z</x:v>
      </x:c>
      <x:c r="B979" s="12" t="n">
        <x:v>8342.795724</x:v>
      </x:c>
      <x:c r="C979" s="13" t="n">
        <x:v>484</x:v>
      </x:c>
      <x:c r="D979" s="12" t="n">
        <x:v>131923.88</x:v>
      </x:c>
      <x:c r="E979" s="12" t="n">
        <x:v>0</x:v>
      </x:c>
      <x:c r="F979" s="12" t="n">
        <x:f>SUM(B979,D979:E979)</x:f>
        <x:v>140266.675724</x:v>
      </x:c>
      <x:c r="G979" s="12" t="n">
        <x:f>MAX(G978,F979)</x:f>
        <x:v>149795.372</x:v>
      </x:c>
      <x:c r="H979" s="14" t="n">
        <x:f>F979/G979-1</x:f>
        <x:v>-0.0636114196905897</x:v>
      </x:c>
      <x:c r="I979" s="14" t="n">
        <x:f>F979/F978-1</x:f>
        <x:v>-0.017593388445423797</x:v>
      </x:c>
      <x:c r="J979" s="12" t="n">
        <x:v>0</x:v>
      </x:c>
      <x:c r="K979" s="12" t="n">
        <x:v>0</x:v>
      </x:c>
      <x:c r="L979" s="12" t="n">
        <x:v>0</x:v>
      </x:c>
      <x:c r="M979" s="2" t="str">
        <x:v>持有</x:v>
      </x:c>
    </x:row>
    <x:row r="980" ht="23" customHeight="1">
      <x:c r="A980" s="11" t="d">
        <x:v>2018-11-13T00:00:00.000Z</x:v>
      </x:c>
      <x:c r="B980" s="12" t="n">
        <x:v>8342.795724</x:v>
      </x:c>
      <x:c r="C980" s="13" t="n">
        <x:v>484</x:v>
      </x:c>
      <x:c r="D980" s="12" t="n">
        <x:v>131677.04</x:v>
      </x:c>
      <x:c r="E980" s="12" t="n">
        <x:v>0</x:v>
      </x:c>
      <x:c r="F980" s="12" t="n">
        <x:f>SUM(B980,D980:E980)</x:f>
        <x:v>140019.835724</x:v>
      </x:c>
      <x:c r="G980" s="12" t="n">
        <x:f>MAX(G979,F980)</x:f>
        <x:v>149795.372</x:v>
      </x:c>
      <x:c r="H980" s="14" t="n">
        <x:f>F980/G980-1</x:f>
        <x:v>-0.06525926766282208</x:v>
      </x:c>
      <x:c r="I980" s="14" t="n">
        <x:f>F980/F979-1</x:f>
        <x:v>-0.0017597907608910557</x:v>
      </x:c>
      <x:c r="J980" s="12" t="n">
        <x:v>0</x:v>
      </x:c>
      <x:c r="K980" s="12" t="n">
        <x:v>0</x:v>
      </x:c>
      <x:c r="L980" s="12" t="n">
        <x:v>0</x:v>
      </x:c>
      <x:c r="M980" s="2" t="str">
        <x:v>持有</x:v>
      </x:c>
    </x:row>
    <x:row r="981" ht="23" customHeight="1">
      <x:c r="A981" s="11" t="d">
        <x:v>2018-11-14T00:00:00.000Z</x:v>
      </x:c>
      <x:c r="B981" s="12" t="n">
        <x:v>8342.795724</x:v>
      </x:c>
      <x:c r="C981" s="13" t="n">
        <x:v>484</x:v>
      </x:c>
      <x:c r="D981" s="12" t="n">
        <x:v>130776.79999999999</x:v>
      </x:c>
      <x:c r="E981" s="12" t="n">
        <x:v>0</x:v>
      </x:c>
      <x:c r="F981" s="12" t="n">
        <x:f>SUM(B981,D981:E981)</x:f>
        <x:v>139119.59572399998</x:v>
      </x:c>
      <x:c r="G981" s="12" t="n">
        <x:f>MAX(G980,F981)</x:f>
        <x:v>149795.372</x:v>
      </x:c>
      <x:c r="H981" s="14" t="n">
        <x:f>F981/G981-1</x:f>
        <x:v>-0.07126906614978745</x:v>
      </x:c>
      <x:c r="I981" s="14" t="n">
        <x:f>F981/F980-1</x:f>
        <x:v>-0.006429374776403263</x:v>
      </x:c>
      <x:c r="J981" s="12" t="n">
        <x:v>0</x:v>
      </x:c>
      <x:c r="K981" s="12" t="n">
        <x:v>0</x:v>
      </x:c>
      <x:c r="L981" s="12" t="n">
        <x:v>0</x:v>
      </x:c>
      <x:c r="M981" s="2" t="str">
        <x:v>持有</x:v>
      </x:c>
    </x:row>
    <x:row r="982" ht="23" customHeight="1">
      <x:c r="A982" s="11" t="d">
        <x:v>2018-11-15T00:00:00.000Z</x:v>
      </x:c>
      <x:c r="B982" s="12" t="n">
        <x:v>8342.795724</x:v>
      </x:c>
      <x:c r="C982" s="13" t="n">
        <x:v>484</x:v>
      </x:c>
      <x:c r="D982" s="12" t="n">
        <x:v>132141.68</x:v>
      </x:c>
      <x:c r="E982" s="12" t="n">
        <x:v>0</x:v>
      </x:c>
      <x:c r="F982" s="12" t="n">
        <x:f>SUM(B982,D982:E982)</x:f>
        <x:v>140484.475724</x:v>
      </x:c>
      <x:c r="G982" s="12" t="n">
        <x:f>MAX(G981,F982)</x:f>
        <x:v>149795.372</x:v>
      </x:c>
      <x:c r="H982" s="14" t="n">
        <x:f>F982/G982-1</x:f>
        <x:v>-0.062157436185678816</x:v>
      </x:c>
      <x:c r="I982" s="14" t="n">
        <x:f>F982/F981-1</x:f>
        <x:v>0.009810839320635978</x:v>
      </x:c>
      <x:c r="J982" s="12" t="n">
        <x:v>0</x:v>
      </x:c>
      <x:c r="K982" s="12" t="n">
        <x:v>0</x:v>
      </x:c>
      <x:c r="L982" s="12" t="n">
        <x:v>0</x:v>
      </x:c>
      <x:c r="M982" s="2" t="str">
        <x:v>持有</x:v>
      </x:c>
    </x:row>
    <x:row r="983" ht="23" customHeight="1">
      <x:c r="A983" s="11" t="d">
        <x:v>2018-11-16T00:00:00.000Z</x:v>
      </x:c>
      <x:c r="B983" s="12" t="n">
        <x:v>8342.795724</x:v>
      </x:c>
      <x:c r="C983" s="13" t="n">
        <x:v>484</x:v>
      </x:c>
      <x:c r="D983" s="12" t="n">
        <x:v>132485.32</x:v>
      </x:c>
      <x:c r="E983" s="12" t="n">
        <x:v>0</x:v>
      </x:c>
      <x:c r="F983" s="12" t="n">
        <x:f>SUM(B983,D983:E983)</x:f>
        <x:v>140828.115724</x:v>
      </x:c>
      <x:c r="G983" s="12" t="n">
        <x:f>MAX(G982,F983)</x:f>
        <x:v>149795.372</x:v>
      </x:c>
      <x:c r="H983" s="14" t="n">
        <x:f>F983/G983-1</x:f>
        <x:v>-0.05986337332237479</x:v>
      </x:c>
      <x:c r="I983" s="14" t="n">
        <x:f>F983/F982-1</x:f>
        <x:v>0.0024461065767518164</x:v>
      </x:c>
      <x:c r="J983" s="12" t="n">
        <x:v>0</x:v>
      </x:c>
      <x:c r="K983" s="12" t="n">
        <x:v>0</x:v>
      </x:c>
      <x:c r="L983" s="12" t="n">
        <x:v>0</x:v>
      </x:c>
      <x:c r="M983" s="2" t="str">
        <x:v>持有</x:v>
      </x:c>
    </x:row>
    <x:row r="984" ht="23" customHeight="1">
      <x:c r="A984" s="11" t="d">
        <x:v>2018-11-19T00:00:00.000Z</x:v>
      </x:c>
      <x:c r="B984" s="12" t="n">
        <x:v>8342.795724</x:v>
      </x:c>
      <x:c r="C984" s="13" t="n">
        <x:v>484</x:v>
      </x:c>
      <x:c r="D984" s="12" t="n">
        <x:v>130244.40000000001</x:v>
      </x:c>
      <x:c r="E984" s="12" t="n">
        <x:v>0</x:v>
      </x:c>
      <x:c r="F984" s="12" t="n">
        <x:f>SUM(B984,D984:E984)</x:f>
        <x:v>138587.19572400002</x:v>
      </x:c>
      <x:c r="G984" s="12" t="n">
        <x:f>MAX(G983,F984)</x:f>
        <x:v>149795.372</x:v>
      </x:c>
      <x:c r="H984" s="14" t="n">
        <x:f>F984/G984-1</x:f>
        <x:v>-0.07482324805068064</x:v>
      </x:c>
      <x:c r="I984" s="14" t="n">
        <x:f>F984/F983-1</x:f>
        <x:v>-0.015912447514328854</x:v>
      </x:c>
      <x:c r="J984" s="12" t="n">
        <x:v>0</x:v>
      </x:c>
      <x:c r="K984" s="12" t="n">
        <x:v>0</x:v>
      </x:c>
      <x:c r="L984" s="12" t="n">
        <x:v>0</x:v>
      </x:c>
      <x:c r="M984" s="2" t="str">
        <x:v>持有</x:v>
      </x:c>
    </x:row>
    <x:row r="985" ht="23" customHeight="1">
      <x:c r="A985" s="11" t="d">
        <x:v>2018-11-20T00:00:00.000Z</x:v>
      </x:c>
      <x:c r="B985" s="12" t="n">
        <x:v>8342.795724</x:v>
      </x:c>
      <x:c r="C985" s="13" t="n">
        <x:v>484</x:v>
      </x:c>
      <x:c r="D985" s="12" t="n">
        <x:v>127834.08</x:v>
      </x:c>
      <x:c r="E985" s="12" t="n">
        <x:v>0</x:v>
      </x:c>
      <x:c r="F985" s="12" t="n">
        <x:f>SUM(B985,D985:E985)</x:f>
        <x:v>136176.875724</x:v>
      </x:c>
      <x:c r="G985" s="12" t="n">
        <x:f>MAX(G984,F985)</x:f>
        <x:v>149795.372</x:v>
      </x:c>
      <x:c r="H985" s="14" t="n">
        <x:f>F985/G985-1</x:f>
        <x:v>-0.09091399883836193</x:v>
      </x:c>
      <x:c r="I985" s="14" t="n">
        <x:f>F985/F984-1</x:f>
        <x:v>-0.017392082922294105</x:v>
      </x:c>
      <x:c r="J985" s="12" t="n">
        <x:v>0</x:v>
      </x:c>
      <x:c r="K985" s="12" t="n">
        <x:v>0</x:v>
      </x:c>
      <x:c r="L985" s="12" t="n">
        <x:v>0</x:v>
      </x:c>
      <x:c r="M985" s="2" t="str">
        <x:v>持有</x:v>
      </x:c>
    </x:row>
    <x:row r="986" ht="23" customHeight="1">
      <x:c r="A986" s="11" t="d">
        <x:v>2018-11-21T00:00:00.000Z</x:v>
      </x:c>
      <x:c r="B986" s="12" t="n">
        <x:v>8342.795724</x:v>
      </x:c>
      <x:c r="C986" s="13" t="n">
        <x:v>484</x:v>
      </x:c>
      <x:c r="D986" s="12" t="n">
        <x:v>128269.68</x:v>
      </x:c>
      <x:c r="E986" s="12" t="n">
        <x:v>0</x:v>
      </x:c>
      <x:c r="F986" s="12" t="n">
        <x:f>SUM(B986,D986:E986)</x:f>
        <x:v>136612.475724</x:v>
      </x:c>
      <x:c r="G986" s="12" t="n">
        <x:f>MAX(G985,F986)</x:f>
        <x:v>149795.372</x:v>
      </x:c>
      <x:c r="H986" s="14" t="n">
        <x:f>F986/G986-1</x:f>
        <x:v>-0.08800603182854017</x:v>
      </x:c>
      <x:c r="I986" s="14" t="n">
        <x:f>F986/F985-1</x:f>
        <x:v>0.0031987809801337086</x:v>
      </x:c>
      <x:c r="J986" s="12" t="n">
        <x:v>0</x:v>
      </x:c>
      <x:c r="K986" s="12" t="n">
        <x:v>0</x:v>
      </x:c>
      <x:c r="L986" s="12" t="n">
        <x:v>0</x:v>
      </x:c>
      <x:c r="M986" s="2" t="str">
        <x:v>持有</x:v>
      </x:c>
    </x:row>
    <x:row r="987" ht="23" customHeight="1">
      <x:c r="A987" s="11" t="d">
        <x:v>2018-11-23T00:00:00.000Z</x:v>
      </x:c>
      <x:c r="B987" s="12" t="n">
        <x:v>8342.795724</x:v>
      </x:c>
      <x:c r="C987" s="13" t="n">
        <x:v>484</x:v>
      </x:c>
      <x:c r="D987" s="12" t="n">
        <x:v>127413</x:v>
      </x:c>
      <x:c r="E987" s="12" t="n">
        <x:v>0</x:v>
      </x:c>
      <x:c r="F987" s="12" t="n">
        <x:f>SUM(B987,D987:E987)</x:f>
        <x:v>135755.795724</x:v>
      </x:c>
      <x:c r="G987" s="12" t="n">
        <x:f>MAX(G986,F987)</x:f>
        <x:v>149795.372</x:v>
      </x:c>
      <x:c r="H987" s="14" t="n">
        <x:f>F987/G987-1</x:f>
        <x:v>-0.09372503361452322</x:v>
      </x:c>
      <x:c r="I987" s="14" t="n">
        <x:f>F987/F986-1</x:f>
        <x:v>-0.00627087676626803</x:v>
      </x:c>
      <x:c r="J987" s="12" t="n">
        <x:v>0</x:v>
      </x:c>
      <x:c r="K987" s="12" t="n">
        <x:v>0</x:v>
      </x:c>
      <x:c r="L987" s="12" t="n">
        <x:v>0</x:v>
      </x:c>
      <x:c r="M987" s="2" t="str">
        <x:v>持有</x:v>
      </x:c>
    </x:row>
    <x:row r="988" ht="23" customHeight="1">
      <x:c r="A988" s="11" t="d">
        <x:v>2018-11-26T00:00:00.000Z</x:v>
      </x:c>
      <x:c r="B988" s="12" t="n">
        <x:v>8342.795724</x:v>
      </x:c>
      <x:c r="C988" s="13" t="n">
        <x:v>484</x:v>
      </x:c>
      <x:c r="D988" s="12" t="n">
        <x:v>129470</x:v>
      </x:c>
      <x:c r="E988" s="12" t="n">
        <x:v>0</x:v>
      </x:c>
      <x:c r="F988" s="12" t="n">
        <x:f>SUM(B988,D988:E988)</x:f>
        <x:v>137812.795724</x:v>
      </x:c>
      <x:c r="G988" s="12" t="n">
        <x:f>MAX(G987,F988)</x:f>
        <x:v>149795.372</x:v>
      </x:c>
      <x:c r="H988" s="14" t="n">
        <x:f>F988/G988-1</x:f>
        <x:v>-0.07999296717925308</x:v>
      </x:c>
      <x:c r="I988" s="14" t="n">
        <x:f>F988/F987-1</x:f>
        <x:v>0.015152207602112222</x:v>
      </x:c>
      <x:c r="J988" s="12" t="n">
        <x:v>0</x:v>
      </x:c>
      <x:c r="K988" s="12" t="n">
        <x:v>0</x:v>
      </x:c>
      <x:c r="L988" s="12" t="n">
        <x:v>0</x:v>
      </x:c>
      <x:c r="M988" s="2" t="str">
        <x:v>持有</x:v>
      </x:c>
    </x:row>
    <x:row r="989" ht="23" customHeight="1">
      <x:c r="A989" s="11" t="d">
        <x:v>2018-11-27T00:00:00.000Z</x:v>
      </x:c>
      <x:c r="B989" s="12" t="n">
        <x:v>8342.795724</x:v>
      </x:c>
      <x:c r="C989" s="13" t="n">
        <x:v>484</x:v>
      </x:c>
      <x:c r="D989" s="12" t="n">
        <x:v>129905.59999999999</x:v>
      </x:c>
      <x:c r="E989" s="12" t="n">
        <x:v>0</x:v>
      </x:c>
      <x:c r="F989" s="12" t="n">
        <x:f>SUM(B989,D989:E989)</x:f>
        <x:v>138248.395724</x:v>
      </x:c>
      <x:c r="G989" s="12" t="n">
        <x:f>MAX(G988,F989)</x:f>
        <x:v>149795.372</x:v>
      </x:c>
      <x:c r="H989" s="14" t="n">
        <x:f>F989/G989-1</x:f>
        <x:v>-0.0770850001694311</x:v>
      </x:c>
      <x:c r="I989" s="14" t="n">
        <x:f>F989/F988-1</x:f>
        <x:v>0.003160809543929277</x:v>
      </x:c>
      <x:c r="J989" s="12" t="n">
        <x:v>0</x:v>
      </x:c>
      <x:c r="K989" s="12" t="n">
        <x:v>0</x:v>
      </x:c>
      <x:c r="L989" s="12" t="n">
        <x:v>0</x:v>
      </x:c>
      <x:c r="M989" s="2" t="str">
        <x:v>持有</x:v>
      </x:c>
    </x:row>
    <x:row r="990" ht="23" customHeight="1">
      <x:c r="A990" s="11" t="d">
        <x:v>2018-11-28T00:00:00.000Z</x:v>
      </x:c>
      <x:c r="B990" s="12" t="n">
        <x:v>8342.795724</x:v>
      </x:c>
      <x:c r="C990" s="13" t="n">
        <x:v>484</x:v>
      </x:c>
      <x:c r="D990" s="12" t="n">
        <x:v>132896.72</x:v>
      </x:c>
      <x:c r="E990" s="12" t="n">
        <x:v>0</x:v>
      </x:c>
      <x:c r="F990" s="12" t="n">
        <x:f>SUM(B990,D990:E990)</x:f>
        <x:v>141239.515724</x:v>
      </x:c>
      <x:c r="G990" s="12" t="n">
        <x:f>MAX(G989,F990)</x:f>
        <x:v>149795.372</x:v>
      </x:c>
      <x:c r="H990" s="14" t="n">
        <x:f>F990/G990-1</x:f>
        <x:v>-0.05711696003532074</x:v>
      </x:c>
      <x:c r="I990" s="14" t="n">
        <x:f>F990/F989-1</x:f>
        <x:v>0.021635838769308302</x:v>
      </x:c>
      <x:c r="J990" s="12" t="n">
        <x:v>0</x:v>
      </x:c>
      <x:c r="K990" s="12" t="n">
        <x:v>0</x:v>
      </x:c>
      <x:c r="L990" s="12" t="n">
        <x:v>0</x:v>
      </x:c>
      <x:c r="M990" s="2" t="str">
        <x:v>持有</x:v>
      </x:c>
    </x:row>
    <x:row r="991" ht="23" customHeight="1">
      <x:c r="A991" s="11" t="d">
        <x:v>2018-11-29T00:00:00.000Z</x:v>
      </x:c>
      <x:c r="B991" s="12" t="n">
        <x:v>8342.795724</x:v>
      </x:c>
      <x:c r="C991" s="13" t="n">
        <x:v>484</x:v>
      </x:c>
      <x:c r="D991" s="12" t="n">
        <x:v>132606.32</x:v>
      </x:c>
      <x:c r="E991" s="12" t="n">
        <x:v>0</x:v>
      </x:c>
      <x:c r="F991" s="12" t="n">
        <x:f>SUM(B991,D991:E991)</x:f>
        <x:v>140949.115724</x:v>
      </x:c>
      <x:c r="G991" s="12" t="n">
        <x:f>MAX(G990,F991)</x:f>
        <x:v>149795.372</x:v>
      </x:c>
      <x:c r="H991" s="14" t="n">
        <x:f>F991/G991-1</x:f>
        <x:v>-0.059055604708535325</x:v>
      </x:c>
      <x:c r="I991" s="14" t="n">
        <x:f>F991/F990-1</x:f>
        <x:v>-0.002056081816136146</x:v>
      </x:c>
      <x:c r="J991" s="12" t="n">
        <x:v>0</x:v>
      </x:c>
      <x:c r="K991" s="12" t="n">
        <x:v>0</x:v>
      </x:c>
      <x:c r="L991" s="12" t="n">
        <x:v>0</x:v>
      </x:c>
      <x:c r="M991" s="2" t="str">
        <x:v>持有</x:v>
      </x:c>
    </x:row>
    <x:row r="992" ht="23" customHeight="1">
      <x:c r="A992" s="11" t="d">
        <x:v>2018-11-30T00:00:00.000Z</x:v>
      </x:c>
      <x:c r="B992" s="12" t="n">
        <x:v>8342.795724</x:v>
      </x:c>
      <x:c r="C992" s="13" t="n">
        <x:v>484</x:v>
      </x:c>
      <x:c r="D992" s="12" t="n">
        <x:v>133414.59999999998</x:v>
      </x:c>
      <x:c r="E992" s="12" t="n">
        <x:v>0</x:v>
      </x:c>
      <x:c r="F992" s="12" t="n">
        <x:f>SUM(B992,D992:E992)</x:f>
        <x:v>141757.39572399997</x:v>
      </x:c>
      <x:c r="G992" s="12" t="n">
        <x:f>MAX(G991,F992)</x:f>
        <x:v>149795.372</x:v>
      </x:c>
      <x:c r="H992" s="14" t="n">
        <x:f>F992/G992-1</x:f>
        <x:v>-0.053659710368088254</x:v>
      </x:c>
      <x:c r="I992" s="14" t="n">
        <x:f>F992/F991-1</x:f>
        <x:v>0.005734551762514917</x:v>
      </x:c>
      <x:c r="J992" s="12" t="n">
        <x:v>0</x:v>
      </x:c>
      <x:c r="K992" s="12" t="n">
        <x:v>0</x:v>
      </x:c>
      <x:c r="L992" s="12" t="n">
        <x:v>0</x:v>
      </x:c>
      <x:c r="M992" s="2" t="str">
        <x:v>持有</x:v>
      </x:c>
    </x:row>
    <x:row r="993" ht="23" customHeight="1">
      <x:c r="A993" s="11" t="d">
        <x:v>2018-12-03T00:00:00.000Z</x:v>
      </x:c>
      <x:c r="B993" s="12" t="n">
        <x:v>8342.795724</x:v>
      </x:c>
      <x:c r="C993" s="13" t="n">
        <x:v>484</x:v>
      </x:c>
      <x:c r="D993" s="12" t="n">
        <x:v>135181.2</x:v>
      </x:c>
      <x:c r="E993" s="12" t="n">
        <x:v>0</x:v>
      </x:c>
      <x:c r="F993" s="12" t="n">
        <x:f>SUM(B993,D993:E993)</x:f>
        <x:v>143523.995724</x:v>
      </x:c>
      <x:c r="G993" s="12" t="n">
        <x:f>MAX(G992,F993)</x:f>
        <x:v>149795.372</x:v>
      </x:c>
      <x:c r="H993" s="14" t="n">
        <x:f>F993/G993-1</x:f>
        <x:v>-0.041866288606032476</x:v>
      </x:c>
      <x:c r="I993" s="14" t="n">
        <x:f>F993/F992-1</x:f>
        <x:v>0.012462136391385048</x:v>
      </x:c>
      <x:c r="J993" s="12" t="n">
        <x:v>0</x:v>
      </x:c>
      <x:c r="K993" s="12" t="n">
        <x:v>0</x:v>
      </x:c>
      <x:c r="L993" s="12" t="n">
        <x:v>0</x:v>
      </x:c>
      <x:c r="M993" s="2" t="str">
        <x:v>持有</x:v>
      </x:c>
    </x:row>
    <x:row r="994" ht="23" customHeight="1">
      <x:c r="A994" s="11" t="d">
        <x:v>2018-12-04T00:00:00.000Z</x:v>
      </x:c>
      <x:c r="B994" s="12" t="n">
        <x:v>8342.795724</x:v>
      </x:c>
      <x:c r="C994" s="13" t="n">
        <x:v>484</x:v>
      </x:c>
      <x:c r="D994" s="12" t="n">
        <x:v>130801</x:v>
      </x:c>
      <x:c r="E994" s="12" t="n">
        <x:v>0</x:v>
      </x:c>
      <x:c r="F994" s="12" t="n">
        <x:f>SUM(B994,D994:E994)</x:f>
        <x:v>139143.795724</x:v>
      </x:c>
      <x:c r="G994" s="12" t="n">
        <x:f>MAX(G993,F994)</x:f>
        <x:v>149795.372</x:v>
      </x:c>
      <x:c r="H994" s="14" t="n">
        <x:f>F994/G994-1</x:f>
        <x:v>-0.07110751242701951</x:v>
      </x:c>
      <x:c r="I994" s="14" t="n">
        <x:f>F994/F993-1</x:f>
        <x:v>-0.030518938508535154</x:v>
      </x:c>
      <x:c r="J994" s="12" t="n">
        <x:v>0</x:v>
      </x:c>
      <x:c r="K994" s="12" t="n">
        <x:v>0</x:v>
      </x:c>
      <x:c r="L994" s="12" t="n">
        <x:v>0</x:v>
      </x:c>
      <x:c r="M994" s="2" t="str">
        <x:v>持有</x:v>
      </x:c>
    </x:row>
    <x:row r="995" ht="23" customHeight="1">
      <x:c r="A995" s="11" t="d">
        <x:v>2018-12-06T00:00:00.000Z</x:v>
      </x:c>
      <x:c r="B995" s="12" t="n">
        <x:v>8342.795724</x:v>
      </x:c>
      <x:c r="C995" s="13" t="n">
        <x:v>484</x:v>
      </x:c>
      <x:c r="D995" s="12" t="n">
        <x:v>130602.55999999998</x:v>
      </x:c>
      <x:c r="E995" s="12" t="n">
        <x:v>0</x:v>
      </x:c>
      <x:c r="F995" s="12" t="n">
        <x:f>SUM(B995,D995:E995)</x:f>
        <x:v>138945.355724</x:v>
      </x:c>
      <x:c r="G995" s="12" t="n">
        <x:f>MAX(G994,F995)</x:f>
        <x:v>149795.372</x:v>
      </x:c>
      <x:c r="H995" s="14" t="n">
        <x:f>F995/G995-1</x:f>
        <x:v>-0.07243225295371614</x:v>
      </x:c>
      <x:c r="I995" s="14" t="n">
        <x:f>F995/F994-1</x:f>
        <x:v>-0.0014261505442443312</x:v>
      </x:c>
      <x:c r="J995" s="12" t="n">
        <x:v>0</x:v>
      </x:c>
      <x:c r="K995" s="12" t="n">
        <x:v>0</x:v>
      </x:c>
      <x:c r="L995" s="12" t="n">
        <x:v>0</x:v>
      </x:c>
      <x:c r="M995" s="2" t="str">
        <x:v>持有</x:v>
      </x:c>
    </x:row>
    <x:row r="996" ht="23" customHeight="1">
      <x:c r="A996" s="11" t="d">
        <x:v>2018-12-07T00:00:00.000Z</x:v>
      </x:c>
      <x:c r="B996" s="12" t="n">
        <x:v>8342.795724</x:v>
      </x:c>
      <x:c r="C996" s="13" t="n">
        <x:v>484</x:v>
      </x:c>
      <x:c r="D996" s="12" t="n">
        <x:v>127567.87999999999</x:v>
      </x:c>
      <x:c r="E996" s="12" t="n">
        <x:v>0</x:v>
      </x:c>
      <x:c r="F996" s="12" t="n">
        <x:f>SUM(B996,D996:E996)</x:f>
        <x:v>135910.675724</x:v>
      </x:c>
      <x:c r="G996" s="12" t="n">
        <x:f>MAX(G995,F996)</x:f>
        <x:v>149795.372</x:v>
      </x:c>
      <x:c r="H996" s="14" t="n">
        <x:f>F996/G996-1</x:f>
        <x:v>-0.09269108978880869</x:v>
      </x:c>
      <x:c r="I996" s="14" t="n">
        <x:f>F996/F995-1</x:f>
        <x:v>-0.021840816371207494</x:v>
      </x:c>
      <x:c r="J996" s="12" t="n">
        <x:v>0</x:v>
      </x:c>
      <x:c r="K996" s="12" t="n">
        <x:v>0</x:v>
      </x:c>
      <x:c r="L996" s="12" t="n">
        <x:v>0</x:v>
      </x:c>
      <x:c r="M996" s="2" t="str">
        <x:v>持有</x:v>
      </x:c>
    </x:row>
    <x:row r="997" ht="23" customHeight="1">
      <x:c r="A997" s="11" t="d">
        <x:v>2018-12-10T00:00:00.000Z</x:v>
      </x:c>
      <x:c r="B997" s="12" t="n">
        <x:v>8342.795724</x:v>
      </x:c>
      <x:c r="C997" s="13" t="n">
        <x:v>484</x:v>
      </x:c>
      <x:c r="D997" s="12" t="n">
        <x:v>127809.87999999999</x:v>
      </x:c>
      <x:c r="E997" s="12" t="n">
        <x:v>0</x:v>
      </x:c>
      <x:c r="F997" s="12" t="n">
        <x:f>SUM(B997,D997:E997)</x:f>
        <x:v>136152.675724</x:v>
      </x:c>
      <x:c r="G997" s="12" t="n">
        <x:f>MAX(G996,F997)</x:f>
        <x:v>149795.372</x:v>
      </x:c>
      <x:c r="H997" s="14" t="n">
        <x:f>F997/G997-1</x:f>
        <x:v>-0.09107555256112987</x:v>
      </x:c>
      <x:c r="I997" s="14" t="n">
        <x:f>F997/F996-1</x:f>
        <x:v>0.0017805812436062496</x:v>
      </x:c>
      <x:c r="J997" s="12" t="n">
        <x:v>0</x:v>
      </x:c>
      <x:c r="K997" s="12" t="n">
        <x:v>0</x:v>
      </x:c>
      <x:c r="L997" s="12" t="n">
        <x:v>0</x:v>
      </x:c>
      <x:c r="M997" s="2" t="str">
        <x:v>持有</x:v>
      </x:c>
    </x:row>
    <x:row r="998" ht="23" customHeight="1">
      <x:c r="A998" s="11" t="d">
        <x:v>2018-12-11T00:00:00.000Z</x:v>
      </x:c>
      <x:c r="B998" s="12" t="n">
        <x:v>8342.795724</x:v>
      </x:c>
      <x:c r="C998" s="13" t="n">
        <x:v>484</x:v>
      </x:c>
      <x:c r="D998" s="12" t="n">
        <x:v>127838.92</x:v>
      </x:c>
      <x:c r="E998" s="12" t="n">
        <x:v>0</x:v>
      </x:c>
      <x:c r="F998" s="12" t="n">
        <x:f>SUM(B998,D998:E998)</x:f>
        <x:v>136181.715724</x:v>
      </x:c>
      <x:c r="G998" s="12" t="n">
        <x:f>MAX(G997,F998)</x:f>
        <x:v>149795.372</x:v>
      </x:c>
      <x:c r="H998" s="14" t="n">
        <x:f>F998/G998-1</x:f>
        <x:v>-0.09088168809380837</x:v>
      </x:c>
      <x:c r="I998" s="14" t="n">
        <x:f>F998/F997-1</x:f>
        <x:v>0.0002132899691142942</x:v>
      </x:c>
      <x:c r="J998" s="12" t="n">
        <x:v>0</x:v>
      </x:c>
      <x:c r="K998" s="12" t="n">
        <x:v>0</x:v>
      </x:c>
      <x:c r="L998" s="12" t="n">
        <x:v>0</x:v>
      </x:c>
      <x:c r="M998" s="2" t="str">
        <x:v>持有</x:v>
      </x:c>
    </x:row>
    <x:row r="999" ht="23" customHeight="1">
      <x:c r="A999" s="11" t="d">
        <x:v>2018-12-12T00:00:00.000Z</x:v>
      </x:c>
      <x:c r="B999" s="12" t="n">
        <x:v>8342.795724</x:v>
      </x:c>
      <x:c r="C999" s="13" t="n">
        <x:v>484</x:v>
      </x:c>
      <x:c r="D999" s="12" t="n">
        <x:v>128482.63999999998</x:v>
      </x:c>
      <x:c r="E999" s="12" t="n">
        <x:v>0</x:v>
      </x:c>
      <x:c r="F999" s="12" t="n">
        <x:f>SUM(B999,D999:E999)</x:f>
        <x:v>136825.43572399998</x:v>
      </x:c>
      <x:c r="G999" s="12" t="n">
        <x:f>MAX(G998,F999)</x:f>
        <x:v>149795.372</x:v>
      </x:c>
      <x:c r="H999" s="14" t="n">
        <x:f>F999/G999-1</x:f>
        <x:v>-0.08658435906818285</x:v>
      </x:c>
      <x:c r="I999" s="14" t="n">
        <x:f>F999/F998-1</x:f>
        <x:v>0.004726919444197675</x:v>
      </x:c>
      <x:c r="J999" s="12" t="n">
        <x:v>0</x:v>
      </x:c>
      <x:c r="K999" s="12" t="n">
        <x:v>0</x:v>
      </x:c>
      <x:c r="L999" s="12" t="n">
        <x:v>0</x:v>
      </x:c>
      <x:c r="M999" s="2" t="str">
        <x:v>持有</x:v>
      </x:c>
    </x:row>
    <x:row r="1000" ht="23" customHeight="1">
      <x:c r="A1000" s="11" t="d">
        <x:v>2018-12-13T00:00:00.000Z</x:v>
      </x:c>
      <x:c r="B1000" s="12" t="n">
        <x:v>8342.795724</x:v>
      </x:c>
      <x:c r="C1000" s="13" t="n">
        <x:v>484</x:v>
      </x:c>
      <x:c r="D1000" s="12" t="n">
        <x:v>128439.08</x:v>
      </x:c>
      <x:c r="E1000" s="12" t="n">
        <x:v>0</x:v>
      </x:c>
      <x:c r="F1000" s="12" t="n">
        <x:f>SUM(B1000,D1000:E1000)</x:f>
        <x:v>136781.875724</x:v>
      </x:c>
      <x:c r="G1000" s="12" t="n">
        <x:f>MAX(G999,F1000)</x:f>
        <x:v>149795.372</x:v>
      </x:c>
      <x:c r="H1000" s="14" t="n">
        <x:f>F1000/G1000-1</x:f>
        <x:v>-0.08687515576916482</x:v>
      </x:c>
      <x:c r="I1000" s="14" t="n">
        <x:f>F1000/F999-1</x:f>
        <x:v>-0.000318361858447358</x:v>
      </x:c>
      <x:c r="J1000" s="12" t="n">
        <x:v>0</x:v>
      </x:c>
      <x:c r="K1000" s="12" t="n">
        <x:v>0</x:v>
      </x:c>
      <x:c r="L1000" s="12" t="n">
        <x:v>0</x:v>
      </x:c>
      <x:c r="M1000" s="2" t="str">
        <x:v>持有</x:v>
      </x:c>
    </x:row>
    <x:row r="1001" ht="23" customHeight="1">
      <x:c r="A1001" s="11" t="d">
        <x:v>2018-12-14T00:00:00.000Z</x:v>
      </x:c>
      <x:c r="B1001" s="12" t="n">
        <x:v>8342.795724</x:v>
      </x:c>
      <x:c r="C1001" s="13" t="n">
        <x:v>484</x:v>
      </x:c>
      <x:c r="D1001" s="12" t="n">
        <x:v>126067.48000000001</x:v>
      </x:c>
      <x:c r="E1001" s="12" t="n">
        <x:v>0</x:v>
      </x:c>
      <x:c r="F1001" s="12" t="n">
        <x:f>SUM(B1001,D1001:E1001)</x:f>
        <x:v>134410.275724</x:v>
      </x:c>
      <x:c r="G1001" s="12" t="n">
        <x:f>MAX(G1000,F1001)</x:f>
        <x:v>149795.372</x:v>
      </x:c>
      <x:c r="H1001" s="14" t="n">
        <x:f>F1001/G1001-1</x:f>
        <x:v>-0.10270742060041749</x:v>
      </x:c>
      <x:c r="I1001" s="14" t="n">
        <x:f>F1001/F1000-1</x:f>
        <x:v>-0.017338554449899846</x:v>
      </x:c>
      <x:c r="J1001" s="12" t="n">
        <x:v>0</x:v>
      </x:c>
      <x:c r="K1001" s="12" t="n">
        <x:v>0</x:v>
      </x:c>
      <x:c r="L1001" s="12" t="n">
        <x:v>0</x:v>
      </x:c>
      <x:c r="M1001" s="2" t="str">
        <x:v>持有</x:v>
      </x:c>
    </x:row>
    <x:row r="1002" ht="23" customHeight="1">
      <x:c r="A1002" s="11" t="d">
        <x:v>2018-12-17T00:00:00.000Z</x:v>
      </x:c>
      <x:c r="B1002" s="12" t="n">
        <x:v>8342.795724</x:v>
      </x:c>
      <x:c r="C1002" s="13" t="n">
        <x:v>484</x:v>
      </x:c>
      <x:c r="D1002" s="12" t="n">
        <x:v>123594.24</x:v>
      </x:c>
      <x:c r="E1002" s="12" t="n">
        <x:v>0</x:v>
      </x:c>
      <x:c r="F1002" s="12" t="n">
        <x:f>SUM(B1002,D1002:E1002)</x:f>
        <x:v>131937.03572400002</x:v>
      </x:c>
      <x:c r="G1002" s="12" t="n">
        <x:f>MAX(G1001,F1002)</x:f>
        <x:v>149795.372</x:v>
      </x:c>
      <x:c r="H1002" s="14" t="n">
        <x:f>F1002/G1002-1</x:f>
        <x:v>-0.11921821106729513</x:v>
      </x:c>
      <x:c r="I1002" s="14" t="n">
        <x:f>F1002/F1001-1</x:f>
        <x:v>-0.018400676486064027</x:v>
      </x:c>
      <x:c r="J1002" s="12" t="n">
        <x:v>0</x:v>
      </x:c>
      <x:c r="K1002" s="12" t="n">
        <x:v>0</x:v>
      </x:c>
      <x:c r="L1002" s="12" t="n">
        <x:v>0</x:v>
      </x:c>
      <x:c r="M1002" s="2" t="str">
        <x:v>持有</x:v>
      </x:c>
    </x:row>
    <x:row r="1003" ht="23" customHeight="1">
      <x:c r="A1003" s="11" t="d">
        <x:v>2018-12-18T00:00:00.000Z</x:v>
      </x:c>
      <x:c r="B1003" s="12" t="n">
        <x:v>8342.795724</x:v>
      </x:c>
      <x:c r="C1003" s="13" t="n">
        <x:v>484</x:v>
      </x:c>
      <x:c r="D1003" s="12" t="n">
        <x:v>123458.72</x:v>
      </x:c>
      <x:c r="E1003" s="12" t="n">
        <x:v>0</x:v>
      </x:c>
      <x:c r="F1003" s="12" t="n">
        <x:f>SUM(B1003,D1003:E1003)</x:f>
        <x:v>131801.515724</x:v>
      </x:c>
      <x:c r="G1003" s="12" t="n">
        <x:f>MAX(G1002,F1003)</x:f>
        <x:v>149795.372</x:v>
      </x:c>
      <x:c r="H1003" s="14" t="n">
        <x:f>F1003/G1003-1</x:f>
        <x:v>-0.1201229119147954</x:v>
      </x:c>
      <x:c r="I1003" s="14" t="n">
        <x:f>F1003/F1002-1</x:f>
        <x:v>-0.0010271566225233952</x:v>
      </x:c>
      <x:c r="J1003" s="12" t="n">
        <x:v>0</x:v>
      </x:c>
      <x:c r="K1003" s="12" t="n">
        <x:v>0</x:v>
      </x:c>
      <x:c r="L1003" s="12" t="n">
        <x:v>0</x:v>
      </x:c>
      <x:c r="M1003" s="2" t="str">
        <x:v>持有</x:v>
      </x:c>
    </x:row>
    <x:row r="1004" ht="23" customHeight="1">
      <x:c r="A1004" s="11" t="d">
        <x:v>2018-12-19T00:00:00.000Z</x:v>
      </x:c>
      <x:c r="B1004" s="12" t="n">
        <x:v>8342.795724</x:v>
      </x:c>
      <x:c r="C1004" s="13" t="n">
        <x:v>484</x:v>
      </x:c>
      <x:c r="D1004" s="12" t="n">
        <x:v>121609.84</x:v>
      </x:c>
      <x:c r="E1004" s="12" t="n">
        <x:v>0</x:v>
      </x:c>
      <x:c r="F1004" s="12" t="n">
        <x:f>SUM(B1004,D1004:E1004)</x:f>
        <x:v>129952.63572399999</x:v>
      </x:c>
      <x:c r="G1004" s="12" t="n">
        <x:f>MAX(G1003,F1004)</x:f>
        <x:v>149795.372</x:v>
      </x:c>
      <x:c r="H1004" s="14" t="n">
        <x:f>F1004/G1004-1</x:f>
        <x:v>-0.13246561633426168</x:v>
      </x:c>
      <x:c r="I1004" s="14" t="n">
        <x:f>F1004/F1003-1</x:f>
        <x:v>-0.014027759770772752</x:v>
      </x:c>
      <x:c r="J1004" s="12" t="n">
        <x:v>0</x:v>
      </x:c>
      <x:c r="K1004" s="12" t="n">
        <x:v>0</x:v>
      </x:c>
      <x:c r="L1004" s="12" t="n">
        <x:v>0</x:v>
      </x:c>
      <x:c r="M1004" s="2" t="str">
        <x:v>持有</x:v>
      </x:c>
    </x:row>
    <x:row r="1005" ht="23" customHeight="1">
      <x:c r="A1005" s="11" t="d">
        <x:v>2018-12-20T00:00:00.000Z</x:v>
      </x:c>
      <x:c r="B1005" s="12" t="n">
        <x:v>8342.795724</x:v>
      </x:c>
      <x:c r="C1005" s="13" t="n">
        <x:v>484</x:v>
      </x:c>
      <x:c r="D1005" s="12" t="n">
        <x:v>119630.28</x:v>
      </x:c>
      <x:c r="E1005" s="12" t="n">
        <x:v>0</x:v>
      </x:c>
      <x:c r="F1005" s="12" t="n">
        <x:f>SUM(B1005,D1005:E1005)</x:f>
        <x:v>127973.075724</x:v>
      </x:c>
      <x:c r="G1005" s="12" t="n">
        <x:f>MAX(G1004,F1005)</x:f>
        <x:v>149795.372</x:v>
      </x:c>
      <x:c r="H1005" s="14" t="n">
        <x:f>F1005/G1005-1</x:f>
        <x:v>-0.14568071085667456</x:v>
      </x:c>
      <x:c r="I1005" s="14" t="n">
        <x:f>F1005/F1004-1</x:f>
        <x:v>-0.015232934591679181</x:v>
      </x:c>
      <x:c r="J1005" s="12" t="n">
        <x:v>0</x:v>
      </x:c>
      <x:c r="K1005" s="12" t="n">
        <x:v>0</x:v>
      </x:c>
      <x:c r="L1005" s="12" t="n">
        <x:v>0</x:v>
      </x:c>
      <x:c r="M1005" s="2" t="str">
        <x:v>持有</x:v>
      </x:c>
    </x:row>
    <x:row r="1006" ht="23" customHeight="1">
      <x:c r="A1006" s="11" t="d">
        <x:v>2018-12-21T00:00:00.000Z</x:v>
      </x:c>
      <x:c r="B1006" s="12" t="n">
        <x:v>8342.795724</x:v>
      </x:c>
      <x:c r="C1006" s="13" t="n">
        <x:v>484</x:v>
      </x:c>
      <x:c r="D1006" s="12" t="n">
        <x:v>116498.79999999999</x:v>
      </x:c>
      <x:c r="E1006" s="12" t="n">
        <x:v>694.747636</x:v>
      </x:c>
      <x:c r="F1006" s="12" t="n">
        <x:f>SUM(B1006,D1006:E1006)</x:f>
        <x:v>125536.34335999998</x:v>
      </x:c>
      <x:c r="G1006" s="12" t="n">
        <x:f>MAX(G1005,F1006)</x:f>
        <x:v>149795.372</x:v>
      </x:c>
      <x:c r="H1006" s="14" t="n">
        <x:f>F1006/G1006-1</x:f>
        <x:v>-0.16194778460845916</x:v>
      </x:c>
      <x:c r="I1006" s="14" t="n">
        <x:f>F1006/F1005-1</x:f>
        <x:v>-0.019040976785267838</x:v>
      </x:c>
      <x:c r="J1006" s="12" t="n">
        <x:v>694.747636</x:v>
      </x:c>
      <x:c r="K1006" s="12" t="n">
        <x:v>0</x:v>
      </x:c>
      <x:c r="L1006" s="12" t="n">
        <x:v>0</x:v>
      </x:c>
      <x:c r="M1006" s="2" t="str">
        <x:v>持有</x:v>
      </x:c>
    </x:row>
    <x:row r="1007" ht="23" customHeight="1">
      <x:c r="A1007" s="11" t="d">
        <x:v>2018-12-24T00:00:00.000Z</x:v>
      </x:c>
      <x:c r="B1007" s="12" t="n">
        <x:v>8342.795724</x:v>
      </x:c>
      <x:c r="C1007" s="13" t="n">
        <x:v>484</x:v>
      </x:c>
      <x:c r="D1007" s="12" t="n">
        <x:v>113420.56</x:v>
      </x:c>
      <x:c r="E1007" s="12" t="n">
        <x:v>694.747636</x:v>
      </x:c>
      <x:c r="F1007" s="12" t="n">
        <x:f>SUM(B1007,D1007:E1007)</x:f>
        <x:v>122458.10336</x:v>
      </x:c>
      <x:c r="G1007" s="12" t="n">
        <x:f>MAX(G1006,F1007)</x:f>
        <x:v>149795.372</x:v>
      </x:c>
      <x:c r="H1007" s="14" t="n">
        <x:f>F1007/G1007-1</x:f>
        <x:v>-0.1824974181445339</x:v>
      </x:c>
      <x:c r="I1007" s="14" t="n">
        <x:f>F1007/F1006-1</x:f>
        <x:v>-0.02452070784930016</x:v>
      </x:c>
      <x:c r="J1007" s="12" t="n">
        <x:v>0</x:v>
      </x:c>
      <x:c r="K1007" s="12" t="n">
        <x:v>0</x:v>
      </x:c>
      <x:c r="L1007" s="12" t="n">
        <x:v>0</x:v>
      </x:c>
      <x:c r="M1007" s="2" t="str">
        <x:v>持有</x:v>
      </x:c>
    </x:row>
    <x:row r="1008" ht="23" customHeight="1">
      <x:c r="A1008" s="11" t="d">
        <x:v>2018-12-26T00:00:00.000Z</x:v>
      </x:c>
      <x:c r="B1008" s="12" t="n">
        <x:v>8342.795724</x:v>
      </x:c>
      <x:c r="C1008" s="13" t="n">
        <x:v>484</x:v>
      </x:c>
      <x:c r="D1008" s="12" t="n">
        <x:v>119151.12000000001</x:v>
      </x:c>
      <x:c r="E1008" s="12" t="n">
        <x:v>694.747636</x:v>
      </x:c>
      <x:c r="F1008" s="12" t="n">
        <x:f>SUM(B1008,D1008:E1008)</x:f>
        <x:v>128188.66336</x:v>
      </x:c>
      <x:c r="G1008" s="12" t="n">
        <x:f>MAX(G1007,F1008)</x:f>
        <x:v>149795.372</x:v>
      </x:c>
      <x:c r="H1008" s="14" t="n">
        <x:f>F1008/G1008-1</x:f>
        <x:v>-0.14424149659309904</x:v>
      </x:c>
      <x:c r="I1008" s="14" t="n">
        <x:f>F1008/F1007-1</x:f>
        <x:v>0.046796086520737745</x:v>
      </x:c>
      <x:c r="J1008" s="12" t="n">
        <x:v>0</x:v>
      </x:c>
      <x:c r="K1008" s="12" t="n">
        <x:v>0</x:v>
      </x:c>
      <x:c r="L1008" s="12" t="n">
        <x:v>0</x:v>
      </x:c>
      <x:c r="M1008" s="2" t="str">
        <x:v>持有</x:v>
      </x:c>
    </x:row>
    <x:row r="1009" ht="23" customHeight="1">
      <x:c r="A1009" s="11" t="d">
        <x:v>2018-12-27T00:00:00.000Z</x:v>
      </x:c>
      <x:c r="B1009" s="12" t="n">
        <x:v>8342.795724</x:v>
      </x:c>
      <x:c r="C1009" s="13" t="n">
        <x:v>484</x:v>
      </x:c>
      <x:c r="D1009" s="12" t="n">
        <x:v>120065.87999999999</x:v>
      </x:c>
      <x:c r="E1009" s="12" t="n">
        <x:v>694.747636</x:v>
      </x:c>
      <x:c r="F1009" s="12" t="n">
        <x:f>SUM(B1009,D1009:E1009)</x:f>
        <x:v>129103.42335999999</x:v>
      </x:c>
      <x:c r="G1009" s="12" t="n">
        <x:f>MAX(G1008,F1009)</x:f>
        <x:v>149795.372</x:v>
      </x:c>
      <x:c r="H1009" s="14" t="n">
        <x:f>F1009/G1009-1</x:f>
        <x:v>-0.1381347658724731</x:v>
      </x:c>
      <x:c r="I1009" s="14" t="n">
        <x:f>F1009/F1008-1</x:f>
        <x:v>0.007136044452160428</x:v>
      </x:c>
      <x:c r="J1009" s="12" t="n">
        <x:v>0</x:v>
      </x:c>
      <x:c r="K1009" s="12" t="n">
        <x:v>0</x:v>
      </x:c>
      <x:c r="L1009" s="12" t="n">
        <x:v>0</x:v>
      </x:c>
      <x:c r="M1009" s="2" t="str">
        <x:v>持有</x:v>
      </x:c>
    </x:row>
    <x:row r="1010" ht="23" customHeight="1">
      <x:c r="A1010" s="11" t="d">
        <x:v>2018-12-28T00:00:00.000Z</x:v>
      </x:c>
      <x:c r="B1010" s="12" t="n">
        <x:v>8342.795724</x:v>
      </x:c>
      <x:c r="C1010" s="13" t="n">
        <x:v>484</x:v>
      </x:c>
      <x:c r="D1010" s="12" t="n">
        <x:v>119911</x:v>
      </x:c>
      <x:c r="E1010" s="12" t="n">
        <x:v>694.747636</x:v>
      </x:c>
      <x:c r="F1010" s="12" t="n">
        <x:f>SUM(B1010,D1010:E1010)</x:f>
        <x:v>128948.54336</x:v>
      </x:c>
      <x:c r="G1010" s="12" t="n">
        <x:f>MAX(G1009,F1010)</x:f>
        <x:v>149795.372</x:v>
      </x:c>
      <x:c r="H1010" s="14" t="n">
        <x:f>F1010/G1010-1</x:f>
        <x:v>-0.1391687096981875</x:v>
      </x:c>
      <x:c r="I1010" s="14" t="n">
        <x:f>F1010/F1009-1</x:f>
        <x:v>-0.0011996583511818537</x:v>
      </x:c>
      <x:c r="J1010" s="12" t="n">
        <x:v>0</x:v>
      </x:c>
      <x:c r="K1010" s="12" t="n">
        <x:v>0</x:v>
      </x:c>
      <x:c r="L1010" s="12" t="n">
        <x:v>0</x:v>
      </x:c>
      <x:c r="M1010" s="2" t="str">
        <x:v>持有</x:v>
      </x:c>
    </x:row>
    <x:row r="1011" ht="23" customHeight="1">
      <x:c r="A1011" s="11" t="d">
        <x:v>2018-12-31T00:00:00.000Z</x:v>
      </x:c>
      <x:c r="B1011" s="12" t="n">
        <x:v>8342.795724</x:v>
      </x:c>
      <x:c r="C1011" s="13" t="n">
        <x:v>484</x:v>
      </x:c>
      <x:c r="D1011" s="12" t="n">
        <x:v>120961.28</x:v>
      </x:c>
      <x:c r="E1011" s="12" t="n">
        <x:v>694.747636</x:v>
      </x:c>
      <x:c r="F1011" s="12" t="n">
        <x:f>SUM(B1011,D1011:E1011)</x:f>
        <x:v>129998.82336</x:v>
      </x:c>
      <x:c r="G1011" s="12" t="n">
        <x:f>MAX(G1010,F1011)</x:f>
        <x:v>149795.372</x:v>
      </x:c>
      <x:c r="H1011" s="14" t="n">
        <x:f>F1011/G1011-1</x:f>
        <x:v>-0.1321572781300614</x:v>
      </x:c>
      <x:c r="I1011" s="14" t="n">
        <x:f>F1011/F1010-1</x:f>
        <x:v>0.008144954356466227</x:v>
      </x:c>
      <x:c r="J1011" s="12" t="n">
        <x:v>0</x:v>
      </x:c>
      <x:c r="K1011" s="12" t="n">
        <x:v>0</x:v>
      </x:c>
      <x:c r="L1011" s="12" t="n">
        <x:v>0</x:v>
      </x:c>
      <x:c r="M1011" s="2" t="str">
        <x:v>持有</x:v>
      </x:c>
    </x:row>
    <x:row r="1012" ht="23" customHeight="1">
      <x:c r="A1012" s="11" t="d">
        <x:v>2019-01-02T00:00:00.000Z</x:v>
      </x:c>
      <x:c r="B1012" s="12" t="n">
        <x:v>8342.795724</x:v>
      </x:c>
      <x:c r="C1012" s="13" t="n">
        <x:v>484</x:v>
      </x:c>
      <x:c r="D1012" s="12" t="n">
        <x:v>121087.12000000001</x:v>
      </x:c>
      <x:c r="E1012" s="12" t="n">
        <x:v>694.747636</x:v>
      </x:c>
      <x:c r="F1012" s="12" t="n">
        <x:f>SUM(B1012,D1012:E1012)</x:f>
        <x:v>130124.66336</x:v>
      </x:c>
      <x:c r="G1012" s="12" t="n">
        <x:f>MAX(G1011,F1012)</x:f>
        <x:v>149795.372</x:v>
      </x:c>
      <x:c r="H1012" s="14" t="n">
        <x:f>F1012/G1012-1</x:f>
        <x:v>-0.13131719877166825</x:v>
      </x:c>
      <x:c r="I1012" s="14" t="n">
        <x:f>F1012/F1011-1</x:f>
        <x:v>0.0009680087615218103</x:v>
      </x:c>
      <x:c r="J1012" s="12" t="n">
        <x:v>0</x:v>
      </x:c>
      <x:c r="K1012" s="12" t="n">
        <x:v>0</x:v>
      </x:c>
      <x:c r="L1012" s="12" t="n">
        <x:v>0</x:v>
      </x:c>
      <x:c r="M1012" s="2" t="str">
        <x:v>持有</x:v>
      </x:c>
    </x:row>
    <x:row r="1013" ht="23" customHeight="1">
      <x:c r="A1013" s="11" t="d">
        <x:v>2019-01-03T00:00:00.000Z</x:v>
      </x:c>
      <x:c r="B1013" s="12" t="n">
        <x:v>8342.795724</x:v>
      </x:c>
      <x:c r="C1013" s="13" t="n">
        <x:v>484</x:v>
      </x:c>
      <x:c r="D1013" s="12" t="n">
        <x:v>118197.64</x:v>
      </x:c>
      <x:c r="E1013" s="12" t="n">
        <x:v>694.747636</x:v>
      </x:c>
      <x:c r="F1013" s="12" t="n">
        <x:f>SUM(B1013,D1013:E1013)</x:f>
        <x:v>127235.18336</x:v>
      </x:c>
      <x:c r="G1013" s="12" t="n">
        <x:f>MAX(G1012,F1013)</x:f>
        <x:v>149795.372</x:v>
      </x:c>
      <x:c r="H1013" s="14" t="n">
        <x:f>F1013/G1013-1</x:f>
        <x:v>-0.15060671327015374</x:v>
      </x:c>
      <x:c r="I1013" s="14" t="n">
        <x:f>F1013/F1012-1</x:f>
        <x:v>-0.02220547531413042</x:v>
      </x:c>
      <x:c r="J1013" s="12" t="n">
        <x:v>0</x:v>
      </x:c>
      <x:c r="K1013" s="12" t="n">
        <x:v>0</x:v>
      </x:c>
      <x:c r="L1013" s="12" t="n">
        <x:v>0</x:v>
      </x:c>
      <x:c r="M1013" s="2" t="str">
        <x:v>持有</x:v>
      </x:c>
    </x:row>
    <x:row r="1014" ht="23" customHeight="1">
      <x:c r="A1014" s="11" t="d">
        <x:v>2019-01-04T00:00:00.000Z</x:v>
      </x:c>
      <x:c r="B1014" s="12" t="n">
        <x:v>8342.795724</x:v>
      </x:c>
      <x:c r="C1014" s="13" t="n">
        <x:v>484</x:v>
      </x:c>
      <x:c r="D1014" s="12" t="n">
        <x:v>122156.76</x:v>
      </x:c>
      <x:c r="E1014" s="12" t="n">
        <x:v>694.747636</x:v>
      </x:c>
      <x:c r="F1014" s="12" t="n">
        <x:f>SUM(B1014,D1014:E1014)</x:f>
        <x:v>131194.30336</x:v>
      </x:c>
      <x:c r="G1014" s="12" t="n">
        <x:f>MAX(G1013,F1014)</x:f>
        <x:v>149795.372</x:v>
      </x:c>
      <x:c r="H1014" s="14" t="n">
        <x:f>F1014/G1014-1</x:f>
        <x:v>-0.12417652422532799</x:v>
      </x:c>
      <x:c r="I1014" s="14" t="n">
        <x:f>F1014/F1013-1</x:f>
        <x:v>0.03111655043399475</x:v>
      </x:c>
      <x:c r="J1014" s="12" t="n">
        <x:v>0</x:v>
      </x:c>
      <x:c r="K1014" s="12" t="n">
        <x:v>0</x:v>
      </x:c>
      <x:c r="L1014" s="12" t="n">
        <x:v>0</x:v>
      </x:c>
      <x:c r="M1014" s="2" t="str">
        <x:v>持有</x:v>
      </x:c>
    </x:row>
    <x:row r="1015" ht="23" customHeight="1">
      <x:c r="A1015" s="11" t="d">
        <x:v>2019-01-07T00:00:00.000Z</x:v>
      </x:c>
      <x:c r="B1015" s="12" t="n">
        <x:v>8342.795724</x:v>
      </x:c>
      <x:c r="C1015" s="13" t="n">
        <x:v>484</x:v>
      </x:c>
      <x:c r="D1015" s="12" t="n">
        <x:v>123119.92</x:v>
      </x:c>
      <x:c r="E1015" s="12" t="n">
        <x:v>694.747636</x:v>
      </x:c>
      <x:c r="F1015" s="12" t="n">
        <x:f>SUM(B1015,D1015:E1015)</x:f>
        <x:v>132157.46336</x:v>
      </x:c>
      <x:c r="G1015" s="12" t="n">
        <x:f>MAX(G1014,F1015)</x:f>
        <x:v>149795.372</x:v>
      </x:c>
      <x:c r="H1015" s="14" t="n">
        <x:f>F1015/G1015-1</x:f>
        <x:v>-0.11774668605916616</x:v>
      </x:c>
      <x:c r="I1015" s="14" t="n">
        <x:f>F1015/F1014-1</x:f>
        <x:v>0.007341477299948496</x:v>
      </x:c>
      <x:c r="J1015" s="12" t="n">
        <x:v>0</x:v>
      </x:c>
      <x:c r="K1015" s="12" t="n">
        <x:v>0</x:v>
      </x:c>
      <x:c r="L1015" s="12" t="n">
        <x:v>0</x:v>
      </x:c>
      <x:c r="M1015" s="2" t="str">
        <x:v>持有</x:v>
      </x:c>
    </x:row>
    <x:row r="1016" ht="23" customHeight="1">
      <x:c r="A1016" s="11" t="d">
        <x:v>2019-01-08T00:00:00.000Z</x:v>
      </x:c>
      <x:c r="B1016" s="12" t="n">
        <x:v>8342.795724</x:v>
      </x:c>
      <x:c r="C1016" s="13" t="n">
        <x:v>484</x:v>
      </x:c>
      <x:c r="D1016" s="12" t="n">
        <x:v>124276.68</x:v>
      </x:c>
      <x:c r="E1016" s="12" t="n">
        <x:v>694.747636</x:v>
      </x:c>
      <x:c r="F1016" s="12" t="n">
        <x:f>SUM(B1016,D1016:E1016)</x:f>
        <x:v>133314.22336</x:v>
      </x:c>
      <x:c r="G1016" s="12" t="n">
        <x:f>MAX(G1015,F1016)</x:f>
        <x:v>149795.372</x:v>
      </x:c>
      <x:c r="H1016" s="14" t="n">
        <x:f>F1016/G1016-1</x:f>
        <x:v>-0.11002441811086128</x:v>
      </x:c>
      <x:c r="I1016" s="14" t="n">
        <x:f>F1016/F1015-1</x:f>
        <x:v>0.008752891971367305</x:v>
      </x:c>
      <x:c r="J1016" s="12" t="n">
        <x:v>0</x:v>
      </x:c>
      <x:c r="K1016" s="12" t="n">
        <x:v>0</x:v>
      </x:c>
      <x:c r="L1016" s="12" t="n">
        <x:v>0</x:v>
      </x:c>
      <x:c r="M1016" s="2" t="str">
        <x:v>持有</x:v>
      </x:c>
    </x:row>
    <x:row r="1017" ht="23" customHeight="1">
      <x:c r="A1017" s="11" t="d">
        <x:v>2019-01-09T00:00:00.000Z</x:v>
      </x:c>
      <x:c r="B1017" s="12" t="n">
        <x:v>8342.795724</x:v>
      </x:c>
      <x:c r="C1017" s="13" t="n">
        <x:v>484</x:v>
      </x:c>
      <x:c r="D1017" s="12" t="n">
        <x:v>124857.48000000001</x:v>
      </x:c>
      <x:c r="E1017" s="12" t="n">
        <x:v>694.747636</x:v>
      </x:c>
      <x:c r="F1017" s="12" t="n">
        <x:f>SUM(B1017,D1017:E1017)</x:f>
        <x:v>133895.02336000002</x:v>
      </x:c>
      <x:c r="G1017" s="12" t="n">
        <x:f>MAX(G1016,F1017)</x:f>
        <x:v>149795.372</x:v>
      </x:c>
      <x:c r="H1017" s="14" t="n">
        <x:f>F1017/G1017-1</x:f>
        <x:v>-0.10614712876443189</x:v>
      </x:c>
      <x:c r="I1017" s="14" t="n">
        <x:f>F1017/F1016-1</x:f>
        <x:v>0.004356624412322763</x:v>
      </x:c>
      <x:c r="J1017" s="12" t="n">
        <x:v>0</x:v>
      </x:c>
      <x:c r="K1017" s="12" t="n">
        <x:v>0</x:v>
      </x:c>
      <x:c r="L1017" s="12" t="n">
        <x:v>0</x:v>
      </x:c>
      <x:c r="M1017" s="2" t="str">
        <x:v>持有</x:v>
      </x:c>
    </x:row>
    <x:row r="1018" ht="23" customHeight="1">
      <x:c r="A1018" s="11" t="d">
        <x:v>2019-01-10T00:00:00.000Z</x:v>
      </x:c>
      <x:c r="B1018" s="12" t="n">
        <x:v>8342.795724</x:v>
      </x:c>
      <x:c r="C1018" s="13" t="n">
        <x:v>484</x:v>
      </x:c>
      <x:c r="D1018" s="12" t="n">
        <x:v>125297.92</x:v>
      </x:c>
      <x:c r="E1018" s="12" t="n">
        <x:v>694.747636</x:v>
      </x:c>
      <x:c r="F1018" s="12" t="n">
        <x:f>SUM(B1018,D1018:E1018)</x:f>
        <x:v>134335.46336</x:v>
      </x:c>
      <x:c r="G1018" s="12" t="n">
        <x:f>MAX(G1017,F1018)</x:f>
        <x:v>149795.372</x:v>
      </x:c>
      <x:c r="H1018" s="14" t="n">
        <x:f>F1018/G1018-1</x:f>
        <x:v>-0.10320685101005667</x:v>
      </x:c>
      <x:c r="I1018" s="14" t="n">
        <x:f>F1018/F1017-1</x:f>
        <x:v>0.003289442646540852</x:v>
      </x:c>
      <x:c r="J1018" s="12" t="n">
        <x:v>0</x:v>
      </x:c>
      <x:c r="K1018" s="12" t="n">
        <x:v>0</x:v>
      </x:c>
      <x:c r="L1018" s="12" t="n">
        <x:v>0</x:v>
      </x:c>
      <x:c r="M1018" s="2" t="str">
        <x:v>持有</x:v>
      </x:c>
    </x:row>
    <x:row r="1019" ht="23" customHeight="1">
      <x:c r="A1019" s="11" t="d">
        <x:v>2019-01-11T00:00:00.000Z</x:v>
      </x:c>
      <x:c r="B1019" s="12" t="n">
        <x:v>8342.795724</x:v>
      </x:c>
      <x:c r="C1019" s="13" t="n">
        <x:v>484</x:v>
      </x:c>
      <x:c r="D1019" s="12" t="n">
        <x:v>125346.32</x:v>
      </x:c>
      <x:c r="E1019" s="12" t="n">
        <x:v>694.747636</x:v>
      </x:c>
      <x:c r="F1019" s="12" t="n">
        <x:f>SUM(B1019,D1019:E1019)</x:f>
        <x:v>134383.86336000002</x:v>
      </x:c>
      <x:c r="G1019" s="12" t="n">
        <x:f>MAX(G1018,F1019)</x:f>
        <x:v>149795.372</x:v>
      </x:c>
      <x:c r="H1019" s="14" t="n">
        <x:f>F1019/G1019-1</x:f>
        <x:v>-0.10288374356452068</x:v>
      </x:c>
      <x:c r="I1019" s="14" t="n">
        <x:f>F1019/F1018-1</x:f>
        <x:v>0.00036029205385856855</x:v>
      </x:c>
      <x:c r="J1019" s="12" t="n">
        <x:v>0</x:v>
      </x:c>
      <x:c r="K1019" s="12" t="n">
        <x:v>0</x:v>
      </x:c>
      <x:c r="L1019" s="12" t="n">
        <x:v>0</x:v>
      </x:c>
      <x:c r="M1019" s="2" t="str">
        <x:v>持有</x:v>
      </x:c>
    </x:row>
    <x:row r="1020" ht="23" customHeight="1">
      <x:c r="A1020" s="11" t="d">
        <x:v>2019-01-14T00:00:00.000Z</x:v>
      </x:c>
      <x:c r="B1020" s="12" t="n">
        <x:v>8342.795724</x:v>
      </x:c>
      <x:c r="C1020" s="13" t="n">
        <x:v>484</x:v>
      </x:c>
      <x:c r="D1020" s="12" t="n">
        <x:v>124581.59999999999</x:v>
      </x:c>
      <x:c r="E1020" s="12" t="n">
        <x:v>694.747636</x:v>
      </x:c>
      <x:c r="F1020" s="12" t="n">
        <x:f>SUM(B1020,D1020:E1020)</x:f>
        <x:v>133619.14336</x:v>
      </x:c>
      <x:c r="G1020" s="12" t="n">
        <x:f>MAX(G1019,F1020)</x:f>
        <x:v>149795.372</x:v>
      </x:c>
      <x:c r="H1020" s="14" t="n">
        <x:f>F1020/G1020-1</x:f>
        <x:v>-0.107988841203986</x:v>
      </x:c>
      <x:c r="I1020" s="14" t="n">
        <x:f>F1020/F1019-1</x:f>
        <x:v>-0.005690564185905522</x:v>
      </x:c>
      <x:c r="J1020" s="12" t="n">
        <x:v>0</x:v>
      </x:c>
      <x:c r="K1020" s="12" t="n">
        <x:v>0</x:v>
      </x:c>
      <x:c r="L1020" s="12" t="n">
        <x:v>0</x:v>
      </x:c>
      <x:c r="M1020" s="2" t="str">
        <x:v>持有</x:v>
      </x:c>
    </x:row>
    <x:row r="1021" ht="23" customHeight="1">
      <x:c r="A1021" s="11" t="d">
        <x:v>2019-01-15T00:00:00.000Z</x:v>
      </x:c>
      <x:c r="B1021" s="12" t="n">
        <x:v>8342.795724</x:v>
      </x:c>
      <x:c r="C1021" s="13" t="n">
        <x:v>484</x:v>
      </x:c>
      <x:c r="D1021" s="12" t="n">
        <x:v>126009.40000000001</x:v>
      </x:c>
      <x:c r="E1021" s="12" t="n">
        <x:v>694.747636</x:v>
      </x:c>
      <x:c r="F1021" s="12" t="n">
        <x:f>SUM(B1021,D1021:E1021)</x:f>
        <x:v>135046.94336</x:v>
      </x:c>
      <x:c r="G1021" s="12" t="n">
        <x:f>MAX(G1020,F1021)</x:f>
        <x:v>149795.372</x:v>
      </x:c>
      <x:c r="H1021" s="14" t="n">
        <x:f>F1021/G1021-1</x:f>
        <x:v>-0.09845717156068079</x:v>
      </x:c>
      <x:c r="I1021" s="14" t="n">
        <x:f>F1021/F1020-1</x:f>
        <x:v>0.010685594624366024</x:v>
      </x:c>
      <x:c r="J1021" s="12" t="n">
        <x:v>0</x:v>
      </x:c>
      <x:c r="K1021" s="12" t="n">
        <x:v>0</x:v>
      </x:c>
      <x:c r="L1021" s="12" t="n">
        <x:v>0</x:v>
      </x:c>
      <x:c r="M1021" s="2" t="str">
        <x:v>持有</x:v>
      </x:c>
    </x:row>
    <x:row r="1022" ht="23" customHeight="1">
      <x:c r="A1022" s="11" t="d">
        <x:v>2019-01-16T00:00:00.000Z</x:v>
      </x:c>
      <x:c r="B1022" s="12" t="n">
        <x:v>8342.795724</x:v>
      </x:c>
      <x:c r="C1022" s="13" t="n">
        <x:v>484</x:v>
      </x:c>
      <x:c r="D1022" s="12" t="n">
        <x:v>126314.32</x:v>
      </x:c>
      <x:c r="E1022" s="12" t="n">
        <x:v>694.747636</x:v>
      </x:c>
      <x:c r="F1022" s="12" t="n">
        <x:f>SUM(B1022,D1022:E1022)</x:f>
        <x:v>135351.86336000002</x:v>
      </x:c>
      <x:c r="G1022" s="12" t="n">
        <x:f>MAX(G1021,F1022)</x:f>
        <x:v>149795.372</x:v>
      </x:c>
      <x:c r="H1022" s="14" t="n">
        <x:f>F1022/G1022-1</x:f>
        <x:v>-0.0964215946538054</x:v>
      </x:c>
      <x:c r="I1022" s="14" t="n">
        <x:f>F1022/F1021-1</x:f>
        <x:v>0.0022578815366978144</x:v>
      </x:c>
      <x:c r="J1022" s="12" t="n">
        <x:v>0</x:v>
      </x:c>
      <x:c r="K1022" s="12" t="n">
        <x:v>0</x:v>
      </x:c>
      <x:c r="L1022" s="12" t="n">
        <x:v>0</x:v>
      </x:c>
      <x:c r="M1022" s="2" t="str">
        <x:v>持有</x:v>
      </x:c>
    </x:row>
    <x:row r="1023" ht="23" customHeight="1">
      <x:c r="A1023" s="11" t="d">
        <x:v>2019-01-17T00:00:00.000Z</x:v>
      </x:c>
      <x:c r="B1023" s="12" t="n">
        <x:v>8342.795724</x:v>
      </x:c>
      <x:c r="C1023" s="13" t="n">
        <x:v>484</x:v>
      </x:c>
      <x:c r="D1023" s="12" t="n">
        <x:v>127272.63999999998</x:v>
      </x:c>
      <x:c r="E1023" s="12" t="n">
        <x:v>694.747636</x:v>
      </x:c>
      <x:c r="F1023" s="12" t="n">
        <x:f>SUM(B1023,D1023:E1023)</x:f>
        <x:v>136310.18336</x:v>
      </x:c>
      <x:c r="G1023" s="12" t="n">
        <x:f>MAX(G1022,F1023)</x:f>
        <x:v>149795.372</x:v>
      </x:c>
      <x:c r="H1023" s="14" t="n">
        <x:f>F1023/G1023-1</x:f>
        <x:v>-0.09002406723219736</x:v>
      </x:c>
      <x:c r="I1023" s="14" t="n">
        <x:f>F1023/F1022-1</x:f>
        <x:v>0.007080212833502797</x:v>
      </x:c>
      <x:c r="J1023" s="12" t="n">
        <x:v>0</x:v>
      </x:c>
      <x:c r="K1023" s="12" t="n">
        <x:v>0</x:v>
      </x:c>
      <x:c r="L1023" s="12" t="n">
        <x:v>0</x:v>
      </x:c>
      <x:c r="M1023" s="2" t="str">
        <x:v>持有</x:v>
      </x:c>
    </x:row>
    <x:row r="1024" ht="23" customHeight="1">
      <x:c r="A1024" s="11" t="d">
        <x:v>2019-01-18T00:00:00.000Z</x:v>
      </x:c>
      <x:c r="B1024" s="12" t="n">
        <x:v>8342.795724</x:v>
      </x:c>
      <x:c r="C1024" s="13" t="n">
        <x:v>484</x:v>
      </x:c>
      <x:c r="D1024" s="12" t="n">
        <x:v>128966.63999999998</x:v>
      </x:c>
      <x:c r="E1024" s="12" t="n">
        <x:v>694.747636</x:v>
      </x:c>
      <x:c r="F1024" s="12" t="n">
        <x:f>SUM(B1024,D1024:E1024)</x:f>
        <x:v>138004.18336</x:v>
      </x:c>
      <x:c r="G1024" s="12" t="n">
        <x:f>MAX(G1023,F1024)</x:f>
        <x:v>149795.372</x:v>
      </x:c>
      <x:c r="H1024" s="14" t="n">
        <x:f>F1024/G1024-1</x:f>
        <x:v>-0.0787153066384455</x:v>
      </x:c>
      <x:c r="I1024" s="14" t="n">
        <x:f>F1024/F1023-1</x:f>
        <x:v>0.012427538121096093</x:v>
      </x:c>
      <x:c r="J1024" s="12" t="n">
        <x:v>0</x:v>
      </x:c>
      <x:c r="K1024" s="12" t="n">
        <x:v>0</x:v>
      </x:c>
      <x:c r="L1024" s="12" t="n">
        <x:v>0</x:v>
      </x:c>
      <x:c r="M1024" s="2" t="str">
        <x:v>持有</x:v>
      </x:c>
    </x:row>
    <x:row r="1025" ht="23" customHeight="1">
      <x:c r="A1025" s="11" t="d">
        <x:v>2019-01-22T00:00:00.000Z</x:v>
      </x:c>
      <x:c r="B1025" s="12" t="n">
        <x:v>8342.795724</x:v>
      </x:c>
      <x:c r="C1025" s="13" t="n">
        <x:v>484</x:v>
      </x:c>
      <x:c r="D1025" s="12" t="n">
        <x:v>127224.24</x:v>
      </x:c>
      <x:c r="E1025" s="12" t="n">
        <x:v>694.747636</x:v>
      </x:c>
      <x:c r="F1025" s="12" t="n">
        <x:f>SUM(B1025,D1025:E1025)</x:f>
        <x:v>136261.78336</x:v>
      </x:c>
      <x:c r="G1025" s="12" t="n">
        <x:f>MAX(G1024,F1025)</x:f>
        <x:v>149795.372</x:v>
      </x:c>
      <x:c r="H1025" s="14" t="n">
        <x:f>F1025/G1025-1</x:f>
        <x:v>-0.09034717467773301</x:v>
      </x:c>
      <x:c r="I1025" s="14" t="n">
        <x:f>F1025/F1024-1</x:f>
        <x:v>-0.012625704218362288</x:v>
      </x:c>
      <x:c r="J1025" s="12" t="n">
        <x:v>0</x:v>
      </x:c>
      <x:c r="K1025" s="12" t="n">
        <x:v>0</x:v>
      </x:c>
      <x:c r="L1025" s="12" t="n">
        <x:v>0</x:v>
      </x:c>
      <x:c r="M1025" s="2" t="str">
        <x:v>持有</x:v>
      </x:c>
    </x:row>
    <x:row r="1026" ht="23" customHeight="1">
      <x:c r="A1026" s="11" t="d">
        <x:v>2019-01-23T00:00:00.000Z</x:v>
      </x:c>
      <x:c r="B1026" s="12" t="n">
        <x:v>8342.795724</x:v>
      </x:c>
      <x:c r="C1026" s="13" t="n">
        <x:v>484</x:v>
      </x:c>
      <x:c r="D1026" s="12" t="n">
        <x:v>127490.44000000002</x:v>
      </x:c>
      <x:c r="E1026" s="12" t="n">
        <x:v>694.747636</x:v>
      </x:c>
      <x:c r="F1026" s="12" t="n">
        <x:f>SUM(B1026,D1026:E1026)</x:f>
        <x:v>136527.98336</x:v>
      </x:c>
      <x:c r="G1026" s="12" t="n">
        <x:f>MAX(G1025,F1026)</x:f>
        <x:v>149795.372</x:v>
      </x:c>
      <x:c r="H1026" s="14" t="n">
        <x:f>F1026/G1026-1</x:f>
        <x:v>-0.08857008372728625</x:v>
      </x:c>
      <x:c r="I1026" s="14" t="n">
        <x:f>F1026/F1025-1</x:f>
        <x:v>0.001953592514613689</x:v>
      </x:c>
      <x:c r="J1026" s="12" t="n">
        <x:v>0</x:v>
      </x:c>
      <x:c r="K1026" s="12" t="n">
        <x:v>0</x:v>
      </x:c>
      <x:c r="L1026" s="12" t="n">
        <x:v>0</x:v>
      </x:c>
      <x:c r="M1026" s="2" t="str">
        <x:v>持有</x:v>
      </x:c>
    </x:row>
    <x:row r="1027" ht="23" customHeight="1">
      <x:c r="A1027" s="11" t="d">
        <x:v>2019-01-24T00:00:00.000Z</x:v>
      </x:c>
      <x:c r="B1027" s="12" t="n">
        <x:v>8342.795724</x:v>
      </x:c>
      <x:c r="C1027" s="13" t="n">
        <x:v>484</x:v>
      </x:c>
      <x:c r="D1027" s="12" t="n">
        <x:v>127558.20000000001</x:v>
      </x:c>
      <x:c r="E1027" s="12" t="n">
        <x:v>694.747636</x:v>
      </x:c>
      <x:c r="F1027" s="12" t="n">
        <x:f>SUM(B1027,D1027:E1027)</x:f>
        <x:v>136595.74336000002</x:v>
      </x:c>
      <x:c r="G1027" s="12" t="n">
        <x:f>MAX(G1026,F1027)</x:f>
        <x:v>149795.372</x:v>
      </x:c>
      <x:c r="H1027" s="14" t="n">
        <x:f>F1027/G1027-1</x:f>
        <x:v>-0.08811773330353612</x:v>
      </x:c>
      <x:c r="I1027" s="14" t="n">
        <x:f>F1027/F1026-1</x:f>
        <x:v>0.0004963085100389009</x:v>
      </x:c>
      <x:c r="J1027" s="12" t="n">
        <x:v>0</x:v>
      </x:c>
      <x:c r="K1027" s="12" t="n">
        <x:v>0</x:v>
      </x:c>
      <x:c r="L1027" s="12" t="n">
        <x:v>0</x:v>
      </x:c>
      <x:c r="M1027" s="2" t="str">
        <x:v>持有</x:v>
      </x:c>
    </x:row>
    <x:row r="1028" ht="23" customHeight="1">
      <x:c r="A1028" s="11" t="d">
        <x:v>2019-01-25T00:00:00.000Z</x:v>
      </x:c>
      <x:c r="B1028" s="12" t="n">
        <x:v>8342.795724</x:v>
      </x:c>
      <x:c r="C1028" s="13" t="n">
        <x:v>484</x:v>
      </x:c>
      <x:c r="D1028" s="12" t="n">
        <x:v>128637.51999999999</x:v>
      </x:c>
      <x:c r="E1028" s="12" t="n">
        <x:v>694.747636</x:v>
      </x:c>
      <x:c r="F1028" s="12" t="n">
        <x:f>SUM(B1028,D1028:E1028)</x:f>
        <x:v>137675.06336</x:v>
      </x:c>
      <x:c r="G1028" s="12" t="n">
        <x:f>MAX(G1027,F1028)</x:f>
        <x:v>149795.372</x:v>
      </x:c>
      <x:c r="H1028" s="14" t="n">
        <x:f>F1028/G1028-1</x:f>
        <x:v>-0.08091243726808861</x:v>
      </x:c>
      <x:c r="I1028" s="14" t="n">
        <x:f>F1028/F1027-1</x:f>
        <x:v>0.0079015639393345</x:v>
      </x:c>
      <x:c r="J1028" s="12" t="n">
        <x:v>0</x:v>
      </x:c>
      <x:c r="K1028" s="12" t="n">
        <x:v>0</x:v>
      </x:c>
      <x:c r="L1028" s="12" t="n">
        <x:v>0</x:v>
      </x:c>
      <x:c r="M1028" s="2" t="str">
        <x:v>持有</x:v>
      </x:c>
    </x:row>
    <x:row r="1029" ht="23" customHeight="1">
      <x:c r="A1029" s="11" t="d">
        <x:v>2019-01-28T00:00:00.000Z</x:v>
      </x:c>
      <x:c r="B1029" s="12" t="n">
        <x:v>8342.795724</x:v>
      </x:c>
      <x:c r="C1029" s="13" t="n">
        <x:v>484</x:v>
      </x:c>
      <x:c r="D1029" s="12" t="n">
        <x:v>127659.84</x:v>
      </x:c>
      <x:c r="E1029" s="12" t="n">
        <x:v>694.747636</x:v>
      </x:c>
      <x:c r="F1029" s="12" t="n">
        <x:f>SUM(B1029,D1029:E1029)</x:f>
        <x:v>136697.38336</x:v>
      </x:c>
      <x:c r="G1029" s="12" t="n">
        <x:f>MAX(G1028,F1029)</x:f>
        <x:v>149795.372</x:v>
      </x:c>
      <x:c r="H1029" s="14" t="n">
        <x:f>F1029/G1029-1</x:f>
        <x:v>-0.08743920766791113</x:v>
      </x:c>
      <x:c r="I1029" s="14" t="n">
        <x:f>F1029/F1028-1</x:f>
        <x:v>-0.007101358634885813</x:v>
      </x:c>
      <x:c r="J1029" s="12" t="n">
        <x:v>0</x:v>
      </x:c>
      <x:c r="K1029" s="12" t="n">
        <x:v>0</x:v>
      </x:c>
      <x:c r="L1029" s="12" t="n">
        <x:v>0</x:v>
      </x:c>
      <x:c r="M1029" s="2" t="str">
        <x:v>持有</x:v>
      </x:c>
    </x:row>
    <x:row r="1030" ht="23" customHeight="1">
      <x:c r="A1030" s="11" t="d">
        <x:v>2019-01-29T00:00:00.000Z</x:v>
      </x:c>
      <x:c r="B1030" s="12" t="n">
        <x:v>8342.795724</x:v>
      </x:c>
      <x:c r="C1030" s="13" t="n">
        <x:v>484</x:v>
      </x:c>
      <x:c r="D1030" s="12" t="n">
        <x:v>127490.44000000002</x:v>
      </x:c>
      <x:c r="E1030" s="12" t="n">
        <x:v>694.747636</x:v>
      </x:c>
      <x:c r="F1030" s="12" t="n">
        <x:f>SUM(B1030,D1030:E1030)</x:f>
        <x:v>136527.98336</x:v>
      </x:c>
      <x:c r="G1030" s="12" t="n">
        <x:f>MAX(G1029,F1030)</x:f>
        <x:v>149795.372</x:v>
      </x:c>
      <x:c r="H1030" s="14" t="n">
        <x:f>F1030/G1030-1</x:f>
        <x:v>-0.08857008372728625</x:v>
      </x:c>
      <x:c r="I1030" s="14" t="n">
        <x:f>F1030/F1029-1</x:f>
        <x:v>-0.001239233669556583</x:v>
      </x:c>
      <x:c r="J1030" s="12" t="n">
        <x:v>0</x:v>
      </x:c>
      <x:c r="K1030" s="12" t="n">
        <x:v>0</x:v>
      </x:c>
      <x:c r="L1030" s="12" t="n">
        <x:v>0</x:v>
      </x:c>
      <x:c r="M1030" s="2" t="str">
        <x:v>持有</x:v>
      </x:c>
    </x:row>
    <x:row r="1031" ht="23" customHeight="1">
      <x:c r="A1031" s="11" t="d">
        <x:v>2019-01-30T00:00:00.000Z</x:v>
      </x:c>
      <x:c r="B1031" s="12" t="n">
        <x:v>8342.795724</x:v>
      </x:c>
      <x:c r="C1031" s="13" t="n">
        <x:v>484</x:v>
      </x:c>
      <x:c r="D1031" s="12" t="n">
        <x:v>129508.71999999999</x:v>
      </x:c>
      <x:c r="E1031" s="12" t="n">
        <x:v>694.747636</x:v>
      </x:c>
      <x:c r="F1031" s="12" t="n">
        <x:f>SUM(B1031,D1031:E1031)</x:f>
        <x:v>138546.26335999998</x:v>
      </x:c>
      <x:c r="G1031" s="12" t="n">
        <x:f>MAX(G1030,F1031)</x:f>
        <x:v>149795.372</x:v>
      </x:c>
      <x:c r="H1031" s="14" t="n">
        <x:f>F1031/G1031-1</x:f>
        <x:v>-0.07509650324844497</x:v>
      </x:c>
      <x:c r="I1031" s="14" t="n">
        <x:f>F1031/F1030-1</x:f>
        <x:v>0.014782903477583265</x:v>
      </x:c>
      <x:c r="J1031" s="12" t="n">
        <x:v>0</x:v>
      </x:c>
      <x:c r="K1031" s="12" t="n">
        <x:v>0</x:v>
      </x:c>
      <x:c r="L1031" s="12" t="n">
        <x:v>0</x:v>
      </x:c>
      <x:c r="M1031" s="2" t="str">
        <x:v>持有</x:v>
      </x:c>
    </x:row>
    <x:row r="1032" ht="23" customHeight="1">
      <x:c r="A1032" s="11" t="d">
        <x:v>2019-01-31T00:00:00.000Z</x:v>
      </x:c>
      <x:c r="B1032" s="12" t="n">
        <x:v>9037.54336</x:v>
      </x:c>
      <x:c r="C1032" s="13" t="n">
        <x:v>484</x:v>
      </x:c>
      <x:c r="D1032" s="12" t="n">
        <x:v>130646.12000000001</x:v>
      </x:c>
      <x:c r="E1032" s="12" t="n">
        <x:v>0</x:v>
      </x:c>
      <x:c r="F1032" s="12" t="n">
        <x:f>SUM(B1032,D1032:E1032)</x:f>
        <x:v>139683.66336</x:v>
      </x:c>
      <x:c r="G1032" s="12" t="n">
        <x:f>MAX(G1031,F1032)</x:f>
        <x:v>149795.372</x:v>
      </x:c>
      <x:c r="H1032" s="14" t="n">
        <x:f>F1032/G1032-1</x:f>
        <x:v>-0.06750347827835423</x:v>
      </x:c>
      <x:c r="I1032" s="14" t="n">
        <x:f>F1032/F1031-1</x:f>
        <x:v>0.00820953212606379</x:v>
      </x:c>
      <x:c r="J1032" s="12" t="n">
        <x:v>0</x:v>
      </x:c>
      <x:c r="K1032" s="12" t="n">
        <x:v>694.747636</x:v>
      </x:c>
      <x:c r="L1032" s="12" t="n">
        <x:v>0</x:v>
      </x:c>
      <x:c r="M1032" s="2" t="str">
        <x:v>持有</x:v>
      </x:c>
    </x:row>
    <x:row r="1033" ht="23" customHeight="1">
      <x:c r="A1033" s="11" t="d">
        <x:v>2019-02-01T00:00:00.000Z</x:v>
      </x:c>
      <x:c r="B1033" s="12" t="n">
        <x:v>9037.54336</x:v>
      </x:c>
      <x:c r="C1033" s="13" t="n">
        <x:v>484</x:v>
      </x:c>
      <x:c r="D1033" s="12" t="n">
        <x:v>130709.04000000001</x:v>
      </x:c>
      <x:c r="E1033" s="12" t="n">
        <x:v>0</x:v>
      </x:c>
      <x:c r="F1033" s="12" t="n">
        <x:f>SUM(B1033,D1033:E1033)</x:f>
        <x:v>139746.58336000002</x:v>
      </x:c>
      <x:c r="G1033" s="12" t="n">
        <x:f>MAX(G1032,F1033)</x:f>
        <x:v>149795.372</x:v>
      </x:c>
      <x:c r="H1033" s="14" t="n">
        <x:f>F1033/G1033-1</x:f>
        <x:v>-0.06708343859915766</x:v>
      </x:c>
      <x:c r="I1033" s="14" t="n">
        <x:f>F1033/F1032-1</x:f>
        <x:v>0.0004504463763801425</x:v>
      </x:c>
      <x:c r="J1033" s="12" t="n">
        <x:v>0</x:v>
      </x:c>
      <x:c r="K1033" s="12" t="n">
        <x:v>0</x:v>
      </x:c>
      <x:c r="L1033" s="12" t="n">
        <x:v>0</x:v>
      </x:c>
      <x:c r="M1033" s="2" t="str">
        <x:v>持有</x:v>
      </x:c>
    </x:row>
    <x:row r="1034" ht="23" customHeight="1">
      <x:c r="A1034" s="11" t="d">
        <x:v>2019-02-04T00:00:00.000Z</x:v>
      </x:c>
      <x:c r="B1034" s="12" t="n">
        <x:v>9037.54336</x:v>
      </x:c>
      <x:c r="C1034" s="13" t="n">
        <x:v>484</x:v>
      </x:c>
      <x:c r="D1034" s="12" t="n">
        <x:v>131628.63999999998</x:v>
      </x:c>
      <x:c r="E1034" s="12" t="n">
        <x:v>0</x:v>
      </x:c>
      <x:c r="F1034" s="12" t="n">
        <x:f>SUM(B1034,D1034:E1034)</x:f>
        <x:v>140666.18336</x:v>
      </x:c>
      <x:c r="G1034" s="12" t="n">
        <x:f>MAX(G1033,F1034)</x:f>
        <x:v>149795.372</x:v>
      </x:c>
      <x:c r="H1034" s="14" t="n">
        <x:f>F1034/G1034-1</x:f>
        <x:v>-0.060944397133978256</x:v>
      </x:c>
      <x:c r="I1034" s="14" t="n">
        <x:f>F1034/F1033-1</x:f>
        <x:v>0.00658048288473001</x:v>
      </x:c>
      <x:c r="J1034" s="12" t="n">
        <x:v>0</x:v>
      </x:c>
      <x:c r="K1034" s="12" t="n">
        <x:v>0</x:v>
      </x:c>
      <x:c r="L1034" s="12" t="n">
        <x:v>0</x:v>
      </x:c>
      <x:c r="M1034" s="2" t="str">
        <x:v>持有</x:v>
      </x:c>
    </x:row>
    <x:row r="1035" ht="23" customHeight="1">
      <x:c r="A1035" s="11" t="d">
        <x:v>2019-02-05T00:00:00.000Z</x:v>
      </x:c>
      <x:c r="B1035" s="12" t="n">
        <x:v>9037.54336</x:v>
      </x:c>
      <x:c r="C1035" s="13" t="n">
        <x:v>484</x:v>
      </x:c>
      <x:c r="D1035" s="12" t="n">
        <x:v>132180.40000000002</x:v>
      </x:c>
      <x:c r="E1035" s="12" t="n">
        <x:v>0</x:v>
      </x:c>
      <x:c r="F1035" s="12" t="n">
        <x:f>SUM(B1035,D1035:E1035)</x:f>
        <x:v>141217.94336000003</x:v>
      </x:c>
      <x:c r="G1035" s="12" t="n">
        <x:f>MAX(G1034,F1035)</x:f>
        <x:v>149795.372</x:v>
      </x:c>
      <x:c r="H1035" s="14" t="n">
        <x:f>F1035/G1035-1</x:f>
        <x:v>-0.05726097225487026</x:v>
      </x:c>
      <x:c r="I1035" s="14" t="n">
        <x:f>F1035/F1034-1</x:f>
        <x:v>0.003922477931941559</x:v>
      </x:c>
      <x:c r="J1035" s="12" t="n">
        <x:v>0</x:v>
      </x:c>
      <x:c r="K1035" s="12" t="n">
        <x:v>0</x:v>
      </x:c>
      <x:c r="L1035" s="12" t="n">
        <x:v>0</x:v>
      </x:c>
      <x:c r="M1035" s="2" t="str">
        <x:v>持有</x:v>
      </x:c>
    </x:row>
    <x:row r="1036" ht="23" customHeight="1">
      <x:c r="A1036" s="11" t="d">
        <x:v>2019-02-06T00:00:00.000Z</x:v>
      </x:c>
      <x:c r="B1036" s="12" t="n">
        <x:v>9037.54336</x:v>
      </x:c>
      <x:c r="C1036" s="13" t="n">
        <x:v>484</x:v>
      </x:c>
      <x:c r="D1036" s="12" t="n">
        <x:v>132006.16</x:v>
      </x:c>
      <x:c r="E1036" s="12" t="n">
        <x:v>0</x:v>
      </x:c>
      <x:c r="F1036" s="12" t="n">
        <x:f>SUM(B1036,D1036:E1036)</x:f>
        <x:v>141043.70336</x:v>
      </x:c>
      <x:c r="G1036" s="12" t="n">
        <x:f>MAX(G1035,F1036)</x:f>
        <x:v>149795.372</x:v>
      </x:c>
      <x:c r="H1036" s="14" t="n">
        <x:f>F1036/G1036-1</x:f>
        <x:v>-0.05842415905879916</x:v>
      </x:c>
      <x:c r="I1036" s="14" t="n">
        <x:f>F1036/F1035-1</x:f>
        <x:v>-0.0012338375411390379</x:v>
      </x:c>
      <x:c r="J1036" s="12" t="n">
        <x:v>0</x:v>
      </x:c>
      <x:c r="K1036" s="12" t="n">
        <x:v>0</x:v>
      </x:c>
      <x:c r="L1036" s="12" t="n">
        <x:v>0</x:v>
      </x:c>
      <x:c r="M1036" s="2" t="str">
        <x:v>持有</x:v>
      </x:c>
    </x:row>
    <x:row r="1037" ht="23" customHeight="1">
      <x:c r="A1037" s="11" t="d">
        <x:v>2019-02-07T00:00:00.000Z</x:v>
      </x:c>
      <x:c r="B1037" s="12" t="n">
        <x:v>9037.54336</x:v>
      </x:c>
      <x:c r="C1037" s="13" t="n">
        <x:v>484</x:v>
      </x:c>
      <x:c r="D1037" s="12" t="n">
        <x:v>130747.76</x:v>
      </x:c>
      <x:c r="E1037" s="12" t="n">
        <x:v>0</x:v>
      </x:c>
      <x:c r="F1037" s="12" t="n">
        <x:f>SUM(B1037,D1037:E1037)</x:f>
        <x:v>139785.30336</x:v>
      </x:c>
      <x:c r="G1037" s="12" t="n">
        <x:f>MAX(G1036,F1037)</x:f>
        <x:v>149795.372</x:v>
      </x:c>
      <x:c r="H1037" s="14" t="n">
        <x:f>F1037/G1037-1</x:f>
        <x:v>-0.06682495264272925</x:v>
      </x:c>
      <x:c r="I1037" s="14" t="n">
        <x:f>F1037/F1036-1</x:f>
        <x:v>-0.008922057277438888</x:v>
      </x:c>
      <x:c r="J1037" s="12" t="n">
        <x:v>0</x:v>
      </x:c>
      <x:c r="K1037" s="12" t="n">
        <x:v>0</x:v>
      </x:c>
      <x:c r="L1037" s="12" t="n">
        <x:v>0</x:v>
      </x:c>
      <x:c r="M1037" s="2" t="str">
        <x:v>持有</x:v>
      </x:c>
    </x:row>
    <x:row r="1038" ht="23" customHeight="1">
      <x:c r="A1038" s="11" t="d">
        <x:v>2019-02-08T00:00:00.000Z</x:v>
      </x:c>
      <x:c r="B1038" s="12" t="n">
        <x:v>9037.54336</x:v>
      </x:c>
      <x:c r="C1038" s="13" t="n">
        <x:v>484</x:v>
      </x:c>
      <x:c r="D1038" s="12" t="n">
        <x:v>130907.48000000001</x:v>
      </x:c>
      <x:c r="E1038" s="12" t="n">
        <x:v>0</x:v>
      </x:c>
      <x:c r="F1038" s="12" t="n">
        <x:f>SUM(B1038,D1038:E1038)</x:f>
        <x:v>139945.02336000002</x:v>
      </x:c>
      <x:c r="G1038" s="12" t="n">
        <x:f>MAX(G1037,F1038)</x:f>
        <x:v>149795.372</x:v>
      </x:c>
      <x:c r="H1038" s="14" t="n">
        <x:f>F1038/G1038-1</x:f>
        <x:v>-0.06575869807246104</x:v>
      </x:c>
      <x:c r="I1038" s="14" t="n">
        <x:f>F1038/F1037-1</x:f>
        <x:v>0.0011426093885469335</x:v>
      </x:c>
      <x:c r="J1038" s="12" t="n">
        <x:v>0</x:v>
      </x:c>
      <x:c r="K1038" s="12" t="n">
        <x:v>0</x:v>
      </x:c>
      <x:c r="L1038" s="12" t="n">
        <x:v>0</x:v>
      </x:c>
      <x:c r="M1038" s="2" t="str">
        <x:v>持有</x:v>
      </x:c>
    </x:row>
    <x:row r="1039" ht="23" customHeight="1">
      <x:c r="A1039" s="11" t="d">
        <x:v>2019-02-11T00:00:00.000Z</x:v>
      </x:c>
      <x:c r="B1039" s="12" t="n">
        <x:v>9037.54336</x:v>
      </x:c>
      <x:c r="C1039" s="13" t="n">
        <x:v>484</x:v>
      </x:c>
      <x:c r="D1039" s="12" t="n">
        <x:v>130980.08</x:v>
      </x:c>
      <x:c r="E1039" s="12" t="n">
        <x:v>0</x:v>
      </x:c>
      <x:c r="F1039" s="12" t="n">
        <x:f>SUM(B1039,D1039:E1039)</x:f>
        <x:v>140017.62336</x:v>
      </x:c>
      <x:c r="G1039" s="12" t="n">
        <x:f>MAX(G1038,F1039)</x:f>
        <x:v>149795.372</x:v>
      </x:c>
      <x:c r="H1039" s="14" t="n">
        <x:f>F1039/G1039-1</x:f>
        <x:v>-0.06527403690415756</x:v>
      </x:c>
      <x:c r="I1039" s="14" t="n">
        <x:f>F1039/F1038-1</x:f>
        <x:v>0.0005187751465318691</x:v>
      </x:c>
      <x:c r="J1039" s="12" t="n">
        <x:v>0</x:v>
      </x:c>
      <x:c r="K1039" s="12" t="n">
        <x:v>0</x:v>
      </x:c>
      <x:c r="L1039" s="12" t="n">
        <x:v>0</x:v>
      </x:c>
      <x:c r="M1039" s="2" t="str">
        <x:v>持有</x:v>
      </x:c>
    </x:row>
    <x:row r="1040" ht="23" customHeight="1">
      <x:c r="A1040" s="11" t="d">
        <x:v>2019-02-12T00:00:00.000Z</x:v>
      </x:c>
      <x:c r="B1040" s="12" t="n">
        <x:v>9037.54336</x:v>
      </x:c>
      <x:c r="C1040" s="13" t="n">
        <x:v>484</x:v>
      </x:c>
      <x:c r="D1040" s="12" t="n">
        <x:v>132664.40000000002</x:v>
      </x:c>
      <x:c r="E1040" s="12" t="n">
        <x:v>0</x:v>
      </x:c>
      <x:c r="F1040" s="12" t="n">
        <x:f>SUM(B1040,D1040:E1040)</x:f>
        <x:v>141701.94336000003</x:v>
      </x:c>
      <x:c r="G1040" s="12" t="n">
        <x:f>MAX(G1039,F1040)</x:f>
        <x:v>149795.372</x:v>
      </x:c>
      <x:c r="H1040" s="14" t="n">
        <x:f>F1040/G1040-1</x:f>
        <x:v>-0.054029897799512616</x:v>
      </x:c>
      <x:c r="I1040" s="14" t="n">
        <x:f>F1040/F1039-1</x:f>
        <x:v>0.01202934287542834</x:v>
      </x:c>
      <x:c r="J1040" s="12" t="n">
        <x:v>0</x:v>
      </x:c>
      <x:c r="K1040" s="12" t="n">
        <x:v>0</x:v>
      </x:c>
      <x:c r="L1040" s="12" t="n">
        <x:v>0</x:v>
      </x:c>
      <x:c r="M1040" s="2" t="str">
        <x:v>持有</x:v>
      </x:c>
    </x:row>
    <x:row r="1041" ht="23" customHeight="1">
      <x:c r="A1041" s="11" t="d">
        <x:v>2019-02-13T00:00:00.000Z</x:v>
      </x:c>
      <x:c r="B1041" s="12" t="n">
        <x:v>9037.54336</x:v>
      </x:c>
      <x:c r="C1041" s="13" t="n">
        <x:v>484</x:v>
      </x:c>
      <x:c r="D1041" s="12" t="n">
        <x:v>133095.16</x:v>
      </x:c>
      <x:c r="E1041" s="12" t="n">
        <x:v>0</x:v>
      </x:c>
      <x:c r="F1041" s="12" t="n">
        <x:f>SUM(B1041,D1041:E1041)</x:f>
        <x:v>142132.70336</x:v>
      </x:c>
      <x:c r="G1041" s="12" t="n">
        <x:f>MAX(G1040,F1041)</x:f>
        <x:v>149795.372</x:v>
      </x:c>
      <x:c r="H1041" s="14" t="n">
        <x:f>F1041/G1041-1</x:f>
        <x:v>-0.051154241534244416</x:v>
      </x:c>
      <x:c r="I1041" s="14" t="n">
        <x:f>F1041/F1040-1</x:f>
        <x:v>0.0030399018516324983</x:v>
      </x:c>
      <x:c r="J1041" s="12" t="n">
        <x:v>0</x:v>
      </x:c>
      <x:c r="K1041" s="12" t="n">
        <x:v>0</x:v>
      </x:c>
      <x:c r="L1041" s="12" t="n">
        <x:v>0</x:v>
      </x:c>
      <x:c r="M1041" s="2" t="str">
        <x:v>持有</x:v>
      </x:c>
    </x:row>
    <x:row r="1042" ht="23" customHeight="1">
      <x:c r="A1042" s="11" t="d">
        <x:v>2019-02-14T00:00:00.000Z</x:v>
      </x:c>
      <x:c r="B1042" s="12" t="n">
        <x:v>9037.54336</x:v>
      </x:c>
      <x:c r="C1042" s="13" t="n">
        <x:v>484</x:v>
      </x:c>
      <x:c r="D1042" s="12" t="n">
        <x:v>132799.91999999998</x:v>
      </x:c>
      <x:c r="E1042" s="12" t="n">
        <x:v>0</x:v>
      </x:c>
      <x:c r="F1042" s="12" t="n">
        <x:f>SUM(B1042,D1042:E1042)</x:f>
        <x:v>141837.46336</x:v>
      </x:c>
      <x:c r="G1042" s="12" t="n">
        <x:f>MAX(G1041,F1042)</x:f>
        <x:v>149795.372</x:v>
      </x:c>
      <x:c r="H1042" s="14" t="n">
        <x:f>F1042/G1042-1</x:f>
        <x:v>-0.05312519695201268</x:v>
      </x:c>
      <x:c r="I1042" s="14" t="n">
        <x:f>F1042/F1041-1</x:f>
        <x:v>-0.0020772137095868004</x:v>
      </x:c>
      <x:c r="J1042" s="12" t="n">
        <x:v>0</x:v>
      </x:c>
      <x:c r="K1042" s="12" t="n">
        <x:v>0</x:v>
      </x:c>
      <x:c r="L1042" s="12" t="n">
        <x:v>0</x:v>
      </x:c>
      <x:c r="M1042" s="2" t="str">
        <x:v>持有</x:v>
      </x:c>
    </x:row>
    <x:row r="1043" ht="23" customHeight="1">
      <x:c r="A1043" s="11" t="d">
        <x:v>2019-02-15T00:00:00.000Z</x:v>
      </x:c>
      <x:c r="B1043" s="12" t="n">
        <x:v>9037.54336</x:v>
      </x:c>
      <x:c r="C1043" s="13" t="n">
        <x:v>484</x:v>
      </x:c>
      <x:c r="D1043" s="12" t="n">
        <x:v>134247.08000000002</x:v>
      </x:c>
      <x:c r="E1043" s="12" t="n">
        <x:v>0</x:v>
      </x:c>
      <x:c r="F1043" s="12" t="n">
        <x:f>SUM(B1043,D1043:E1043)</x:f>
        <x:v>143284.62336000003</x:v>
      </x:c>
      <x:c r="G1043" s="12" t="n">
        <x:f>MAX(G1042,F1043)</x:f>
        <x:v>149795.372</x:v>
      </x:c>
      <x:c r="H1043" s="14" t="n">
        <x:f>F1043/G1043-1</x:f>
        <x:v>-0.043464284330492986</x:v>
      </x:c>
      <x:c r="I1043" s="14" t="n">
        <x:f>F1043/F1042-1</x:f>
        <x:v>0.010202946144961533</x:v>
      </x:c>
      <x:c r="J1043" s="12" t="n">
        <x:v>0</x:v>
      </x:c>
      <x:c r="K1043" s="12" t="n">
        <x:v>0</x:v>
      </x:c>
      <x:c r="L1043" s="12" t="n">
        <x:v>0</x:v>
      </x:c>
      <x:c r="M1043" s="2" t="str">
        <x:v>持有</x:v>
      </x:c>
    </x:row>
    <x:row r="1044" ht="23" customHeight="1">
      <x:c r="A1044" s="11" t="d">
        <x:v>2019-02-19T00:00:00.000Z</x:v>
      </x:c>
      <x:c r="B1044" s="12" t="n">
        <x:v>9037.54336</x:v>
      </x:c>
      <x:c r="C1044" s="13" t="n">
        <x:v>484</x:v>
      </x:c>
      <x:c r="D1044" s="12" t="n">
        <x:v>134479.40000000002</x:v>
      </x:c>
      <x:c r="E1044" s="12" t="n">
        <x:v>0</x:v>
      </x:c>
      <x:c r="F1044" s="12" t="n">
        <x:f>SUM(B1044,D1044:E1044)</x:f>
        <x:v>143516.94336000003</x:v>
      </x:c>
      <x:c r="G1044" s="12" t="n">
        <x:f>MAX(G1043,F1044)</x:f>
        <x:v>149795.372</x:v>
      </x:c>
      <x:c r="H1044" s="14" t="n">
        <x:f>F1044/G1044-1</x:f>
        <x:v>-0.041913368591921296</x:v>
      </x:c>
      <x:c r="I1044" s="14" t="n">
        <x:f>F1044/F1043-1</x:f>
        <x:v>0.0016213882170474925</x:v>
      </x:c>
      <x:c r="J1044" s="12" t="n">
        <x:v>0</x:v>
      </x:c>
      <x:c r="K1044" s="12" t="n">
        <x:v>0</x:v>
      </x:c>
      <x:c r="L1044" s="12" t="n">
        <x:v>0</x:v>
      </x:c>
      <x:c r="M1044" s="2" t="str">
        <x:v>持有</x:v>
      </x:c>
    </x:row>
    <x:row r="1045" ht="23" customHeight="1">
      <x:c r="A1045" s="11" t="d">
        <x:v>2019-02-20T00:00:00.000Z</x:v>
      </x:c>
      <x:c r="B1045" s="12" t="n">
        <x:v>9037.54336</x:v>
      </x:c>
      <x:c r="C1045" s="13" t="n">
        <x:v>484</x:v>
      </x:c>
      <x:c r="D1045" s="12" t="n">
        <x:v>134750.44</x:v>
      </x:c>
      <x:c r="E1045" s="12" t="n">
        <x:v>0</x:v>
      </x:c>
      <x:c r="F1045" s="12" t="n">
        <x:f>SUM(B1045,D1045:E1045)</x:f>
        <x:v>143787.98336</x:v>
      </x:c>
      <x:c r="G1045" s="12" t="n">
        <x:f>MAX(G1044,F1045)</x:f>
        <x:v>149795.372</x:v>
      </x:c>
      <x:c r="H1045" s="14" t="n">
        <x:f>F1045/G1045-1</x:f>
        <x:v>-0.040103966896921195</x:v>
      </x:c>
      <x:c r="I1045" s="14" t="n">
        <x:f>F1045/F1044-1</x:f>
        <x:v>0.0018885575016749367</x:v>
      </x:c>
      <x:c r="J1045" s="12" t="n">
        <x:v>0</x:v>
      </x:c>
      <x:c r="K1045" s="12" t="n">
        <x:v>0</x:v>
      </x:c>
      <x:c r="L1045" s="12" t="n">
        <x:v>0</x:v>
      </x:c>
      <x:c r="M1045" s="2" t="str">
        <x:v>持有</x:v>
      </x:c>
    </x:row>
    <x:row r="1046" ht="23" customHeight="1">
      <x:c r="A1046" s="11" t="d">
        <x:v>2019-02-21T00:00:00.000Z</x:v>
      </x:c>
      <x:c r="B1046" s="12" t="n">
        <x:v>9037.54336</x:v>
      </x:c>
      <x:c r="C1046" s="13" t="n">
        <x:v>484</x:v>
      </x:c>
      <x:c r="D1046" s="12" t="n">
        <x:v>134271.28</x:v>
      </x:c>
      <x:c r="E1046" s="12" t="n">
        <x:v>0</x:v>
      </x:c>
      <x:c r="F1046" s="12" t="n">
        <x:f>SUM(B1046,D1046:E1046)</x:f>
        <x:v>143308.82336</x:v>
      </x:c>
      <x:c r="G1046" s="12" t="n">
        <x:f>MAX(G1045,F1046)</x:f>
        <x:v>149795.372</x:v>
      </x:c>
      <x:c r="H1046" s="14" t="n">
        <x:f>F1046/G1046-1</x:f>
        <x:v>-0.04330273060772527</x:v>
      </x:c>
      <x:c r="I1046" s="14" t="n">
        <x:f>F1046/F1045-1</x:f>
        <x:v>-0.00333240642787469</x:v>
      </x:c>
      <x:c r="J1046" s="12" t="n">
        <x:v>0</x:v>
      </x:c>
      <x:c r="K1046" s="12" t="n">
        <x:v>0</x:v>
      </x:c>
      <x:c r="L1046" s="12" t="n">
        <x:v>0</x:v>
      </x:c>
      <x:c r="M1046" s="2" t="str">
        <x:v>持有</x:v>
      </x:c>
    </x:row>
    <x:row r="1047" ht="23" customHeight="1">
      <x:c r="A1047" s="11" t="d">
        <x:v>2019-02-22T00:00:00.000Z</x:v>
      </x:c>
      <x:c r="B1047" s="12" t="n">
        <x:v>9037.54336</x:v>
      </x:c>
      <x:c r="C1047" s="13" t="n">
        <x:v>484</x:v>
      </x:c>
      <x:c r="D1047" s="12" t="n">
        <x:v>135103.75999999998</x:v>
      </x:c>
      <x:c r="E1047" s="12" t="n">
        <x:v>0</x:v>
      </x:c>
      <x:c r="F1047" s="12" t="n">
        <x:f>SUM(B1047,D1047:E1047)</x:f>
        <x:v>144141.30336</x:v>
      </x:c>
      <x:c r="G1047" s="12" t="n">
        <x:f>MAX(G1046,F1047)</x:f>
        <x:v>149795.372</x:v>
      </x:c>
      <x:c r="H1047" s="14" t="n">
        <x:f>F1047/G1047-1</x:f>
        <x:v>-0.03774528254451015</x:v>
      </x:c>
      <x:c r="I1047" s="14" t="n">
        <x:f>F1047/F1046-1</x:f>
        <x:v>0.005808993336779755</x:v>
      </x:c>
      <x:c r="J1047" s="12" t="n">
        <x:v>0</x:v>
      </x:c>
      <x:c r="K1047" s="12" t="n">
        <x:v>0</x:v>
      </x:c>
      <x:c r="L1047" s="12" t="n">
        <x:v>0</x:v>
      </x:c>
      <x:c r="M1047" s="2" t="str">
        <x:v>持有</x:v>
      </x:c>
    </x:row>
    <x:row r="1048" ht="23" customHeight="1">
      <x:c r="A1048" s="11" t="d">
        <x:v>2019-02-25T00:00:00.000Z</x:v>
      </x:c>
      <x:c r="B1048" s="12" t="n">
        <x:v>9037.54336</x:v>
      </x:c>
      <x:c r="C1048" s="13" t="n">
        <x:v>484</x:v>
      </x:c>
      <x:c r="D1048" s="12" t="n">
        <x:v>135287.68</x:v>
      </x:c>
      <x:c r="E1048" s="12" t="n">
        <x:v>0</x:v>
      </x:c>
      <x:c r="F1048" s="12" t="n">
        <x:f>SUM(B1048,D1048:E1048)</x:f>
        <x:v>144325.22336</x:v>
      </x:c>
      <x:c r="G1048" s="12" t="n">
        <x:f>MAX(G1047,F1048)</x:f>
        <x:v>149795.372</x:v>
      </x:c>
      <x:c r="H1048" s="14" t="n">
        <x:f>F1048/G1048-1</x:f>
        <x:v>-0.036517474251474225</x:v>
      </x:c>
      <x:c r="I1048" s="14" t="n">
        <x:f>F1048/F1047-1</x:f>
        <x:v>0.0012759701467430773</x:v>
      </x:c>
      <x:c r="J1048" s="12" t="n">
        <x:v>0</x:v>
      </x:c>
      <x:c r="K1048" s="12" t="n">
        <x:v>0</x:v>
      </x:c>
      <x:c r="L1048" s="12" t="n">
        <x:v>0</x:v>
      </x:c>
      <x:c r="M1048" s="2" t="str">
        <x:v>持有</x:v>
      </x:c>
    </x:row>
    <x:row r="1049" ht="23" customHeight="1">
      <x:c r="A1049" s="11" t="d">
        <x:v>2019-02-26T00:00:00.000Z</x:v>
      </x:c>
      <x:c r="B1049" s="12" t="n">
        <x:v>9037.54336</x:v>
      </x:c>
      <x:c r="C1049" s="13" t="n">
        <x:v>484</x:v>
      </x:c>
      <x:c r="D1049" s="12" t="n">
        <x:v>135190.88</x:v>
      </x:c>
      <x:c r="E1049" s="12" t="n">
        <x:v>0</x:v>
      </x:c>
      <x:c r="F1049" s="12" t="n">
        <x:f>SUM(B1049,D1049:E1049)</x:f>
        <x:v>144228.42336000002</x:v>
      </x:c>
      <x:c r="G1049" s="12" t="n">
        <x:f>MAX(G1048,F1049)</x:f>
        <x:v>149795.372</x:v>
      </x:c>
      <x:c r="H1049" s="14" t="n">
        <x:f>F1049/G1049-1</x:f>
        <x:v>-0.03716368914254564</x:v>
      </x:c>
      <x:c r="I1049" s="14" t="n">
        <x:f>F1049/F1048-1</x:f>
        <x:v>-0.0006707074324668882</x:v>
      </x:c>
      <x:c r="J1049" s="12" t="n">
        <x:v>0</x:v>
      </x:c>
      <x:c r="K1049" s="12" t="n">
        <x:v>0</x:v>
      </x:c>
      <x:c r="L1049" s="12" t="n">
        <x:v>0</x:v>
      </x:c>
      <x:c r="M1049" s="2" t="str">
        <x:v>持有</x:v>
      </x:c>
    </x:row>
    <x:row r="1050" ht="23" customHeight="1">
      <x:c r="A1050" s="11" t="d">
        <x:v>2019-02-27T00:00:00.000Z</x:v>
      </x:c>
      <x:c r="B1050" s="12" t="n">
        <x:v>9037.54336</x:v>
      </x:c>
      <x:c r="C1050" s="13" t="n">
        <x:v>484</x:v>
      </x:c>
      <x:c r="D1050" s="12" t="n">
        <x:v>135132.8</x:v>
      </x:c>
      <x:c r="E1050" s="12" t="n">
        <x:v>0</x:v>
      </x:c>
      <x:c r="F1050" s="12" t="n">
        <x:f>SUM(B1050,D1050:E1050)</x:f>
        <x:v>144170.34336</x:v>
      </x:c>
      <x:c r="G1050" s="12" t="n">
        <x:f>MAX(G1049,F1050)</x:f>
        <x:v>149795.372</x:v>
      </x:c>
      <x:c r="H1050" s="14" t="n">
        <x:f>F1050/G1050-1</x:f>
        <x:v>-0.03755141807718865</x:v>
      </x:c>
      <x:c r="I1050" s="14" t="n">
        <x:f>F1050/F1049-1</x:f>
        <x:v>-0.00040269454970776053</x:v>
      </x:c>
      <x:c r="J1050" s="12" t="n">
        <x:v>0</x:v>
      </x:c>
      <x:c r="K1050" s="12" t="n">
        <x:v>0</x:v>
      </x:c>
      <x:c r="L1050" s="12" t="n">
        <x:v>0</x:v>
      </x:c>
      <x:c r="M1050" s="2" t="str">
        <x:v>持有</x:v>
      </x:c>
    </x:row>
    <x:row r="1051" ht="23" customHeight="1">
      <x:c r="A1051" s="11" t="d">
        <x:v>2019-02-28T00:00:00.000Z</x:v>
      </x:c>
      <x:c r="B1051" s="12" t="n">
        <x:v>9037.54336</x:v>
      </x:c>
      <x:c r="C1051" s="13" t="n">
        <x:v>484</x:v>
      </x:c>
      <x:c r="D1051" s="12" t="n">
        <x:v>134881.12</x:v>
      </x:c>
      <x:c r="E1051" s="12" t="n">
        <x:v>0</x:v>
      </x:c>
      <x:c r="F1051" s="12" t="n">
        <x:f>SUM(B1051,D1051:E1051)</x:f>
        <x:v>143918.66336</x:v>
      </x:c>
      <x:c r="G1051" s="12" t="n">
        <x:f>MAX(G1050,F1051)</x:f>
        <x:v>149795.372</x:v>
      </x:c>
      <x:c r="H1051" s="14" t="n">
        <x:f>F1051/G1051-1</x:f>
        <x:v>-0.0392315767939746</x:v>
      </x:c>
      <x:c r="I1051" s="14" t="n">
        <x:f>F1051/F1050-1</x:f>
        <x:v>-0.0017457127043911669</x:v>
      </x:c>
      <x:c r="J1051" s="12" t="n">
        <x:v>0</x:v>
      </x:c>
      <x:c r="K1051" s="12" t="n">
        <x:v>0</x:v>
      </x:c>
      <x:c r="L1051" s="12" t="n">
        <x:v>0</x:v>
      </x:c>
      <x:c r="M1051" s="2" t="str">
        <x:v>持有</x:v>
      </x:c>
    </x:row>
    <x:row r="1052" ht="23" customHeight="1">
      <x:c r="A1052" s="11" t="d">
        <x:v>2019-03-01T00:00:00.000Z</x:v>
      </x:c>
      <x:c r="B1052" s="12" t="n">
        <x:v>9037.54336</x:v>
      </x:c>
      <x:c r="C1052" s="13" t="n">
        <x:v>484</x:v>
      </x:c>
      <x:c r="D1052" s="12" t="n">
        <x:v>135723.28</x:v>
      </x:c>
      <x:c r="E1052" s="12" t="n">
        <x:v>0</x:v>
      </x:c>
      <x:c r="F1052" s="12" t="n">
        <x:f>SUM(B1052,D1052:E1052)</x:f>
        <x:v>144760.82336</x:v>
      </x:c>
      <x:c r="G1052" s="12" t="n">
        <x:f>MAX(G1051,F1052)</x:f>
        <x:v>149795.372</x:v>
      </x:c>
      <x:c r="H1052" s="14" t="n">
        <x:f>F1052/G1052-1</x:f>
        <x:v>-0.03360950724165224</x:v>
      </x:c>
      <x:c r="I1052" s="14" t="n">
        <x:f>F1052/F1051-1</x:f>
        <x:v>0.005851638559853933</x:v>
      </x:c>
      <x:c r="J1052" s="12" t="n">
        <x:v>0</x:v>
      </x:c>
      <x:c r="K1052" s="12" t="n">
        <x:v>0</x:v>
      </x:c>
      <x:c r="L1052" s="12" t="n">
        <x:v>0</x:v>
      </x:c>
      <x:c r="M1052" s="2" t="str">
        <x:v>持有</x:v>
      </x:c>
    </x:row>
    <x:row r="1053" ht="23" customHeight="1">
      <x:c r="A1053" s="11" t="d">
        <x:v>2019-03-04T00:00:00.000Z</x:v>
      </x:c>
      <x:c r="B1053" s="12" t="n">
        <x:v>9037.54336</x:v>
      </x:c>
      <x:c r="C1053" s="13" t="n">
        <x:v>484</x:v>
      </x:c>
      <x:c r="D1053" s="12" t="n">
        <x:v>135229.59999999998</x:v>
      </x:c>
      <x:c r="E1053" s="12" t="n">
        <x:v>0</x:v>
      </x:c>
      <x:c r="F1053" s="12" t="n">
        <x:f>SUM(B1053,D1053:E1053)</x:f>
        <x:v>144267.14336</x:v>
      </x:c>
      <x:c r="G1053" s="12" t="n">
        <x:f>MAX(G1052,F1053)</x:f>
        <x:v>149795.372</x:v>
      </x:c>
      <x:c r="H1053" s="14" t="n">
        <x:f>F1053/G1053-1</x:f>
        <x:v>-0.03690520318611723</x:v>
      </x:c>
      <x:c r="I1053" s="14" t="n">
        <x:f>F1053/F1052-1</x:f>
        <x:v>-0.0034103149494549845</x:v>
      </x:c>
      <x:c r="J1053" s="12" t="n">
        <x:v>0</x:v>
      </x:c>
      <x:c r="K1053" s="12" t="n">
        <x:v>0</x:v>
      </x:c>
      <x:c r="L1053" s="12" t="n">
        <x:v>0</x:v>
      </x:c>
      <x:c r="M1053" s="2" t="str">
        <x:v>持有</x:v>
      </x:c>
    </x:row>
    <x:row r="1054" ht="23" customHeight="1">
      <x:c r="A1054" s="11" t="d">
        <x:v>2019-03-05T00:00:00.000Z</x:v>
      </x:c>
      <x:c r="B1054" s="12" t="n">
        <x:v>9037.54336</x:v>
      </x:c>
      <x:c r="C1054" s="13" t="n">
        <x:v>484</x:v>
      </x:c>
      <x:c r="D1054" s="12" t="n">
        <x:v>135045.68</x:v>
      </x:c>
      <x:c r="E1054" s="12" t="n">
        <x:v>0</x:v>
      </x:c>
      <x:c r="F1054" s="12" t="n">
        <x:f>SUM(B1054,D1054:E1054)</x:f>
        <x:v>144083.22336</x:v>
      </x:c>
      <x:c r="G1054" s="12" t="n">
        <x:f>MAX(G1053,F1054)</x:f>
        <x:v>149795.372</x:v>
      </x:c>
      <x:c r="H1054" s="14" t="n">
        <x:f>F1054/G1054-1</x:f>
        <x:v>-0.038133011479153045</x:v>
      </x:c>
      <x:c r="I1054" s="14" t="n">
        <x:f>F1054/F1053-1</x:f>
        <x:v>-0.0012748571553886645</x:v>
      </x:c>
      <x:c r="J1054" s="12" t="n">
        <x:v>0</x:v>
      </x:c>
      <x:c r="K1054" s="12" t="n">
        <x:v>0</x:v>
      </x:c>
      <x:c r="L1054" s="12" t="n">
        <x:v>0</x:v>
      </x:c>
      <x:c r="M1054" s="2" t="str">
        <x:v>持有</x:v>
      </x:c>
    </x:row>
    <x:row r="1055" ht="23" customHeight="1">
      <x:c r="A1055" s="11" t="d">
        <x:v>2019-03-06T00:00:00.000Z</x:v>
      </x:c>
      <x:c r="B1055" s="12" t="n">
        <x:v>9037.54336</x:v>
      </x:c>
      <x:c r="C1055" s="13" t="n">
        <x:v>484</x:v>
      </x:c>
      <x:c r="D1055" s="12" t="n">
        <x:v>134227.72</x:v>
      </x:c>
      <x:c r="E1055" s="12" t="n">
        <x:v>0</x:v>
      </x:c>
      <x:c r="F1055" s="12" t="n">
        <x:f>SUM(B1055,D1055:E1055)</x:f>
        <x:v>143265.26336</x:v>
      </x:c>
      <x:c r="G1055" s="12" t="n">
        <x:f>MAX(G1054,F1055)</x:f>
        <x:v>149795.372</x:v>
      </x:c>
      <x:c r="H1055" s="14" t="n">
        <x:f>F1055/G1055-1</x:f>
        <x:v>-0.04359352730870747</x:v>
      </x:c>
      <x:c r="I1055" s="14" t="n">
        <x:f>F1055/F1054-1</x:f>
        <x:v>-0.005676996814238944</x:v>
      </x:c>
      <x:c r="J1055" s="12" t="n">
        <x:v>0</x:v>
      </x:c>
      <x:c r="K1055" s="12" t="n">
        <x:v>0</x:v>
      </x:c>
      <x:c r="L1055" s="12" t="n">
        <x:v>0</x:v>
      </x:c>
      <x:c r="M1055" s="2" t="str">
        <x:v>持有</x:v>
      </x:c>
    </x:row>
    <x:row r="1056" ht="23" customHeight="1">
      <x:c r="A1056" s="11" t="d">
        <x:v>2019-03-07T00:00:00.000Z</x:v>
      </x:c>
      <x:c r="B1056" s="12" t="n">
        <x:v>9037.54336</x:v>
      </x:c>
      <x:c r="C1056" s="13" t="n">
        <x:v>484</x:v>
      </x:c>
      <x:c r="D1056" s="12" t="n">
        <x:v>133104.84</x:v>
      </x:c>
      <x:c r="E1056" s="12" t="n">
        <x:v>0</x:v>
      </x:c>
      <x:c r="F1056" s="12" t="n">
        <x:f>SUM(B1056,D1056:E1056)</x:f>
        <x:v>142142.38336</x:v>
      </x:c>
      <x:c r="G1056" s="12" t="n">
        <x:f>MAX(G1055,F1056)</x:f>
        <x:v>149795.372</x:v>
      </x:c>
      <x:c r="H1056" s="14" t="n">
        <x:f>F1056/G1056-1</x:f>
        <x:v>-0.051089620045137285</x:v>
      </x:c>
      <x:c r="I1056" s="14" t="n">
        <x:f>F1056/F1055-1</x:f>
        <x:v>-0.007837768721217553</x:v>
      </x:c>
      <x:c r="J1056" s="12" t="n">
        <x:v>0</x:v>
      </x:c>
      <x:c r="K1056" s="12" t="n">
        <x:v>0</x:v>
      </x:c>
      <x:c r="L1056" s="12" t="n">
        <x:v>0</x:v>
      </x:c>
      <x:c r="M1056" s="2" t="str">
        <x:v>持有</x:v>
      </x:c>
    </x:row>
    <x:row r="1057" ht="23" customHeight="1">
      <x:c r="A1057" s="11" t="d">
        <x:v>2019-03-08T00:00:00.000Z</x:v>
      </x:c>
      <x:c r="B1057" s="12" t="n">
        <x:v>9037.54336</x:v>
      </x:c>
      <x:c r="C1057" s="13" t="n">
        <x:v>484</x:v>
      </x:c>
      <x:c r="D1057" s="12" t="n">
        <x:v>132838.63999999998</x:v>
      </x:c>
      <x:c r="E1057" s="12" t="n">
        <x:v>0</x:v>
      </x:c>
      <x:c r="F1057" s="12" t="n">
        <x:f>SUM(B1057,D1057:E1057)</x:f>
        <x:v>141876.18336</x:v>
      </x:c>
      <x:c r="G1057" s="12" t="n">
        <x:f>MAX(G1056,F1057)</x:f>
        <x:v>149795.372</x:v>
      </x:c>
      <x:c r="H1057" s="14" t="n">
        <x:f>F1057/G1057-1</x:f>
        <x:v>-0.05286671099558404</x:v>
      </x:c>
      <x:c r="I1057" s="14" t="n">
        <x:f>F1057/F1056-1</x:f>
        <x:v>-0.0018727700613110354</x:v>
      </x:c>
      <x:c r="J1057" s="12" t="n">
        <x:v>0</x:v>
      </x:c>
      <x:c r="K1057" s="12" t="n">
        <x:v>0</x:v>
      </x:c>
      <x:c r="L1057" s="12" t="n">
        <x:v>0</x:v>
      </x:c>
      <x:c r="M1057" s="2" t="str">
        <x:v>持有</x:v>
      </x:c>
    </x:row>
    <x:row r="1058" ht="23" customHeight="1">
      <x:c r="A1058" s="11" t="d">
        <x:v>2019-03-11T00:00:00.000Z</x:v>
      </x:c>
      <x:c r="B1058" s="12" t="n">
        <x:v>9037.54336</x:v>
      </x:c>
      <x:c r="C1058" s="13" t="n">
        <x:v>484</x:v>
      </x:c>
      <x:c r="D1058" s="12" t="n">
        <x:v>134764.96</x:v>
      </x:c>
      <x:c r="E1058" s="12" t="n">
        <x:v>0</x:v>
      </x:c>
      <x:c r="F1058" s="12" t="n">
        <x:f>SUM(B1058,D1058:E1058)</x:f>
        <x:v>143802.50336</x:v>
      </x:c>
      <x:c r="G1058" s="12" t="n">
        <x:f>MAX(G1057,F1058)</x:f>
        <x:v>149795.372</x:v>
      </x:c>
      <x:c r="H1058" s="14" t="n">
        <x:f>F1058/G1058-1</x:f>
        <x:v>-0.0400070346632605</x:v>
      </x:c>
      <x:c r="I1058" s="14" t="n">
        <x:f>F1058/F1057-1</x:f>
        <x:v>0.013577472655238454</x:v>
      </x:c>
      <x:c r="J1058" s="12" t="n">
        <x:v>0</x:v>
      </x:c>
      <x:c r="K1058" s="12" t="n">
        <x:v>0</x:v>
      </x:c>
      <x:c r="L1058" s="12" t="n">
        <x:v>0</x:v>
      </x:c>
      <x:c r="M1058" s="2" t="str">
        <x:v>持有</x:v>
      </x:c>
    </x:row>
    <x:row r="1059" ht="23" customHeight="1">
      <x:c r="A1059" s="11" t="d">
        <x:v>2019-03-12T00:00:00.000Z</x:v>
      </x:c>
      <x:c r="B1059" s="12" t="n">
        <x:v>9037.54336</x:v>
      </x:c>
      <x:c r="C1059" s="13" t="n">
        <x:v>484</x:v>
      </x:c>
      <x:c r="D1059" s="12" t="n">
        <x:v>135273.16</x:v>
      </x:c>
      <x:c r="E1059" s="12" t="n">
        <x:v>0</x:v>
      </x:c>
      <x:c r="F1059" s="12" t="n">
        <x:f>SUM(B1059,D1059:E1059)</x:f>
        <x:v>144310.70336</x:v>
      </x:c>
      <x:c r="G1059" s="12" t="n">
        <x:f>MAX(G1058,F1059)</x:f>
        <x:v>149795.372</x:v>
      </x:c>
      <x:c r="H1059" s="14" t="n">
        <x:f>F1059/G1059-1</x:f>
        <x:v>-0.03661440648513481</x:v>
      </x:c>
      <x:c r="I1059" s="14" t="n">
        <x:f>F1059/F1058-1</x:f>
        <x:v>0.0035340135820012275</x:v>
      </x:c>
      <x:c r="J1059" s="12" t="n">
        <x:v>0</x:v>
      </x:c>
      <x:c r="K1059" s="12" t="n">
        <x:v>0</x:v>
      </x:c>
      <x:c r="L1059" s="12" t="n">
        <x:v>0</x:v>
      </x:c>
      <x:c r="M1059" s="2" t="str">
        <x:v>持有</x:v>
      </x:c>
    </x:row>
    <x:row r="1060" ht="23" customHeight="1">
      <x:c r="A1060" s="11" t="d">
        <x:v>2019-03-13T00:00:00.000Z</x:v>
      </x:c>
      <x:c r="B1060" s="12" t="n">
        <x:v>9037.54336</x:v>
      </x:c>
      <x:c r="C1060" s="13" t="n">
        <x:v>484</x:v>
      </x:c>
      <x:c r="D1060" s="12" t="n">
        <x:v>136168.56</x:v>
      </x:c>
      <x:c r="E1060" s="12" t="n">
        <x:v>0</x:v>
      </x:c>
      <x:c r="F1060" s="12" t="n">
        <x:f>SUM(B1060,D1060:E1060)</x:f>
        <x:v>145206.10336</x:v>
      </x:c>
      <x:c r="G1060" s="12" t="n">
        <x:f>MAX(G1059,F1060)</x:f>
        <x:v>149795.372</x:v>
      </x:c>
      <x:c r="H1060" s="14" t="n">
        <x:f>F1060/G1060-1</x:f>
        <x:v>-0.03063691874272323</x:v>
      </x:c>
      <x:c r="I1060" s="14" t="n">
        <x:f>F1060/F1059-1</x:f>
        <x:v>0.006204667977858236</x:v>
      </x:c>
      <x:c r="J1060" s="12" t="n">
        <x:v>0</x:v>
      </x:c>
      <x:c r="K1060" s="12" t="n">
        <x:v>0</x:v>
      </x:c>
      <x:c r="L1060" s="12" t="n">
        <x:v>0</x:v>
      </x:c>
      <x:c r="M1060" s="2" t="str">
        <x:v>持有</x:v>
      </x:c>
    </x:row>
    <x:row r="1061" ht="23" customHeight="1">
      <x:c r="A1061" s="11" t="d">
        <x:v>2019-03-14T00:00:00.000Z</x:v>
      </x:c>
      <x:c r="B1061" s="12" t="n">
        <x:v>9037.54336</x:v>
      </x:c>
      <x:c r="C1061" s="13" t="n">
        <x:v>484</x:v>
      </x:c>
      <x:c r="D1061" s="12" t="n">
        <x:v>136081.44</x:v>
      </x:c>
      <x:c r="E1061" s="12" t="n">
        <x:v>0</x:v>
      </x:c>
      <x:c r="F1061" s="12" t="n">
        <x:f>SUM(B1061,D1061:E1061)</x:f>
        <x:v>145118.98336</x:v>
      </x:c>
      <x:c r="G1061" s="12" t="n">
        <x:f>MAX(G1060,F1061)</x:f>
        <x:v>149795.372</x:v>
      </x:c>
      <x:c r="H1061" s="14" t="n">
        <x:f>F1061/G1061-1</x:f>
        <x:v>-0.031218512144687516</x:v>
      </x:c>
      <x:c r="I1061" s="14" t="n">
        <x:f>F1061/F1060-1</x:f>
        <x:v>-0.000599974780564172</x:v>
      </x:c>
      <x:c r="J1061" s="12" t="n">
        <x:v>0</x:v>
      </x:c>
      <x:c r="K1061" s="12" t="n">
        <x:v>0</x:v>
      </x:c>
      <x:c r="L1061" s="12" t="n">
        <x:v>0</x:v>
      </x:c>
      <x:c r="M1061" s="2" t="str">
        <x:v>持有</x:v>
      </x:c>
    </x:row>
    <x:row r="1062" ht="23" customHeight="1">
      <x:c r="A1062" s="11" t="d">
        <x:v>2019-03-15T00:00:00.000Z</x:v>
      </x:c>
      <x:c r="B1062" s="12" t="n">
        <x:v>9037.54336</x:v>
      </x:c>
      <x:c r="C1062" s="13" t="n">
        <x:v>484</x:v>
      </x:c>
      <x:c r="D1062" s="12" t="n">
        <x:v>136154.04</x:v>
      </x:c>
      <x:c r="E1062" s="12" t="n">
        <x:v>596.829596</x:v>
      </x:c>
      <x:c r="F1062" s="12" t="n">
        <x:f>SUM(B1062,D1062:E1062)</x:f>
        <x:v>145788.41295600001</x:v>
      </x:c>
      <x:c r="G1062" s="12" t="n">
        <x:f>MAX(G1061,F1062)</x:f>
        <x:v>149795.372</x:v>
      </x:c>
      <x:c r="H1062" s="14" t="n">
        <x:f>F1062/G1062-1</x:f>
        <x:v>-0.02674955167506765</x:v>
      </x:c>
      <x:c r="I1062" s="14" t="n">
        <x:f>F1062/F1061-1</x:f>
        <x:v>0.00461297054665355</x:v>
      </x:c>
      <x:c r="J1062" s="12" t="n">
        <x:v>596.829596</x:v>
      </x:c>
      <x:c r="K1062" s="12" t="n">
        <x:v>0</x:v>
      </x:c>
      <x:c r="L1062" s="12" t="n">
        <x:v>0</x:v>
      </x:c>
      <x:c r="M1062" s="2" t="str">
        <x:v>持有</x:v>
      </x:c>
    </x:row>
    <x:row r="1063" ht="23" customHeight="1">
      <x:c r="A1063" s="11" t="d">
        <x:v>2019-03-18T00:00:00.000Z</x:v>
      </x:c>
      <x:c r="B1063" s="12" t="n">
        <x:v>9037.54336</x:v>
      </x:c>
      <x:c r="C1063" s="13" t="n">
        <x:v>484</x:v>
      </x:c>
      <x:c r="D1063" s="12" t="n">
        <x:v>136647.72</x:v>
      </x:c>
      <x:c r="E1063" s="12" t="n">
        <x:v>596.829596</x:v>
      </x:c>
      <x:c r="F1063" s="12" t="n">
        <x:f>SUM(B1063,D1063:E1063)</x:f>
        <x:v>146282.092956</x:v>
      </x:c>
      <x:c r="G1063" s="12" t="n">
        <x:f>MAX(G1062,F1063)</x:f>
        <x:v>149795.372</x:v>
      </x:c>
      <x:c r="H1063" s="14" t="n">
        <x:f>F1063/G1063-1</x:f>
        <x:v>-0.02345385573060288</x:v>
      </x:c>
      <x:c r="I1063" s="14" t="n">
        <x:f>F1063/F1062-1</x:f>
        <x:v>0.00338627734529906</x:v>
      </x:c>
      <x:c r="J1063" s="12" t="n">
        <x:v>0</x:v>
      </x:c>
      <x:c r="K1063" s="12" t="n">
        <x:v>0</x:v>
      </x:c>
      <x:c r="L1063" s="12" t="n">
        <x:v>0</x:v>
      </x:c>
      <x:c r="M1063" s="2" t="str">
        <x:v>持有</x:v>
      </x:c>
    </x:row>
    <x:row r="1064" ht="23" customHeight="1">
      <x:c r="A1064" s="11" t="d">
        <x:v>2019-03-19T00:00:00.000Z</x:v>
      </x:c>
      <x:c r="B1064" s="12" t="n">
        <x:v>9037.54336</x:v>
      </x:c>
      <x:c r="C1064" s="13" t="n">
        <x:v>484</x:v>
      </x:c>
      <x:c r="D1064" s="12" t="n">
        <x:v>136681.59999999998</x:v>
      </x:c>
      <x:c r="E1064" s="12" t="n">
        <x:v>596.829596</x:v>
      </x:c>
      <x:c r="F1064" s="12" t="n">
        <x:f>SUM(B1064,D1064:E1064)</x:f>
        <x:v>146315.97295599998</x:v>
      </x:c>
      <x:c r="G1064" s="12" t="n">
        <x:f>MAX(G1063,F1064)</x:f>
        <x:v>149795.372</x:v>
      </x:c>
      <x:c r="H1064" s="14" t="n">
        <x:f>F1064/G1064-1</x:f>
        <x:v>-0.023227680518728033</x:v>
      </x:c>
      <x:c r="I1064" s="14" t="n">
        <x:f>F1064/F1063-1</x:f>
        <x:v>0.000231607295980929</x:v>
      </x:c>
      <x:c r="J1064" s="12" t="n">
        <x:v>0</x:v>
      </x:c>
      <x:c r="K1064" s="12" t="n">
        <x:v>0</x:v>
      </x:c>
      <x:c r="L1064" s="12" t="n">
        <x:v>0</x:v>
      </x:c>
      <x:c r="M1064" s="2" t="str">
        <x:v>持有</x:v>
      </x:c>
    </x:row>
    <x:row r="1065" ht="23" customHeight="1">
      <x:c r="A1065" s="11" t="d">
        <x:v>2019-03-20T00:00:00.000Z</x:v>
      </x:c>
      <x:c r="B1065" s="12" t="n">
        <x:v>9037.54336</x:v>
      </x:c>
      <x:c r="C1065" s="13" t="n">
        <x:v>484</x:v>
      </x:c>
      <x:c r="D1065" s="12" t="n">
        <x:v>136270.2</x:v>
      </x:c>
      <x:c r="E1065" s="12" t="n">
        <x:v>596.829596</x:v>
      </x:c>
      <x:c r="F1065" s="12" t="n">
        <x:f>SUM(B1065,D1065:E1065)</x:f>
        <x:v>145904.57295600002</x:v>
      </x:c>
      <x:c r="G1065" s="12" t="n">
        <x:f>MAX(G1064,F1065)</x:f>
        <x:v>149795.372</x:v>
      </x:c>
      <x:c r="H1065" s="14" t="n">
        <x:f>F1065/G1065-1</x:f>
        <x:v>-0.02597409380578186</x:v>
      </x:c>
      <x:c r="I1065" s="14" t="n">
        <x:f>F1065/F1064-1</x:f>
        <x:v>-0.002811723092759566</x:v>
      </x:c>
      <x:c r="J1065" s="12" t="n">
        <x:v>0</x:v>
      </x:c>
      <x:c r="K1065" s="12" t="n">
        <x:v>0</x:v>
      </x:c>
      <x:c r="L1065" s="12" t="n">
        <x:v>0</x:v>
      </x:c>
      <x:c r="M1065" s="2" t="str">
        <x:v>持有</x:v>
      </x:c>
    </x:row>
    <x:row r="1066" ht="23" customHeight="1">
      <x:c r="A1066" s="11" t="d">
        <x:v>2019-03-21T00:00:00.000Z</x:v>
      </x:c>
      <x:c r="B1066" s="12" t="n">
        <x:v>9037.54336</x:v>
      </x:c>
      <x:c r="C1066" s="13" t="n">
        <x:v>484</x:v>
      </x:c>
      <x:c r="D1066" s="12" t="n">
        <x:v>137809.32</x:v>
      </x:c>
      <x:c r="E1066" s="12" t="n">
        <x:v>596.829596</x:v>
      </x:c>
      <x:c r="F1066" s="12" t="n">
        <x:f>SUM(B1066,D1066:E1066)</x:f>
        <x:v>147443.692956</x:v>
      </x:c>
      <x:c r="G1066" s="12" t="n">
        <x:f>MAX(G1065,F1066)</x:f>
        <x:v>149795.372</x:v>
      </x:c>
      <x:c r="H1066" s="14" t="n">
        <x:f>F1066/G1066-1</x:f>
        <x:v>-0.01569927703774443</x:v>
      </x:c>
      <x:c r="I1066" s="14" t="n">
        <x:f>F1066/F1065-1</x:f>
        <x:v>0.010548812616477443</x:v>
      </x:c>
      <x:c r="J1066" s="12" t="n">
        <x:v>0</x:v>
      </x:c>
      <x:c r="K1066" s="12" t="n">
        <x:v>0</x:v>
      </x:c>
      <x:c r="L1066" s="12" t="n">
        <x:v>0</x:v>
      </x:c>
      <x:c r="M1066" s="2" t="str">
        <x:v>持有</x:v>
      </x:c>
    </x:row>
    <x:row r="1067" ht="23" customHeight="1">
      <x:c r="A1067" s="11" t="d">
        <x:v>2019-03-22T00:00:00.000Z</x:v>
      </x:c>
      <x:c r="B1067" s="12" t="n">
        <x:v>9037.54336</x:v>
      </x:c>
      <x:c r="C1067" s="13" t="n">
        <x:v>484</x:v>
      </x:c>
      <x:c r="D1067" s="12" t="n">
        <x:v>135157</x:v>
      </x:c>
      <x:c r="E1067" s="12" t="n">
        <x:v>596.829596</x:v>
      </x:c>
      <x:c r="F1067" s="12" t="n">
        <x:f>SUM(B1067,D1067:E1067)</x:f>
        <x:v>144791.372956</x:v>
      </x:c>
      <x:c r="G1067" s="12" t="n">
        <x:f>MAX(G1066,F1067)</x:f>
        <x:v>149795.372</x:v>
      </x:c>
      <x:c r="H1067" s="14" t="n">
        <x:f>F1067/G1067-1</x:f>
        <x:v>-0.03340556505310455</x:v>
      </x:c>
      <x:c r="I1067" s="14" t="n">
        <x:f>F1067/F1066-1</x:f>
        <x:v>-0.01798869756193311</x:v>
      </x:c>
      <x:c r="J1067" s="12" t="n">
        <x:v>0</x:v>
      </x:c>
      <x:c r="K1067" s="12" t="n">
        <x:v>0</x:v>
      </x:c>
      <x:c r="L1067" s="12" t="n">
        <x:v>0</x:v>
      </x:c>
      <x:c r="M1067" s="2" t="str">
        <x:v>持有</x:v>
      </x:c>
    </x:row>
    <x:row r="1068" ht="23" customHeight="1">
      <x:c r="A1068" s="11" t="d">
        <x:v>2019-03-25T00:00:00.000Z</x:v>
      </x:c>
      <x:c r="B1068" s="12" t="n">
        <x:v>9037.54336</x:v>
      </x:c>
      <x:c r="C1068" s="13" t="n">
        <x:v>484</x:v>
      </x:c>
      <x:c r="D1068" s="12" t="n">
        <x:v>135055.36000000002</x:v>
      </x:c>
      <x:c r="E1068" s="12" t="n">
        <x:v>596.829596</x:v>
      </x:c>
      <x:c r="F1068" s="12" t="n">
        <x:f>SUM(B1068,D1068:E1068)</x:f>
        <x:v>144689.73295600002</x:v>
      </x:c>
      <x:c r="G1068" s="12" t="n">
        <x:f>MAX(G1067,F1068)</x:f>
        <x:v>149795.372</x:v>
      </x:c>
      <x:c r="H1068" s="14" t="n">
        <x:f>F1068/G1068-1</x:f>
        <x:v>-0.03408409068872953</x:v>
      </x:c>
      <x:c r="I1068" s="14" t="n">
        <x:f>F1068/F1067-1</x:f>
        <x:v>-0.0007019755246804316</x:v>
      </x:c>
      <x:c r="J1068" s="12" t="n">
        <x:v>0</x:v>
      </x:c>
      <x:c r="K1068" s="12" t="n">
        <x:v>0</x:v>
      </x:c>
      <x:c r="L1068" s="12" t="n">
        <x:v>0</x:v>
      </x:c>
      <x:c r="M1068" s="2" t="str">
        <x:v>持有</x:v>
      </x:c>
    </x:row>
    <x:row r="1069" ht="23" customHeight="1">
      <x:c r="A1069" s="11" t="d">
        <x:v>2019-03-26T00:00:00.000Z</x:v>
      </x:c>
      <x:c r="B1069" s="12" t="n">
        <x:v>9037.54336</x:v>
      </x:c>
      <x:c r="C1069" s="13" t="n">
        <x:v>484</x:v>
      </x:c>
      <x:c r="D1069" s="12" t="n">
        <x:v>136062.08000000002</x:v>
      </x:c>
      <x:c r="E1069" s="12" t="n">
        <x:v>596.829596</x:v>
      </x:c>
      <x:c r="F1069" s="12" t="n">
        <x:f>SUM(B1069,D1069:E1069)</x:f>
        <x:v>145696.45295600002</x:v>
      </x:c>
      <x:c r="G1069" s="12" t="n">
        <x:f>MAX(G1068,F1069)</x:f>
        <x:v>149795.372</x:v>
      </x:c>
      <x:c r="H1069" s="14" t="n">
        <x:f>F1069/G1069-1</x:f>
        <x:v>-0.027363455821585614</x:v>
      </x:c>
      <x:c r="I1069" s="14" t="n">
        <x:f>F1069/F1068-1</x:f>
        <x:v>0.006957784629446628</x:v>
      </x:c>
      <x:c r="J1069" s="12" t="n">
        <x:v>0</x:v>
      </x:c>
      <x:c r="K1069" s="12" t="n">
        <x:v>0</x:v>
      </x:c>
      <x:c r="L1069" s="12" t="n">
        <x:v>0</x:v>
      </x:c>
      <x:c r="M1069" s="2" t="str">
        <x:v>持有</x:v>
      </x:c>
    </x:row>
    <x:row r="1070" ht="23" customHeight="1">
      <x:c r="A1070" s="11" t="d">
        <x:v>2019-03-27T00:00:00.000Z</x:v>
      </x:c>
      <x:c r="B1070" s="12" t="n">
        <x:v>9037.54336</x:v>
      </x:c>
      <x:c r="C1070" s="13" t="n">
        <x:v>484</x:v>
      </x:c>
      <x:c r="D1070" s="12" t="n">
        <x:v>135350.59999999998</x:v>
      </x:c>
      <x:c r="E1070" s="12" t="n">
        <x:v>596.829596</x:v>
      </x:c>
      <x:c r="F1070" s="12" t="n">
        <x:f>SUM(B1070,D1070:E1070)</x:f>
        <x:v>144984.97295599998</x:v>
      </x:c>
      <x:c r="G1070" s="12" t="n">
        <x:f>MAX(G1069,F1070)</x:f>
        <x:v>149795.372</x:v>
      </x:c>
      <x:c r="H1070" s="14" t="n">
        <x:f>F1070/G1070-1</x:f>
        <x:v>-0.0321131352709616</x:v>
      </x:c>
      <x:c r="I1070" s="14" t="n">
        <x:f>F1070/F1069-1</x:f>
        <x:v>-0.004883303509213843</x:v>
      </x:c>
      <x:c r="J1070" s="12" t="n">
        <x:v>0</x:v>
      </x:c>
      <x:c r="K1070" s="12" t="n">
        <x:v>0</x:v>
      </x:c>
      <x:c r="L1070" s="12" t="n">
        <x:v>0</x:v>
      </x:c>
      <x:c r="M1070" s="2" t="str">
        <x:v>持有</x:v>
      </x:c>
    </x:row>
    <x:row r="1071" ht="23" customHeight="1">
      <x:c r="A1071" s="11" t="d">
        <x:v>2019-03-28T00:00:00.000Z</x:v>
      </x:c>
      <x:c r="B1071" s="12" t="n">
        <x:v>9037.54336</x:v>
      </x:c>
      <x:c r="C1071" s="13" t="n">
        <x:v>484</x:v>
      </x:c>
      <x:c r="D1071" s="12" t="n">
        <x:v>135863.63999999998</x:v>
      </x:c>
      <x:c r="E1071" s="12" t="n">
        <x:v>596.829596</x:v>
      </x:c>
      <x:c r="F1071" s="12" t="n">
        <x:f>SUM(B1071,D1071:E1071)</x:f>
        <x:v>145498.012956</x:v>
      </x:c>
      <x:c r="G1071" s="12" t="n">
        <x:f>MAX(G1070,F1071)</x:f>
        <x:v>149795.372</x:v>
      </x:c>
      <x:c r="H1071" s="14" t="n">
        <x:f>F1071/G1071-1</x:f>
        <x:v>-0.028688196348282458</x:v>
      </x:c>
      <x:c r="I1071" s="14" t="n">
        <x:f>F1071/F1070-1</x:f>
        <x:v>0.003538573615871954</x:v>
      </x:c>
      <x:c r="J1071" s="12" t="n">
        <x:v>0</x:v>
      </x:c>
      <x:c r="K1071" s="12" t="n">
        <x:v>0</x:v>
      </x:c>
      <x:c r="L1071" s="12" t="n">
        <x:v>0</x:v>
      </x:c>
      <x:c r="M1071" s="2" t="str">
        <x:v>持有</x:v>
      </x:c>
    </x:row>
    <x:row r="1072" ht="23" customHeight="1">
      <x:c r="A1072" s="11" t="d">
        <x:v>2019-03-29T00:00:00.000Z</x:v>
      </x:c>
      <x:c r="B1072" s="12" t="n">
        <x:v>9037.54336</x:v>
      </x:c>
      <x:c r="C1072" s="13" t="n">
        <x:v>484</x:v>
      </x:c>
      <x:c r="D1072" s="12" t="n">
        <x:v>136720.32</x:v>
      </x:c>
      <x:c r="E1072" s="12" t="n">
        <x:v>596.829596</x:v>
      </x:c>
      <x:c r="F1072" s="12" t="n">
        <x:f>SUM(B1072,D1072:E1072)</x:f>
        <x:v>146354.692956</x:v>
      </x:c>
      <x:c r="G1072" s="12" t="n">
        <x:f>MAX(G1071,F1072)</x:f>
        <x:v>149795.372</x:v>
      </x:c>
      <x:c r="H1072" s="14" t="n">
        <x:f>F1072/G1072-1</x:f>
        <x:v>-0.022969194562299178</x:v>
      </x:c>
      <x:c r="I1072" s="14" t="n">
        <x:f>F1072/F1071-1</x:f>
        <x:v>0.005887915460804916</x:v>
      </x:c>
      <x:c r="J1072" s="12" t="n">
        <x:v>0</x:v>
      </x:c>
      <x:c r="K1072" s="12" t="n">
        <x:v>0</x:v>
      </x:c>
      <x:c r="L1072" s="12" t="n">
        <x:v>0</x:v>
      </x:c>
      <x:c r="M1072" s="2" t="str">
        <x:v>持有</x:v>
      </x:c>
    </x:row>
    <x:row r="1073" ht="23" customHeight="1">
      <x:c r="A1073" s="11" t="d">
        <x:v>2019-04-01T00:00:00.000Z</x:v>
      </x:c>
      <x:c r="B1073" s="12" t="n">
        <x:v>9037.54336</x:v>
      </x:c>
      <x:c r="C1073" s="13" t="n">
        <x:v>484</x:v>
      </x:c>
      <x:c r="D1073" s="12" t="n">
        <x:v>138341.72</x:v>
      </x:c>
      <x:c r="E1073" s="12" t="n">
        <x:v>596.829596</x:v>
      </x:c>
      <x:c r="F1073" s="12" t="n">
        <x:f>SUM(B1073,D1073:E1073)</x:f>
        <x:v>147976.092956</x:v>
      </x:c>
      <x:c r="G1073" s="12" t="n">
        <x:f>MAX(G1072,F1073)</x:f>
        <x:v>149795.372</x:v>
      </x:c>
      <x:c r="H1073" s="14" t="n">
        <x:f>F1073/G1073-1</x:f>
        <x:v>-0.012145095136851025</x:v>
      </x:c>
      <x:c r="I1073" s="14" t="n">
        <x:f>F1073/F1072-1</x:f>
        <x:v>0.011078565143705088</x:v>
      </x:c>
      <x:c r="J1073" s="12" t="n">
        <x:v>0</x:v>
      </x:c>
      <x:c r="K1073" s="12" t="n">
        <x:v>0</x:v>
      </x:c>
      <x:c r="L1073" s="12" t="n">
        <x:v>0</x:v>
      </x:c>
      <x:c r="M1073" s="2" t="str">
        <x:v>持有</x:v>
      </x:c>
    </x:row>
    <x:row r="1074" ht="23" customHeight="1">
      <x:c r="A1074" s="11" t="d">
        <x:v>2019-04-02T00:00:00.000Z</x:v>
      </x:c>
      <x:c r="B1074" s="12" t="n">
        <x:v>9037.54336</x:v>
      </x:c>
      <x:c r="C1074" s="13" t="n">
        <x:v>484</x:v>
      </x:c>
      <x:c r="D1074" s="12" t="n">
        <x:v>138409.48</x:v>
      </x:c>
      <x:c r="E1074" s="12" t="n">
        <x:v>596.829596</x:v>
      </x:c>
      <x:c r="F1074" s="12" t="n">
        <x:f>SUM(B1074,D1074:E1074)</x:f>
        <x:v>148043.85295600002</x:v>
      </x:c>
      <x:c r="G1074" s="12" t="n">
        <x:f>MAX(G1073,F1074)</x:f>
        <x:v>149795.372</x:v>
      </x:c>
      <x:c r="H1074" s="14" t="n">
        <x:f>F1074/G1074-1</x:f>
        <x:v>-0.011692744713100889</x:v>
      </x:c>
      <x:c r="I1074" s="14" t="n">
        <x:f>F1074/F1073-1</x:f>
        <x:v>0.0004579118062006948</x:v>
      </x:c>
      <x:c r="J1074" s="12" t="n">
        <x:v>0</x:v>
      </x:c>
      <x:c r="K1074" s="12" t="n">
        <x:v>0</x:v>
      </x:c>
      <x:c r="L1074" s="12" t="n">
        <x:v>0</x:v>
      </x:c>
      <x:c r="M1074" s="2" t="str">
        <x:v>持有</x:v>
      </x:c>
    </x:row>
    <x:row r="1075" ht="23" customHeight="1">
      <x:c r="A1075" s="11" t="d">
        <x:v>2019-04-03T00:00:00.000Z</x:v>
      </x:c>
      <x:c r="B1075" s="12" t="n">
        <x:v>9037.54336</x:v>
      </x:c>
      <x:c r="C1075" s="13" t="n">
        <x:v>484</x:v>
      </x:c>
      <x:c r="D1075" s="12" t="n">
        <x:v>138627.28</x:v>
      </x:c>
      <x:c r="E1075" s="12" t="n">
        <x:v>596.829596</x:v>
      </x:c>
      <x:c r="F1075" s="12" t="n">
        <x:f>SUM(B1075,D1075:E1075)</x:f>
        <x:v>148261.652956</x:v>
      </x:c>
      <x:c r="G1075" s="12" t="n">
        <x:f>MAX(G1074,F1075)</x:f>
        <x:v>149795.372</x:v>
      </x:c>
      <x:c r="H1075" s="14" t="n">
        <x:f>F1075/G1075-1</x:f>
        <x:v>-0.010238761208190006</x:v>
      </x:c>
      <x:c r="I1075" s="14" t="n">
        <x:f>F1075/F1074-1</x:f>
        <x:v>0.0014711857037705833</x:v>
      </x:c>
      <x:c r="J1075" s="12" t="n">
        <x:v>0</x:v>
      </x:c>
      <x:c r="K1075" s="12" t="n">
        <x:v>0</x:v>
      </x:c>
      <x:c r="L1075" s="12" t="n">
        <x:v>0</x:v>
      </x:c>
      <x:c r="M1075" s="2" t="str">
        <x:v>持有</x:v>
      </x:c>
    </x:row>
    <x:row r="1076" ht="23" customHeight="1">
      <x:c r="A1076" s="11" t="d">
        <x:v>2019-04-04T00:00:00.000Z</x:v>
      </x:c>
      <x:c r="B1076" s="12" t="n">
        <x:v>9037.54336</x:v>
      </x:c>
      <x:c r="C1076" s="13" t="n">
        <x:v>484</x:v>
      </x:c>
      <x:c r="D1076" s="12" t="n">
        <x:v>138995.12</x:v>
      </x:c>
      <x:c r="E1076" s="12" t="n">
        <x:v>596.829596</x:v>
      </x:c>
      <x:c r="F1076" s="12" t="n">
        <x:f>SUM(B1076,D1076:E1076)</x:f>
        <x:v>148629.492956</x:v>
      </x:c>
      <x:c r="G1076" s="12" t="n">
        <x:f>MAX(G1075,F1076)</x:f>
        <x:v>149795.372</x:v>
      </x:c>
      <x:c r="H1076" s="14" t="n">
        <x:f>F1076/G1076-1</x:f>
        <x:v>-0.007783144622118265</x:v>
      </x:c>
      <x:c r="I1076" s="14" t="n">
        <x:f>F1076/F1075-1</x:f>
        <x:v>0.002481019148688146</x:v>
      </x:c>
      <x:c r="J1076" s="12" t="n">
        <x:v>0</x:v>
      </x:c>
      <x:c r="K1076" s="12" t="n">
        <x:v>0</x:v>
      </x:c>
      <x:c r="L1076" s="12" t="n">
        <x:v>0</x:v>
      </x:c>
      <x:c r="M1076" s="2" t="str">
        <x:v>持有</x:v>
      </x:c>
    </x:row>
    <x:row r="1077" ht="23" customHeight="1">
      <x:c r="A1077" s="11" t="d">
        <x:v>2019-04-05T00:00:00.000Z</x:v>
      </x:c>
      <x:c r="B1077" s="12" t="n">
        <x:v>9037.54336</x:v>
      </x:c>
      <x:c r="C1077" s="13" t="n">
        <x:v>484</x:v>
      </x:c>
      <x:c r="D1077" s="12" t="n">
        <x:v>139667.88</x:v>
      </x:c>
      <x:c r="E1077" s="12" t="n">
        <x:v>596.829596</x:v>
      </x:c>
      <x:c r="F1077" s="12" t="n">
        <x:f>SUM(B1077,D1077:E1077)</x:f>
        <x:v>149302.252956</x:v>
      </x:c>
      <x:c r="G1077" s="12" t="n">
        <x:f>MAX(G1076,F1077)</x:f>
        <x:v>149795.372</x:v>
      </x:c>
      <x:c r="H1077" s="14" t="n">
        <x:f>F1077/G1077-1</x:f>
        <x:v>-0.0032919511291710224</x:v>
      </x:c>
      <x:c r="I1077" s="14" t="n">
        <x:f>F1077/F1076-1</x:f>
        <x:v>0.004526423300112992</x:v>
      </x:c>
      <x:c r="J1077" s="12" t="n">
        <x:v>0</x:v>
      </x:c>
      <x:c r="K1077" s="12" t="n">
        <x:v>0</x:v>
      </x:c>
      <x:c r="L1077" s="12" t="n">
        <x:v>0</x:v>
      </x:c>
      <x:c r="M1077" s="2" t="str">
        <x:v>持有</x:v>
      </x:c>
    </x:row>
    <x:row r="1078" ht="23" customHeight="1">
      <x:c r="A1078" s="11" t="d">
        <x:v>2019-04-08T00:00:00.000Z</x:v>
      </x:c>
      <x:c r="B1078" s="12" t="n">
        <x:v>9037.54336</x:v>
      </x:c>
      <x:c r="C1078" s="13" t="n">
        <x:v>484</x:v>
      </x:c>
      <x:c r="D1078" s="12" t="n">
        <x:v>139774.36000000002</x:v>
      </x:c>
      <x:c r="E1078" s="12" t="n">
        <x:v>596.829596</x:v>
      </x:c>
      <x:c r="F1078" s="12" t="n">
        <x:f>SUM(B1078,D1078:E1078)</x:f>
        <x:v>149408.73295600002</x:v>
      </x:c>
      <x:c r="G1078" s="12" t="n">
        <x:f>MAX(G1077,F1078)</x:f>
        <x:v>149795.372</x:v>
      </x:c>
      <x:c r="H1078" s="14" t="n">
        <x:f>F1078/G1078-1</x:f>
        <x:v>-0.0025811147489922526</x:v>
      </x:c>
      <x:c r="I1078" s="14" t="n">
        <x:f>F1078/F1077-1</x:f>
        <x:v>0.0007131841475385148</x:v>
      </x:c>
      <x:c r="J1078" s="12" t="n">
        <x:v>0</x:v>
      </x:c>
      <x:c r="K1078" s="12" t="n">
        <x:v>0</x:v>
      </x:c>
      <x:c r="L1078" s="12" t="n">
        <x:v>0</x:v>
      </x:c>
      <x:c r="M1078" s="2" t="str">
        <x:v>持有</x:v>
      </x:c>
    </x:row>
    <x:row r="1079" ht="23" customHeight="1">
      <x:c r="A1079" s="11" t="d">
        <x:v>2019-04-09T00:00:00.000Z</x:v>
      </x:c>
      <x:c r="B1079" s="12" t="n">
        <x:v>9037.54336</x:v>
      </x:c>
      <x:c r="C1079" s="13" t="n">
        <x:v>484</x:v>
      </x:c>
      <x:c r="D1079" s="12" t="n">
        <x:v>139058.04</x:v>
      </x:c>
      <x:c r="E1079" s="12" t="n">
        <x:v>596.829596</x:v>
      </x:c>
      <x:c r="F1079" s="12" t="n">
        <x:f>SUM(B1079,D1079:E1079)</x:f>
        <x:v>148692.41295600001</x:v>
      </x:c>
      <x:c r="G1079" s="12" t="n">
        <x:f>MAX(G1078,F1079)</x:f>
        <x:v>149795.372</x:v>
      </x:c>
      <x:c r="H1079" s="14" t="n">
        <x:f>F1079/G1079-1</x:f>
        <x:v>-0.007363104942921694</x:v>
      </x:c>
      <x:c r="I1079" s="14" t="n">
        <x:f>F1079/F1078-1</x:f>
        <x:v>-0.004794365000143297</x:v>
      </x:c>
      <x:c r="J1079" s="12" t="n">
        <x:v>0</x:v>
      </x:c>
      <x:c r="K1079" s="12" t="n">
        <x:v>0</x:v>
      </x:c>
      <x:c r="L1079" s="12" t="n">
        <x:v>0</x:v>
      </x:c>
      <x:c r="M1079" s="2" t="str">
        <x:v>持有</x:v>
      </x:c>
    </x:row>
    <x:row r="1080" ht="23" customHeight="1">
      <x:c r="A1080" s="11" t="d">
        <x:v>2019-04-10T00:00:00.000Z</x:v>
      </x:c>
      <x:c r="B1080" s="12" t="n">
        <x:v>9037.54336</x:v>
      </x:c>
      <x:c r="C1080" s="13" t="n">
        <x:v>484</x:v>
      </x:c>
      <x:c r="D1080" s="12" t="n">
        <x:v>139532.36000000002</x:v>
      </x:c>
      <x:c r="E1080" s="12" t="n">
        <x:v>596.829596</x:v>
      </x:c>
      <x:c r="F1080" s="12" t="n">
        <x:f>SUM(B1080,D1080:E1080)</x:f>
        <x:v>149166.73295600002</x:v>
      </x:c>
      <x:c r="G1080" s="12" t="n">
        <x:f>MAX(G1079,F1080)</x:f>
        <x:v>149795.372</x:v>
      </x:c>
      <x:c r="H1080" s="14" t="n">
        <x:f>F1080/G1080-1</x:f>
        <x:v>-0.004196651976671073</x:v>
      </x:c>
      <x:c r="I1080" s="14" t="n">
        <x:f>F1080/F1079-1</x:f>
        <x:v>0.003189940835383265</x:v>
      </x:c>
      <x:c r="J1080" s="12" t="n">
        <x:v>0</x:v>
      </x:c>
      <x:c r="K1080" s="12" t="n">
        <x:v>0</x:v>
      </x:c>
      <x:c r="L1080" s="12" t="n">
        <x:v>0</x:v>
      </x:c>
      <x:c r="M1080" s="2" t="str">
        <x:v>持有</x:v>
      </x:c>
    </x:row>
    <x:row r="1081" ht="23" customHeight="1">
      <x:c r="A1081" s="11" t="d">
        <x:v>2019-04-11T00:00:00.000Z</x:v>
      </x:c>
      <x:c r="B1081" s="12" t="n">
        <x:v>9037.54336</x:v>
      </x:c>
      <x:c r="C1081" s="13" t="n">
        <x:v>484</x:v>
      </x:c>
      <x:c r="D1081" s="12" t="n">
        <x:v>139493.63999999998</x:v>
      </x:c>
      <x:c r="E1081" s="12" t="n">
        <x:v>596.829596</x:v>
      </x:c>
      <x:c r="F1081" s="12" t="n">
        <x:f>SUM(B1081,D1081:E1081)</x:f>
        <x:v>149128.012956</x:v>
      </x:c>
      <x:c r="G1081" s="12" t="n">
        <x:f>MAX(G1080,F1081)</x:f>
        <x:v>149795.372</x:v>
      </x:c>
      <x:c r="H1081" s="14" t="n">
        <x:f>F1081/G1081-1</x:f>
        <x:v>-0.0044551379330999286</x:v>
      </x:c>
      <x:c r="I1081" s="14" t="n">
        <x:f>F1081/F1080-1</x:f>
        <x:v>-0.0002595753036399584</x:v>
      </x:c>
      <x:c r="J1081" s="12" t="n">
        <x:v>0</x:v>
      </x:c>
      <x:c r="K1081" s="12" t="n">
        <x:v>0</x:v>
      </x:c>
      <x:c r="L1081" s="12" t="n">
        <x:v>0</x:v>
      </x:c>
      <x:c r="M1081" s="2" t="str">
        <x:v>持有</x:v>
      </x:c>
    </x:row>
    <x:row r="1082" ht="23" customHeight="1">
      <x:c r="A1082" s="11" t="d">
        <x:v>2019-04-12T00:00:00.000Z</x:v>
      </x:c>
      <x:c r="B1082" s="12" t="n">
        <x:v>9037.54336</x:v>
      </x:c>
      <x:c r="C1082" s="13" t="n">
        <x:v>484</x:v>
      </x:c>
      <x:c r="D1082" s="12" t="n">
        <x:v>140437.44</x:v>
      </x:c>
      <x:c r="E1082" s="12" t="n">
        <x:v>596.829596</x:v>
      </x:c>
      <x:c r="F1082" s="12" t="n">
        <x:f>SUM(B1082,D1082:E1082)</x:f>
        <x:v>150071.812956</x:v>
      </x:c>
      <x:c r="G1082" s="12" t="n">
        <x:f>MAX(G1081,F1082)</x:f>
        <x:v>150071.812956</x:v>
      </x:c>
      <x:c r="H1082" s="14" t="n">
        <x:f>F1082/G1082-1</x:f>
        <x:v>0</x:v>
      </x:c>
      <x:c r="I1082" s="14" t="n">
        <x:f>F1082/F1081-1</x:f>
        <x:v>0.006328790824018382</x:v>
      </x:c>
      <x:c r="J1082" s="12" t="n">
        <x:v>0</x:v>
      </x:c>
      <x:c r="K1082" s="12" t="n">
        <x:v>0</x:v>
      </x:c>
      <x:c r="L1082" s="12" t="n">
        <x:v>0</x:v>
      </x:c>
      <x:c r="M1082" s="2" t="str">
        <x:v>持有</x:v>
      </x:c>
    </x:row>
    <x:row r="1083" ht="23" customHeight="1">
      <x:c r="A1083" s="11" t="d">
        <x:v>2019-04-15T00:00:00.000Z</x:v>
      </x:c>
      <x:c r="B1083" s="12" t="n">
        <x:v>9037.54336</x:v>
      </x:c>
      <x:c r="C1083" s="13" t="n">
        <x:v>484</x:v>
      </x:c>
      <x:c r="D1083" s="12" t="n">
        <x:v>140345.48</x:v>
      </x:c>
      <x:c r="E1083" s="12" t="n">
        <x:v>596.829596</x:v>
      </x:c>
      <x:c r="F1083" s="12" t="n">
        <x:f>SUM(B1083,D1083:E1083)</x:f>
        <x:v>149979.85295600002</x:v>
      </x:c>
      <x:c r="G1083" s="12" t="n">
        <x:f>MAX(G1082,F1083)</x:f>
        <x:v>150071.812956</x:v>
      </x:c>
      <x:c r="H1083" s="14" t="n">
        <x:f>F1083/G1083-1</x:f>
        <x:v>-0.0006127732995866442</x:v>
      </x:c>
      <x:c r="I1083" s="14" t="n">
        <x:f>F1083/F1082-1</x:f>
        <x:v>-0.0006127732995866442</x:v>
      </x:c>
      <x:c r="J1083" s="12" t="n">
        <x:v>0</x:v>
      </x:c>
      <x:c r="K1083" s="12" t="n">
        <x:v>0</x:v>
      </x:c>
      <x:c r="L1083" s="12" t="n">
        <x:v>0</x:v>
      </x:c>
      <x:c r="M1083" s="2" t="str">
        <x:v>持有</x:v>
      </x:c>
    </x:row>
    <x:row r="1084" ht="23" customHeight="1">
      <x:c r="A1084" s="11" t="d">
        <x:v>2019-04-16T00:00:00.000Z</x:v>
      </x:c>
      <x:c r="B1084" s="12" t="n">
        <x:v>9037.54336</x:v>
      </x:c>
      <x:c r="C1084" s="13" t="n">
        <x:v>484</x:v>
      </x:c>
      <x:c r="D1084" s="12" t="n">
        <x:v>140437.44</x:v>
      </x:c>
      <x:c r="E1084" s="12" t="n">
        <x:v>596.829596</x:v>
      </x:c>
      <x:c r="F1084" s="12" t="n">
        <x:f>SUM(B1084,D1084:E1084)</x:f>
        <x:v>150071.812956</x:v>
      </x:c>
      <x:c r="G1084" s="12" t="n">
        <x:f>MAX(G1083,F1084)</x:f>
        <x:v>150071.812956</x:v>
      </x:c>
      <x:c r="H1084" s="14" t="n">
        <x:f>F1084/G1084-1</x:f>
        <x:v>0</x:v>
      </x:c>
      <x:c r="I1084" s="14" t="n">
        <x:f>F1084/F1083-1</x:f>
        <x:v>0.0006131490209353441</x:v>
      </x:c>
      <x:c r="J1084" s="12" t="n">
        <x:v>0</x:v>
      </x:c>
      <x:c r="K1084" s="12" t="n">
        <x:v>0</x:v>
      </x:c>
      <x:c r="L1084" s="12" t="n">
        <x:v>0</x:v>
      </x:c>
      <x:c r="M1084" s="2" t="str">
        <x:v>持有</x:v>
      </x:c>
    </x:row>
    <x:row r="1085" ht="23" customHeight="1">
      <x:c r="A1085" s="11" t="d">
        <x:v>2019-04-17T00:00:00.000Z</x:v>
      </x:c>
      <x:c r="B1085" s="12" t="n">
        <x:v>9037.54336</x:v>
      </x:c>
      <x:c r="C1085" s="13" t="n">
        <x:v>484</x:v>
      </x:c>
      <x:c r="D1085" s="12" t="n">
        <x:v>140093.8</x:v>
      </x:c>
      <x:c r="E1085" s="12" t="n">
        <x:v>596.829596</x:v>
      </x:c>
      <x:c r="F1085" s="12" t="n">
        <x:f>SUM(B1085,D1085:E1085)</x:f>
        <x:v>149728.172956</x:v>
      </x:c>
      <x:c r="G1085" s="12" t="n">
        <x:f>MAX(G1084,F1085)</x:f>
        <x:v>150071.812956</x:v>
      </x:c>
      <x:c r="H1085" s="14" t="n">
        <x:f>F1085/G1085-1</x:f>
        <x:v>-0.0022898370668765766</x:v>
      </x:c>
      <x:c r="I1085" s="14" t="n">
        <x:f>F1085/F1084-1</x:f>
        <x:v>-0.0022898370668765766</x:v>
      </x:c>
      <x:c r="J1085" s="12" t="n">
        <x:v>0</x:v>
      </x:c>
      <x:c r="K1085" s="12" t="n">
        <x:v>0</x:v>
      </x:c>
      <x:c r="L1085" s="12" t="n">
        <x:v>0</x:v>
      </x:c>
      <x:c r="M1085" s="2" t="str">
        <x:v>持有</x:v>
      </x:c>
    </x:row>
    <x:row r="1086" ht="23" customHeight="1">
      <x:c r="A1086" s="11" t="d">
        <x:v>2019-04-18T00:00:00.000Z</x:v>
      </x:c>
      <x:c r="B1086" s="12" t="n">
        <x:v>9037.54336</x:v>
      </x:c>
      <x:c r="C1086" s="13" t="n">
        <x:v>484</x:v>
      </x:c>
      <x:c r="D1086" s="12" t="n">
        <x:v>140369.68</x:v>
      </x:c>
      <x:c r="E1086" s="12" t="n">
        <x:v>596.829596</x:v>
      </x:c>
      <x:c r="F1086" s="12" t="n">
        <x:f>SUM(B1086,D1086:E1086)</x:f>
        <x:v>150004.052956</x:v>
      </x:c>
      <x:c r="G1086" s="12" t="n">
        <x:f>MAX(G1085,F1086)</x:f>
        <x:v>150071.812956</x:v>
      </x:c>
      <x:c r="H1086" s="14" t="n">
        <x:f>F1086/G1086-1</x:f>
        <x:v>-0.0004515171681165331</x:v>
      </x:c>
      <x:c r="I1086" s="14" t="n">
        <x:f>F1086/F1085-1</x:f>
        <x:v>0.0018425390128888885</x:v>
      </x:c>
      <x:c r="J1086" s="12" t="n">
        <x:v>0</x:v>
      </x:c>
      <x:c r="K1086" s="12" t="n">
        <x:v>0</x:v>
      </x:c>
      <x:c r="L1086" s="12" t="n">
        <x:v>0</x:v>
      </x:c>
      <x:c r="M1086" s="2" t="str">
        <x:v>持有</x:v>
      </x:c>
    </x:row>
    <x:row r="1087" ht="23" customHeight="1">
      <x:c r="A1087" s="11" t="d">
        <x:v>2019-04-22T00:00:00.000Z</x:v>
      </x:c>
      <x:c r="B1087" s="12" t="n">
        <x:v>9037.54336</x:v>
      </x:c>
      <x:c r="C1087" s="13" t="n">
        <x:v>484</x:v>
      </x:c>
      <x:c r="D1087" s="12" t="n">
        <x:v>140490.68</x:v>
      </x:c>
      <x:c r="E1087" s="12" t="n">
        <x:v>596.829596</x:v>
      </x:c>
      <x:c r="F1087" s="12" t="n">
        <x:f>SUM(B1087,D1087:E1087)</x:f>
        <x:v>150125.052956</x:v>
      </x:c>
      <x:c r="G1087" s="12" t="n">
        <x:f>MAX(G1086,F1087)</x:f>
        <x:v>150125.052956</x:v>
      </x:c>
      <x:c r="H1087" s="14" t="n">
        <x:f>F1087/G1087-1</x:f>
        <x:v>0</x:v>
      </x:c>
      <x:c r="I1087" s="14" t="n">
        <x:f>F1087/F1086-1</x:f>
        <x:v>0.0008066448713588414</x:v>
      </x:c>
      <x:c r="J1087" s="12" t="n">
        <x:v>0</x:v>
      </x:c>
      <x:c r="K1087" s="12" t="n">
        <x:v>0</x:v>
      </x:c>
      <x:c r="L1087" s="12" t="n">
        <x:v>0</x:v>
      </x:c>
      <x:c r="M1087" s="2" t="str">
        <x:v>持有</x:v>
      </x:c>
    </x:row>
    <x:row r="1088" ht="23" customHeight="1">
      <x:c r="A1088" s="11" t="d">
        <x:v>2019-04-23T00:00:00.000Z</x:v>
      </x:c>
      <x:c r="B1088" s="12" t="n">
        <x:v>9037.54336</x:v>
      </x:c>
      <x:c r="C1088" s="13" t="n">
        <x:v>484</x:v>
      </x:c>
      <x:c r="D1088" s="12" t="n">
        <x:v>141753.91999999998</x:v>
      </x:c>
      <x:c r="E1088" s="12" t="n">
        <x:v>596.829596</x:v>
      </x:c>
      <x:c r="F1088" s="12" t="n">
        <x:f>SUM(B1088,D1088:E1088)</x:f>
        <x:v>151388.292956</x:v>
      </x:c>
      <x:c r="G1088" s="12" t="n">
        <x:f>MAX(G1087,F1088)</x:f>
        <x:v>151388.292956</x:v>
      </x:c>
      <x:c r="H1088" s="14" t="n">
        <x:f>F1088/G1088-1</x:f>
        <x:v>0</x:v>
      </x:c>
      <x:c r="I1088" s="14" t="n">
        <x:f>F1088/F1087-1</x:f>
        <x:v>0.008414584875252151</x:v>
      </x:c>
      <x:c r="J1088" s="12" t="n">
        <x:v>0</x:v>
      </x:c>
      <x:c r="K1088" s="12" t="n">
        <x:v>0</x:v>
      </x:c>
      <x:c r="L1088" s="12" t="n">
        <x:v>0</x:v>
      </x:c>
      <x:c r="M1088" s="2" t="str">
        <x:v>持有</x:v>
      </x:c>
    </x:row>
    <x:row r="1089" ht="23" customHeight="1">
      <x:c r="A1089" s="11" t="d">
        <x:v>2019-04-24T00:00:00.000Z</x:v>
      </x:c>
      <x:c r="B1089" s="12" t="n">
        <x:v>9037.54336</x:v>
      </x:c>
      <x:c r="C1089" s="13" t="n">
        <x:v>484</x:v>
      </x:c>
      <x:c r="D1089" s="12" t="n">
        <x:v>141439.32</x:v>
      </x:c>
      <x:c r="E1089" s="12" t="n">
        <x:v>596.829596</x:v>
      </x:c>
      <x:c r="F1089" s="12" t="n">
        <x:f>SUM(B1089,D1089:E1089)</x:f>
        <x:v>151073.692956</x:v>
      </x:c>
      <x:c r="G1089" s="12" t="n">
        <x:f>MAX(G1088,F1089)</x:f>
        <x:v>151388.292956</x:v>
      </x:c>
      <x:c r="H1089" s="14" t="n">
        <x:f>F1089/G1089-1</x:f>
        <x:v>-0.002078099923429444</x:v>
      </x:c>
      <x:c r="I1089" s="14" t="n">
        <x:f>F1089/F1088-1</x:f>
        <x:v>-0.002078099923429444</x:v>
      </x:c>
      <x:c r="J1089" s="12" t="n">
        <x:v>0</x:v>
      </x:c>
      <x:c r="K1089" s="12" t="n">
        <x:v>0</x:v>
      </x:c>
      <x:c r="L1089" s="12" t="n">
        <x:v>0</x:v>
      </x:c>
      <x:c r="M1089" s="2" t="str">
        <x:v>持有</x:v>
      </x:c>
    </x:row>
    <x:row r="1090" ht="23" customHeight="1">
      <x:c r="A1090" s="11" t="d">
        <x:v>2019-04-25T00:00:00.000Z</x:v>
      </x:c>
      <x:c r="B1090" s="12" t="n">
        <x:v>9037.54336</x:v>
      </x:c>
      <x:c r="C1090" s="13" t="n">
        <x:v>484</x:v>
      </x:c>
      <x:c r="D1090" s="12" t="n">
        <x:v>141352.2</x:v>
      </x:c>
      <x:c r="E1090" s="12" t="n">
        <x:v>596.829596</x:v>
      </x:c>
      <x:c r="F1090" s="12" t="n">
        <x:f>SUM(B1090,D1090:E1090)</x:f>
        <x:v>150986.57295600002</x:v>
      </x:c>
      <x:c r="G1090" s="12" t="n">
        <x:f>MAX(G1089,F1090)</x:f>
        <x:v>151388.292956</x:v>
      </x:c>
      <x:c r="H1090" s="14" t="n">
        <x:f>F1090/G1090-1</x:f>
        <x:v>-0.0026535737483791566</x:v>
      </x:c>
      <x:c r="I1090" s="14" t="n">
        <x:f>F1090/F1089-1</x:f>
        <x:v>-0.0005766722074197483</x:v>
      </x:c>
      <x:c r="J1090" s="12" t="n">
        <x:v>0</x:v>
      </x:c>
      <x:c r="K1090" s="12" t="n">
        <x:v>0</x:v>
      </x:c>
      <x:c r="L1090" s="12" t="n">
        <x:v>0</x:v>
      </x:c>
      <x:c r="M1090" s="2" t="str">
        <x:v>持有</x:v>
      </x:c>
    </x:row>
    <x:row r="1091" ht="23" customHeight="1">
      <x:c r="A1091" s="11" t="d">
        <x:v>2019-04-26T00:00:00.000Z</x:v>
      </x:c>
      <x:c r="B1091" s="12" t="n">
        <x:v>9037.54336</x:v>
      </x:c>
      <x:c r="C1091" s="13" t="n">
        <x:v>484</x:v>
      </x:c>
      <x:c r="D1091" s="12" t="n">
        <x:v>142010.44</x:v>
      </x:c>
      <x:c r="E1091" s="12" t="n">
        <x:v>596.829596</x:v>
      </x:c>
      <x:c r="F1091" s="12" t="n">
        <x:f>SUM(B1091,D1091:E1091)</x:f>
        <x:v>151644.812956</x:v>
      </x:c>
      <x:c r="G1091" s="12" t="n">
        <x:f>MAX(G1090,F1091)</x:f>
        <x:v>151644.812956</x:v>
      </x:c>
      <x:c r="H1091" s="14" t="n">
        <x:f>F1091/G1091-1</x:f>
        <x:v>0</x:v>
      </x:c>
      <x:c r="I1091" s="14" t="n">
        <x:f>F1091/F1090-1</x:f>
        <x:v>0.004359592956598934</x:v>
      </x:c>
      <x:c r="J1091" s="12" t="n">
        <x:v>0</x:v>
      </x:c>
      <x:c r="K1091" s="12" t="n">
        <x:v>0</x:v>
      </x:c>
      <x:c r="L1091" s="12" t="n">
        <x:v>0</x:v>
      </x:c>
      <x:c r="M1091" s="2" t="str">
        <x:v>持有</x:v>
      </x:c>
    </x:row>
    <x:row r="1092" ht="23" customHeight="1">
      <x:c r="A1092" s="11" t="d">
        <x:v>2019-04-29T00:00:00.000Z</x:v>
      </x:c>
      <x:c r="B1092" s="12" t="n">
        <x:v>9037.54336</x:v>
      </x:c>
      <x:c r="C1092" s="13" t="n">
        <x:v>484</x:v>
      </x:c>
      <x:c r="D1092" s="12" t="n">
        <x:v>142233.08000000002</x:v>
      </x:c>
      <x:c r="E1092" s="12" t="n">
        <x:v>596.829596</x:v>
      </x:c>
      <x:c r="F1092" s="12" t="n">
        <x:f>SUM(B1092,D1092:E1092)</x:f>
        <x:v>151867.45295600002</x:v>
      </x:c>
      <x:c r="G1092" s="12" t="n">
        <x:f>MAX(G1091,F1092)</x:f>
        <x:v>151867.45295600002</x:v>
      </x:c>
      <x:c r="H1092" s="14" t="n">
        <x:f>F1092/G1092-1</x:f>
        <x:v>0</x:v>
      </x:c>
      <x:c r="I1092" s="14" t="n">
        <x:f>F1092/F1091-1</x:f>
        <x:v>0.0014681675928118754</x:v>
      </x:c>
      <x:c r="J1092" s="12" t="n">
        <x:v>0</x:v>
      </x:c>
      <x:c r="K1092" s="12" t="n">
        <x:v>0</x:v>
      </x:c>
      <x:c r="L1092" s="12" t="n">
        <x:v>0</x:v>
      </x:c>
      <x:c r="M1092" s="2" t="str">
        <x:v>持有</x:v>
      </x:c>
    </x:row>
    <x:row r="1093" ht="23" customHeight="1">
      <x:c r="A1093" s="11" t="d">
        <x:v>2019-04-30T00:00:00.000Z</x:v>
      </x:c>
      <x:c r="B1093" s="12" t="n">
        <x:v>9634.372956</x:v>
      </x:c>
      <x:c r="C1093" s="13" t="n">
        <x:v>484</x:v>
      </x:c>
      <x:c r="D1093" s="12" t="n">
        <x:v>142305.68</x:v>
      </x:c>
      <x:c r="E1093" s="12" t="n">
        <x:v>0</x:v>
      </x:c>
      <x:c r="F1093" s="12" t="n">
        <x:f>SUM(B1093,D1093:E1093)</x:f>
        <x:v>151940.052956</x:v>
      </x:c>
      <x:c r="G1093" s="12" t="n">
        <x:f>MAX(G1092,F1093)</x:f>
        <x:v>151940.052956</x:v>
      </x:c>
      <x:c r="H1093" s="14" t="n">
        <x:f>F1093/G1093-1</x:f>
        <x:v>0</x:v>
      </x:c>
      <x:c r="I1093" s="14" t="n">
        <x:f>F1093/F1092-1</x:f>
        <x:v>0.00047804844676635483</x:v>
      </x:c>
      <x:c r="J1093" s="12" t="n">
        <x:v>0</x:v>
      </x:c>
      <x:c r="K1093" s="12" t="n">
        <x:v>596.829596</x:v>
      </x:c>
      <x:c r="L1093" s="12" t="n">
        <x:v>0</x:v>
      </x:c>
      <x:c r="M1093" s="2" t="str">
        <x:v>持有</x:v>
      </x:c>
    </x:row>
    <x:row r="1094" ht="23" customHeight="1">
      <x:c r="A1094" s="11" t="d">
        <x:v>2019-05-01T00:00:00.000Z</x:v>
      </x:c>
      <x:c r="B1094" s="12" t="n">
        <x:v>9634.372956</x:v>
      </x:c>
      <x:c r="C1094" s="13" t="n">
        <x:v>484</x:v>
      </x:c>
      <x:c r="D1094" s="12" t="n">
        <x:v>141236.04</x:v>
      </x:c>
      <x:c r="E1094" s="12" t="n">
        <x:v>0</x:v>
      </x:c>
      <x:c r="F1094" s="12" t="n">
        <x:f>SUM(B1094,D1094:E1094)</x:f>
        <x:v>150870.41295600001</x:v>
      </x:c>
      <x:c r="G1094" s="12" t="n">
        <x:f>MAX(G1093,F1094)</x:f>
        <x:v>151940.052956</x:v>
      </x:c>
      <x:c r="H1094" s="14" t="n">
        <x:f>F1094/G1094-1</x:f>
        <x:v>-0.007039881711175533</x:v>
      </x:c>
      <x:c r="I1094" s="14" t="n">
        <x:f>F1094/F1093-1</x:f>
        <x:v>-0.007039881711175533</x:v>
      </x:c>
      <x:c r="J1094" s="12" t="n">
        <x:v>0</x:v>
      </x:c>
      <x:c r="K1094" s="12" t="n">
        <x:v>0</x:v>
      </x:c>
      <x:c r="L1094" s="12" t="n">
        <x:v>0</x:v>
      </x:c>
      <x:c r="M1094" s="2" t="str">
        <x:v>持有</x:v>
      </x:c>
    </x:row>
    <x:row r="1095" ht="23" customHeight="1">
      <x:c r="A1095" s="11" t="d">
        <x:v>2019-05-02T00:00:00.000Z</x:v>
      </x:c>
      <x:c r="B1095" s="12" t="n">
        <x:v>9634.372956</x:v>
      </x:c>
      <x:c r="C1095" s="13" t="n">
        <x:v>484</x:v>
      </x:c>
      <x:c r="D1095" s="12" t="n">
        <x:v>140931.12</x:v>
      </x:c>
      <x:c r="E1095" s="12" t="n">
        <x:v>0</x:v>
      </x:c>
      <x:c r="F1095" s="12" t="n">
        <x:f>SUM(B1095,D1095:E1095)</x:f>
        <x:v>150565.492956</x:v>
      </x:c>
      <x:c r="G1095" s="12" t="n">
        <x:f>MAX(G1094,F1095)</x:f>
        <x:v>151940.052956</x:v>
      </x:c>
      <x:c r="H1095" s="14" t="n">
        <x:f>F1095/G1095-1</x:f>
        <x:v>-0.009046725818886325</x:v>
      </x:c>
      <x:c r="I1095" s="14" t="n">
        <x:f>F1095/F1094-1</x:f>
        <x:v>-0.002021072217048503</x:v>
      </x:c>
      <x:c r="J1095" s="12" t="n">
        <x:v>0</x:v>
      </x:c>
      <x:c r="K1095" s="12" t="n">
        <x:v>0</x:v>
      </x:c>
      <x:c r="L1095" s="12" t="n">
        <x:v>0</x:v>
      </x:c>
      <x:c r="M1095" s="2" t="str">
        <x:v>持有</x:v>
      </x:c>
    </x:row>
    <x:row r="1096" ht="23" customHeight="1">
      <x:c r="A1096" s="11" t="d">
        <x:v>2019-05-03T00:00:00.000Z</x:v>
      </x:c>
      <x:c r="B1096" s="12" t="n">
        <x:v>9634.372956</x:v>
      </x:c>
      <x:c r="C1096" s="13" t="n">
        <x:v>484</x:v>
      </x:c>
      <x:c r="D1096" s="12" t="n">
        <x:v>142310.52</x:v>
      </x:c>
      <x:c r="E1096" s="12" t="n">
        <x:v>0</x:v>
      </x:c>
      <x:c r="F1096" s="12" t="n">
        <x:f>SUM(B1096,D1096:E1096)</x:f>
        <x:v>151944.892956</x:v>
      </x:c>
      <x:c r="G1096" s="12" t="n">
        <x:f>MAX(G1095,F1096)</x:f>
        <x:v>151944.892956</x:v>
      </x:c>
      <x:c r="H1096" s="14" t="n">
        <x:f>F1096/G1096-1</x:f>
        <x:v>0</x:v>
      </x:c>
      <x:c r="I1096" s="14" t="n">
        <x:f>F1096/F1095-1</x:f>
        <x:v>0.009161461719539465</x:v>
      </x:c>
      <x:c r="J1096" s="12" t="n">
        <x:v>0</x:v>
      </x:c>
      <x:c r="K1096" s="12" t="n">
        <x:v>0</x:v>
      </x:c>
      <x:c r="L1096" s="12" t="n">
        <x:v>0</x:v>
      </x:c>
      <x:c r="M1096" s="2" t="str">
        <x:v>持有</x:v>
      </x:c>
    </x:row>
    <x:row r="1097" ht="23" customHeight="1">
      <x:c r="A1097" s="11" t="d">
        <x:v>2019-05-06T00:00:00.000Z</x:v>
      </x:c>
      <x:c r="B1097" s="12" t="n">
        <x:v>9634.372956</x:v>
      </x:c>
      <x:c r="C1097" s="13" t="n">
        <x:v>484</x:v>
      </x:c>
      <x:c r="D1097" s="12" t="n">
        <x:v>141724.88</x:v>
      </x:c>
      <x:c r="E1097" s="12" t="n">
        <x:v>0</x:v>
      </x:c>
      <x:c r="F1097" s="12" t="n">
        <x:f>SUM(B1097,D1097:E1097)</x:f>
        <x:v>151359.252956</x:v>
      </x:c>
      <x:c r="G1097" s="12" t="n">
        <x:f>MAX(G1096,F1097)</x:f>
        <x:v>151944.892956</x:v>
      </x:c>
      <x:c r="H1097" s="14" t="n">
        <x:f>F1097/G1097-1</x:f>
        <x:v>-0.003854292096342915</x:v>
      </x:c>
      <x:c r="I1097" s="14" t="n">
        <x:f>F1097/F1096-1</x:f>
        <x:v>-0.003854292096342915</x:v>
      </x:c>
      <x:c r="J1097" s="12" t="n">
        <x:v>0</x:v>
      </x:c>
      <x:c r="K1097" s="12" t="n">
        <x:v>0</x:v>
      </x:c>
      <x:c r="L1097" s="12" t="n">
        <x:v>0</x:v>
      </x:c>
      <x:c r="M1097" s="2" t="str">
        <x:v>持有</x:v>
      </x:c>
    </x:row>
    <x:row r="1098" ht="23" customHeight="1">
      <x:c r="A1098" s="11" t="d">
        <x:v>2019-05-07T00:00:00.000Z</x:v>
      </x:c>
      <x:c r="B1098" s="12" t="n">
        <x:v>9634.372956</x:v>
      </x:c>
      <x:c r="C1098" s="13" t="n">
        <x:v>484</x:v>
      </x:c>
      <x:c r="D1098" s="12" t="n">
        <x:v>139358.12</x:v>
      </x:c>
      <x:c r="E1098" s="12" t="n">
        <x:v>0</x:v>
      </x:c>
      <x:c r="F1098" s="12" t="n">
        <x:f>SUM(B1098,D1098:E1098)</x:f>
        <x:v>148992.492956</x:v>
      </x:c>
      <x:c r="G1098" s="12" t="n">
        <x:f>MAX(G1097,F1098)</x:f>
        <x:v>151944.892956</x:v>
      </x:c>
      <x:c r="H1098" s="14" t="n">
        <x:f>F1098/G1098-1</x:f>
        <x:v>-0.019430728750159054</x:v>
      </x:c>
      <x:c r="I1098" s="14" t="n">
        <x:f>F1098/F1097-1</x:f>
        <x:v>-0.015636705082628932</x:v>
      </x:c>
      <x:c r="J1098" s="12" t="n">
        <x:v>0</x:v>
      </x:c>
      <x:c r="K1098" s="12" t="n">
        <x:v>0</x:v>
      </x:c>
      <x:c r="L1098" s="12" t="n">
        <x:v>0</x:v>
      </x:c>
      <x:c r="M1098" s="2" t="str">
        <x:v>持有</x:v>
      </x:c>
    </x:row>
    <x:row r="1099" ht="23" customHeight="1">
      <x:c r="A1099" s="11" t="d">
        <x:v>2019-05-08T00:00:00.000Z</x:v>
      </x:c>
      <x:c r="B1099" s="12" t="n">
        <x:v>9634.372956</x:v>
      </x:c>
      <x:c r="C1099" s="13" t="n">
        <x:v>484</x:v>
      </x:c>
      <x:c r="D1099" s="12" t="n">
        <x:v>139164.52</x:v>
      </x:c>
      <x:c r="E1099" s="12" t="n">
        <x:v>0</x:v>
      </x:c>
      <x:c r="F1099" s="12" t="n">
        <x:f>SUM(B1099,D1099:E1099)</x:f>
        <x:v>148798.892956</x:v>
      </x:c>
      <x:c r="G1099" s="12" t="n">
        <x:f>MAX(G1098,F1099)</x:f>
        <x:v>151944.892956</x:v>
      </x:c>
      <x:c r="H1099" s="14" t="n">
        <x:f>F1099/G1099-1</x:f>
        <x:v>-0.020704874897710557</x:v>
      </x:c>
      <x:c r="I1099" s="14" t="n">
        <x:f>F1099/F1098-1</x:f>
        <x:v>-0.001299394326244152</x:v>
      </x:c>
      <x:c r="J1099" s="12" t="n">
        <x:v>0</x:v>
      </x:c>
      <x:c r="K1099" s="12" t="n">
        <x:v>0</x:v>
      </x:c>
      <x:c r="L1099" s="12" t="n">
        <x:v>0</x:v>
      </x:c>
      <x:c r="M1099" s="2" t="str">
        <x:v>持有</x:v>
      </x:c>
    </x:row>
    <x:row r="1100" ht="23" customHeight="1">
      <x:c r="A1100" s="11" t="d">
        <x:v>2019-05-09T00:00:00.000Z</x:v>
      </x:c>
      <x:c r="B1100" s="12" t="n">
        <x:v>9634.372956</x:v>
      </x:c>
      <x:c r="C1100" s="13" t="n">
        <x:v>484</x:v>
      </x:c>
      <x:c r="D1100" s="12" t="n">
        <x:v>138743.44</x:v>
      </x:c>
      <x:c r="E1100" s="12" t="n">
        <x:v>0</x:v>
      </x:c>
      <x:c r="F1100" s="12" t="n">
        <x:f>SUM(B1100,D1100:E1100)</x:f>
        <x:v>148377.812956</x:v>
      </x:c>
      <x:c r="G1100" s="12" t="n">
        <x:f>MAX(G1099,F1100)</x:f>
        <x:v>151944.892956</x:v>
      </x:c>
      <x:c r="H1100" s="14" t="n">
        <x:f>F1100/G1100-1</x:f>
        <x:v>-0.023476142768634745</x:v>
      </x:c>
      <x:c r="I1100" s="14" t="n">
        <x:f>F1100/F1099-1</x:f>
        <x:v>-0.0028298597633015232</x:v>
      </x:c>
      <x:c r="J1100" s="12" t="n">
        <x:v>0</x:v>
      </x:c>
      <x:c r="K1100" s="12" t="n">
        <x:v>0</x:v>
      </x:c>
      <x:c r="L1100" s="12" t="n">
        <x:v>0</x:v>
      </x:c>
      <x:c r="M1100" s="2" t="str">
        <x:v>持有</x:v>
      </x:c>
    </x:row>
    <x:row r="1101" ht="23" customHeight="1">
      <x:c r="A1101" s="11" t="d">
        <x:v>2019-05-10T00:00:00.000Z</x:v>
      </x:c>
      <x:c r="B1101" s="12" t="n">
        <x:v>9634.372956</x:v>
      </x:c>
      <x:c r="C1101" s="13" t="n">
        <x:v>484</x:v>
      </x:c>
      <x:c r="D1101" s="12" t="n">
        <x:v>139440.40000000002</x:v>
      </x:c>
      <x:c r="E1101" s="12" t="n">
        <x:v>0</x:v>
      </x:c>
      <x:c r="F1101" s="12" t="n">
        <x:f>SUM(B1101,D1101:E1101)</x:f>
        <x:v>149074.77295600003</x:v>
      </x:c>
      <x:c r="G1101" s="12" t="n">
        <x:f>MAX(G1100,F1101)</x:f>
        <x:v>151944.892956</x:v>
      </x:c>
      <x:c r="H1101" s="14" t="n">
        <x:f>F1101/G1101-1</x:f>
        <x:v>-0.01888921663744958</x:v>
      </x:c>
      <x:c r="I1101" s="14" t="n">
        <x:f>F1101/F1100-1</x:f>
        <x:v>0.004697198227383792</x:v>
      </x:c>
      <x:c r="J1101" s="12" t="n">
        <x:v>0</x:v>
      </x:c>
      <x:c r="K1101" s="12" t="n">
        <x:v>0</x:v>
      </x:c>
      <x:c r="L1101" s="12" t="n">
        <x:v>0</x:v>
      </x:c>
      <x:c r="M1101" s="2" t="str">
        <x:v>持有</x:v>
      </x:c>
    </x:row>
    <x:row r="1102" ht="23" customHeight="1">
      <x:c r="A1102" s="11" t="d">
        <x:v>2019-05-13T00:00:00.000Z</x:v>
      </x:c>
      <x:c r="B1102" s="12" t="n">
        <x:v>9634.372956</x:v>
      </x:c>
      <x:c r="C1102" s="13" t="n">
        <x:v>484</x:v>
      </x:c>
      <x:c r="D1102" s="12" t="n">
        <x:v>135936.24000000002</x:v>
      </x:c>
      <x:c r="E1102" s="12" t="n">
        <x:v>0</x:v>
      </x:c>
      <x:c r="F1102" s="12" t="n">
        <x:f>SUM(B1102,D1102:E1102)</x:f>
        <x:v>145570.61295600003</x:v>
      </x:c>
      <x:c r="G1102" s="12" t="n">
        <x:f>MAX(G1101,F1102)</x:f>
        <x:v>151944.892956</x:v>
      </x:c>
      <x:c r="H1102" s="14" t="n">
        <x:f>F1102/G1102-1</x:f>
        <x:v>-0.041951261908130255</x:v>
      </x:c>
      <x:c r="I1102" s="14" t="n">
        <x:f>F1102/F1101-1</x:f>
        <x:v>-0.023506056259661512</x:v>
      </x:c>
      <x:c r="J1102" s="12" t="n">
        <x:v>0</x:v>
      </x:c>
      <x:c r="K1102" s="12" t="n">
        <x:v>0</x:v>
      </x:c>
      <x:c r="L1102" s="12" t="n">
        <x:v>0</x:v>
      </x:c>
      <x:c r="M1102" s="2" t="str">
        <x:v>持有</x:v>
      </x:c>
    </x:row>
    <x:row r="1103" ht="23" customHeight="1">
      <x:c r="A1103" s="11" t="d">
        <x:v>2019-05-14T00:00:00.000Z</x:v>
      </x:c>
      <x:c r="B1103" s="12" t="n">
        <x:v>9634.372956</x:v>
      </x:c>
      <x:c r="C1103" s="13" t="n">
        <x:v>484</x:v>
      </x:c>
      <x:c r="D1103" s="12" t="n">
        <x:v>137165.59999999998</x:v>
      </x:c>
      <x:c r="E1103" s="12" t="n">
        <x:v>0</x:v>
      </x:c>
      <x:c r="F1103" s="12" t="n">
        <x:f>SUM(B1103,D1103:E1103)</x:f>
        <x:v>146799.97295599998</x:v>
      </x:c>
      <x:c r="G1103" s="12" t="n">
        <x:f>MAX(G1102,F1103)</x:f>
        <x:v>151944.892956</x:v>
      </x:c>
      <x:c r="H1103" s="14" t="n">
        <x:f>F1103/G1103-1</x:f>
        <x:v>-0.033860433871178985</x:v>
      </x:c>
      <x:c r="I1103" s="14" t="n">
        <x:f>F1103/F1102-1</x:f>
        <x:v>0.00844511110474988</x:v>
      </x:c>
      <x:c r="J1103" s="12" t="n">
        <x:v>0</x:v>
      </x:c>
      <x:c r="K1103" s="12" t="n">
        <x:v>0</x:v>
      </x:c>
      <x:c r="L1103" s="12" t="n">
        <x:v>0</x:v>
      </x:c>
      <x:c r="M1103" s="2" t="str">
        <x:v>持有</x:v>
      </x:c>
    </x:row>
    <x:row r="1104" ht="23" customHeight="1">
      <x:c r="A1104" s="11" t="d">
        <x:v>2019-05-15T00:00:00.000Z</x:v>
      </x:c>
      <x:c r="B1104" s="12" t="n">
        <x:v>9634.372956</x:v>
      </x:c>
      <x:c r="C1104" s="13" t="n">
        <x:v>484</x:v>
      </x:c>
      <x:c r="D1104" s="12" t="n">
        <x:v>137969.04</x:v>
      </x:c>
      <x:c r="E1104" s="12" t="n">
        <x:v>0</x:v>
      </x:c>
      <x:c r="F1104" s="12" t="n">
        <x:f>SUM(B1104,D1104:E1104)</x:f>
        <x:v>147603.41295600001</x:v>
      </x:c>
      <x:c r="G1104" s="12" t="n">
        <x:f>MAX(G1103,F1104)</x:f>
        <x:v>151944.892956</x:v>
      </x:c>
      <x:c r="H1104" s="14" t="n">
        <x:f>F1104/G1104-1</x:f>
        <x:v>-0.028572727358840422</x:v>
      </x:c>
      <x:c r="I1104" s="14" t="n">
        <x:f>F1104/F1103-1</x:f>
        <x:v>0.0054730255314205944</x:v>
      </x:c>
      <x:c r="J1104" s="12" t="n">
        <x:v>0</x:v>
      </x:c>
      <x:c r="K1104" s="12" t="n">
        <x:v>0</x:v>
      </x:c>
      <x:c r="L1104" s="12" t="n">
        <x:v>0</x:v>
      </x:c>
      <x:c r="M1104" s="2" t="str">
        <x:v>持有</x:v>
      </x:c>
    </x:row>
    <x:row r="1105" ht="23" customHeight="1">
      <x:c r="A1105" s="11" t="d">
        <x:v>2019-05-16T00:00:00.000Z</x:v>
      </x:c>
      <x:c r="B1105" s="12" t="n">
        <x:v>9634.372956</x:v>
      </x:c>
      <x:c r="C1105" s="13" t="n">
        <x:v>484</x:v>
      </x:c>
      <x:c r="D1105" s="12" t="n">
        <x:v>139246.8</x:v>
      </x:c>
      <x:c r="E1105" s="12" t="n">
        <x:v>0</x:v>
      </x:c>
      <x:c r="F1105" s="12" t="n">
        <x:f>SUM(B1105,D1105:E1105)</x:f>
        <x:v>148881.172956</x:v>
      </x:c>
      <x:c r="G1105" s="12" t="n">
        <x:f>MAX(G1104,F1105)</x:f>
        <x:v>151944.892956</x:v>
      </x:c>
      <x:c r="H1105" s="14" t="n">
        <x:f>F1105/G1105-1</x:f>
        <x:v>-0.020163362785001193</x:v>
      </x:c>
      <x:c r="I1105" s="14" t="n">
        <x:f>F1105/F1104-1</x:f>
        <x:v>0.008656710399920664</x:v>
      </x:c>
      <x:c r="J1105" s="12" t="n">
        <x:v>0</x:v>
      </x:c>
      <x:c r="K1105" s="12" t="n">
        <x:v>0</x:v>
      </x:c>
      <x:c r="L1105" s="12" t="n">
        <x:v>0</x:v>
      </x:c>
      <x:c r="M1105" s="2" t="str">
        <x:v>持有</x:v>
      </x:c>
    </x:row>
    <x:row r="1106" ht="23" customHeight="1">
      <x:c r="A1106" s="11" t="d">
        <x:v>2019-05-17T00:00:00.000Z</x:v>
      </x:c>
      <x:c r="B1106" s="12" t="n">
        <x:v>9634.372956</x:v>
      </x:c>
      <x:c r="C1106" s="13" t="n">
        <x:v>484</x:v>
      </x:c>
      <x:c r="D1106" s="12" t="n">
        <x:v>138346.56</x:v>
      </x:c>
      <x:c r="E1106" s="12" t="n">
        <x:v>0</x:v>
      </x:c>
      <x:c r="F1106" s="12" t="n">
        <x:f>SUM(B1106,D1106:E1106)</x:f>
        <x:v>147980.932956</x:v>
      </x:c>
      <x:c r="G1106" s="12" t="n">
        <x:f>MAX(G1105,F1106)</x:f>
        <x:v>151944.892956</x:v>
      </x:c>
      <x:c r="H1106" s="14" t="n">
        <x:f>F1106/G1106-1</x:f>
        <x:v>-0.02608814237111523</x:v>
      </x:c>
      <x:c r="I1106" s="14" t="n">
        <x:f>F1106/F1105-1</x:f>
        <x:v>-0.006046701420508338</x:v>
      </x:c>
      <x:c r="J1106" s="12" t="n">
        <x:v>0</x:v>
      </x:c>
      <x:c r="K1106" s="12" t="n">
        <x:v>0</x:v>
      </x:c>
      <x:c r="L1106" s="12" t="n">
        <x:v>0</x:v>
      </x:c>
      <x:c r="M1106" s="2" t="str">
        <x:v>持有</x:v>
      </x:c>
    </x:row>
    <x:row r="1107" ht="23" customHeight="1">
      <x:c r="A1107" s="11" t="d">
        <x:v>2019-05-20T00:00:00.000Z</x:v>
      </x:c>
      <x:c r="B1107" s="12" t="n">
        <x:v>9634.372956</x:v>
      </x:c>
      <x:c r="C1107" s="13" t="n">
        <x:v>484</x:v>
      </x:c>
      <x:c r="D1107" s="12" t="n">
        <x:v>137431.8</x:v>
      </x:c>
      <x:c r="E1107" s="12" t="n">
        <x:v>0</x:v>
      </x:c>
      <x:c r="F1107" s="12" t="n">
        <x:f>SUM(B1107,D1107:E1107)</x:f>
        <x:v>147066.172956</x:v>
      </x:c>
      <x:c r="G1107" s="12" t="n">
        <x:f>MAX(G1106,F1107)</x:f>
        <x:v>151944.892956</x:v>
      </x:c>
      <x:c r="H1107" s="14" t="n">
        <x:f>F1107/G1107-1</x:f>
        <x:v>-0.03210848291829571</x:v>
      </x:c>
      <x:c r="I1107" s="14" t="n">
        <x:f>F1107/F1106-1</x:f>
        <x:v>-0.0061816071957865315</x:v>
      </x:c>
      <x:c r="J1107" s="12" t="n">
        <x:v>0</x:v>
      </x:c>
      <x:c r="K1107" s="12" t="n">
        <x:v>0</x:v>
      </x:c>
      <x:c r="L1107" s="12" t="n">
        <x:v>0</x:v>
      </x:c>
      <x:c r="M1107" s="2" t="str">
        <x:v>持有</x:v>
      </x:c>
    </x:row>
    <x:row r="1108" ht="23" customHeight="1">
      <x:c r="A1108" s="11" t="d">
        <x:v>2019-05-21T00:00:00.000Z</x:v>
      </x:c>
      <x:c r="B1108" s="12" t="n">
        <x:v>9634.372956</x:v>
      </x:c>
      <x:c r="C1108" s="13" t="n">
        <x:v>484</x:v>
      </x:c>
      <x:c r="D1108" s="12" t="n">
        <x:v>138670.84</x:v>
      </x:c>
      <x:c r="E1108" s="12" t="n">
        <x:v>0</x:v>
      </x:c>
      <x:c r="F1108" s="12" t="n">
        <x:f>SUM(B1108,D1108:E1108)</x:f>
        <x:v>148305.212956</x:v>
      </x:c>
      <x:c r="G1108" s="12" t="n">
        <x:f>MAX(G1107,F1108)</x:f>
        <x:v>151944.892956</x:v>
      </x:c>
      <x:c r="H1108" s="14" t="n">
        <x:f>F1108/G1108-1</x:f>
        <x:v>-0.023953947573966627</x:v>
      </x:c>
      <x:c r="I1108" s="14" t="n">
        <x:f>F1108/F1107-1</x:f>
        <x:v>0.008425050948804635</x:v>
      </x:c>
      <x:c r="J1108" s="12" t="n">
        <x:v>0</x:v>
      </x:c>
      <x:c r="K1108" s="12" t="n">
        <x:v>0</x:v>
      </x:c>
      <x:c r="L1108" s="12" t="n">
        <x:v>0</x:v>
      </x:c>
      <x:c r="M1108" s="2" t="str">
        <x:v>持有</x:v>
      </x:c>
    </x:row>
    <x:row r="1109" ht="23" customHeight="1">
      <x:c r="A1109" s="11" t="d">
        <x:v>2019-05-22T00:00:00.000Z</x:v>
      </x:c>
      <x:c r="B1109" s="12" t="n">
        <x:v>9634.372956</x:v>
      </x:c>
      <x:c r="C1109" s="13" t="n">
        <x:v>484</x:v>
      </x:c>
      <x:c r="D1109" s="12" t="n">
        <x:v>138244.91999999998</x:v>
      </x:c>
      <x:c r="E1109" s="12" t="n">
        <x:v>0</x:v>
      </x:c>
      <x:c r="F1109" s="12" t="n">
        <x:f>SUM(B1109,D1109:E1109)</x:f>
        <x:v>147879.292956</x:v>
      </x:c>
      <x:c r="G1109" s="12" t="n">
        <x:f>MAX(G1108,F1109)</x:f>
        <x:v>151944.892956</x:v>
      </x:c>
      <x:c r="H1109" s="14" t="n">
        <x:f>F1109/G1109-1</x:f>
        <x:v>-0.026757069098579778</x:v>
      </x:c>
      <x:c r="I1109" s="14" t="n">
        <x:f>F1109/F1108-1</x:f>
        <x:v>-0.0028719152315055396</x:v>
      </x:c>
      <x:c r="J1109" s="12" t="n">
        <x:v>0</x:v>
      </x:c>
      <x:c r="K1109" s="12" t="n">
        <x:v>0</x:v>
      </x:c>
      <x:c r="L1109" s="12" t="n">
        <x:v>0</x:v>
      </x:c>
      <x:c r="M1109" s="2" t="str">
        <x:v>持有</x:v>
      </x:c>
    </x:row>
    <x:row r="1110" ht="23" customHeight="1">
      <x:c r="A1110" s="11" t="d">
        <x:v>2019-05-23T00:00:00.000Z</x:v>
      </x:c>
      <x:c r="B1110" s="12" t="n">
        <x:v>9634.372956</x:v>
      </x:c>
      <x:c r="C1110" s="13" t="n">
        <x:v>484</x:v>
      </x:c>
      <x:c r="D1110" s="12" t="n">
        <x:v>136555.75999999998</x:v>
      </x:c>
      <x:c r="E1110" s="12" t="n">
        <x:v>0</x:v>
      </x:c>
      <x:c r="F1110" s="12" t="n">
        <x:f>SUM(B1110,D1110:E1110)</x:f>
        <x:v>146190.132956</x:v>
      </x:c>
      <x:c r="G1110" s="12" t="n">
        <x:f>MAX(G1109,F1110)</x:f>
        <x:v>151944.892956</x:v>
      </x:c>
      <x:c r="H1110" s="14" t="n">
        <x:f>F1110/G1110-1</x:f>
        <x:v>-0.037873994235965935</x:v>
      </x:c>
      <x:c r="I1110" s="14" t="n">
        <x:f>F1110/F1109-1</x:f>
        <x:v>-0.011422559347119665</x:v>
      </x:c>
      <x:c r="J1110" s="12" t="n">
        <x:v>0</x:v>
      </x:c>
      <x:c r="K1110" s="12" t="n">
        <x:v>0</x:v>
      </x:c>
      <x:c r="L1110" s="12" t="n">
        <x:v>0</x:v>
      </x:c>
      <x:c r="M1110" s="2" t="str">
        <x:v>持有</x:v>
      </x:c>
    </x:row>
    <x:row r="1111" ht="23" customHeight="1">
      <x:c r="A1111" s="11" t="d">
        <x:v>2019-05-24T00:00:00.000Z</x:v>
      </x:c>
      <x:c r="B1111" s="12" t="n">
        <x:v>9634.372956</x:v>
      </x:c>
      <x:c r="C1111" s="13" t="n">
        <x:v>484</x:v>
      </x:c>
      <x:c r="D1111" s="12" t="n">
        <x:v>136865.52</x:v>
      </x:c>
      <x:c r="E1111" s="12" t="n">
        <x:v>0</x:v>
      </x:c>
      <x:c r="F1111" s="12" t="n">
        <x:f>SUM(B1111,D1111:E1111)</x:f>
        <x:v>146499.892956</x:v>
      </x:c>
      <x:c r="G1111" s="12" t="n">
        <x:f>MAX(G1110,F1111)</x:f>
        <x:v>151944.892956</x:v>
      </x:c>
      <x:c r="H1111" s="14" t="n">
        <x:f>F1111/G1111-1</x:f>
        <x:v>-0.035835360399883665</x:v>
      </x:c>
      <x:c r="I1111" s="14" t="n">
        <x:f>F1111/F1110-1</x:f>
        <x:v>0.002118884453667258</x:v>
      </x:c>
      <x:c r="J1111" s="12" t="n">
        <x:v>0</x:v>
      </x:c>
      <x:c r="K1111" s="12" t="n">
        <x:v>0</x:v>
      </x:c>
      <x:c r="L1111" s="12" t="n">
        <x:v>0</x:v>
      </x:c>
      <x:c r="M1111" s="2" t="str">
        <x:v>持有</x:v>
      </x:c>
    </x:row>
    <x:row r="1112" ht="23" customHeight="1">
      <x:c r="A1112" s="11" t="d">
        <x:v>2019-05-28T00:00:00.000Z</x:v>
      </x:c>
      <x:c r="B1112" s="12" t="n">
        <x:v>9634.372956</x:v>
      </x:c>
      <x:c r="C1112" s="13" t="n">
        <x:v>484</x:v>
      </x:c>
      <x:c r="D1112" s="12" t="n">
        <x:v>135592.59999999998</x:v>
      </x:c>
      <x:c r="E1112" s="12" t="n">
        <x:v>0</x:v>
      </x:c>
      <x:c r="F1112" s="12" t="n">
        <x:f>SUM(B1112,D1112:E1112)</x:f>
        <x:v>145226.97295599998</x:v>
      </x:c>
      <x:c r="G1112" s="12" t="n">
        <x:f>MAX(G1111,F1112)</x:f>
        <x:v>151944.892956</x:v>
      </x:c>
      <x:c r="H1112" s="14" t="n">
        <x:f>F1112/G1112-1</x:f>
        <x:v>-0.044212871320034264</x:v>
      </x:c>
      <x:c r="I1112" s="14" t="n">
        <x:f>F1112/F1111-1</x:f>
        <x:v>-0.008688880068890681</x:v>
      </x:c>
      <x:c r="J1112" s="12" t="n">
        <x:v>0</x:v>
      </x:c>
      <x:c r="K1112" s="12" t="n">
        <x:v>0</x:v>
      </x:c>
      <x:c r="L1112" s="12" t="n">
        <x:v>0</x:v>
      </x:c>
      <x:c r="M1112" s="2" t="str">
        <x:v>持有</x:v>
      </x:c>
    </x:row>
    <x:row r="1113" ht="23" customHeight="1">
      <x:c r="A1113" s="11" t="d">
        <x:v>2019-05-29T00:00:00.000Z</x:v>
      </x:c>
      <x:c r="B1113" s="12" t="n">
        <x:v>9634.372956</x:v>
      </x:c>
      <x:c r="C1113" s="13" t="n">
        <x:v>484</x:v>
      </x:c>
      <x:c r="D1113" s="12" t="n">
        <x:v>134682.68</x:v>
      </x:c>
      <x:c r="E1113" s="12" t="n">
        <x:v>0</x:v>
      </x:c>
      <x:c r="F1113" s="12" t="n">
        <x:f>SUM(B1113,D1113:E1113)</x:f>
        <x:v>144317.052956</x:v>
      </x:c>
      <x:c r="G1113" s="12" t="n">
        <x:f>MAX(G1112,F1113)</x:f>
        <x:v>151944.892956</x:v>
      </x:c>
      <x:c r="H1113" s="14" t="n">
        <x:f>F1113/G1113-1</x:f>
        <x:v>-0.05020135821352589</x:v>
      </x:c>
      <x:c r="I1113" s="14" t="n">
        <x:f>F1113/F1112-1</x:f>
        <x:v>-0.006265502760810615</x:v>
      </x:c>
      <x:c r="J1113" s="12" t="n">
        <x:v>0</x:v>
      </x:c>
      <x:c r="K1113" s="12" t="n">
        <x:v>0</x:v>
      </x:c>
      <x:c r="L1113" s="12" t="n">
        <x:v>0</x:v>
      </x:c>
      <x:c r="M1113" s="2" t="str">
        <x:v>持有</x:v>
      </x:c>
    </x:row>
    <x:row r="1114" ht="23" customHeight="1">
      <x:c r="A1114" s="11" t="d">
        <x:v>2019-05-30T00:00:00.000Z</x:v>
      </x:c>
      <x:c r="B1114" s="12" t="n">
        <x:v>9634.372956</x:v>
      </x:c>
      <x:c r="C1114" s="13" t="n">
        <x:v>484</x:v>
      </x:c>
      <x:c r="D1114" s="12" t="n">
        <x:v>135050.52</x:v>
      </x:c>
      <x:c r="E1114" s="12" t="n">
        <x:v>0</x:v>
      </x:c>
      <x:c r="F1114" s="12" t="n">
        <x:f>SUM(B1114,D1114:E1114)</x:f>
        <x:v>144684.892956</x:v>
      </x:c>
      <x:c r="G1114" s="12" t="n">
        <x:f>MAX(G1113,F1114)</x:f>
        <x:v>151944.892956</x:v>
      </x:c>
      <x:c r="H1114" s="14" t="n">
        <x:f>F1114/G1114-1</x:f>
        <x:v>-0.04778048053317818</x:v>
      </x:c>
      <x:c r="I1114" s="14" t="n">
        <x:f>F1114/F1113-1</x:f>
        <x:v>0.002548832535488099</x:v>
      </x:c>
      <x:c r="J1114" s="12" t="n">
        <x:v>0</x:v>
      </x:c>
      <x:c r="K1114" s="12" t="n">
        <x:v>0</x:v>
      </x:c>
      <x:c r="L1114" s="12" t="n">
        <x:v>0</x:v>
      </x:c>
      <x:c r="M1114" s="2" t="str">
        <x:v>持有</x:v>
      </x:c>
    </x:row>
    <x:row r="1115" ht="23" customHeight="1">
      <x:c r="A1115" s="11" t="d">
        <x:v>2019-05-31T00:00:00.000Z</x:v>
      </x:c>
      <x:c r="B1115" s="12" t="n">
        <x:v>9634.372956</x:v>
      </x:c>
      <x:c r="C1115" s="13" t="n">
        <x:v>484</x:v>
      </x:c>
      <x:c r="D1115" s="12" t="n">
        <x:v>133230.68</x:v>
      </x:c>
      <x:c r="E1115" s="12" t="n">
        <x:v>0</x:v>
      </x:c>
      <x:c r="F1115" s="12" t="n">
        <x:f>SUM(B1115,D1115:E1115)</x:f>
        <x:v>142865.052956</x:v>
      </x:c>
      <x:c r="G1115" s="12" t="n">
        <x:f>MAX(G1114,F1115)</x:f>
        <x:v>151944.892956</x:v>
      </x:c>
      <x:c r="H1115" s="14" t="n">
        <x:f>F1115/G1115-1</x:f>
        <x:v>-0.05975745432016144</x:v>
      </x:c>
      <x:c r="I1115" s="14" t="n">
        <x:f>F1115/F1114-1</x:f>
        <x:v>-0.012577954496973187</x:v>
      </x:c>
      <x:c r="J1115" s="12" t="n">
        <x:v>0</x:v>
      </x:c>
      <x:c r="K1115" s="12" t="n">
        <x:v>0</x:v>
      </x:c>
      <x:c r="L1115" s="12" t="n">
        <x:v>0</x:v>
      </x:c>
      <x:c r="M1115" s="2" t="str">
        <x:v>持有</x:v>
      </x:c>
    </x:row>
    <x:row r="1116" ht="23" customHeight="1">
      <x:c r="A1116" s="11" t="d">
        <x:v>2019-06-03T00:00:00.000Z</x:v>
      </x:c>
      <x:c r="B1116" s="12" t="n">
        <x:v>9634.372956</x:v>
      </x:c>
      <x:c r="C1116" s="13" t="n">
        <x:v>484</x:v>
      </x:c>
      <x:c r="D1116" s="12" t="n">
        <x:v>132891.88</x:v>
      </x:c>
      <x:c r="E1116" s="12" t="n">
        <x:v>0</x:v>
      </x:c>
      <x:c r="F1116" s="12" t="n">
        <x:f>SUM(B1116,D1116:E1116)</x:f>
        <x:v>142526.252956</x:v>
      </x:c>
      <x:c r="G1116" s="12" t="n">
        <x:f>MAX(G1115,F1116)</x:f>
        <x:v>151944.892956</x:v>
      </x:c>
      <x:c r="H1116" s="14" t="n">
        <x:f>F1116/G1116-1</x:f>
        <x:v>-0.061987210078376376</x:v>
      </x:c>
      <x:c r="I1116" s="14" t="n">
        <x:f>F1116/F1115-1</x:f>
        <x:v>-0.0023714686901374904</x:v>
      </x:c>
      <x:c r="J1116" s="12" t="n">
        <x:v>0</x:v>
      </x:c>
      <x:c r="K1116" s="12" t="n">
        <x:v>0</x:v>
      </x:c>
      <x:c r="L1116" s="12" t="n">
        <x:v>0</x:v>
      </x:c>
      <x:c r="M1116" s="2" t="str">
        <x:v>持有</x:v>
      </x:c>
    </x:row>
    <x:row r="1117" ht="23" customHeight="1">
      <x:c r="A1117" s="11" t="d">
        <x:v>2019-06-04T00:00:00.000Z</x:v>
      </x:c>
      <x:c r="B1117" s="12" t="n">
        <x:v>9634.372956</x:v>
      </x:c>
      <x:c r="C1117" s="13" t="n">
        <x:v>484</x:v>
      </x:c>
      <x:c r="D1117" s="12" t="n">
        <x:v>135776.52</x:v>
      </x:c>
      <x:c r="E1117" s="12" t="n">
        <x:v>0</x:v>
      </x:c>
      <x:c r="F1117" s="12" t="n">
        <x:f>SUM(B1117,D1117:E1117)</x:f>
        <x:v>145410.892956</x:v>
      </x:c>
      <x:c r="G1117" s="12" t="n">
        <x:f>MAX(G1116,F1117)</x:f>
        <x:v>151944.892956</x:v>
      </x:c>
      <x:c r="H1117" s="14" t="n">
        <x:f>F1117/G1117-1</x:f>
        <x:v>-0.04300243247986035</x:v>
      </x:c>
      <x:c r="I1117" s="14" t="n">
        <x:f>F1117/F1116-1</x:f>
        <x:v>0.02023935899648266</x:v>
      </x:c>
      <x:c r="J1117" s="12" t="n">
        <x:v>0</x:v>
      </x:c>
      <x:c r="K1117" s="12" t="n">
        <x:v>0</x:v>
      </x:c>
      <x:c r="L1117" s="12" t="n">
        <x:v>0</x:v>
      </x:c>
      <x:c r="M1117" s="2" t="str">
        <x:v>持有</x:v>
      </x:c>
    </x:row>
    <x:row r="1118" ht="23" customHeight="1">
      <x:c r="A1118" s="11" t="d">
        <x:v>2019-06-05T00:00:00.000Z</x:v>
      </x:c>
      <x:c r="B1118" s="12" t="n">
        <x:v>9634.372956</x:v>
      </x:c>
      <x:c r="C1118" s="13" t="n">
        <x:v>484</x:v>
      </x:c>
      <x:c r="D1118" s="12" t="n">
        <x:v>136952.63999999998</x:v>
      </x:c>
      <x:c r="E1118" s="12" t="n">
        <x:v>0</x:v>
      </x:c>
      <x:c r="F1118" s="12" t="n">
        <x:f>SUM(B1118,D1118:E1118)</x:f>
        <x:v>146587.012956</x:v>
      </x:c>
      <x:c r="G1118" s="12" t="n">
        <x:f>MAX(G1117,F1118)</x:f>
        <x:v>151944.892956</x:v>
      </x:c>
      <x:c r="H1118" s="14" t="n">
        <x:f>F1118/G1118-1</x:f>
        <x:v>-0.03526199463348556</x:v>
      </x:c>
      <x:c r="I1118" s="14" t="n">
        <x:f>F1118/F1117-1</x:f>
        <x:v>0.008088252372921545</x:v>
      </x:c>
      <x:c r="J1118" s="12" t="n">
        <x:v>0</x:v>
      </x:c>
      <x:c r="K1118" s="12" t="n">
        <x:v>0</x:v>
      </x:c>
      <x:c r="L1118" s="12" t="n">
        <x:v>0</x:v>
      </x:c>
      <x:c r="M1118" s="2" t="str">
        <x:v>持有</x:v>
      </x:c>
    </x:row>
    <x:row r="1119" ht="23" customHeight="1">
      <x:c r="A1119" s="11" t="d">
        <x:v>2019-06-06T00:00:00.000Z</x:v>
      </x:c>
      <x:c r="B1119" s="12" t="n">
        <x:v>9634.372956</x:v>
      </x:c>
      <x:c r="C1119" s="13" t="n">
        <x:v>484</x:v>
      </x:c>
      <x:c r="D1119" s="12" t="n">
        <x:v>137843.2</x:v>
      </x:c>
      <x:c r="E1119" s="12" t="n">
        <x:v>0</x:v>
      </x:c>
      <x:c r="F1119" s="12" t="n">
        <x:f>SUM(B1119,D1119:E1119)</x:f>
        <x:v>147477.57295600002</x:v>
      </x:c>
      <x:c r="G1119" s="12" t="n">
        <x:f>MAX(G1118,F1119)</x:f>
        <x:v>151944.892956</x:v>
      </x:c>
      <x:c r="H1119" s="14" t="n">
        <x:f>F1119/G1119-1</x:f>
        <x:v>-0.029400922354748782</x:v>
      </x:c>
      <x:c r="I1119" s="14" t="n">
        <x:f>F1119/F1118-1</x:f>
        <x:v>0.006075299455534644</x:v>
      </x:c>
      <x:c r="J1119" s="12" t="n">
        <x:v>0</x:v>
      </x:c>
      <x:c r="K1119" s="12" t="n">
        <x:v>0</x:v>
      </x:c>
      <x:c r="L1119" s="12" t="n">
        <x:v>0</x:v>
      </x:c>
      <x:c r="M1119" s="2" t="str">
        <x:v>持有</x:v>
      </x:c>
    </x:row>
    <x:row r="1120" ht="23" customHeight="1">
      <x:c r="A1120" s="11" t="d">
        <x:v>2019-06-07T00:00:00.000Z</x:v>
      </x:c>
      <x:c r="B1120" s="12" t="n">
        <x:v>9634.372956</x:v>
      </x:c>
      <x:c r="C1120" s="13" t="n">
        <x:v>484</x:v>
      </x:c>
      <x:c r="D1120" s="12" t="n">
        <x:v>139222.59999999998</x:v>
      </x:c>
      <x:c r="E1120" s="12" t="n">
        <x:v>0</x:v>
      </x:c>
      <x:c r="F1120" s="12" t="n">
        <x:f>SUM(B1120,D1120:E1120)</x:f>
        <x:v>148856.97295599998</x:v>
      </x:c>
      <x:c r="G1120" s="12" t="n">
        <x:f>MAX(G1119,F1120)</x:f>
        <x:v>151944.892956</x:v>
      </x:c>
      <x:c r="H1120" s="14" t="n">
        <x:f>F1120/G1120-1</x:f>
        <x:v>-0.020322631053445228</x:v>
      </x:c>
      <x:c r="I1120" s="14" t="n">
        <x:f>F1120/F1119-1</x:f>
        <x:v>0.009353286553010376</x:v>
      </x:c>
      <x:c r="J1120" s="12" t="n">
        <x:v>0</x:v>
      </x:c>
      <x:c r="K1120" s="12" t="n">
        <x:v>0</x:v>
      </x:c>
      <x:c r="L1120" s="12" t="n">
        <x:v>0</x:v>
      </x:c>
      <x:c r="M1120" s="2" t="str">
        <x:v>持有</x:v>
      </x:c>
    </x:row>
    <x:row r="1121" ht="23" customHeight="1">
      <x:c r="A1121" s="11" t="d">
        <x:v>2019-06-10T00:00:00.000Z</x:v>
      </x:c>
      <x:c r="B1121" s="12" t="n">
        <x:v>9634.372956</x:v>
      </x:c>
      <x:c r="C1121" s="13" t="n">
        <x:v>484</x:v>
      </x:c>
      <x:c r="D1121" s="12" t="n">
        <x:v>139861.48</x:v>
      </x:c>
      <x:c r="E1121" s="12" t="n">
        <x:v>0</x:v>
      </x:c>
      <x:c r="F1121" s="12" t="n">
        <x:f>SUM(B1121,D1121:E1121)</x:f>
        <x:v>149495.85295600002</x:v>
      </x:c>
      <x:c r="G1121" s="12" t="n">
        <x:f>MAX(G1120,F1121)</x:f>
        <x:v>151944.892956</x:v>
      </x:c>
      <x:c r="H1121" s="14" t="n">
        <x:f>F1121/G1121-1</x:f>
        <x:v>-0.01611794876652528</x:v>
      </x:c>
      <x:c r="I1121" s="14" t="n">
        <x:f>F1121/F1120-1</x:f>
        <x:v>0.004291905090592518</x:v>
      </x:c>
      <x:c r="J1121" s="12" t="n">
        <x:v>0</x:v>
      </x:c>
      <x:c r="K1121" s="12" t="n">
        <x:v>0</x:v>
      </x:c>
      <x:c r="L1121" s="12" t="n">
        <x:v>0</x:v>
      </x:c>
      <x:c r="M1121" s="2" t="str">
        <x:v>持有</x:v>
      </x:c>
    </x:row>
    <x:row r="1122" ht="23" customHeight="1">
      <x:c r="A1122" s="11" t="d">
        <x:v>2019-06-11T00:00:00.000Z</x:v>
      </x:c>
      <x:c r="B1122" s="12" t="n">
        <x:v>9634.372956</x:v>
      </x:c>
      <x:c r="C1122" s="13" t="n">
        <x:v>484</x:v>
      </x:c>
      <x:c r="D1122" s="12" t="n">
        <x:v>139827.59999999998</x:v>
      </x:c>
      <x:c r="E1122" s="12" t="n">
        <x:v>0</x:v>
      </x:c>
      <x:c r="F1122" s="12" t="n">
        <x:f>SUM(B1122,D1122:E1122)</x:f>
        <x:v>149461.97295599998</x:v>
      </x:c>
      <x:c r="G1122" s="12" t="n">
        <x:f>MAX(G1121,F1122)</x:f>
        <x:v>151944.892956</x:v>
      </x:c>
      <x:c r="H1122" s="14" t="n">
        <x:f>F1122/G1122-1</x:f>
        <x:v>-0.01634092434234702</x:v>
      </x:c>
      <x:c r="I1122" s="14" t="n">
        <x:f>F1122/F1121-1</x:f>
        <x:v>-0.0002266283601191077</x:v>
      </x:c>
      <x:c r="J1122" s="12" t="n">
        <x:v>0</x:v>
      </x:c>
      <x:c r="K1122" s="12" t="n">
        <x:v>0</x:v>
      </x:c>
      <x:c r="L1122" s="12" t="n">
        <x:v>0</x:v>
      </x:c>
      <x:c r="M1122" s="2" t="str">
        <x:v>持有</x:v>
      </x:c>
    </x:row>
    <x:row r="1123" ht="23" customHeight="1">
      <x:c r="A1123" s="11" t="d">
        <x:v>2019-06-12T00:00:00.000Z</x:v>
      </x:c>
      <x:c r="B1123" s="12" t="n">
        <x:v>9634.372956</x:v>
      </x:c>
      <x:c r="C1123" s="13" t="n">
        <x:v>484</x:v>
      </x:c>
      <x:c r="D1123" s="12" t="n">
        <x:v>139580.75999999998</x:v>
      </x:c>
      <x:c r="E1123" s="12" t="n">
        <x:v>0</x:v>
      </x:c>
      <x:c r="F1123" s="12" t="n">
        <x:f>SUM(B1123,D1123:E1123)</x:f>
        <x:v>149215.132956</x:v>
      </x:c>
      <x:c r="G1123" s="12" t="n">
        <x:f>MAX(G1122,F1123)</x:f>
        <x:v>151944.892956</x:v>
      </x:c>
      <x:c r="H1123" s="14" t="n">
        <x:f>F1123/G1123-1</x:f>
        <x:v>-0.01796546068047511</x:v>
      </x:c>
      <x:c r="I1123" s="14" t="n">
        <x:f>F1123/F1122-1</x:f>
        <x:v>-0.0016515237629886048</x:v>
      </x:c>
      <x:c r="J1123" s="12" t="n">
        <x:v>0</x:v>
      </x:c>
      <x:c r="K1123" s="12" t="n">
        <x:v>0</x:v>
      </x:c>
      <x:c r="L1123" s="12" t="n">
        <x:v>0</x:v>
      </x:c>
      <x:c r="M1123" s="2" t="str">
        <x:v>持有</x:v>
      </x:c>
    </x:row>
    <x:row r="1124" ht="23" customHeight="1">
      <x:c r="A1124" s="11" t="d">
        <x:v>2019-06-13T00:00:00.000Z</x:v>
      </x:c>
      <x:c r="B1124" s="12" t="n">
        <x:v>9634.372956</x:v>
      </x:c>
      <x:c r="C1124" s="13" t="n">
        <x:v>484</x:v>
      </x:c>
      <x:c r="D1124" s="12" t="n">
        <x:v>140156.72</x:v>
      </x:c>
      <x:c r="E1124" s="12" t="n">
        <x:v>0</x:v>
      </x:c>
      <x:c r="F1124" s="12" t="n">
        <x:f>SUM(B1124,D1124:E1124)</x:f>
        <x:v>149791.092956</x:v>
      </x:c>
      <x:c r="G1124" s="12" t="n">
        <x:f>MAX(G1123,F1124)</x:f>
        <x:v>151944.892956</x:v>
      </x:c>
      <x:c r="H1124" s="14" t="n">
        <x:f>F1124/G1124-1</x:f>
        <x:v>-0.014174875891509453</x:v>
      </x:c>
      <x:c r="I1124" s="14" t="n">
        <x:f>F1124/F1123-1</x:f>
        <x:v>0.0038599302134445512</x:v>
      </x:c>
      <x:c r="J1124" s="12" t="n">
        <x:v>0</x:v>
      </x:c>
      <x:c r="K1124" s="12" t="n">
        <x:v>0</x:v>
      </x:c>
      <x:c r="L1124" s="12" t="n">
        <x:v>0</x:v>
      </x:c>
      <x:c r="M1124" s="2" t="str">
        <x:v>持有</x:v>
      </x:c>
    </x:row>
    <x:row r="1125" ht="23" customHeight="1">
      <x:c r="A1125" s="11" t="d">
        <x:v>2019-06-14T00:00:00.000Z</x:v>
      </x:c>
      <x:c r="B1125" s="12" t="n">
        <x:v>9634.372956</x:v>
      </x:c>
      <x:c r="C1125" s="13" t="n">
        <x:v>484</x:v>
      </x:c>
      <x:c r="D1125" s="12" t="n">
        <x:v>140001.84</x:v>
      </x:c>
      <x:c r="E1125" s="12" t="n">
        <x:v>0</x:v>
      </x:c>
      <x:c r="F1125" s="12" t="n">
        <x:f>SUM(B1125,D1125:E1125)</x:f>
        <x:v>149636.212956</x:v>
      </x:c>
      <x:c r="G1125" s="12" t="n">
        <x:f>MAX(G1124,F1125)</x:f>
        <x:v>151944.892956</x:v>
      </x:c>
      <x:c r="H1125" s="14" t="n">
        <x:f>F1125/G1125-1</x:f>
        <x:v>-0.015194192809550588</x:v>
      </x:c>
      <x:c r="I1125" s="14" t="n">
        <x:f>F1125/F1124-1</x:f>
        <x:v>-0.0010339733621244074</x:v>
      </x:c>
      <x:c r="J1125" s="12" t="n">
        <x:v>0</x:v>
      </x:c>
      <x:c r="K1125" s="12" t="n">
        <x:v>0</x:v>
      </x:c>
      <x:c r="L1125" s="12" t="n">
        <x:v>0</x:v>
      </x:c>
      <x:c r="M1125" s="2" t="str">
        <x:v>持有</x:v>
      </x:c>
    </x:row>
    <x:row r="1126" ht="23" customHeight="1">
      <x:c r="A1126" s="11" t="d">
        <x:v>2019-06-17T00:00:00.000Z</x:v>
      </x:c>
      <x:c r="B1126" s="12" t="n">
        <x:v>9634.372956</x:v>
      </x:c>
      <x:c r="C1126" s="13" t="n">
        <x:v>484</x:v>
      </x:c>
      <x:c r="D1126" s="12" t="n">
        <x:v>140055.08000000002</x:v>
      </x:c>
      <x:c r="E1126" s="12" t="n">
        <x:v>0</x:v>
      </x:c>
      <x:c r="F1126" s="12" t="n">
        <x:f>SUM(B1126,D1126:E1126)</x:f>
        <x:v>149689.45295600002</x:v>
      </x:c>
      <x:c r="G1126" s="12" t="n">
        <x:f>MAX(G1125,F1126)</x:f>
        <x:v>151944.892956</x:v>
      </x:c>
      <x:c r="H1126" s="14" t="n">
        <x:f>F1126/G1126-1</x:f>
        <x:v>-0.01484380261897389</x:v>
      </x:c>
      <x:c r="I1126" s="14" t="n">
        <x:f>F1126/F1125-1</x:f>
        <x:v>0.00035579622705150804</x:v>
      </x:c>
      <x:c r="J1126" s="12" t="n">
        <x:v>0</x:v>
      </x:c>
      <x:c r="K1126" s="12" t="n">
        <x:v>0</x:v>
      </x:c>
      <x:c r="L1126" s="12" t="n">
        <x:v>0</x:v>
      </x:c>
      <x:c r="M1126" s="2" t="str">
        <x:v>持有</x:v>
      </x:c>
    </x:row>
    <x:row r="1127" ht="23" customHeight="1">
      <x:c r="A1127" s="11" t="d">
        <x:v>2019-06-18T00:00:00.000Z</x:v>
      </x:c>
      <x:c r="B1127" s="12" t="n">
        <x:v>9634.372956</x:v>
      </x:c>
      <x:c r="C1127" s="13" t="n">
        <x:v>484</x:v>
      </x:c>
      <x:c r="D1127" s="12" t="n">
        <x:v>141521.59999999998</x:v>
      </x:c>
      <x:c r="E1127" s="12" t="n">
        <x:v>0</x:v>
      </x:c>
      <x:c r="F1127" s="12" t="n">
        <x:f>SUM(B1127,D1127:E1127)</x:f>
        <x:v>151155.97295599998</x:v>
      </x:c>
      <x:c r="G1127" s="12" t="n">
        <x:f>MAX(G1126,F1127)</x:f>
        <x:v>151944.892956</x:v>
      </x:c>
      <x:c r="H1127" s="14" t="n">
        <x:f>F1127/G1127-1</x:f>
        <x:v>-0.00519214555127212</x:v>
      </x:c>
      <x:c r="I1127" s="14" t="n">
        <x:f>F1127/F1126-1</x:f>
        <x:v>0.00979708303450777</x:v>
      </x:c>
      <x:c r="J1127" s="12" t="n">
        <x:v>0</x:v>
      </x:c>
      <x:c r="K1127" s="12" t="n">
        <x:v>0</x:v>
      </x:c>
      <x:c r="L1127" s="12" t="n">
        <x:v>0</x:v>
      </x:c>
      <x:c r="M1127" s="2" t="str">
        <x:v>持有</x:v>
      </x:c>
    </x:row>
    <x:row r="1128" ht="23" customHeight="1">
      <x:c r="A1128" s="11" t="d">
        <x:v>2019-06-19T00:00:00.000Z</x:v>
      </x:c>
      <x:c r="B1128" s="12" t="n">
        <x:v>9634.372956</x:v>
      </x:c>
      <x:c r="C1128" s="13" t="n">
        <x:v>484</x:v>
      </x:c>
      <x:c r="D1128" s="12" t="n">
        <x:v>141841.04</x:v>
      </x:c>
      <x:c r="E1128" s="12" t="n">
        <x:v>0</x:v>
      </x:c>
      <x:c r="F1128" s="12" t="n">
        <x:f>SUM(B1128,D1128:E1128)</x:f>
        <x:v>151475.41295600001</x:v>
      </x:c>
      <x:c r="G1128" s="12" t="n">
        <x:f>MAX(G1127,F1128)</x:f>
        <x:v>151944.892956</x:v>
      </x:c>
      <x:c r="H1128" s="14" t="n">
        <x:f>F1128/G1128-1</x:f>
        <x:v>-0.0030898044078120357</x:v>
      </x:c>
      <x:c r="I1128" s="14" t="n">
        <x:f>F1128/F1127-1</x:f>
        <x:v>0.0021133137761815135</x:v>
      </x:c>
      <x:c r="J1128" s="12" t="n">
        <x:v>0</x:v>
      </x:c>
      <x:c r="K1128" s="12" t="n">
        <x:v>0</x:v>
      </x:c>
      <x:c r="L1128" s="12" t="n">
        <x:v>0</x:v>
      </x:c>
      <x:c r="M1128" s="2" t="str">
        <x:v>持有</x:v>
      </x:c>
    </x:row>
    <x:row r="1129" ht="23" customHeight="1">
      <x:c r="A1129" s="11" t="d">
        <x:v>2019-06-20T00:00:00.000Z</x:v>
      </x:c>
      <x:c r="B1129" s="12" t="n">
        <x:v>9634.372956</x:v>
      </x:c>
      <x:c r="C1129" s="13" t="n">
        <x:v>484</x:v>
      </x:c>
      <x:c r="D1129" s="12" t="n">
        <x:v>143196.24000000002</x:v>
      </x:c>
      <x:c r="E1129" s="12" t="n">
        <x:v>0</x:v>
      </x:c>
      <x:c r="F1129" s="12" t="n">
        <x:f>SUM(B1129,D1129:E1129)</x:f>
        <x:v>152830.61295600003</x:v>
      </x:c>
      <x:c r="G1129" s="12" t="n">
        <x:f>MAX(G1128,F1129)</x:f>
        <x:v>152830.61295600003</x:v>
      </x:c>
      <x:c r="H1129" s="14" t="n">
        <x:f>F1129/G1129-1</x:f>
        <x:v>0</x:v>
      </x:c>
      <x:c r="I1129" s="14" t="n">
        <x:f>F1129/F1128-1</x:f>
        <x:v>0.008946666482392507</x:v>
      </x:c>
      <x:c r="J1129" s="12" t="n">
        <x:v>0</x:v>
      </x:c>
      <x:c r="K1129" s="12" t="n">
        <x:v>0</x:v>
      </x:c>
      <x:c r="L1129" s="12" t="n">
        <x:v>0</x:v>
      </x:c>
      <x:c r="M1129" s="2" t="str">
        <x:v>持有</x:v>
      </x:c>
    </x:row>
    <x:row r="1130" ht="23" customHeight="1">
      <x:c r="A1130" s="11" t="d">
        <x:v>2019-06-21T00:00:00.000Z</x:v>
      </x:c>
      <x:c r="B1130" s="12" t="n">
        <x:v>9634.372956</x:v>
      </x:c>
      <x:c r="C1130" s="13" t="n">
        <x:v>484</x:v>
      </x:c>
      <x:c r="D1130" s="12" t="n">
        <x:v>142296</x:v>
      </x:c>
      <x:c r="E1130" s="12" t="n">
        <x:v>692.91376</x:v>
      </x:c>
      <x:c r="F1130" s="12" t="n">
        <x:f>SUM(B1130,D1130:E1130)</x:f>
        <x:v>152623.286716</x:v>
      </x:c>
      <x:c r="G1130" s="12" t="n">
        <x:f>MAX(G1129,F1130)</x:f>
        <x:v>152830.61295600003</x:v>
      </x:c>
      <x:c r="H1130" s="14" t="n">
        <x:f>F1130/G1130-1</x:f>
        <x:v>-0.0013565753352027254</x:v>
      </x:c>
      <x:c r="I1130" s="14" t="n">
        <x:f>F1130/F1129-1</x:f>
        <x:v>-0.0013565753352027254</x:v>
      </x:c>
      <x:c r="J1130" s="12" t="n">
        <x:v>692.91376</x:v>
      </x:c>
      <x:c r="K1130" s="12" t="n">
        <x:v>0</x:v>
      </x:c>
      <x:c r="L1130" s="12" t="n">
        <x:v>0</x:v>
      </x:c>
      <x:c r="M1130" s="2" t="str">
        <x:v>持有</x:v>
      </x:c>
    </x:row>
    <x:row r="1131" ht="23" customHeight="1">
      <x:c r="A1131" s="11" t="d">
        <x:v>2019-06-24T00:00:00.000Z</x:v>
      </x:c>
      <x:c r="B1131" s="12" t="n">
        <x:v>9634.372956</x:v>
      </x:c>
      <x:c r="C1131" s="13" t="n">
        <x:v>484</x:v>
      </x:c>
      <x:c r="D1131" s="12" t="n">
        <x:v>142121.75999999998</x:v>
      </x:c>
      <x:c r="E1131" s="12" t="n">
        <x:v>692.91376</x:v>
      </x:c>
      <x:c r="F1131" s="12" t="n">
        <x:f>SUM(B1131,D1131:E1131)</x:f>
        <x:v>152449.04671599998</x:v>
      </x:c>
      <x:c r="G1131" s="12" t="n">
        <x:f>MAX(G1130,F1131)</x:f>
        <x:v>152830.61295600003</x:v>
      </x:c>
      <x:c r="H1131" s="14" t="n">
        <x:f>F1131/G1131-1</x:f>
        <x:v>-0.002496661059063432</x:v>
      </x:c>
      <x:c r="I1131" s="14" t="n">
        <x:f>F1131/F1130-1</x:f>
        <x:v>-0.0011416344369797882</x:v>
      </x:c>
      <x:c r="J1131" s="12" t="n">
        <x:v>0</x:v>
      </x:c>
      <x:c r="K1131" s="12" t="n">
        <x:v>0</x:v>
      </x:c>
      <x:c r="L1131" s="12" t="n">
        <x:v>0</x:v>
      </x:c>
      <x:c r="M1131" s="2" t="str">
        <x:v>持有</x:v>
      </x:c>
    </x:row>
    <x:row r="1132" ht="23" customHeight="1">
      <x:c r="A1132" s="11" t="d">
        <x:v>2019-06-25T00:00:00.000Z</x:v>
      </x:c>
      <x:c r="B1132" s="12" t="n">
        <x:v>9634.372956</x:v>
      </x:c>
      <x:c r="C1132" s="13" t="n">
        <x:v>484</x:v>
      </x:c>
      <x:c r="D1132" s="12" t="n">
        <x:v>140727.84</x:v>
      </x:c>
      <x:c r="E1132" s="12" t="n">
        <x:v>692.91376</x:v>
      </x:c>
      <x:c r="F1132" s="12" t="n">
        <x:f>SUM(B1132,D1132:E1132)</x:f>
        <x:v>151055.126716</x:v>
      </x:c>
      <x:c r="G1132" s="12" t="n">
        <x:f>MAX(G1131,F1132)</x:f>
        <x:v>152830.61295600003</x:v>
      </x:c>
      <x:c r="H1132" s="14" t="n">
        <x:f>F1132/G1132-1</x:f>
        <x:v>-0.011617346849948085</x:v>
      </x:c>
      <x:c r="I1132" s="14" t="n">
        <x:f>F1132/F1131-1</x:f>
        <x:v>-0.009143514046347168</x:v>
      </x:c>
      <x:c r="J1132" s="12" t="n">
        <x:v>0</x:v>
      </x:c>
      <x:c r="K1132" s="12" t="n">
        <x:v>0</x:v>
      </x:c>
      <x:c r="L1132" s="12" t="n">
        <x:v>0</x:v>
      </x:c>
      <x:c r="M1132" s="2" t="str">
        <x:v>持有</x:v>
      </x:c>
    </x:row>
    <x:row r="1133" ht="23" customHeight="1">
      <x:c r="A1133" s="11" t="d">
        <x:v>2019-06-26T00:00:00.000Z</x:v>
      </x:c>
      <x:c r="B1133" s="12" t="n">
        <x:v>9634.372956</x:v>
      </x:c>
      <x:c r="C1133" s="13" t="n">
        <x:v>484</x:v>
      </x:c>
      <x:c r="D1133" s="12" t="n">
        <x:v>140587.48</x:v>
      </x:c>
      <x:c r="E1133" s="12" t="n">
        <x:v>692.91376</x:v>
      </x:c>
      <x:c r="F1133" s="12" t="n">
        <x:f>SUM(B1133,D1133:E1133)</x:f>
        <x:v>150914.766716</x:v>
      </x:c>
      <x:c r="G1133" s="12" t="n">
        <x:f>MAX(G1132,F1133)</x:f>
        <x:v>152830.61295600003</x:v>
      </x:c>
      <x:c r="H1133" s="14" t="n">
        <x:f>F1133/G1133-1</x:f>
        <x:v>-0.012535749238613558</x:v>
      </x:c>
      <x:c r="I1133" s="14" t="n">
        <x:f>F1133/F1132-1</x:f>
        <x:v>-0.000929197194769027</x:v>
      </x:c>
      <x:c r="J1133" s="12" t="n">
        <x:v>0</x:v>
      </x:c>
      <x:c r="K1133" s="12" t="n">
        <x:v>0</x:v>
      </x:c>
      <x:c r="L1133" s="12" t="n">
        <x:v>0</x:v>
      </x:c>
      <x:c r="M1133" s="2" t="str">
        <x:v>持有</x:v>
      </x:c>
    </x:row>
    <x:row r="1134" ht="23" customHeight="1">
      <x:c r="A1134" s="11" t="d">
        <x:v>2019-06-27T00:00:00.000Z</x:v>
      </x:c>
      <x:c r="B1134" s="12" t="n">
        <x:v>9634.372956</x:v>
      </x:c>
      <x:c r="C1134" s="13" t="n">
        <x:v>484</x:v>
      </x:c>
      <x:c r="D1134" s="12" t="n">
        <x:v>141086</x:v>
      </x:c>
      <x:c r="E1134" s="12" t="n">
        <x:v>692.91376</x:v>
      </x:c>
      <x:c r="F1134" s="12" t="n">
        <x:f>SUM(B1134,D1134:E1134)</x:f>
        <x:v>151413.286716</x:v>
      </x:c>
      <x:c r="G1134" s="12" t="n">
        <x:f>MAX(G1133,F1134)</x:f>
        <x:v>152830.61295600003</x:v>
      </x:c>
      <x:c r="H1134" s="14" t="n">
        <x:f>F1134/G1134-1</x:f>
        <x:v>-0.009273837306456922</x:v>
      </x:c>
      <x:c r="I1134" s="14" t="n">
        <x:f>F1134/F1133-1</x:f>
        <x:v>0.0033033215426701013</x:v>
      </x:c>
      <x:c r="J1134" s="12" t="n">
        <x:v>0</x:v>
      </x:c>
      <x:c r="K1134" s="12" t="n">
        <x:v>0</x:v>
      </x:c>
      <x:c r="L1134" s="12" t="n">
        <x:v>0</x:v>
      </x:c>
      <x:c r="M1134" s="2" t="str">
        <x:v>持有</x:v>
      </x:c>
    </x:row>
    <x:row r="1135" ht="23" customHeight="1">
      <x:c r="A1135" s="11" t="d">
        <x:v>2019-06-28T00:00:00.000Z</x:v>
      </x:c>
      <x:c r="B1135" s="12" t="n">
        <x:v>9634.372956</x:v>
      </x:c>
      <x:c r="C1135" s="13" t="n">
        <x:v>484</x:v>
      </x:c>
      <x:c r="D1135" s="12" t="n">
        <x:v>141812</x:v>
      </x:c>
      <x:c r="E1135" s="12" t="n">
        <x:v>692.91376</x:v>
      </x:c>
      <x:c r="F1135" s="12" t="n">
        <x:f>SUM(B1135,D1135:E1135)</x:f>
        <x:v>152139.286716</x:v>
      </x:c>
      <x:c r="G1135" s="12" t="n">
        <x:f>MAX(G1134,F1135)</x:f>
        <x:v>152830.61295600003</x:v>
      </x:c>
      <x:c r="H1135" s="14" t="n">
        <x:f>F1135/G1135-1</x:f>
        <x:v>-0.004523480123704404</x:v>
      </x:c>
      <x:c r="I1135" s="14" t="n">
        <x:f>F1135/F1134-1</x:f>
        <x:v>0.00479482359670147</x:v>
      </x:c>
      <x:c r="J1135" s="12" t="n">
        <x:v>0</x:v>
      </x:c>
      <x:c r="K1135" s="12" t="n">
        <x:v>0</x:v>
      </x:c>
      <x:c r="L1135" s="12" t="n">
        <x:v>0</x:v>
      </x:c>
      <x:c r="M1135" s="2" t="str">
        <x:v>持有</x:v>
      </x:c>
    </x:row>
    <x:row r="1136" ht="23" customHeight="1">
      <x:c r="A1136" s="11" t="d">
        <x:v>2019-07-01T00:00:00.000Z</x:v>
      </x:c>
      <x:c r="B1136" s="12" t="n">
        <x:v>9634.372956</x:v>
      </x:c>
      <x:c r="C1136" s="13" t="n">
        <x:v>484</x:v>
      </x:c>
      <x:c r="D1136" s="12" t="n">
        <x:v>143099.44</x:v>
      </x:c>
      <x:c r="E1136" s="12" t="n">
        <x:v>692.91376</x:v>
      </x:c>
      <x:c r="F1136" s="12" t="n">
        <x:f>SUM(B1136,D1136:E1136)</x:f>
        <x:v>153426.726716</x:v>
      </x:c>
      <x:c r="G1136" s="12" t="n">
        <x:f>MAX(G1135,F1136)</x:f>
        <x:v>153426.726716</x:v>
      </x:c>
      <x:c r="H1136" s="14" t="n">
        <x:f>F1136/G1136-1</x:f>
        <x:v>0</x:v>
      </x:c>
      <x:c r="I1136" s="14" t="n">
        <x:f>F1136/F1135-1</x:f>
        <x:v>0.008462245536902557</x:v>
      </x:c>
      <x:c r="J1136" s="12" t="n">
        <x:v>0</x:v>
      </x:c>
      <x:c r="K1136" s="12" t="n">
        <x:v>0</x:v>
      </x:c>
      <x:c r="L1136" s="12" t="n">
        <x:v>0</x:v>
      </x:c>
      <x:c r="M1136" s="2" t="str">
        <x:v>持有</x:v>
      </x:c>
    </x:row>
    <x:row r="1137" ht="23" customHeight="1">
      <x:c r="A1137" s="11" t="d">
        <x:v>2019-07-02T00:00:00.000Z</x:v>
      </x:c>
      <x:c r="B1137" s="12" t="n">
        <x:v>9634.372956</x:v>
      </x:c>
      <x:c r="C1137" s="13" t="n">
        <x:v>484</x:v>
      </x:c>
      <x:c r="D1137" s="12" t="n">
        <x:v>143472.12</x:v>
      </x:c>
      <x:c r="E1137" s="12" t="n">
        <x:v>692.91376</x:v>
      </x:c>
      <x:c r="F1137" s="12" t="n">
        <x:f>SUM(B1137,D1137:E1137)</x:f>
        <x:v>153799.406716</x:v>
      </x:c>
      <x:c r="G1137" s="12" t="n">
        <x:f>MAX(G1136,F1137)</x:f>
        <x:v>153799.406716</x:v>
      </x:c>
      <x:c r="H1137" s="14" t="n">
        <x:f>F1137/G1137-1</x:f>
        <x:v>0</x:v>
      </x:c>
      <x:c r="I1137" s="14" t="n">
        <x:f>F1137/F1136-1</x:f>
        <x:v>0.0024290422404034118</x:v>
      </x:c>
      <x:c r="J1137" s="12" t="n">
        <x:v>0</x:v>
      </x:c>
      <x:c r="K1137" s="12" t="n">
        <x:v>0</x:v>
      </x:c>
      <x:c r="L1137" s="12" t="n">
        <x:v>0</x:v>
      </x:c>
      <x:c r="M1137" s="2" t="str">
        <x:v>持有</x:v>
      </x:c>
    </x:row>
    <x:row r="1138" ht="23" customHeight="1">
      <x:c r="A1138" s="11" t="d">
        <x:v>2019-07-03T00:00:00.000Z</x:v>
      </x:c>
      <x:c r="B1138" s="12" t="n">
        <x:v>9634.372956</x:v>
      </x:c>
      <x:c r="C1138" s="13" t="n">
        <x:v>484</x:v>
      </x:c>
      <x:c r="D1138" s="12" t="n">
        <x:v>144619.2</x:v>
      </x:c>
      <x:c r="E1138" s="12" t="n">
        <x:v>692.91376</x:v>
      </x:c>
      <x:c r="F1138" s="12" t="n">
        <x:f>SUM(B1138,D1138:E1138)</x:f>
        <x:v>154946.486716</x:v>
      </x:c>
      <x:c r="G1138" s="12" t="n">
        <x:f>MAX(G1137,F1138)</x:f>
        <x:v>154946.486716</x:v>
      </x:c>
      <x:c r="H1138" s="14" t="n">
        <x:f>F1138/G1138-1</x:f>
        <x:v>0</x:v>
      </x:c>
      <x:c r="I1138" s="14" t="n">
        <x:f>F1138/F1137-1</x:f>
        <x:v>0.0074582862476066936</x:v>
      </x:c>
      <x:c r="J1138" s="12" t="n">
        <x:v>0</x:v>
      </x:c>
      <x:c r="K1138" s="12" t="n">
        <x:v>0</x:v>
      </x:c>
      <x:c r="L1138" s="12" t="n">
        <x:v>0</x:v>
      </x:c>
      <x:c r="M1138" s="2" t="str">
        <x:v>持有</x:v>
      </x:c>
    </x:row>
    <x:row r="1139" ht="23" customHeight="1">
      <x:c r="A1139" s="11" t="d">
        <x:v>2019-07-05T00:00:00.000Z</x:v>
      </x:c>
      <x:c r="B1139" s="12" t="n">
        <x:v>9634.372956</x:v>
      </x:c>
      <x:c r="C1139" s="13" t="n">
        <x:v>484</x:v>
      </x:c>
      <x:c r="D1139" s="12" t="n">
        <x:v>144454.63999999998</x:v>
      </x:c>
      <x:c r="E1139" s="12" t="n">
        <x:v>692.91376</x:v>
      </x:c>
      <x:c r="F1139" s="12" t="n">
        <x:f>SUM(B1139,D1139:E1139)</x:f>
        <x:v>154781.926716</x:v>
      </x:c>
      <x:c r="G1139" s="12" t="n">
        <x:f>MAX(G1138,F1139)</x:f>
        <x:v>154946.486716</x:v>
      </x:c>
      <x:c r="H1139" s="14" t="n">
        <x:f>F1139/G1139-1</x:f>
        <x:v>-0.0010620440868830405</x:v>
      </x:c>
      <x:c r="I1139" s="14" t="n">
        <x:f>F1139/F1138-1</x:f>
        <x:v>-0.0010620440868830405</x:v>
      </x:c>
      <x:c r="J1139" s="12" t="n">
        <x:v>0</x:v>
      </x:c>
      <x:c r="K1139" s="12" t="n">
        <x:v>0</x:v>
      </x:c>
      <x:c r="L1139" s="12" t="n">
        <x:v>0</x:v>
      </x:c>
      <x:c r="M1139" s="2" t="str">
        <x:v>持有</x:v>
      </x:c>
    </x:row>
    <x:row r="1140" ht="23" customHeight="1">
      <x:c r="A1140" s="11" t="d">
        <x:v>2019-07-08T00:00:00.000Z</x:v>
      </x:c>
      <x:c r="B1140" s="12" t="n">
        <x:v>9634.372956</x:v>
      </x:c>
      <x:c r="C1140" s="13" t="n">
        <x:v>484</x:v>
      </x:c>
      <x:c r="D1140" s="12" t="n">
        <x:v>143660.88</x:v>
      </x:c>
      <x:c r="E1140" s="12" t="n">
        <x:v>692.91376</x:v>
      </x:c>
      <x:c r="F1140" s="12" t="n">
        <x:f>SUM(B1140,D1140:E1140)</x:f>
        <x:v>153988.166716</x:v>
      </x:c>
      <x:c r="G1140" s="12" t="n">
        <x:f>MAX(G1139,F1140)</x:f>
        <x:v>154946.486716</x:v>
      </x:c>
      <x:c r="H1140" s="14" t="n">
        <x:f>F1140/G1140-1</x:f>
        <x:v>-0.006184844976553139</x:v>
      </x:c>
      <x:c r="I1140" s="14" t="n">
        <x:f>F1140/F1139-1</x:f>
        <x:v>-0.00512824731440642</x:v>
      </x:c>
      <x:c r="J1140" s="12" t="n">
        <x:v>0</x:v>
      </x:c>
      <x:c r="K1140" s="12" t="n">
        <x:v>0</x:v>
      </x:c>
      <x:c r="L1140" s="12" t="n">
        <x:v>0</x:v>
      </x:c>
      <x:c r="M1140" s="2" t="str">
        <x:v>持有</x:v>
      </x:c>
    </x:row>
    <x:row r="1141" ht="23" customHeight="1">
      <x:c r="A1141" s="11" t="d">
        <x:v>2019-07-09T00:00:00.000Z</x:v>
      </x:c>
      <x:c r="B1141" s="12" t="n">
        <x:v>9634.372956</x:v>
      </x:c>
      <x:c r="C1141" s="13" t="n">
        <x:v>484</x:v>
      </x:c>
      <x:c r="D1141" s="12" t="n">
        <x:v>143839.96</x:v>
      </x:c>
      <x:c r="E1141" s="12" t="n">
        <x:v>692.91376</x:v>
      </x:c>
      <x:c r="F1141" s="12" t="n">
        <x:f>SUM(B1141,D1141:E1141)</x:f>
        <x:v>154167.246716</x:v>
      </x:c>
      <x:c r="G1141" s="12" t="n">
        <x:f>MAX(G1140,F1141)</x:f>
        <x:v>154946.486716</x:v>
      </x:c>
      <x:c r="H1141" s="14" t="n">
        <x:f>F1141/G1141-1</x:f>
        <x:v>-0.005029091117298323</x:v>
      </x:c>
      <x:c r="I1141" s="14" t="n">
        <x:f>F1141/F1140-1</x:f>
        <x:v>0.0011629465030924546</x:v>
      </x:c>
      <x:c r="J1141" s="12" t="n">
        <x:v>0</x:v>
      </x:c>
      <x:c r="K1141" s="12" t="n">
        <x:v>0</x:v>
      </x:c>
      <x:c r="L1141" s="12" t="n">
        <x:v>0</x:v>
      </x:c>
      <x:c r="M1141" s="2" t="str">
        <x:v>持有</x:v>
      </x:c>
    </x:row>
    <x:row r="1142" ht="23" customHeight="1">
      <x:c r="A1142" s="11" t="d">
        <x:v>2019-07-10T00:00:00.000Z</x:v>
      </x:c>
      <x:c r="B1142" s="12" t="n">
        <x:v>9634.372956</x:v>
      </x:c>
      <x:c r="C1142" s="13" t="n">
        <x:v>484</x:v>
      </x:c>
      <x:c r="D1142" s="12" t="n">
        <x:v>144527.24000000002</x:v>
      </x:c>
      <x:c r="E1142" s="12" t="n">
        <x:v>692.91376</x:v>
      </x:c>
      <x:c r="F1142" s="12" t="n">
        <x:f>SUM(B1142,D1142:E1142)</x:f>
        <x:v>154854.52671600002</x:v>
      </x:c>
      <x:c r="G1142" s="12" t="n">
        <x:f>MAX(G1141,F1142)</x:f>
        <x:v>154946.486716</x:v>
      </x:c>
      <x:c r="H1142" s="14" t="n">
        <x:f>F1142/G1142-1</x:f>
        <x:v>-0.0005934952250227221</x:v>
      </x:c>
      <x:c r="I1142" s="14" t="n">
        <x:f>F1142/F1141-1</x:f>
        <x:v>0.004458015659228209</x:v>
      </x:c>
      <x:c r="J1142" s="12" t="n">
        <x:v>0</x:v>
      </x:c>
      <x:c r="K1142" s="12" t="n">
        <x:v>0</x:v>
      </x:c>
      <x:c r="L1142" s="12" t="n">
        <x:v>0</x:v>
      </x:c>
      <x:c r="M1142" s="2" t="str">
        <x:v>持有</x:v>
      </x:c>
    </x:row>
    <x:row r="1143" ht="23" customHeight="1">
      <x:c r="A1143" s="11" t="d">
        <x:v>2019-07-11T00:00:00.000Z</x:v>
      </x:c>
      <x:c r="B1143" s="12" t="n">
        <x:v>9634.372956</x:v>
      </x:c>
      <x:c r="C1143" s="13" t="n">
        <x:v>484</x:v>
      </x:c>
      <x:c r="D1143" s="12" t="n">
        <x:v>144866.04</x:v>
      </x:c>
      <x:c r="E1143" s="12" t="n">
        <x:v>692.91376</x:v>
      </x:c>
      <x:c r="F1143" s="12" t="n">
        <x:f>SUM(B1143,D1143:E1143)</x:f>
        <x:v>155193.326716</x:v>
      </x:c>
      <x:c r="G1143" s="12" t="n">
        <x:f>MAX(G1142,F1143)</x:f>
        <x:v>155193.326716</x:v>
      </x:c>
      <x:c r="H1143" s="14" t="n">
        <x:f>F1143/G1143-1</x:f>
        <x:v>0</x:v>
      </x:c>
      <x:c r="I1143" s="14" t="n">
        <x:f>F1143/F1142-1</x:f>
        <x:v>0.002187859839714923</x:v>
      </x:c>
      <x:c r="J1143" s="12" t="n">
        <x:v>0</x:v>
      </x:c>
      <x:c r="K1143" s="12" t="n">
        <x:v>0</x:v>
      </x:c>
      <x:c r="L1143" s="12" t="n">
        <x:v>0</x:v>
      </x:c>
      <x:c r="M1143" s="2" t="str">
        <x:v>持有</x:v>
      </x:c>
    </x:row>
    <x:row r="1144" ht="23" customHeight="1">
      <x:c r="A1144" s="11" t="d">
        <x:v>2019-07-12T00:00:00.000Z</x:v>
      </x:c>
      <x:c r="B1144" s="12" t="n">
        <x:v>9634.372956</x:v>
      </x:c>
      <x:c r="C1144" s="13" t="n">
        <x:v>484</x:v>
      </x:c>
      <x:c r="D1144" s="12" t="n">
        <x:v>145514.59999999998</x:v>
      </x:c>
      <x:c r="E1144" s="12" t="n">
        <x:v>692.91376</x:v>
      </x:c>
      <x:c r="F1144" s="12" t="n">
        <x:f>SUM(B1144,D1144:E1144)</x:f>
        <x:v>155841.88671599998</x:v>
      </x:c>
      <x:c r="G1144" s="12" t="n">
        <x:f>MAX(G1143,F1144)</x:f>
        <x:v>155841.88671599998</x:v>
      </x:c>
      <x:c r="H1144" s="14" t="n">
        <x:f>F1144/G1144-1</x:f>
        <x:v>0</x:v>
      </x:c>
      <x:c r="I1144" s="14" t="n">
        <x:f>F1144/F1143-1</x:f>
        <x:v>0.004179045669836068</x:v>
      </x:c>
      <x:c r="J1144" s="12" t="n">
        <x:v>0</x:v>
      </x:c>
      <x:c r="K1144" s="12" t="n">
        <x:v>0</x:v>
      </x:c>
      <x:c r="L1144" s="12" t="n">
        <x:v>0</x:v>
      </x:c>
      <x:c r="M1144" s="2" t="str">
        <x:v>持有</x:v>
      </x:c>
    </x:row>
    <x:row r="1145" ht="23" customHeight="1">
      <x:c r="A1145" s="11" t="d">
        <x:v>2019-07-15T00:00:00.000Z</x:v>
      </x:c>
      <x:c r="B1145" s="12" t="n">
        <x:v>9634.372956</x:v>
      </x:c>
      <x:c r="C1145" s="13" t="n">
        <x:v>484</x:v>
      </x:c>
      <x:c r="D1145" s="12" t="n">
        <x:v>145563</x:v>
      </x:c>
      <x:c r="E1145" s="12" t="n">
        <x:v>692.91376</x:v>
      </x:c>
      <x:c r="F1145" s="12" t="n">
        <x:f>SUM(B1145,D1145:E1145)</x:f>
        <x:v>155890.286716</x:v>
      </x:c>
      <x:c r="G1145" s="12" t="n">
        <x:f>MAX(G1144,F1145)</x:f>
        <x:v>155890.286716</x:v>
      </x:c>
      <x:c r="H1145" s="14" t="n">
        <x:f>F1145/G1145-1</x:f>
        <x:v>0</x:v>
      </x:c>
      <x:c r="I1145" s="14" t="n">
        <x:f>F1145/F1144-1</x:f>
        <x:v>0.00031057118865751576</x:v>
      </x:c>
      <x:c r="J1145" s="12" t="n">
        <x:v>0</x:v>
      </x:c>
      <x:c r="K1145" s="12" t="n">
        <x:v>0</x:v>
      </x:c>
      <x:c r="L1145" s="12" t="n">
        <x:v>0</x:v>
      </x:c>
      <x:c r="M1145" s="2" t="str">
        <x:v>持有</x:v>
      </x:c>
    </x:row>
    <x:row r="1146" ht="23" customHeight="1">
      <x:c r="A1146" s="11" t="d">
        <x:v>2019-07-16T00:00:00.000Z</x:v>
      </x:c>
      <x:c r="B1146" s="12" t="n">
        <x:v>9634.372956</x:v>
      </x:c>
      <x:c r="C1146" s="13" t="n">
        <x:v>484</x:v>
      </x:c>
      <x:c r="D1146" s="12" t="n">
        <x:v>145093.52</x:v>
      </x:c>
      <x:c r="E1146" s="12" t="n">
        <x:v>692.91376</x:v>
      </x:c>
      <x:c r="F1146" s="12" t="n">
        <x:f>SUM(B1146,D1146:E1146)</x:f>
        <x:v>155420.806716</x:v>
      </x:c>
      <x:c r="G1146" s="12" t="n">
        <x:f>MAX(G1145,F1146)</x:f>
        <x:v>155890.286716</x:v>
      </x:c>
      <x:c r="H1146" s="14" t="n">
        <x:f>F1146/G1146-1</x:f>
        <x:v>-0.0030116052121663683</x:v>
      </x:c>
      <x:c r="I1146" s="14" t="n">
        <x:f>F1146/F1145-1</x:f>
        <x:v>-0.0030116052121663683</x:v>
      </x:c>
      <x:c r="J1146" s="12" t="n">
        <x:v>0</x:v>
      </x:c>
      <x:c r="K1146" s="12" t="n">
        <x:v>0</x:v>
      </x:c>
      <x:c r="L1146" s="12" t="n">
        <x:v>0</x:v>
      </x:c>
      <x:c r="M1146" s="2" t="str">
        <x:v>持有</x:v>
      </x:c>
    </x:row>
    <x:row r="1147" ht="23" customHeight="1">
      <x:c r="A1147" s="11" t="d">
        <x:v>2019-07-17T00:00:00.000Z</x:v>
      </x:c>
      <x:c r="B1147" s="12" t="n">
        <x:v>9634.372956</x:v>
      </x:c>
      <x:c r="C1147" s="13" t="n">
        <x:v>484</x:v>
      </x:c>
      <x:c r="D1147" s="12" t="n">
        <x:v>144106.16</x:v>
      </x:c>
      <x:c r="E1147" s="12" t="n">
        <x:v>692.91376</x:v>
      </x:c>
      <x:c r="F1147" s="12" t="n">
        <x:f>SUM(B1147,D1147:E1147)</x:f>
        <x:v>154433.446716</x:v>
      </x:c>
      <x:c r="G1147" s="12" t="n">
        <x:f>MAX(G1146,F1147)</x:f>
        <x:v>155890.286716</x:v>
      </x:c>
      <x:c r="H1147" s="14" t="n">
        <x:f>F1147/G1147-1</x:f>
        <x:v>-0.009345290400639694</x:v>
      </x:c>
      <x:c r="I1147" s="14" t="n">
        <x:f>F1147/F1146-1</x:f>
        <x:v>-0.006352817366365837</x:v>
      </x:c>
      <x:c r="J1147" s="12" t="n">
        <x:v>0</x:v>
      </x:c>
      <x:c r="K1147" s="12" t="n">
        <x:v>0</x:v>
      </x:c>
      <x:c r="L1147" s="12" t="n">
        <x:v>0</x:v>
      </x:c>
      <x:c r="M1147" s="2" t="str">
        <x:v>持有</x:v>
      </x:c>
    </x:row>
    <x:row r="1148" ht="23" customHeight="1">
      <x:c r="A1148" s="11" t="d">
        <x:v>2019-07-18T00:00:00.000Z</x:v>
      </x:c>
      <x:c r="B1148" s="12" t="n">
        <x:v>9634.372956</x:v>
      </x:c>
      <x:c r="C1148" s="13" t="n">
        <x:v>484</x:v>
      </x:c>
      <x:c r="D1148" s="12" t="n">
        <x:v>144633.72</x:v>
      </x:c>
      <x:c r="E1148" s="12" t="n">
        <x:v>692.91376</x:v>
      </x:c>
      <x:c r="F1148" s="12" t="n">
        <x:f>SUM(B1148,D1148:E1148)</x:f>
        <x:v>154961.006716</x:v>
      </x:c>
      <x:c r="G1148" s="12" t="n">
        <x:f>MAX(G1147,F1148)</x:f>
        <x:v>155890.286716</x:v>
      </x:c>
      <x:c r="H1148" s="14" t="n">
        <x:f>F1148/G1148-1</x:f>
        <x:v>-0.005961115471504352</x:v>
      </x:c>
      <x:c r="I1148" s="14" t="n">
        <x:f>F1148/F1147-1</x:f>
        <x:v>0.0034160993697833764</x:v>
      </x:c>
      <x:c r="J1148" s="12" t="n">
        <x:v>0</x:v>
      </x:c>
      <x:c r="K1148" s="12" t="n">
        <x:v>0</x:v>
      </x:c>
      <x:c r="L1148" s="12" t="n">
        <x:v>0</x:v>
      </x:c>
      <x:c r="M1148" s="2" t="str">
        <x:v>持有</x:v>
      </x:c>
    </x:row>
    <x:row r="1149" ht="23" customHeight="1">
      <x:c r="A1149" s="11" t="d">
        <x:v>2019-07-19T00:00:00.000Z</x:v>
      </x:c>
      <x:c r="B1149" s="12" t="n">
        <x:v>9634.372956</x:v>
      </x:c>
      <x:c r="C1149" s="13" t="n">
        <x:v>484</x:v>
      </x:c>
      <x:c r="D1149" s="12" t="n">
        <x:v>143830.28</x:v>
      </x:c>
      <x:c r="E1149" s="12" t="n">
        <x:v>692.91376</x:v>
      </x:c>
      <x:c r="F1149" s="12" t="n">
        <x:f>SUM(B1149,D1149:E1149)</x:f>
        <x:v>154157.566716</x:v>
      </x:c>
      <x:c r="G1149" s="12" t="n">
        <x:f>MAX(G1148,F1149)</x:f>
        <x:v>155890.286716</x:v>
      </x:c>
      <x:c r="H1149" s="14" t="n">
        <x:f>F1149/G1149-1</x:f>
        <x:v>-0.011114996556242485</x:v>
      </x:c>
      <x:c r="I1149" s="14" t="n">
        <x:f>F1149/F1148-1</x:f>
        <x:v>-0.005184788205929047</x:v>
      </x:c>
      <x:c r="J1149" s="12" t="n">
        <x:v>0</x:v>
      </x:c>
      <x:c r="K1149" s="12" t="n">
        <x:v>0</x:v>
      </x:c>
      <x:c r="L1149" s="12" t="n">
        <x:v>0</x:v>
      </x:c>
      <x:c r="M1149" s="2" t="str">
        <x:v>持有</x:v>
      </x:c>
    </x:row>
    <x:row r="1150" ht="23" customHeight="1">
      <x:c r="A1150" s="11" t="d">
        <x:v>2019-07-22T00:00:00.000Z</x:v>
      </x:c>
      <x:c r="B1150" s="12" t="n">
        <x:v>9634.372956</x:v>
      </x:c>
      <x:c r="C1150" s="13" t="n">
        <x:v>484</x:v>
      </x:c>
      <x:c r="D1150" s="12" t="n">
        <x:v>144183.59999999998</x:v>
      </x:c>
      <x:c r="E1150" s="12" t="n">
        <x:v>692.91376</x:v>
      </x:c>
      <x:c r="F1150" s="12" t="n">
        <x:f>SUM(B1150,D1150:E1150)</x:f>
        <x:v>154510.88671599998</x:v>
      </x:c>
      <x:c r="G1150" s="12" t="n">
        <x:f>MAX(G1149,F1150)</x:f>
        <x:v>155890.286716</x:v>
      </x:c>
      <x:c r="H1150" s="14" t="n">
        <x:f>F1150/G1150-1</x:f>
        <x:v>-0.008848530778014396</x:v>
      </x:c>
      <x:c r="I1150" s="14" t="n">
        <x:f>F1150/F1149-1</x:f>
        <x:v>0.002291940691117045</x:v>
      </x:c>
      <x:c r="J1150" s="12" t="n">
        <x:v>0</x:v>
      </x:c>
      <x:c r="K1150" s="12" t="n">
        <x:v>0</x:v>
      </x:c>
      <x:c r="L1150" s="12" t="n">
        <x:v>0</x:v>
      </x:c>
      <x:c r="M1150" s="2" t="str">
        <x:v>持有</x:v>
      </x:c>
    </x:row>
    <x:row r="1151" ht="23" customHeight="1">
      <x:c r="A1151" s="11" t="d">
        <x:v>2019-07-23T00:00:00.000Z</x:v>
      </x:c>
      <x:c r="B1151" s="12" t="n">
        <x:v>9634.372956</x:v>
      </x:c>
      <x:c r="C1151" s="13" t="n">
        <x:v>484</x:v>
      </x:c>
      <x:c r="D1151" s="12" t="n">
        <x:v>145214.52</x:v>
      </x:c>
      <x:c r="E1151" s="12" t="n">
        <x:v>692.91376</x:v>
      </x:c>
      <x:c r="F1151" s="12" t="n">
        <x:f>SUM(B1151,D1151:E1151)</x:f>
        <x:v>155541.806716</x:v>
      </x:c>
      <x:c r="G1151" s="12" t="n">
        <x:f>MAX(G1150,F1151)</x:f>
        <x:v>155890.286716</x:v>
      </x:c>
      <x:c r="H1151" s="14" t="n">
        <x:f>F1151/G1151-1</x:f>
        <x:v>-0.0022354183018141738</x:v>
      </x:c>
      <x:c r="I1151" s="14" t="n">
        <x:f>F1151/F1150-1</x:f>
        <x:v>0.0066721512115512915</x:v>
      </x:c>
      <x:c r="J1151" s="12" t="n">
        <x:v>0</x:v>
      </x:c>
      <x:c r="K1151" s="12" t="n">
        <x:v>0</x:v>
      </x:c>
      <x:c r="L1151" s="12" t="n">
        <x:v>0</x:v>
      </x:c>
      <x:c r="M1151" s="2" t="str">
        <x:v>持有</x:v>
      </x:c>
    </x:row>
    <x:row r="1152" ht="23" customHeight="1">
      <x:c r="A1152" s="11" t="d">
        <x:v>2019-07-24T00:00:00.000Z</x:v>
      </x:c>
      <x:c r="B1152" s="12" t="n">
        <x:v>9634.372956</x:v>
      </x:c>
      <x:c r="C1152" s="13" t="n">
        <x:v>484</x:v>
      </x:c>
      <x:c r="D1152" s="12" t="n">
        <x:v>145896.96</x:v>
      </x:c>
      <x:c r="E1152" s="12" t="n">
        <x:v>692.91376</x:v>
      </x:c>
      <x:c r="F1152" s="12" t="n">
        <x:f>SUM(B1152,D1152:E1152)</x:f>
        <x:v>156224.246716</x:v>
      </x:c>
      <x:c r="G1152" s="12" t="n">
        <x:f>MAX(G1151,F1152)</x:f>
        <x:v>156224.246716</x:v>
      </x:c>
      <x:c r="H1152" s="14" t="n">
        <x:f>F1152/G1152-1</x:f>
        <x:v>0</x:v>
      </x:c>
      <x:c r="I1152" s="14" t="n">
        <x:f>F1152/F1151-1</x:f>
        <x:v>0.0043875020768278095</x:v>
      </x:c>
      <x:c r="J1152" s="12" t="n">
        <x:v>0</x:v>
      </x:c>
      <x:c r="K1152" s="12" t="n">
        <x:v>0</x:v>
      </x:c>
      <x:c r="L1152" s="12" t="n">
        <x:v>0</x:v>
      </x:c>
      <x:c r="M1152" s="2" t="str">
        <x:v>持有</x:v>
      </x:c>
    </x:row>
    <x:row r="1153" ht="23" customHeight="1">
      <x:c r="A1153" s="11" t="d">
        <x:v>2019-07-25T00:00:00.000Z</x:v>
      </x:c>
      <x:c r="B1153" s="12" t="n">
        <x:v>9634.372956</x:v>
      </x:c>
      <x:c r="C1153" s="13" t="n">
        <x:v>484</x:v>
      </x:c>
      <x:c r="D1153" s="12" t="n">
        <x:v>145200</x:v>
      </x:c>
      <x:c r="E1153" s="12" t="n">
        <x:v>692.91376</x:v>
      </x:c>
      <x:c r="F1153" s="12" t="n">
        <x:f>SUM(B1153,D1153:E1153)</x:f>
        <x:v>155527.286716</x:v>
      </x:c>
      <x:c r="G1153" s="12" t="n">
        <x:f>MAX(G1152,F1153)</x:f>
        <x:v>156224.246716</x:v>
      </x:c>
      <x:c r="H1153" s="14" t="n">
        <x:f>F1153/G1153-1</x:f>
        <x:v>-0.0044612793125961</x:v>
      </x:c>
      <x:c r="I1153" s="14" t="n">
        <x:f>F1153/F1152-1</x:f>
        <x:v>-0.0044612793125961</x:v>
      </x:c>
      <x:c r="J1153" s="12" t="n">
        <x:v>0</x:v>
      </x:c>
      <x:c r="K1153" s="12" t="n">
        <x:v>0</x:v>
      </x:c>
      <x:c r="L1153" s="12" t="n">
        <x:v>0</x:v>
      </x:c>
      <x:c r="M1153" s="2" t="str">
        <x:v>持有</x:v>
      </x:c>
    </x:row>
    <x:row r="1154" ht="23" customHeight="1">
      <x:c r="A1154" s="11" t="d">
        <x:v>2019-07-26T00:00:00.000Z</x:v>
      </x:c>
      <x:c r="B1154" s="12" t="n">
        <x:v>9634.372956</x:v>
      </x:c>
      <x:c r="C1154" s="13" t="n">
        <x:v>484</x:v>
      </x:c>
      <x:c r="D1154" s="12" t="n">
        <x:v>146172.84</x:v>
      </x:c>
      <x:c r="E1154" s="12" t="n">
        <x:v>692.91376</x:v>
      </x:c>
      <x:c r="F1154" s="12" t="n">
        <x:f>SUM(B1154,D1154:E1154)</x:f>
        <x:v>156500.126716</x:v>
      </x:c>
      <x:c r="G1154" s="12" t="n">
        <x:f>MAX(G1153,F1154)</x:f>
        <x:v>156500.126716</x:v>
      </x:c>
      <x:c r="H1154" s="14" t="n">
        <x:f>F1154/G1154-1</x:f>
        <x:v>0</x:v>
      </x:c>
      <x:c r="I1154" s="14" t="n">
        <x:f>F1154/F1153-1</x:f>
        <x:v>0.006255108158457423</x:v>
      </x:c>
      <x:c r="J1154" s="12" t="n">
        <x:v>0</x:v>
      </x:c>
      <x:c r="K1154" s="12" t="n">
        <x:v>0</x:v>
      </x:c>
      <x:c r="L1154" s="12" t="n">
        <x:v>0</x:v>
      </x:c>
      <x:c r="M1154" s="2" t="str">
        <x:v>持有</x:v>
      </x:c>
    </x:row>
    <x:row r="1155" ht="23" customHeight="1">
      <x:c r="A1155" s="11" t="d">
        <x:v>2019-07-29T00:00:00.000Z</x:v>
      </x:c>
      <x:c r="B1155" s="12" t="n">
        <x:v>9634.372956</x:v>
      </x:c>
      <x:c r="C1155" s="13" t="n">
        <x:v>484</x:v>
      </x:c>
      <x:c r="D1155" s="12" t="n">
        <x:v>145906.63999999998</x:v>
      </x:c>
      <x:c r="E1155" s="12" t="n">
        <x:v>692.91376</x:v>
      </x:c>
      <x:c r="F1155" s="12" t="n">
        <x:f>SUM(B1155,D1155:E1155)</x:f>
        <x:v>156233.926716</x:v>
      </x:c>
      <x:c r="G1155" s="12" t="n">
        <x:f>MAX(G1154,F1155)</x:f>
        <x:v>156500.126716</x:v>
      </x:c>
      <x:c r="H1155" s="14" t="n">
        <x:f>F1155/G1155-1</x:f>
        <x:v>-0.0017009570892110304</x:v>
      </x:c>
      <x:c r="I1155" s="14" t="n">
        <x:f>F1155/F1154-1</x:f>
        <x:v>-0.0017009570892110304</x:v>
      </x:c>
      <x:c r="J1155" s="12" t="n">
        <x:v>0</x:v>
      </x:c>
      <x:c r="K1155" s="12" t="n">
        <x:v>0</x:v>
      </x:c>
      <x:c r="L1155" s="12" t="n">
        <x:v>0</x:v>
      </x:c>
      <x:c r="M1155" s="2" t="str">
        <x:v>持有</x:v>
      </x:c>
    </x:row>
    <x:row r="1156" ht="23" customHeight="1">
      <x:c r="A1156" s="11" t="d">
        <x:v>2019-07-30T00:00:00.000Z</x:v>
      </x:c>
      <x:c r="B1156" s="12" t="n">
        <x:v>9634.372956</x:v>
      </x:c>
      <x:c r="C1156" s="13" t="n">
        <x:v>484</x:v>
      </x:c>
      <x:c r="D1156" s="12" t="n">
        <x:v>145548.48</x:v>
      </x:c>
      <x:c r="E1156" s="12" t="n">
        <x:v>692.91376</x:v>
      </x:c>
      <x:c r="F1156" s="12" t="n">
        <x:f>SUM(B1156,D1156:E1156)</x:f>
        <x:v>155875.766716</x:v>
      </x:c>
      <x:c r="G1156" s="12" t="n">
        <x:f>MAX(G1155,F1156)</x:f>
        <x:v>156500.126716</x:v>
      </x:c>
      <x:c r="H1156" s="14" t="n">
        <x:f>F1156/G1156-1</x:f>
        <x:v>-0.003989517536512999</x:v>
      </x:c>
      <x:c r="I1156" s="14" t="n">
        <x:f>F1156/F1155-1</x:f>
        <x:v>-0.0022924598230896764</x:v>
      </x:c>
      <x:c r="J1156" s="12" t="n">
        <x:v>0</x:v>
      </x:c>
      <x:c r="K1156" s="12" t="n">
        <x:v>0</x:v>
      </x:c>
      <x:c r="L1156" s="12" t="n">
        <x:v>0</x:v>
      </x:c>
      <x:c r="M1156" s="2" t="str">
        <x:v>持有</x:v>
      </x:c>
    </x:row>
    <x:row r="1157" ht="23" customHeight="1">
      <x:c r="A1157" s="11" t="d">
        <x:v>2019-07-31T00:00:00.000Z</x:v>
      </x:c>
      <x:c r="B1157" s="12" t="n">
        <x:v>10327.286716</x:v>
      </x:c>
      <x:c r="C1157" s="13" t="n">
        <x:v>484</x:v>
      </x:c>
      <x:c r="D1157" s="12" t="n">
        <x:v>143956.12</x:v>
      </x:c>
      <x:c r="E1157" s="12" t="n">
        <x:v>0</x:v>
      </x:c>
      <x:c r="F1157" s="12" t="n">
        <x:f>SUM(B1157,D1157:E1157)</x:f>
        <x:v>154283.406716</x:v>
      </x:c>
      <x:c r="G1157" s="12" t="n">
        <x:f>MAX(G1156,F1157)</x:f>
        <x:v>156500.126716</x:v>
      </x:c>
      <x:c r="H1157" s="14" t="n">
        <x:f>F1157/G1157-1</x:f>
        <x:v>-0.014164333579247956</x:v>
      </x:c>
      <x:c r="I1157" s="14" t="n">
        <x:f>F1157/F1156-1</x:f>
        <x:v>-0.010215571243355814</x:v>
      </x:c>
      <x:c r="J1157" s="12" t="n">
        <x:v>0</x:v>
      </x:c>
      <x:c r="K1157" s="12" t="n">
        <x:v>692.91376</x:v>
      </x:c>
      <x:c r="L1157" s="12" t="n">
        <x:v>0</x:v>
      </x:c>
      <x:c r="M1157" s="2" t="str">
        <x:v>持有</x:v>
      </x:c>
    </x:row>
    <x:row r="1158" ht="23" customHeight="1">
      <x:c r="A1158" s="11" t="d">
        <x:v>2019-08-01T00:00:00.000Z</x:v>
      </x:c>
      <x:c r="B1158" s="12" t="n">
        <x:v>10327.286716</x:v>
      </x:c>
      <x:c r="C1158" s="13" t="n">
        <x:v>484</x:v>
      </x:c>
      <x:c r="D1158" s="12" t="n">
        <x:v>142702.56</x:v>
      </x:c>
      <x:c r="E1158" s="12" t="n">
        <x:v>0</x:v>
      </x:c>
      <x:c r="F1158" s="12" t="n">
        <x:f>SUM(B1158,D1158:E1158)</x:f>
        <x:v>153029.846716</x:v>
      </x:c>
      <x:c r="G1158" s="12" t="n">
        <x:f>MAX(G1157,F1158)</x:f>
        <x:v>156500.126716</x:v>
      </x:c>
      <x:c r="H1158" s="14" t="n">
        <x:f>F1158/G1158-1</x:f>
        <x:v>-0.02217429514480518</x:v>
      </x:c>
      <x:c r="I1158" s="14" t="n">
        <x:f>F1158/F1157-1</x:f>
        <x:v>-0.008125047447957279</x:v>
      </x:c>
      <x:c r="J1158" s="12" t="n">
        <x:v>0</x:v>
      </x:c>
      <x:c r="K1158" s="12" t="n">
        <x:v>0</x:v>
      </x:c>
      <x:c r="L1158" s="12" t="n">
        <x:v>0</x:v>
      </x:c>
      <x:c r="M1158" s="2" t="str">
        <x:v>持有</x:v>
      </x:c>
    </x:row>
    <x:row r="1159" ht="23" customHeight="1">
      <x:c r="A1159" s="11" t="d">
        <x:v>2019-08-02T00:00:00.000Z</x:v>
      </x:c>
      <x:c r="B1159" s="12" t="n">
        <x:v>10327.286716</x:v>
      </x:c>
      <x:c r="C1159" s="13" t="n">
        <x:v>484</x:v>
      </x:c>
      <x:c r="D1159" s="12" t="n">
        <x:v>141628.08000000002</x:v>
      </x:c>
      <x:c r="E1159" s="12" t="n">
        <x:v>0</x:v>
      </x:c>
      <x:c r="F1159" s="12" t="n">
        <x:f>SUM(B1159,D1159:E1159)</x:f>
        <x:v>151955.36671600002</x:v>
      </x:c>
      <x:c r="G1159" s="12" t="n">
        <x:f>MAX(G1158,F1159)</x:f>
        <x:v>156500.126716</x:v>
      </x:c>
      <x:c r="H1159" s="14" t="n">
        <x:f>F1159/G1159-1</x:f>
        <x:v>-0.029039976486711305</x:v>
      </x:c>
      <x:c r="I1159" s="14" t="n">
        <x:f>F1159/F1158-1</x:f>
        <x:v>-0.0070213753921746225</x:v>
      </x:c>
      <x:c r="J1159" s="12" t="n">
        <x:v>0</x:v>
      </x:c>
      <x:c r="K1159" s="12" t="n">
        <x:v>0</x:v>
      </x:c>
      <x:c r="L1159" s="12" t="n">
        <x:v>0</x:v>
      </x:c>
      <x:c r="M1159" s="2" t="str">
        <x:v>持有</x:v>
      </x:c>
    </x:row>
    <x:row r="1160" ht="23" customHeight="1">
      <x:c r="A1160" s="11" t="d">
        <x:v>2019-08-05T00:00:00.000Z</x:v>
      </x:c>
      <x:c r="B1160" s="12" t="n">
        <x:v>10327.286716</x:v>
      </x:c>
      <x:c r="C1160" s="13" t="n">
        <x:v>484</x:v>
      </x:c>
      <x:c r="D1160" s="12" t="n">
        <x:v>137368.88</x:v>
      </x:c>
      <x:c r="E1160" s="12" t="n">
        <x:v>0</x:v>
      </x:c>
      <x:c r="F1160" s="12" t="n">
        <x:f>SUM(B1160,D1160:E1160)</x:f>
        <x:v>147696.166716</x:v>
      </x:c>
      <x:c r="G1160" s="12" t="n">
        <x:f>MAX(G1159,F1160)</x:f>
        <x:v>156500.126716</x:v>
      </x:c>
      <x:c r="H1160" s="14" t="n">
        <x:f>F1160/G1160-1</x:f>
        <x:v>-0.05625528991408735</x:v>
      </x:c>
      <x:c r="I1160" s="14" t="n">
        <x:f>F1160/F1159-1</x:f>
        <x:v>-0.028029283151021045</x:v>
      </x:c>
      <x:c r="J1160" s="12" t="n">
        <x:v>0</x:v>
      </x:c>
      <x:c r="K1160" s="12" t="n">
        <x:v>0</x:v>
      </x:c>
      <x:c r="L1160" s="12" t="n">
        <x:v>0</x:v>
      </x:c>
      <x:c r="M1160" s="2" t="str">
        <x:v>持有</x:v>
      </x:c>
    </x:row>
    <x:row r="1161" ht="23" customHeight="1">
      <x:c r="A1161" s="11" t="d">
        <x:v>2019-08-06T00:00:00.000Z</x:v>
      </x:c>
      <x:c r="B1161" s="12" t="n">
        <x:v>10327.286716</x:v>
      </x:c>
      <x:c r="C1161" s="13" t="n">
        <x:v>484</x:v>
      </x:c>
      <x:c r="D1161" s="12" t="n">
        <x:v>139295.2</x:v>
      </x:c>
      <x:c r="E1161" s="12" t="n">
        <x:v>0</x:v>
      </x:c>
      <x:c r="F1161" s="12" t="n">
        <x:f>SUM(B1161,D1161:E1161)</x:f>
        <x:v>149622.486716</x:v>
      </x:c>
      <x:c r="G1161" s="12" t="n">
        <x:f>MAX(G1160,F1161)</x:f>
        <x:v>156500.126716</x:v>
      </x:c>
      <x:c r="H1161" s="14" t="n">
        <x:f>F1161/G1161-1</x:f>
        <x:v>-0.04394654588670588</x:v>
      </x:c>
      <x:c r="I1161" s="14" t="n">
        <x:f>F1161/F1160-1</x:f>
        <x:v>0.013042450882994494</x:v>
      </x:c>
      <x:c r="J1161" s="12" t="n">
        <x:v>0</x:v>
      </x:c>
      <x:c r="K1161" s="12" t="n">
        <x:v>0</x:v>
      </x:c>
      <x:c r="L1161" s="12" t="n">
        <x:v>0</x:v>
      </x:c>
      <x:c r="M1161" s="2" t="str">
        <x:v>持有</x:v>
      </x:c>
    </x:row>
    <x:row r="1162" ht="23" customHeight="1">
      <x:c r="A1162" s="11" t="d">
        <x:v>2019-08-07T00:00:00.000Z</x:v>
      </x:c>
      <x:c r="B1162" s="12" t="n">
        <x:v>10327.286716</x:v>
      </x:c>
      <x:c r="C1162" s="13" t="n">
        <x:v>484</x:v>
      </x:c>
      <x:c r="D1162" s="12" t="n">
        <x:v>139377.48</x:v>
      </x:c>
      <x:c r="E1162" s="12" t="n">
        <x:v>0</x:v>
      </x:c>
      <x:c r="F1162" s="12" t="n">
        <x:f>SUM(B1162,D1162:E1162)</x:f>
        <x:v>149704.766716</x:v>
      </x:c>
      <x:c r="G1162" s="12" t="n">
        <x:f>MAX(G1161,F1162)</x:f>
        <x:v>156500.126716</x:v>
      </x:c>
      <x:c r="H1162" s="14" t="n">
        <x:f>F1162/G1162-1</x:f>
        <x:v>-0.04342079551367706</x:v>
      </x:c>
      <x:c r="I1162" s="14" t="n">
        <x:f>F1162/F1161-1</x:f>
        <x:v>0.000549917340674666</x:v>
      </x:c>
      <x:c r="J1162" s="12" t="n">
        <x:v>0</x:v>
      </x:c>
      <x:c r="K1162" s="12" t="n">
        <x:v>0</x:v>
      </x:c>
      <x:c r="L1162" s="12" t="n">
        <x:v>0</x:v>
      </x:c>
      <x:c r="M1162" s="2" t="str">
        <x:v>持有</x:v>
      </x:c>
    </x:row>
    <x:row r="1163" ht="23" customHeight="1">
      <x:c r="A1163" s="11" t="d">
        <x:v>2019-08-08T00:00:00.000Z</x:v>
      </x:c>
      <x:c r="B1163" s="12" t="n">
        <x:v>10327.286716</x:v>
      </x:c>
      <x:c r="C1163" s="13" t="n">
        <x:v>484</x:v>
      </x:c>
      <x:c r="D1163" s="12" t="n">
        <x:v>142112.08000000002</x:v>
      </x:c>
      <x:c r="E1163" s="12" t="n">
        <x:v>0</x:v>
      </x:c>
      <x:c r="F1163" s="12" t="n">
        <x:f>SUM(B1163,D1163:E1163)</x:f>
        <x:v>152439.36671600002</x:v>
      </x:c>
      <x:c r="G1163" s="12" t="n">
        <x:f>MAX(G1162,F1163)</x:f>
        <x:v>156500.126716</x:v>
      </x:c>
      <x:c r="H1163" s="14" t="n">
        <x:f>F1163/G1163-1</x:f>
        <x:v>-0.02594732723360038</x:v>
      </x:c>
      <x:c r="I1163" s="14" t="n">
        <x:f>F1163/F1162-1</x:f>
        <x:v>0.01826661942694008</x:v>
      </x:c>
      <x:c r="J1163" s="12" t="n">
        <x:v>0</x:v>
      </x:c>
      <x:c r="K1163" s="12" t="n">
        <x:v>0</x:v>
      </x:c>
      <x:c r="L1163" s="12" t="n">
        <x:v>0</x:v>
      </x:c>
      <x:c r="M1163" s="2" t="str">
        <x:v>持有</x:v>
      </x:c>
    </x:row>
    <x:row r="1164" ht="23" customHeight="1">
      <x:c r="A1164" s="11" t="d">
        <x:v>2019-08-09T00:00:00.000Z</x:v>
      </x:c>
      <x:c r="B1164" s="12" t="n">
        <x:v>10327.286716</x:v>
      </x:c>
      <x:c r="C1164" s="13" t="n">
        <x:v>484</x:v>
      </x:c>
      <x:c r="D1164" s="12" t="n">
        <x:v>141144.08000000002</x:v>
      </x:c>
      <x:c r="E1164" s="12" t="n">
        <x:v>0</x:v>
      </x:c>
      <x:c r="F1164" s="12" t="n">
        <x:f>SUM(B1164,D1164:E1164)</x:f>
        <x:v>151471.36671600002</x:v>
      </x:c>
      <x:c r="G1164" s="12" t="n">
        <x:f>MAX(G1163,F1164)</x:f>
        <x:v>156500.126716</x:v>
      </x:c>
      <x:c r="H1164" s="14" t="n">
        <x:f>F1164/G1164-1</x:f>
        <x:v>-0.03213262573982223</x:v>
      </x:c>
      <x:c r="I1164" s="14" t="n">
        <x:f>F1164/F1163-1</x:f>
        <x:v>-0.006350065739930688</x:v>
      </x:c>
      <x:c r="J1164" s="12" t="n">
        <x:v>0</x:v>
      </x:c>
      <x:c r="K1164" s="12" t="n">
        <x:v>0</x:v>
      </x:c>
      <x:c r="L1164" s="12" t="n">
        <x:v>0</x:v>
      </x:c>
      <x:c r="M1164" s="2" t="str">
        <x:v>持有</x:v>
      </x:c>
    </x:row>
    <x:row r="1165" ht="23" customHeight="1">
      <x:c r="A1165" s="11" t="d">
        <x:v>2019-08-12T00:00:00.000Z</x:v>
      </x:c>
      <x:c r="B1165" s="12" t="n">
        <x:v>10327.286716</x:v>
      </x:c>
      <x:c r="C1165" s="13" t="n">
        <x:v>484</x:v>
      </x:c>
      <x:c r="D1165" s="12" t="n">
        <x:v>139425.88</x:v>
      </x:c>
      <x:c r="E1165" s="12" t="n">
        <x:v>0</x:v>
      </x:c>
      <x:c r="F1165" s="12" t="n">
        <x:f>SUM(B1165,D1165:E1165)</x:f>
        <x:v>149753.166716</x:v>
      </x:c>
      <x:c r="G1165" s="12" t="n">
        <x:f>MAX(G1164,F1165)</x:f>
        <x:v>156500.126716</x:v>
      </x:c>
      <x:c r="H1165" s="14" t="n">
        <x:f>F1165/G1165-1</x:f>
        <x:v>-0.04311153058836603</x:v>
      </x:c>
      <x:c r="I1165" s="14" t="n">
        <x:f>F1165/F1164-1</x:f>
        <x:v>-0.011343398011464001</x:v>
      </x:c>
      <x:c r="J1165" s="12" t="n">
        <x:v>0</x:v>
      </x:c>
      <x:c r="K1165" s="12" t="n">
        <x:v>0</x:v>
      </x:c>
      <x:c r="L1165" s="12" t="n">
        <x:v>0</x:v>
      </x:c>
      <x:c r="M1165" s="2" t="str">
        <x:v>持有</x:v>
      </x:c>
    </x:row>
    <x:row r="1166" ht="23" customHeight="1">
      <x:c r="A1166" s="11" t="d">
        <x:v>2019-08-13T00:00:00.000Z</x:v>
      </x:c>
      <x:c r="B1166" s="12" t="n">
        <x:v>10327.286716</x:v>
      </x:c>
      <x:c r="C1166" s="13" t="n">
        <x:v>484</x:v>
      </x:c>
      <x:c r="D1166" s="12" t="n">
        <x:v>141594.2</x:v>
      </x:c>
      <x:c r="E1166" s="12" t="n">
        <x:v>0</x:v>
      </x:c>
      <x:c r="F1166" s="12" t="n">
        <x:f>SUM(B1166,D1166:E1166)</x:f>
        <x:v>151921.486716</x:v>
      </x:c>
      <x:c r="G1166" s="12" t="n">
        <x:f>MAX(G1165,F1166)</x:f>
        <x:v>156500.126716</x:v>
      </x:c>
      <x:c r="H1166" s="14" t="n">
        <x:f>F1166/G1166-1</x:f>
        <x:v>-0.0292564619344291</x:v>
      </x:c>
      <x:c r="I1166" s="14" t="n">
        <x:f>F1166/F1165-1</x:f>
        <x:v>0.014479293143176974</x:v>
      </x:c>
      <x:c r="J1166" s="12" t="n">
        <x:v>0</x:v>
      </x:c>
      <x:c r="K1166" s="12" t="n">
        <x:v>0</x:v>
      </x:c>
      <x:c r="L1166" s="12" t="n">
        <x:v>0</x:v>
      </x:c>
      <x:c r="M1166" s="2" t="str">
        <x:v>持有</x:v>
      </x:c>
    </x:row>
    <x:row r="1167" ht="23" customHeight="1">
      <x:c r="A1167" s="11" t="d">
        <x:v>2019-08-14T00:00:00.000Z</x:v>
      </x:c>
      <x:c r="B1167" s="12" t="n">
        <x:v>10327.286716</x:v>
      </x:c>
      <x:c r="C1167" s="13" t="n">
        <x:v>484</x:v>
      </x:c>
      <x:c r="D1167" s="12" t="n">
        <x:v>137407.59999999998</x:v>
      </x:c>
      <x:c r="E1167" s="12" t="n">
        <x:v>0</x:v>
      </x:c>
      <x:c r="F1167" s="12" t="n">
        <x:f>SUM(B1167,D1167:E1167)</x:f>
        <x:v>147734.88671599998</x:v>
      </x:c>
      <x:c r="G1167" s="12" t="n">
        <x:f>MAX(G1166,F1167)</x:f>
        <x:v>156500.126716</x:v>
      </x:c>
      <x:c r="H1167" s="14" t="n">
        <x:f>F1167/G1167-1</x:f>
        <x:v>-0.05600787797383866</x:v>
      </x:c>
      <x:c r="I1167" s="14" t="n">
        <x:f>F1167/F1166-1</x:f>
        <x:v>-0.027557655539709236</x:v>
      </x:c>
      <x:c r="J1167" s="12" t="n">
        <x:v>0</x:v>
      </x:c>
      <x:c r="K1167" s="12" t="n">
        <x:v>0</x:v>
      </x:c>
      <x:c r="L1167" s="12" t="n">
        <x:v>0</x:v>
      </x:c>
      <x:c r="M1167" s="2" t="str">
        <x:v>持有</x:v>
      </x:c>
    </x:row>
    <x:row r="1168" ht="23" customHeight="1">
      <x:c r="A1168" s="11" t="d">
        <x:v>2019-08-15T00:00:00.000Z</x:v>
      </x:c>
      <x:c r="B1168" s="12" t="n">
        <x:v>10327.286716</x:v>
      </x:c>
      <x:c r="C1168" s="13" t="n">
        <x:v>484</x:v>
      </x:c>
      <x:c r="D1168" s="12" t="n">
        <x:v>137770.59999999998</x:v>
      </x:c>
      <x:c r="E1168" s="12" t="n">
        <x:v>0</x:v>
      </x:c>
      <x:c r="F1168" s="12" t="n">
        <x:f>SUM(B1168,D1168:E1168)</x:f>
        <x:v>148097.88671599998</x:v>
      </x:c>
      <x:c r="G1168" s="12" t="n">
        <x:f>MAX(G1167,F1168)</x:f>
        <x:v>156500.126716</x:v>
      </x:c>
      <x:c r="H1168" s="14" t="n">
        <x:f>F1168/G1168-1</x:f>
        <x:v>-0.05368839103400547</x:v>
      </x:c>
      <x:c r="I1168" s="14" t="n">
        <x:f>F1168/F1167-1</x:f>
        <x:v>0.0024571041280034844</x:v>
      </x:c>
      <x:c r="J1168" s="12" t="n">
        <x:v>0</x:v>
      </x:c>
      <x:c r="K1168" s="12" t="n">
        <x:v>0</x:v>
      </x:c>
      <x:c r="L1168" s="12" t="n">
        <x:v>0</x:v>
      </x:c>
      <x:c r="M1168" s="2" t="str">
        <x:v>持有</x:v>
      </x:c>
    </x:row>
    <x:row r="1169" ht="23" customHeight="1">
      <x:c r="A1169" s="11" t="d">
        <x:v>2019-08-16T00:00:00.000Z</x:v>
      </x:c>
      <x:c r="B1169" s="12" t="n">
        <x:v>10327.286716</x:v>
      </x:c>
      <x:c r="C1169" s="13" t="n">
        <x:v>484</x:v>
      </x:c>
      <x:c r="D1169" s="12" t="n">
        <x:v>139803.40000000002</x:v>
      </x:c>
      <x:c r="E1169" s="12" t="n">
        <x:v>0</x:v>
      </x:c>
      <x:c r="F1169" s="12" t="n">
        <x:f>SUM(B1169,D1169:E1169)</x:f>
        <x:v>150130.68671600003</x:v>
      </x:c>
      <x:c r="G1169" s="12" t="n">
        <x:f>MAX(G1168,F1169)</x:f>
        <x:v>156500.126716</x:v>
      </x:c>
      <x:c r="H1169" s="14" t="n">
        <x:f>F1169/G1169-1</x:f>
        <x:v>-0.04069926417093939</x:v>
      </x:c>
      <x:c r="I1169" s="14" t="n">
        <x:f>F1169/F1168-1</x:f>
        <x:v>0.013726056766078187</x:v>
      </x:c>
      <x:c r="J1169" s="12" t="n">
        <x:v>0</x:v>
      </x:c>
      <x:c r="K1169" s="12" t="n">
        <x:v>0</x:v>
      </x:c>
      <x:c r="L1169" s="12" t="n">
        <x:v>0</x:v>
      </x:c>
      <x:c r="M1169" s="2" t="str">
        <x:v>持有</x:v>
      </x:c>
    </x:row>
    <x:row r="1170" ht="23" customHeight="1">
      <x:c r="A1170" s="11" t="d">
        <x:v>2019-08-19T00:00:00.000Z</x:v>
      </x:c>
      <x:c r="B1170" s="12" t="n">
        <x:v>10327.286716</x:v>
      </x:c>
      <x:c r="C1170" s="13" t="n">
        <x:v>484</x:v>
      </x:c>
      <x:c r="D1170" s="12" t="n">
        <x:v>141487.72</x:v>
      </x:c>
      <x:c r="E1170" s="12" t="n">
        <x:v>0</x:v>
      </x:c>
      <x:c r="F1170" s="12" t="n">
        <x:f>SUM(B1170,D1170:E1170)</x:f>
        <x:v>151815.006716</x:v>
      </x:c>
      <x:c r="G1170" s="12" t="n">
        <x:f>MAX(G1169,F1170)</x:f>
        <x:v>156500.126716</x:v>
      </x:c>
      <x:c r="H1170" s="14" t="n">
        <x:f>F1170/G1170-1</x:f>
        <x:v>-0.029936844770113602</x:v>
      </x:c>
      <x:c r="I1170" s="14" t="n">
        <x:f>F1170/F1169-1</x:f>
        <x:v>0.011219025482686273</x:v>
      </x:c>
      <x:c r="J1170" s="12" t="n">
        <x:v>0</x:v>
      </x:c>
      <x:c r="K1170" s="12" t="n">
        <x:v>0</x:v>
      </x:c>
      <x:c r="L1170" s="12" t="n">
        <x:v>0</x:v>
      </x:c>
      <x:c r="M1170" s="2" t="str">
        <x:v>持有</x:v>
      </x:c>
    </x:row>
    <x:row r="1171" ht="23" customHeight="1">
      <x:c r="A1171" s="11" t="d">
        <x:v>2019-08-20T00:00:00.000Z</x:v>
      </x:c>
      <x:c r="B1171" s="12" t="n">
        <x:v>10327.286716</x:v>
      </x:c>
      <x:c r="C1171" s="13" t="n">
        <x:v>484</x:v>
      </x:c>
      <x:c r="D1171" s="12" t="n">
        <x:v>140403.56</x:v>
      </x:c>
      <x:c r="E1171" s="12" t="n">
        <x:v>0</x:v>
      </x:c>
      <x:c r="F1171" s="12" t="n">
        <x:f>SUM(B1171,D1171:E1171)</x:f>
        <x:v>150730.846716</x:v>
      </x:c>
      <x:c r="G1171" s="12" t="n">
        <x:f>MAX(G1170,F1171)</x:f>
        <x:v>156500.126716</x:v>
      </x:c>
      <x:c r="H1171" s="14" t="n">
        <x:f>F1171/G1171-1</x:f>
        <x:v>-0.03686437909708207</x:v>
      </x:c>
      <x:c r="I1171" s="14" t="n">
        <x:f>F1171/F1170-1</x:f>
        <x:v>-0.007141323005229294</x:v>
      </x:c>
      <x:c r="J1171" s="12" t="n">
        <x:v>0</x:v>
      </x:c>
      <x:c r="K1171" s="12" t="n">
        <x:v>0</x:v>
      </x:c>
      <x:c r="L1171" s="12" t="n">
        <x:v>0</x:v>
      </x:c>
      <x:c r="M1171" s="2" t="str">
        <x:v>持有</x:v>
      </x:c>
    </x:row>
    <x:row r="1172" ht="23" customHeight="1">
      <x:c r="A1172" s="11" t="d">
        <x:v>2019-08-21T00:00:00.000Z</x:v>
      </x:c>
      <x:c r="B1172" s="12" t="n">
        <x:v>10327.286716</x:v>
      </x:c>
      <x:c r="C1172" s="13" t="n">
        <x:v>484</x:v>
      </x:c>
      <x:c r="D1172" s="12" t="n">
        <x:v>141545.8</x:v>
      </x:c>
      <x:c r="E1172" s="12" t="n">
        <x:v>0</x:v>
      </x:c>
      <x:c r="F1172" s="12" t="n">
        <x:f>SUM(B1172,D1172:E1172)</x:f>
        <x:v>151873.086716</x:v>
      </x:c>
      <x:c r="G1172" s="12" t="n">
        <x:f>MAX(G1171,F1172)</x:f>
        <x:v>156500.126716</x:v>
      </x:c>
      <x:c r="H1172" s="14" t="n">
        <x:f>F1172/G1172-1</x:f>
        <x:v>-0.02956572685974035</x:v>
      </x:c>
      <x:c r="I1172" s="14" t="n">
        <x:f>F1172/F1171-1</x:f>
        <x:v>0.0075780109041128085</x:v>
      </x:c>
      <x:c r="J1172" s="12" t="n">
        <x:v>0</x:v>
      </x:c>
      <x:c r="K1172" s="12" t="n">
        <x:v>0</x:v>
      </x:c>
      <x:c r="L1172" s="12" t="n">
        <x:v>0</x:v>
      </x:c>
      <x:c r="M1172" s="2" t="str">
        <x:v>持有</x:v>
      </x:c>
    </x:row>
    <x:row r="1173" ht="23" customHeight="1">
      <x:c r="A1173" s="11" t="d">
        <x:v>2019-08-22T00:00:00.000Z</x:v>
      </x:c>
      <x:c r="B1173" s="12" t="n">
        <x:v>10327.286716</x:v>
      </x:c>
      <x:c r="C1173" s="13" t="n">
        <x:v>484</x:v>
      </x:c>
      <x:c r="D1173" s="12" t="n">
        <x:v>141502.24000000002</x:v>
      </x:c>
      <x:c r="E1173" s="12" t="n">
        <x:v>0</x:v>
      </x:c>
      <x:c r="F1173" s="12" t="n">
        <x:f>SUM(B1173,D1173:E1173)</x:f>
        <x:v>151829.52671600002</x:v>
      </x:c>
      <x:c r="G1173" s="12" t="n">
        <x:f>MAX(G1172,F1173)</x:f>
        <x:v>156500.126716</x:v>
      </x:c>
      <x:c r="H1173" s="14" t="n">
        <x:f>F1173/G1173-1</x:f>
        <x:v>-0.02984406529252015</x:v>
      </x:c>
      <x:c r="I1173" s="14" t="n">
        <x:f>F1173/F1172-1</x:f>
        <x:v>-0.00028681842808286895</x:v>
      </x:c>
      <x:c r="J1173" s="12" t="n">
        <x:v>0</x:v>
      </x:c>
      <x:c r="K1173" s="12" t="n">
        <x:v>0</x:v>
      </x:c>
      <x:c r="L1173" s="12" t="n">
        <x:v>0</x:v>
      </x:c>
      <x:c r="M1173" s="2" t="str">
        <x:v>持有</x:v>
      </x:c>
    </x:row>
    <x:row r="1174" ht="23" customHeight="1">
      <x:c r="A1174" s="11" t="d">
        <x:v>2019-08-23T00:00:00.000Z</x:v>
      </x:c>
      <x:c r="B1174" s="12" t="n">
        <x:v>10327.286716</x:v>
      </x:c>
      <x:c r="C1174" s="13" t="n">
        <x:v>484</x:v>
      </x:c>
      <x:c r="D1174" s="12" t="n">
        <x:v>137867.40000000002</x:v>
      </x:c>
      <x:c r="E1174" s="12" t="n">
        <x:v>0</x:v>
      </x:c>
      <x:c r="F1174" s="12" t="n">
        <x:f>SUM(B1174,D1174:E1174)</x:f>
        <x:v>148194.68671600003</x:v>
      </x:c>
      <x:c r="G1174" s="12" t="n">
        <x:f>MAX(G1173,F1174)</x:f>
        <x:v>156500.126716</x:v>
      </x:c>
      <x:c r="H1174" s="14" t="n">
        <x:f>F1174/G1174-1</x:f>
        <x:v>-0.05306986118338297</x:v>
      </x:c>
      <x:c r="I1174" s="14" t="n">
        <x:f>F1174/F1173-1</x:f>
        <x:v>-0.02394027089868389</x:v>
      </x:c>
      <x:c r="J1174" s="12" t="n">
        <x:v>0</x:v>
      </x:c>
      <x:c r="K1174" s="12" t="n">
        <x:v>0</x:v>
      </x:c>
      <x:c r="L1174" s="12" t="n">
        <x:v>0</x:v>
      </x:c>
      <x:c r="M1174" s="2" t="str">
        <x:v>持有</x:v>
      </x:c>
    </x:row>
    <x:row r="1175" ht="23" customHeight="1">
      <x:c r="A1175" s="11" t="d">
        <x:v>2019-08-26T00:00:00.000Z</x:v>
      </x:c>
      <x:c r="B1175" s="12" t="n">
        <x:v>10327.286716</x:v>
      </x:c>
      <x:c r="C1175" s="13" t="n">
        <x:v>484</x:v>
      </x:c>
      <x:c r="D1175" s="12" t="n">
        <x:v>139392</x:v>
      </x:c>
      <x:c r="E1175" s="12" t="n">
        <x:v>0</x:v>
      </x:c>
      <x:c r="F1175" s="12" t="n">
        <x:f>SUM(B1175,D1175:E1175)</x:f>
        <x:v>149719.286716</x:v>
      </x:c>
      <x:c r="G1175" s="12" t="n">
        <x:f>MAX(G1174,F1175)</x:f>
        <x:v>156500.126716</x:v>
      </x:c>
      <x:c r="H1175" s="14" t="n">
        <x:f>F1175/G1175-1</x:f>
        <x:v>-0.04332801603608383</x:v>
      </x:c>
      <x:c r="I1175" s="14" t="n">
        <x:f>F1175/F1174-1</x:f>
        <x:v>0.010287818232793455</x:v>
      </x:c>
      <x:c r="J1175" s="12" t="n">
        <x:v>0</x:v>
      </x:c>
      <x:c r="K1175" s="12" t="n">
        <x:v>0</x:v>
      </x:c>
      <x:c r="L1175" s="12" t="n">
        <x:v>0</x:v>
      </x:c>
      <x:c r="M1175" s="2" t="str">
        <x:v>持有</x:v>
      </x:c>
    </x:row>
    <x:row r="1176" ht="23" customHeight="1">
      <x:c r="A1176" s="11" t="d">
        <x:v>2019-08-27T00:00:00.000Z</x:v>
      </x:c>
      <x:c r="B1176" s="12" t="n">
        <x:v>10327.286716</x:v>
      </x:c>
      <x:c r="C1176" s="13" t="n">
        <x:v>484</x:v>
      </x:c>
      <x:c r="D1176" s="12" t="n">
        <x:v>138845.08000000002</x:v>
      </x:c>
      <x:c r="E1176" s="12" t="n">
        <x:v>0</x:v>
      </x:c>
      <x:c r="F1176" s="12" t="n">
        <x:f>SUM(B1176,D1176:E1176)</x:f>
        <x:v>149172.36671600002</x:v>
      </x:c>
      <x:c r="G1176" s="12" t="n">
        <x:f>MAX(G1175,F1176)</x:f>
        <x:v>156500.126716</x:v>
      </x:c>
      <x:c r="H1176" s="14" t="n">
        <x:f>F1176/G1176-1</x:f>
        <x:v>-0.04682270969209901</x:v>
      </x:c>
      <x:c r="I1176" s="14" t="n">
        <x:f>F1176/F1175-1</x:f>
        <x:v>-0.003652969580582033</x:v>
      </x:c>
      <x:c r="J1176" s="12" t="n">
        <x:v>0</x:v>
      </x:c>
      <x:c r="K1176" s="12" t="n">
        <x:v>0</x:v>
      </x:c>
      <x:c r="L1176" s="12" t="n">
        <x:v>0</x:v>
      </x:c>
      <x:c r="M1176" s="2" t="str">
        <x:v>持有</x:v>
      </x:c>
    </x:row>
    <x:row r="1177" ht="23" customHeight="1">
      <x:c r="A1177" s="11" t="d">
        <x:v>2019-08-28T00:00:00.000Z</x:v>
      </x:c>
      <x:c r="B1177" s="12" t="n">
        <x:v>10327.286716</x:v>
      </x:c>
      <x:c r="C1177" s="13" t="n">
        <x:v>484</x:v>
      </x:c>
      <x:c r="D1177" s="12" t="n">
        <x:v>139822.75999999998</x:v>
      </x:c>
      <x:c r="E1177" s="12" t="n">
        <x:v>0</x:v>
      </x:c>
      <x:c r="F1177" s="12" t="n">
        <x:f>SUM(B1177,D1177:E1177)</x:f>
        <x:v>150150.04671599998</x:v>
      </x:c>
      <x:c r="G1177" s="12" t="n">
        <x:f>MAX(G1176,F1177)</x:f>
        <x:v>156500.126716</x:v>
      </x:c>
      <x:c r="H1177" s="14" t="n">
        <x:f>F1177/G1177-1</x:f>
        <x:v>-0.040575558200815265</x:v>
      </x:c>
      <x:c r="I1177" s="14" t="n">
        <x:f>F1177/F1176-1</x:f>
        <x:v>0.0065540288829855076</x:v>
      </x:c>
      <x:c r="J1177" s="12" t="n">
        <x:v>0</x:v>
      </x:c>
      <x:c r="K1177" s="12" t="n">
        <x:v>0</x:v>
      </x:c>
      <x:c r="L1177" s="12" t="n">
        <x:v>0</x:v>
      </x:c>
      <x:c r="M1177" s="2" t="str">
        <x:v>持有</x:v>
      </x:c>
    </x:row>
    <x:row r="1178" ht="23" customHeight="1">
      <x:c r="A1178" s="11" t="d">
        <x:v>2019-08-29T00:00:00.000Z</x:v>
      </x:c>
      <x:c r="B1178" s="12" t="n">
        <x:v>10327.286716</x:v>
      </x:c>
      <x:c r="C1178" s="13" t="n">
        <x:v>484</x:v>
      </x:c>
      <x:c r="D1178" s="12" t="n">
        <x:v>141608.72</x:v>
      </x:c>
      <x:c r="E1178" s="12" t="n">
        <x:v>0</x:v>
      </x:c>
      <x:c r="F1178" s="12" t="n">
        <x:f>SUM(B1178,D1178:E1178)</x:f>
        <x:v>151936.006716</x:v>
      </x:c>
      <x:c r="G1178" s="12" t="n">
        <x:f>MAX(G1177,F1178)</x:f>
        <x:v>156500.126716</x:v>
      </x:c>
      <x:c r="H1178" s="14" t="n">
        <x:f>F1178/G1178-1</x:f>
        <x:v>-0.02916368245683587</x:v>
      </x:c>
      <x:c r="I1178" s="14" t="n">
        <x:f>F1178/F1177-1</x:f>
        <x:v>0.011894501793782819</x:v>
      </x:c>
      <x:c r="J1178" s="12" t="n">
        <x:v>0</x:v>
      </x:c>
      <x:c r="K1178" s="12" t="n">
        <x:v>0</x:v>
      </x:c>
      <x:c r="L1178" s="12" t="n">
        <x:v>0</x:v>
      </x:c>
      <x:c r="M1178" s="2" t="str">
        <x:v>持有</x:v>
      </x:c>
    </x:row>
    <x:row r="1179" ht="23" customHeight="1">
      <x:c r="A1179" s="11" t="d">
        <x:v>2019-08-30T00:00:00.000Z</x:v>
      </x:c>
      <x:c r="B1179" s="12" t="n">
        <x:v>10327.286716</x:v>
      </x:c>
      <x:c r="C1179" s="13" t="n">
        <x:v>484</x:v>
      </x:c>
      <x:c r="D1179" s="12" t="n">
        <x:v>141545.8</x:v>
      </x:c>
      <x:c r="E1179" s="12" t="n">
        <x:v>0</x:v>
      </x:c>
      <x:c r="F1179" s="12" t="n">
        <x:f>SUM(B1179,D1179:E1179)</x:f>
        <x:v>151873.086716</x:v>
      </x:c>
      <x:c r="G1179" s="12" t="n">
        <x:f>MAX(G1178,F1179)</x:f>
        <x:v>156500.126716</x:v>
      </x:c>
      <x:c r="H1179" s="14" t="n">
        <x:f>F1179/G1179-1</x:f>
        <x:v>-0.02956572685974035</x:v>
      </x:c>
      <x:c r="I1179" s="14" t="n">
        <x:f>F1179/F1178-1</x:f>
        <x:v>-0.00041412171716226354</x:v>
      </x:c>
      <x:c r="J1179" s="12" t="n">
        <x:v>0</x:v>
      </x:c>
      <x:c r="K1179" s="12" t="n">
        <x:v>0</x:v>
      </x:c>
      <x:c r="L1179" s="12" t="n">
        <x:v>0</x:v>
      </x:c>
      <x:c r="M1179" s="2" t="str">
        <x:v>持有</x:v>
      </x:c>
    </x:row>
    <x:row r="1180" ht="23" customHeight="1">
      <x:c r="A1180" s="11" t="d">
        <x:v>2019-09-03T00:00:00.000Z</x:v>
      </x:c>
      <x:c r="B1180" s="12" t="n">
        <x:v>10327.286716</x:v>
      </x:c>
      <x:c r="C1180" s="13" t="n">
        <x:v>484</x:v>
      </x:c>
      <x:c r="D1180" s="12" t="n">
        <x:v>140718.16</x:v>
      </x:c>
      <x:c r="E1180" s="12" t="n">
        <x:v>0</x:v>
      </x:c>
      <x:c r="F1180" s="12" t="n">
        <x:f>SUM(B1180,D1180:E1180)</x:f>
        <x:v>151045.446716</x:v>
      </x:c>
      <x:c r="G1180" s="12" t="n">
        <x:f>MAX(G1179,F1180)</x:f>
        <x:v>156500.126716</x:v>
      </x:c>
      <x:c r="H1180" s="14" t="n">
        <x:f>F1180/G1180-1</x:f>
        <x:v>-0.0348541570825599</x:v>
      </x:c>
      <x:c r="I1180" s="14" t="n">
        <x:f>F1180/F1179-1</x:f>
        <x:v>-0.005449550133577397</x:v>
      </x:c>
      <x:c r="J1180" s="12" t="n">
        <x:v>0</x:v>
      </x:c>
      <x:c r="K1180" s="12" t="n">
        <x:v>0</x:v>
      </x:c>
      <x:c r="L1180" s="12" t="n">
        <x:v>0</x:v>
      </x:c>
      <x:c r="M1180" s="2" t="str">
        <x:v>持有</x:v>
      </x:c>
    </x:row>
    <x:row r="1181" ht="23" customHeight="1">
      <x:c r="A1181" s="11" t="d">
        <x:v>2019-09-04T00:00:00.000Z</x:v>
      </x:c>
      <x:c r="B1181" s="12" t="n">
        <x:v>10327.286716</x:v>
      </x:c>
      <x:c r="C1181" s="13" t="n">
        <x:v>484</x:v>
      </x:c>
      <x:c r="D1181" s="12" t="n">
        <x:v>142315.36000000002</x:v>
      </x:c>
      <x:c r="E1181" s="12" t="n">
        <x:v>0</x:v>
      </x:c>
      <x:c r="F1181" s="12" t="n">
        <x:f>SUM(B1181,D1181:E1181)</x:f>
        <x:v>152642.64671600002</x:v>
      </x:c>
      <x:c r="G1181" s="12" t="n">
        <x:f>MAX(G1180,F1181)</x:f>
        <x:v>156500.126716</x:v>
      </x:c>
      <x:c r="H1181" s="14" t="n">
        <x:f>F1181/G1181-1</x:f>
        <x:v>-0.02464841454729383</x:v>
      </x:c>
      <x:c r="I1181" s="14" t="n">
        <x:f>F1181/F1180-1</x:f>
        <x:v>0.010574300879146126</x:v>
      </x:c>
      <x:c r="J1181" s="12" t="n">
        <x:v>0</x:v>
      </x:c>
      <x:c r="K1181" s="12" t="n">
        <x:v>0</x:v>
      </x:c>
      <x:c r="L1181" s="12" t="n">
        <x:v>0</x:v>
      </x:c>
      <x:c r="M1181" s="2" t="str">
        <x:v>持有</x:v>
      </x:c>
    </x:row>
    <x:row r="1182" ht="23" customHeight="1">
      <x:c r="A1182" s="11" t="d">
        <x:v>2019-09-05T00:00:00.000Z</x:v>
      </x:c>
      <x:c r="B1182" s="12" t="n">
        <x:v>10327.286716</x:v>
      </x:c>
      <x:c r="C1182" s="13" t="n">
        <x:v>484</x:v>
      </x:c>
      <x:c r="D1182" s="12" t="n">
        <x:v>144144.88</x:v>
      </x:c>
      <x:c r="E1182" s="12" t="n">
        <x:v>0</x:v>
      </x:c>
      <x:c r="F1182" s="12" t="n">
        <x:f>SUM(B1182,D1182:E1182)</x:f>
        <x:v>154472.166716</x:v>
      </x:c>
      <x:c r="G1182" s="12" t="n">
        <x:f>MAX(G1181,F1182)</x:f>
        <x:v>156500.126716</x:v>
      </x:c>
      <x:c r="H1182" s="14" t="n">
        <x:f>F1182/G1182-1</x:f>
        <x:v>-0.012958200370534634</x:v>
      </x:c>
      <x:c r="I1182" s="14" t="n">
        <x:f>F1182/F1181-1</x:f>
        <x:v>0.011985641230421784</x:v>
      </x:c>
      <x:c r="J1182" s="12" t="n">
        <x:v>0</x:v>
      </x:c>
      <x:c r="K1182" s="12" t="n">
        <x:v>0</x:v>
      </x:c>
      <x:c r="L1182" s="12" t="n">
        <x:v>0</x:v>
      </x:c>
      <x:c r="M1182" s="2" t="str">
        <x:v>持有</x:v>
      </x:c>
    </x:row>
    <x:row r="1183" ht="23" customHeight="1">
      <x:c r="A1183" s="11" t="d">
        <x:v>2019-09-06T00:00:00.000Z</x:v>
      </x:c>
      <x:c r="B1183" s="12" t="n">
        <x:v>10327.286716</x:v>
      </x:c>
      <x:c r="C1183" s="13" t="n">
        <x:v>484</x:v>
      </x:c>
      <x:c r="D1183" s="12" t="n">
        <x:v>144256.2</x:v>
      </x:c>
      <x:c r="E1183" s="12" t="n">
        <x:v>0</x:v>
      </x:c>
      <x:c r="F1183" s="12" t="n">
        <x:f>SUM(B1183,D1183:E1183)</x:f>
        <x:v>154583.486716</x:v>
      </x:c>
      <x:c r="G1183" s="12" t="n">
        <x:f>MAX(G1182,F1183)</x:f>
        <x:v>156500.126716</x:v>
      </x:c>
      <x:c r="H1183" s="14" t="n">
        <x:f>F1183/G1183-1</x:f>
        <x:v>-0.01224689104231913</x:v>
      </x:c>
      <x:c r="I1183" s="14" t="n">
        <x:f>F1183/F1182-1</x:f>
        <x:v>0.0007206476245307236</x:v>
      </x:c>
      <x:c r="J1183" s="12" t="n">
        <x:v>0</x:v>
      </x:c>
      <x:c r="K1183" s="12" t="n">
        <x:v>0</x:v>
      </x:c>
      <x:c r="L1183" s="12" t="n">
        <x:v>0</x:v>
      </x:c>
      <x:c r="M1183" s="2" t="str">
        <x:v>持有</x:v>
      </x:c>
    </x:row>
    <x:row r="1184" ht="23" customHeight="1">
      <x:c r="A1184" s="11" t="d">
        <x:v>2019-09-09T00:00:00.000Z</x:v>
      </x:c>
      <x:c r="B1184" s="12" t="n">
        <x:v>10327.286716</x:v>
      </x:c>
      <x:c r="C1184" s="13" t="n">
        <x:v>484</x:v>
      </x:c>
      <x:c r="D1184" s="12" t="n">
        <x:v>144328.8</x:v>
      </x:c>
      <x:c r="E1184" s="12" t="n">
        <x:v>0</x:v>
      </x:c>
      <x:c r="F1184" s="12" t="n">
        <x:f>SUM(B1184,D1184:E1184)</x:f>
        <x:v>154656.086716</x:v>
      </x:c>
      <x:c r="G1184" s="12" t="n">
        <x:f>MAX(G1183,F1184)</x:f>
        <x:v>156500.126716</x:v>
      </x:c>
      <x:c r="H1184" s="14" t="n">
        <x:f>F1184/G1184-1</x:f>
        <x:v>-0.011782993654352647</x:v>
      </x:c>
      <x:c r="I1184" s="14" t="n">
        <x:f>F1184/F1183-1</x:f>
        <x:v>0.00046964912968583405</x:v>
      </x:c>
      <x:c r="J1184" s="12" t="n">
        <x:v>0</x:v>
      </x:c>
      <x:c r="K1184" s="12" t="n">
        <x:v>0</x:v>
      </x:c>
      <x:c r="L1184" s="12" t="n">
        <x:v>0</x:v>
      </x:c>
      <x:c r="M1184" s="2" t="str">
        <x:v>持有</x:v>
      </x:c>
    </x:row>
    <x:row r="1185" ht="23" customHeight="1">
      <x:c r="A1185" s="11" t="d">
        <x:v>2019-09-10T00:00:00.000Z</x:v>
      </x:c>
      <x:c r="B1185" s="12" t="n">
        <x:v>10327.286716</x:v>
      </x:c>
      <x:c r="C1185" s="13" t="n">
        <x:v>484</x:v>
      </x:c>
      <x:c r="D1185" s="12" t="n">
        <x:v>144294.91999999998</x:v>
      </x:c>
      <x:c r="E1185" s="12" t="n">
        <x:v>0</x:v>
      </x:c>
      <x:c r="F1185" s="12" t="n">
        <x:f>SUM(B1185,D1185:E1185)</x:f>
        <x:v>154622.206716</x:v>
      </x:c>
      <x:c r="G1185" s="12" t="n">
        <x:f>MAX(G1184,F1185)</x:f>
        <x:v>156500.126716</x:v>
      </x:c>
      <x:c r="H1185" s="14" t="n">
        <x:f>F1185/G1185-1</x:f>
        <x:v>-0.011999479102070443</x:v>
      </x:c>
      <x:c r="I1185" s="14" t="n">
        <x:f>F1185/F1184-1</x:f>
        <x:v>-0.000219066709364113</x:v>
      </x:c>
      <x:c r="J1185" s="12" t="n">
        <x:v>0</x:v>
      </x:c>
      <x:c r="K1185" s="12" t="n">
        <x:v>0</x:v>
      </x:c>
      <x:c r="L1185" s="12" t="n">
        <x:v>0</x:v>
      </x:c>
      <x:c r="M1185" s="2" t="str">
        <x:v>持有</x:v>
      </x:c>
    </x:row>
    <x:row r="1186" ht="23" customHeight="1">
      <x:c r="A1186" s="11" t="d">
        <x:v>2019-09-11T00:00:00.000Z</x:v>
      </x:c>
      <x:c r="B1186" s="12" t="n">
        <x:v>10327.286716</x:v>
      </x:c>
      <x:c r="C1186" s="13" t="n">
        <x:v>484</x:v>
      </x:c>
      <x:c r="D1186" s="12" t="n">
        <x:v>145321</x:v>
      </x:c>
      <x:c r="E1186" s="12" t="n">
        <x:v>0</x:v>
      </x:c>
      <x:c r="F1186" s="12" t="n">
        <x:f>SUM(B1186,D1186:E1186)</x:f>
        <x:v>155648.286716</x:v>
      </x:c>
      <x:c r="G1186" s="12" t="n">
        <x:f>MAX(G1185,F1186)</x:f>
        <x:v>156500.126716</x:v>
      </x:c>
      <x:c r="H1186" s="14" t="n">
        <x:f>F1186/G1186-1</x:f>
        <x:v>-0.005443062685475231</x:v>
      </x:c>
      <x:c r="I1186" s="14" t="n">
        <x:f>F1186/F1185-1</x:f>
        <x:v>0.006636045505964416</x:v>
      </x:c>
      <x:c r="J1186" s="12" t="n">
        <x:v>0</x:v>
      </x:c>
      <x:c r="K1186" s="12" t="n">
        <x:v>0</x:v>
      </x:c>
      <x:c r="L1186" s="12" t="n">
        <x:v>0</x:v>
      </x:c>
      <x:c r="M1186" s="2" t="str">
        <x:v>持有</x:v>
      </x:c>
    </x:row>
    <x:row r="1187" ht="23" customHeight="1">
      <x:c r="A1187" s="11" t="d">
        <x:v>2019-09-12T00:00:00.000Z</x:v>
      </x:c>
      <x:c r="B1187" s="12" t="n">
        <x:v>10327.286716</x:v>
      </x:c>
      <x:c r="C1187" s="13" t="n">
        <x:v>484</x:v>
      </x:c>
      <x:c r="D1187" s="12" t="n">
        <x:v>145824.36000000002</x:v>
      </x:c>
      <x:c r="E1187" s="12" t="n">
        <x:v>0</x:v>
      </x:c>
      <x:c r="F1187" s="12" t="n">
        <x:f>SUM(B1187,D1187:E1187)</x:f>
        <x:v>156151.64671600002</x:v>
      </x:c>
      <x:c r="G1187" s="12" t="n">
        <x:f>MAX(G1186,F1187)</x:f>
        <x:v>156500.126716</x:v>
      </x:c>
      <x:c r="H1187" s="14" t="n">
        <x:f>F1187/G1187-1</x:f>
        <x:v>-0.002226707462239741</x:v>
      </x:c>
      <x:c r="I1187" s="14" t="n">
        <x:f>F1187/F1186-1</x:f>
        <x:v>0.0032339578585818263</x:v>
      </x:c>
      <x:c r="J1187" s="12" t="n">
        <x:v>0</x:v>
      </x:c>
      <x:c r="K1187" s="12" t="n">
        <x:v>0</x:v>
      </x:c>
      <x:c r="L1187" s="12" t="n">
        <x:v>0</x:v>
      </x:c>
      <x:c r="M1187" s="2" t="str">
        <x:v>持有</x:v>
      </x:c>
    </x:row>
    <x:row r="1188" ht="23" customHeight="1">
      <x:c r="A1188" s="11" t="d">
        <x:v>2019-09-13T00:00:00.000Z</x:v>
      </x:c>
      <x:c r="B1188" s="12" t="n">
        <x:v>10327.286716</x:v>
      </x:c>
      <x:c r="C1188" s="13" t="n">
        <x:v>484</x:v>
      </x:c>
      <x:c r="D1188" s="12" t="n">
        <x:v>145727.56</x:v>
      </x:c>
      <x:c r="E1188" s="12" t="n">
        <x:v>0</x:v>
      </x:c>
      <x:c r="F1188" s="12" t="n">
        <x:f>SUM(B1188,D1188:E1188)</x:f>
        <x:v>156054.846716</x:v>
      </x:c>
      <x:c r="G1188" s="12" t="n">
        <x:f>MAX(G1187,F1188)</x:f>
        <x:v>156500.126716</x:v>
      </x:c>
      <x:c r="H1188" s="14" t="n">
        <x:f>F1188/G1188-1</x:f>
        <x:v>-0.0028452373128620145</x:v>
      </x:c>
      <x:c r="I1188" s="14" t="n">
        <x:f>F1188/F1187-1</x:f>
        <x:v>-0.0006199102093112918</x:v>
      </x:c>
      <x:c r="J1188" s="12" t="n">
        <x:v>0</x:v>
      </x:c>
      <x:c r="K1188" s="12" t="n">
        <x:v>0</x:v>
      </x:c>
      <x:c r="L1188" s="12" t="n">
        <x:v>0</x:v>
      </x:c>
      <x:c r="M1188" s="2" t="str">
        <x:v>持有</x:v>
      </x:c>
    </x:row>
    <x:row r="1189" ht="23" customHeight="1">
      <x:c r="A1189" s="11" t="d">
        <x:v>2019-09-16T00:00:00.000Z</x:v>
      </x:c>
      <x:c r="B1189" s="12" t="n">
        <x:v>10327.286716</x:v>
      </x:c>
      <x:c r="C1189" s="13" t="n">
        <x:v>484</x:v>
      </x:c>
      <x:c r="D1189" s="12" t="n">
        <x:v>145277.44</x:v>
      </x:c>
      <x:c r="E1189" s="12" t="n">
        <x:v>0</x:v>
      </x:c>
      <x:c r="F1189" s="12" t="n">
        <x:f>SUM(B1189,D1189:E1189)</x:f>
        <x:v>155604.726716</x:v>
      </x:c>
      <x:c r="G1189" s="12" t="n">
        <x:f>MAX(G1188,F1189)</x:f>
        <x:v>156500.126716</x:v>
      </x:c>
      <x:c r="H1189" s="14" t="n">
        <x:f>F1189/G1189-1</x:f>
        <x:v>-0.005721401118255143</x:v>
      </x:c>
      <x:c r="I1189" s="14" t="n">
        <x:f>F1189/F1188-1</x:f>
        <x:v>-0.0028843705240322315</x:v>
      </x:c>
      <x:c r="J1189" s="12" t="n">
        <x:v>0</x:v>
      </x:c>
      <x:c r="K1189" s="12" t="n">
        <x:v>0</x:v>
      </x:c>
      <x:c r="L1189" s="12" t="n">
        <x:v>0</x:v>
      </x:c>
      <x:c r="M1189" s="2" t="str">
        <x:v>持有</x:v>
      </x:c>
    </x:row>
    <x:row r="1190" ht="23" customHeight="1">
      <x:c r="A1190" s="11" t="d">
        <x:v>2019-09-17T00:00:00.000Z</x:v>
      </x:c>
      <x:c r="B1190" s="12" t="n">
        <x:v>10327.286716</x:v>
      </x:c>
      <x:c r="C1190" s="13" t="n">
        <x:v>484</x:v>
      </x:c>
      <x:c r="D1190" s="12" t="n">
        <x:v>145645.28</x:v>
      </x:c>
      <x:c r="E1190" s="12" t="n">
        <x:v>0</x:v>
      </x:c>
      <x:c r="F1190" s="12" t="n">
        <x:f>SUM(B1190,D1190:E1190)</x:f>
        <x:v>155972.566716</x:v>
      </x:c>
      <x:c r="G1190" s="12" t="n">
        <x:f>MAX(G1189,F1190)</x:f>
        <x:v>156500.126716</x:v>
      </x:c>
      <x:c r="H1190" s="14" t="n">
        <x:f>F1190/G1190-1</x:f>
        <x:v>-0.003370987685890836</x:v>
      </x:c>
      <x:c r="I1190" s="14" t="n">
        <x:f>F1190/F1189-1</x:f>
        <x:v>0.00236393847258487</x:v>
      </x:c>
      <x:c r="J1190" s="12" t="n">
        <x:v>0</x:v>
      </x:c>
      <x:c r="K1190" s="12" t="n">
        <x:v>0</x:v>
      </x:c>
      <x:c r="L1190" s="12" t="n">
        <x:v>0</x:v>
      </x:c>
      <x:c r="M1190" s="2" t="str">
        <x:v>持有</x:v>
      </x:c>
    </x:row>
    <x:row r="1191" ht="23" customHeight="1">
      <x:c r="A1191" s="11" t="d">
        <x:v>2019-09-18T00:00:00.000Z</x:v>
      </x:c>
      <x:c r="B1191" s="12" t="n">
        <x:v>10327.286716</x:v>
      </x:c>
      <x:c r="C1191" s="13" t="n">
        <x:v>484</x:v>
      </x:c>
      <x:c r="D1191" s="12" t="n">
        <x:v>145732.40000000002</x:v>
      </x:c>
      <x:c r="E1191" s="12" t="n">
        <x:v>0</x:v>
      </x:c>
      <x:c r="F1191" s="12" t="n">
        <x:f>SUM(B1191,D1191:E1191)</x:f>
        <x:v>156059.68671600003</x:v>
      </x:c>
      <x:c r="G1191" s="12" t="n">
        <x:f>MAX(G1190,F1191)</x:f>
        <x:v>156500.126716</x:v>
      </x:c>
      <x:c r="H1191" s="14" t="n">
        <x:f>F1191/G1191-1</x:f>
        <x:v>-0.00281431082033079</x:v>
      </x:c>
      <x:c r="I1191" s="14" t="n">
        <x:f>F1191/F1190-1</x:f>
        <x:v>0.0005585597636452722</x:v>
      </x:c>
      <x:c r="J1191" s="12" t="n">
        <x:v>0</x:v>
      </x:c>
      <x:c r="K1191" s="12" t="n">
        <x:v>0</x:v>
      </x:c>
      <x:c r="L1191" s="12" t="n">
        <x:v>0</x:v>
      </x:c>
      <x:c r="M1191" s="2" t="str">
        <x:v>持有</x:v>
      </x:c>
    </x:row>
    <x:row r="1192" ht="23" customHeight="1">
      <x:c r="A1192" s="11" t="d">
        <x:v>2019-09-19T00:00:00.000Z</x:v>
      </x:c>
      <x:c r="B1192" s="12" t="n">
        <x:v>10327.286716</x:v>
      </x:c>
      <x:c r="C1192" s="13" t="n">
        <x:v>484</x:v>
      </x:c>
      <x:c r="D1192" s="12" t="n">
        <x:v>145722.72</x:v>
      </x:c>
      <x:c r="E1192" s="12" t="n">
        <x:v>0</x:v>
      </x:c>
      <x:c r="F1192" s="12" t="n">
        <x:f>SUM(B1192,D1192:E1192)</x:f>
        <x:v>156050.006716</x:v>
      </x:c>
      <x:c r="G1192" s="12" t="n">
        <x:f>MAX(G1191,F1192)</x:f>
        <x:v>156500.126716</x:v>
      </x:c>
      <x:c r="H1192" s="14" t="n">
        <x:f>F1192/G1192-1</x:f>
        <x:v>-0.002876163805393128</x:v>
      </x:c>
      <x:c r="I1192" s="14" t="n">
        <x:f>F1192/F1191-1</x:f>
        <x:v>-0.00006202754986706083</x:v>
      </x:c>
      <x:c r="J1192" s="12" t="n">
        <x:v>0</x:v>
      </x:c>
      <x:c r="K1192" s="12" t="n">
        <x:v>0</x:v>
      </x:c>
      <x:c r="L1192" s="12" t="n">
        <x:v>0</x:v>
      </x:c>
      <x:c r="M1192" s="2" t="str">
        <x:v>持有</x:v>
      </x:c>
    </x:row>
    <x:row r="1193" ht="23" customHeight="1">
      <x:c r="A1193" s="11" t="d">
        <x:v>2019-09-20T00:00:00.000Z</x:v>
      </x:c>
      <x:c r="B1193" s="12" t="n">
        <x:v>10327.286716</x:v>
      </x:c>
      <x:c r="C1193" s="13" t="n">
        <x:v>484</x:v>
      </x:c>
      <x:c r="D1193" s="12" t="n">
        <x:v>144367.52</x:v>
      </x:c>
      <x:c r="E1193" s="12" t="n">
        <x:v>669.671596</x:v>
      </x:c>
      <x:c r="F1193" s="12" t="n">
        <x:f>SUM(B1193,D1193:E1193)</x:f>
        <x:v>155364.478312</x:v>
      </x:c>
      <x:c r="G1193" s="12" t="n">
        <x:f>MAX(G1192,F1193)</x:f>
        <x:v>156500.126716</x:v>
      </x:c>
      <x:c r="H1193" s="14" t="n">
        <x:f>F1193/G1193-1</x:f>
        <x:v>-0.007256533447163704</x:v>
      </x:c>
      <x:c r="I1193" s="14" t="n">
        <x:f>F1193/F1192-1</x:f>
        <x:v>-0.004393004642720855</x:v>
      </x:c>
      <x:c r="J1193" s="12" t="n">
        <x:v>669.671596</x:v>
      </x:c>
      <x:c r="K1193" s="12" t="n">
        <x:v>0</x:v>
      </x:c>
      <x:c r="L1193" s="12" t="n">
        <x:v>0</x:v>
      </x:c>
      <x:c r="M1193" s="2" t="str">
        <x:v>持有</x:v>
      </x:c>
    </x:row>
    <x:row r="1194" ht="23" customHeight="1">
      <x:c r="A1194" s="11" t="d">
        <x:v>2019-09-23T00:00:00.000Z</x:v>
      </x:c>
      <x:c r="B1194" s="12" t="n">
        <x:v>10327.286716</x:v>
      </x:c>
      <x:c r="C1194" s="13" t="n">
        <x:v>484</x:v>
      </x:c>
      <x:c r="D1194" s="12" t="n">
        <x:v>144333.63999999998</x:v>
      </x:c>
      <x:c r="E1194" s="12" t="n">
        <x:v>669.671596</x:v>
      </x:c>
      <x:c r="F1194" s="12" t="n">
        <x:f>SUM(B1194,D1194:E1194)</x:f>
        <x:v>155330.598312</x:v>
      </x:c>
      <x:c r="G1194" s="12" t="n">
        <x:f>MAX(G1193,F1194)</x:f>
        <x:v>156500.126716</x:v>
      </x:c>
      <x:c r="H1194" s="14" t="n">
        <x:f>F1194/G1194-1</x:f>
        <x:v>-0.0074730188948815</x:v>
      </x:c>
      <x:c r="I1194" s="14" t="n">
        <x:f>F1194/F1193-1</x:f>
        <x:v>-0.00021806786447009507</x:v>
      </x:c>
      <x:c r="J1194" s="12" t="n">
        <x:v>0</x:v>
      </x:c>
      <x:c r="K1194" s="12" t="n">
        <x:v>0</x:v>
      </x:c>
      <x:c r="L1194" s="12" t="n">
        <x:v>0</x:v>
      </x:c>
      <x:c r="M1194" s="2" t="str">
        <x:v>持有</x:v>
      </x:c>
    </x:row>
    <x:row r="1195" ht="23" customHeight="1">
      <x:c r="A1195" s="11" t="d">
        <x:v>2019-09-24T00:00:00.000Z</x:v>
      </x:c>
      <x:c r="B1195" s="12" t="n">
        <x:v>10327.286716</x:v>
      </x:c>
      <x:c r="C1195" s="13" t="n">
        <x:v>484</x:v>
      </x:c>
      <x:c r="D1195" s="12" t="n">
        <x:v>143201.08000000002</x:v>
      </x:c>
      <x:c r="E1195" s="12" t="n">
        <x:v>669.671596</x:v>
      </x:c>
      <x:c r="F1195" s="12" t="n">
        <x:f>SUM(B1195,D1195:E1195)</x:f>
        <x:v>154198.03831200002</x:v>
      </x:c>
      <x:c r="G1195" s="12" t="n">
        <x:f>MAX(G1194,F1195)</x:f>
        <x:v>156500.126716</x:v>
      </x:c>
      <x:c r="H1195" s="14" t="n">
        <x:f>F1195/G1195-1</x:f>
        <x:v>-0.01470981814716077</x:v>
      </x:c>
      <x:c r="I1195" s="14" t="n">
        <x:f>F1195/F1194-1</x:f>
        <x:v>-0.007291287179137074</x:v>
      </x:c>
      <x:c r="J1195" s="12" t="n">
        <x:v>0</x:v>
      </x:c>
      <x:c r="K1195" s="12" t="n">
        <x:v>0</x:v>
      </x:c>
      <x:c r="L1195" s="12" t="n">
        <x:v>0</x:v>
      </x:c>
      <x:c r="M1195" s="2" t="str">
        <x:v>持有</x:v>
      </x:c>
    </x:row>
    <x:row r="1196" ht="23" customHeight="1">
      <x:c r="A1196" s="11" t="d">
        <x:v>2019-09-25T00:00:00.000Z</x:v>
      </x:c>
      <x:c r="B1196" s="12" t="n">
        <x:v>10327.286716</x:v>
      </x:c>
      <x:c r="C1196" s="13" t="n">
        <x:v>484</x:v>
      </x:c>
      <x:c r="D1196" s="12" t="n">
        <x:v>144048.08000000002</x:v>
      </x:c>
      <x:c r="E1196" s="12" t="n">
        <x:v>669.671596</x:v>
      </x:c>
      <x:c r="F1196" s="12" t="n">
        <x:f>SUM(B1196,D1196:E1196)</x:f>
        <x:v>155045.03831200002</x:v>
      </x:c>
      <x:c r="G1196" s="12" t="n">
        <x:f>MAX(G1195,F1196)</x:f>
        <x:v>156500.126716</x:v>
      </x:c>
      <x:c r="H1196" s="14" t="n">
        <x:f>F1196/G1196-1</x:f>
        <x:v>-0.009297681954216652</x:v>
      </x:c>
      <x:c r="I1196" s="14" t="n">
        <x:f>F1196/F1195-1</x:f>
        <x:v>0.005492936286817018</x:v>
      </x:c>
      <x:c r="J1196" s="12" t="n">
        <x:v>0</x:v>
      </x:c>
      <x:c r="K1196" s="12" t="n">
        <x:v>0</x:v>
      </x:c>
      <x:c r="L1196" s="12" t="n">
        <x:v>0</x:v>
      </x:c>
      <x:c r="M1196" s="2" t="str">
        <x:v>持有</x:v>
      </x:c>
    </x:row>
    <x:row r="1197" ht="23" customHeight="1">
      <x:c r="A1197" s="11" t="d">
        <x:v>2019-09-26T00:00:00.000Z</x:v>
      </x:c>
      <x:c r="B1197" s="12" t="n">
        <x:v>10327.286716</x:v>
      </x:c>
      <x:c r="C1197" s="13" t="n">
        <x:v>484</x:v>
      </x:c>
      <x:c r="D1197" s="12" t="n">
        <x:v>143748</x:v>
      </x:c>
      <x:c r="E1197" s="12" t="n">
        <x:v>669.671596</x:v>
      </x:c>
      <x:c r="F1197" s="12" t="n">
        <x:f>SUM(B1197,D1197:E1197)</x:f>
        <x:v>154744.958312</x:v>
      </x:c>
      <x:c r="G1197" s="12" t="n">
        <x:f>MAX(G1196,F1197)</x:f>
        <x:v>156500.126716</x:v>
      </x:c>
      <x:c r="H1197" s="14" t="n">
        <x:f>F1197/G1197-1</x:f>
        <x:v>-0.01121512449114559</x:v>
      </x:c>
      <x:c r="I1197" s="14" t="n">
        <x:f>F1197/F1196-1</x:f>
        <x:v>-0.001935437620365299</x:v>
      </x:c>
      <x:c r="J1197" s="12" t="n">
        <x:v>0</x:v>
      </x:c>
      <x:c r="K1197" s="12" t="n">
        <x:v>0</x:v>
      </x:c>
      <x:c r="L1197" s="12" t="n">
        <x:v>0</x:v>
      </x:c>
      <x:c r="M1197" s="2" t="str">
        <x:v>持有</x:v>
      </x:c>
    </x:row>
    <x:row r="1198" ht="23" customHeight="1">
      <x:c r="A1198" s="11" t="d">
        <x:v>2019-09-27T00:00:00.000Z</x:v>
      </x:c>
      <x:c r="B1198" s="12" t="n">
        <x:v>10327.286716</x:v>
      </x:c>
      <x:c r="C1198" s="13" t="n">
        <x:v>484</x:v>
      </x:c>
      <x:c r="D1198" s="12" t="n">
        <x:v>142973.59999999998</x:v>
      </x:c>
      <x:c r="E1198" s="12" t="n">
        <x:v>669.671596</x:v>
      </x:c>
      <x:c r="F1198" s="12" t="n">
        <x:f>SUM(B1198,D1198:E1198)</x:f>
        <x:v>153970.55831199998</x:v>
      </x:c>
      <x:c r="G1198" s="12" t="n">
        <x:f>MAX(G1197,F1198)</x:f>
        <x:v>156500.126716</x:v>
      </x:c>
      <x:c r="H1198" s="14" t="n">
        <x:f>F1198/G1198-1</x:f>
        <x:v>-0.016163363296123223</x:v>
      </x:c>
      <x:c r="I1198" s="14" t="n">
        <x:f>F1198/F1197-1</x:f>
        <x:v>-0.005004363363093622</x:v>
      </x:c>
      <x:c r="J1198" s="12" t="n">
        <x:v>0</x:v>
      </x:c>
      <x:c r="K1198" s="12" t="n">
        <x:v>0</x:v>
      </x:c>
      <x:c r="L1198" s="12" t="n">
        <x:v>0</x:v>
      </x:c>
      <x:c r="M1198" s="2" t="str">
        <x:v>持有</x:v>
      </x:c>
    </x:row>
    <x:row r="1199" ht="23" customHeight="1">
      <x:c r="A1199" s="11" t="d">
        <x:v>2019-09-30T00:00:00.000Z</x:v>
      </x:c>
      <x:c r="B1199" s="12" t="n">
        <x:v>10327.286716</x:v>
      </x:c>
      <x:c r="C1199" s="13" t="n">
        <x:v>484</x:v>
      </x:c>
      <x:c r="D1199" s="12" t="n">
        <x:v>143636.68</x:v>
      </x:c>
      <x:c r="E1199" s="12" t="n">
        <x:v>669.671596</x:v>
      </x:c>
      <x:c r="F1199" s="12" t="n">
        <x:f>SUM(B1199,D1199:E1199)</x:f>
        <x:v>154633.638312</x:v>
      </x:c>
      <x:c r="G1199" s="12" t="n">
        <x:f>MAX(G1198,F1199)</x:f>
        <x:v>156500.126716</x:v>
      </x:c>
      <x:c r="H1199" s="14" t="n">
        <x:f>F1199/G1199-1</x:f>
        <x:v>-0.011926433819361093</x:v>
      </x:c>
      <x:c r="I1199" s="14" t="n">
        <x:f>F1199/F1198-1</x:f>
        <x:v>0.004306537608679495</x:v>
      </x:c>
      <x:c r="J1199" s="12" t="n">
        <x:v>0</x:v>
      </x:c>
      <x:c r="K1199" s="12" t="n">
        <x:v>0</x:v>
      </x:c>
      <x:c r="L1199" s="12" t="n">
        <x:v>0</x:v>
      </x:c>
      <x:c r="M1199" s="2" t="str">
        <x:v>持有</x:v>
      </x:c>
    </x:row>
    <x:row r="1200" ht="23" customHeight="1">
      <x:c r="A1200" s="11" t="d">
        <x:v>2019-10-01T00:00:00.000Z</x:v>
      </x:c>
      <x:c r="B1200" s="12" t="n">
        <x:v>10327.286716</x:v>
      </x:c>
      <x:c r="C1200" s="13" t="n">
        <x:v>484</x:v>
      </x:c>
      <x:c r="D1200" s="12" t="n">
        <x:v>141928.16</x:v>
      </x:c>
      <x:c r="E1200" s="12" t="n">
        <x:v>669.671596</x:v>
      </x:c>
      <x:c r="F1200" s="12" t="n">
        <x:f>SUM(B1200,D1200:E1200)</x:f>
        <x:v>152925.118312</x:v>
      </x:c>
      <x:c r="G1200" s="12" t="n">
        <x:f>MAX(G1199,F1200)</x:f>
        <x:v>156500.126716</x:v>
      </x:c>
      <x:c r="H1200" s="14" t="n">
        <x:f>F1200/G1200-1</x:f>
        <x:v>-0.022843485682842557</x:v>
      </x:c>
      <x:c r="I1200" s="14" t="n">
        <x:f>F1200/F1199-1</x:f>
        <x:v>-0.011048824942945235</x:v>
      </x:c>
      <x:c r="J1200" s="12" t="n">
        <x:v>0</x:v>
      </x:c>
      <x:c r="K1200" s="12" t="n">
        <x:v>0</x:v>
      </x:c>
      <x:c r="L1200" s="12" t="n">
        <x:v>0</x:v>
      </x:c>
      <x:c r="M1200" s="2" t="str">
        <x:v>持有</x:v>
      </x:c>
    </x:row>
    <x:row r="1201" ht="23" customHeight="1">
      <x:c r="A1201" s="11" t="d">
        <x:v>2019-10-02T00:00:00.000Z</x:v>
      </x:c>
      <x:c r="B1201" s="12" t="n">
        <x:v>10327.286716</x:v>
      </x:c>
      <x:c r="C1201" s="13" t="n">
        <x:v>484</x:v>
      </x:c>
      <x:c r="D1201" s="12" t="n">
        <x:v>139421.04</x:v>
      </x:c>
      <x:c r="E1201" s="12" t="n">
        <x:v>669.671596</x:v>
      </x:c>
      <x:c r="F1201" s="12" t="n">
        <x:f>SUM(B1201,D1201:E1201)</x:f>
        <x:v>150417.998312</x:v>
      </x:c>
      <x:c r="G1201" s="12" t="n">
        <x:f>MAX(G1200,F1201)</x:f>
        <x:v>156500.126716</x:v>
      </x:c>
      <x:c r="H1201" s="14" t="n">
        <x:f>F1201/G1201-1</x:f>
        <x:v>-0.038863408813957</x:v>
      </x:c>
      <x:c r="I1201" s="14" t="n">
        <x:f>F1201/F1200-1</x:f>
        <x:v>-0.01639442903607846</x:v>
      </x:c>
      <x:c r="J1201" s="12" t="n">
        <x:v>0</x:v>
      </x:c>
      <x:c r="K1201" s="12" t="n">
        <x:v>0</x:v>
      </x:c>
      <x:c r="L1201" s="12" t="n">
        <x:v>0</x:v>
      </x:c>
      <x:c r="M1201" s="2" t="str">
        <x:v>持有</x:v>
      </x:c>
    </x:row>
    <x:row r="1202" ht="23" customHeight="1">
      <x:c r="A1202" s="11" t="d">
        <x:v>2019-10-03T00:00:00.000Z</x:v>
      </x:c>
      <x:c r="B1202" s="12" t="n">
        <x:v>10327.286716</x:v>
      </x:c>
      <x:c r="C1202" s="13" t="n">
        <x:v>484</x:v>
      </x:c>
      <x:c r="D1202" s="12" t="n">
        <x:v>140563.28</x:v>
      </x:c>
      <x:c r="E1202" s="12" t="n">
        <x:v>669.671596</x:v>
      </x:c>
      <x:c r="F1202" s="12" t="n">
        <x:f>SUM(B1202,D1202:E1202)</x:f>
        <x:v>151560.238312</x:v>
      </x:c>
      <x:c r="G1202" s="12" t="n">
        <x:f>MAX(G1201,F1202)</x:f>
        <x:v>156500.126716</x:v>
      </x:c>
      <x:c r="H1202" s="14" t="n">
        <x:f>F1202/G1202-1</x:f>
        <x:v>-0.031564756576615394</x:v>
      </x:c>
      <x:c r="I1202" s="14" t="n">
        <x:f>F1202/F1201-1</x:f>
        <x:v>0.007593772107183261</x:v>
      </x:c>
      <x:c r="J1202" s="12" t="n">
        <x:v>0</x:v>
      </x:c>
      <x:c r="K1202" s="12" t="n">
        <x:v>0</x:v>
      </x:c>
      <x:c r="L1202" s="12" t="n">
        <x:v>0</x:v>
      </x:c>
      <x:c r="M1202" s="2" t="str">
        <x:v>持有</x:v>
      </x:c>
    </x:row>
    <x:row r="1203" ht="23" customHeight="1">
      <x:c r="A1203" s="11" t="d">
        <x:v>2019-10-04T00:00:00.000Z</x:v>
      </x:c>
      <x:c r="B1203" s="12" t="n">
        <x:v>10327.286716</x:v>
      </x:c>
      <x:c r="C1203" s="13" t="n">
        <x:v>484</x:v>
      </x:c>
      <x:c r="D1203" s="12" t="n">
        <x:v>142465.40000000002</x:v>
      </x:c>
      <x:c r="E1203" s="12" t="n">
        <x:v>669.671596</x:v>
      </x:c>
      <x:c r="F1203" s="12" t="n">
        <x:f>SUM(B1203,D1203:E1203)</x:f>
        <x:v>153462.35831200003</x:v>
      </x:c>
      <x:c r="G1203" s="12" t="n">
        <x:f>MAX(G1202,F1203)</x:f>
        <x:v>156500.126716</x:v>
      </x:c>
      <x:c r="H1203" s="14" t="n">
        <x:f>F1203/G1203-1</x:f>
        <x:v>-0.019410645011889383</x:v>
      </x:c>
      <x:c r="I1203" s="14" t="n">
        <x:f>F1203/F1202-1</x:f>
        <x:v>0.012550257384026597</x:v>
      </x:c>
      <x:c r="J1203" s="12" t="n">
        <x:v>0</x:v>
      </x:c>
      <x:c r="K1203" s="12" t="n">
        <x:v>0</x:v>
      </x:c>
      <x:c r="L1203" s="12" t="n">
        <x:v>0</x:v>
      </x:c>
      <x:c r="M1203" s="2" t="str">
        <x:v>持有</x:v>
      </x:c>
    </x:row>
    <x:row r="1204" ht="23" customHeight="1">
      <x:c r="A1204" s="11" t="d">
        <x:v>2019-10-07T00:00:00.000Z</x:v>
      </x:c>
      <x:c r="B1204" s="12" t="n">
        <x:v>10327.286716</x:v>
      </x:c>
      <x:c r="C1204" s="13" t="n">
        <x:v>484</x:v>
      </x:c>
      <x:c r="D1204" s="12" t="n">
        <x:v>141850.72</x:v>
      </x:c>
      <x:c r="E1204" s="12" t="n">
        <x:v>669.671596</x:v>
      </x:c>
      <x:c r="F1204" s="12" t="n">
        <x:f>SUM(B1204,D1204:E1204)</x:f>
        <x:v>152847.678312</x:v>
      </x:c>
      <x:c r="G1204" s="12" t="n">
        <x:f>MAX(G1203,F1204)</x:f>
        <x:v>156500.126716</x:v>
      </x:c>
      <x:c r="H1204" s="14" t="n">
        <x:f>F1204/G1204-1</x:f>
        <x:v>-0.023338309563340376</x:v>
      </x:c>
      <x:c r="I1204" s="14" t="n">
        <x:f>F1204/F1203-1</x:f>
        <x:v>-0.004005412185510204</x:v>
      </x:c>
      <x:c r="J1204" s="12" t="n">
        <x:v>0</x:v>
      </x:c>
      <x:c r="K1204" s="12" t="n">
        <x:v>0</x:v>
      </x:c>
      <x:c r="L1204" s="12" t="n">
        <x:v>0</x:v>
      </x:c>
      <x:c r="M1204" s="2" t="str">
        <x:v>持有</x:v>
      </x:c>
    </x:row>
    <x:row r="1205" ht="23" customHeight="1">
      <x:c r="A1205" s="11" t="d">
        <x:v>2019-10-08T00:00:00.000Z</x:v>
      </x:c>
      <x:c r="B1205" s="12" t="n">
        <x:v>10327.286716</x:v>
      </x:c>
      <x:c r="C1205" s="13" t="n">
        <x:v>484</x:v>
      </x:c>
      <x:c r="D1205" s="12" t="n">
        <x:v>139648.52</x:v>
      </x:c>
      <x:c r="E1205" s="12" t="n">
        <x:v>669.671596</x:v>
      </x:c>
      <x:c r="F1205" s="12" t="n">
        <x:f>SUM(B1205,D1205:E1205)</x:f>
        <x:v>150645.478312</x:v>
      </x:c>
      <x:c r="G1205" s="12" t="n">
        <x:f>MAX(G1204,F1205)</x:f>
        <x:v>156500.126716</x:v>
      </x:c>
      <x:c r="H1205" s="14" t="n">
        <x:f>F1205/G1205-1</x:f>
        <x:v>-0.03740986366499499</x:v>
      </x:c>
      <x:c r="I1205" s="14" t="n">
        <x:f>F1205/F1204-1</x:f>
        <x:v>-0.014407807984526788</x:v>
      </x:c>
      <x:c r="J1205" s="12" t="n">
        <x:v>0</x:v>
      </x:c>
      <x:c r="K1205" s="12" t="n">
        <x:v>0</x:v>
      </x:c>
      <x:c r="L1205" s="12" t="n">
        <x:v>0</x:v>
      </x:c>
      <x:c r="M1205" s="2" t="str">
        <x:v>持有</x:v>
      </x:c>
    </x:row>
    <x:row r="1206" ht="23" customHeight="1">
      <x:c r="A1206" s="11" t="d">
        <x:v>2019-10-09T00:00:00.000Z</x:v>
      </x:c>
      <x:c r="B1206" s="12" t="n">
        <x:v>10327.286716</x:v>
      </x:c>
      <x:c r="C1206" s="13" t="n">
        <x:v>484</x:v>
      </x:c>
      <x:c r="D1206" s="12" t="n">
        <x:v>140974.68</x:v>
      </x:c>
      <x:c r="E1206" s="12" t="n">
        <x:v>669.671596</x:v>
      </x:c>
      <x:c r="F1206" s="12" t="n">
        <x:f>SUM(B1206,D1206:E1206)</x:f>
        <x:v>151971.638312</x:v>
      </x:c>
      <x:c r="G1206" s="12" t="n">
        <x:f>MAX(G1205,F1206)</x:f>
        <x:v>156500.126716</x:v>
      </x:c>
      <x:c r="H1206" s="14" t="n">
        <x:f>F1206/G1206-1</x:f>
        <x:v>-0.028936004711471175</x:v>
      </x:c>
      <x:c r="I1206" s="14" t="n">
        <x:f>F1206/F1205-1</x:f>
        <x:v>0.008803184900468164</x:v>
      </x:c>
      <x:c r="J1206" s="12" t="n">
        <x:v>0</x:v>
      </x:c>
      <x:c r="K1206" s="12" t="n">
        <x:v>0</x:v>
      </x:c>
      <x:c r="L1206" s="12" t="n">
        <x:v>0</x:v>
      </x:c>
      <x:c r="M1206" s="2" t="str">
        <x:v>持有</x:v>
      </x:c>
    </x:row>
    <x:row r="1207" ht="23" customHeight="1">
      <x:c r="A1207" s="11" t="d">
        <x:v>2019-10-10T00:00:00.000Z</x:v>
      </x:c>
      <x:c r="B1207" s="12" t="n">
        <x:v>10327.286716</x:v>
      </x:c>
      <x:c r="C1207" s="13" t="n">
        <x:v>484</x:v>
      </x:c>
      <x:c r="D1207" s="12" t="n">
        <x:v>141928.16</x:v>
      </x:c>
      <x:c r="E1207" s="12" t="n">
        <x:v>669.671596</x:v>
      </x:c>
      <x:c r="F1207" s="12" t="n">
        <x:f>SUM(B1207,D1207:E1207)</x:f>
        <x:v>152925.118312</x:v>
      </x:c>
      <x:c r="G1207" s="12" t="n">
        <x:f>MAX(G1206,F1207)</x:f>
        <x:v>156500.126716</x:v>
      </x:c>
      <x:c r="H1207" s="14" t="n">
        <x:f>F1207/G1207-1</x:f>
        <x:v>-0.022843485682842557</x:v>
      </x:c>
      <x:c r="I1207" s="14" t="n">
        <x:f>F1207/F1206-1</x:f>
        <x:v>0.006274065415038166</x:v>
      </x:c>
      <x:c r="J1207" s="12" t="n">
        <x:v>0</x:v>
      </x:c>
      <x:c r="K1207" s="12" t="n">
        <x:v>0</x:v>
      </x:c>
      <x:c r="L1207" s="12" t="n">
        <x:v>0</x:v>
      </x:c>
      <x:c r="M1207" s="2" t="str">
        <x:v>持有</x:v>
      </x:c>
    </x:row>
    <x:row r="1208" ht="23" customHeight="1">
      <x:c r="A1208" s="11" t="d">
        <x:v>2019-10-11T00:00:00.000Z</x:v>
      </x:c>
      <x:c r="B1208" s="12" t="n">
        <x:v>10327.286716</x:v>
      </x:c>
      <x:c r="C1208" s="13" t="n">
        <x:v>484</x:v>
      </x:c>
      <x:c r="D1208" s="12" t="n">
        <x:v>143399.52</x:v>
      </x:c>
      <x:c r="E1208" s="12" t="n">
        <x:v>669.671596</x:v>
      </x:c>
      <x:c r="F1208" s="12" t="n">
        <x:f>SUM(B1208,D1208:E1208)</x:f>
        <x:v>154396.478312</x:v>
      </x:c>
      <x:c r="G1208" s="12" t="n">
        <x:f>MAX(G1207,F1208)</x:f>
        <x:v>156500.126716</x:v>
      </x:c>
      <x:c r="H1208" s="14" t="n">
        <x:f>F1208/G1208-1</x:f>
        <x:v>-0.013441831953385441</x:v>
      </x:c>
      <x:c r="I1208" s="14" t="n">
        <x:f>F1208/F1207-1</x:f>
        <x:v>0.009621440978702323</x:v>
      </x:c>
      <x:c r="J1208" s="12" t="n">
        <x:v>0</x:v>
      </x:c>
      <x:c r="K1208" s="12" t="n">
        <x:v>0</x:v>
      </x:c>
      <x:c r="L1208" s="12" t="n">
        <x:v>0</x:v>
      </x:c>
      <x:c r="M1208" s="2" t="str">
        <x:v>持有</x:v>
      </x:c>
    </x:row>
    <x:row r="1209" ht="23" customHeight="1">
      <x:c r="A1209" s="11" t="d">
        <x:v>2019-10-14T00:00:00.000Z</x:v>
      </x:c>
      <x:c r="B1209" s="12" t="n">
        <x:v>10327.286716</x:v>
      </x:c>
      <x:c r="C1209" s="13" t="n">
        <x:v>484</x:v>
      </x:c>
      <x:c r="D1209" s="12" t="n">
        <x:v>143239.8</x:v>
      </x:c>
      <x:c r="E1209" s="12" t="n">
        <x:v>669.671596</x:v>
      </x:c>
      <x:c r="F1209" s="12" t="n">
        <x:f>SUM(B1209,D1209:E1209)</x:f>
        <x:v>154236.758312</x:v>
      </x:c>
      <x:c r="G1209" s="12" t="n">
        <x:f>MAX(G1208,F1209)</x:f>
        <x:v>156500.126716</x:v>
      </x:c>
      <x:c r="H1209" s="14" t="n">
        <x:f>F1209/G1209-1</x:f>
        <x:v>-0.014462406206912082</x:v>
      </x:c>
      <x:c r="I1209" s="14" t="n">
        <x:f>F1209/F1208-1</x:f>
        <x:v>-0.0010344795538486107</x:v>
      </x:c>
      <x:c r="J1209" s="12" t="n">
        <x:v>0</x:v>
      </x:c>
      <x:c r="K1209" s="12" t="n">
        <x:v>0</x:v>
      </x:c>
      <x:c r="L1209" s="12" t="n">
        <x:v>0</x:v>
      </x:c>
      <x:c r="M1209" s="2" t="str">
        <x:v>持有</x:v>
      </x:c>
    </x:row>
    <x:row r="1210" ht="23" customHeight="1">
      <x:c r="A1210" s="11" t="d">
        <x:v>2019-10-15T00:00:00.000Z</x:v>
      </x:c>
      <x:c r="B1210" s="12" t="n">
        <x:v>10327.286716</x:v>
      </x:c>
      <x:c r="C1210" s="13" t="n">
        <x:v>484</x:v>
      </x:c>
      <x:c r="D1210" s="12" t="n">
        <x:v>144657.91999999998</x:v>
      </x:c>
      <x:c r="E1210" s="12" t="n">
        <x:v>669.671596</x:v>
      </x:c>
      <x:c r="F1210" s="12" t="n">
        <x:f>SUM(B1210,D1210:E1210)</x:f>
        <x:v>155654.878312</x:v>
      </x:c>
      <x:c r="G1210" s="12" t="n">
        <x:f>MAX(G1209,F1210)</x:f>
        <x:v>156500.126716</x:v>
      </x:c>
      <x:c r="H1210" s="14" t="n">
        <x:f>F1210/G1210-1</x:f>
        <x:v>-0.005400943895297217</x:v>
      </x:c>
      <x:c r="I1210" s="14" t="n">
        <x:f>F1210/F1209-1</x:f>
        <x:v>0.009194435979595239</x:v>
      </x:c>
      <x:c r="J1210" s="12" t="n">
        <x:v>0</x:v>
      </x:c>
      <x:c r="K1210" s="12" t="n">
        <x:v>0</x:v>
      </x:c>
      <x:c r="L1210" s="12" t="n">
        <x:v>0</x:v>
      </x:c>
      <x:c r="M1210" s="2" t="str">
        <x:v>持有</x:v>
      </x:c>
    </x:row>
    <x:row r="1211" ht="23" customHeight="1">
      <x:c r="A1211" s="11" t="d">
        <x:v>2019-10-16T00:00:00.000Z</x:v>
      </x:c>
      <x:c r="B1211" s="12" t="n">
        <x:v>10327.286716</x:v>
      </x:c>
      <x:c r="C1211" s="13" t="n">
        <x:v>484</x:v>
      </x:c>
      <x:c r="D1211" s="12" t="n">
        <x:v>144425.59999999998</x:v>
      </x:c>
      <x:c r="E1211" s="12" t="n">
        <x:v>669.671596</x:v>
      </x:c>
      <x:c r="F1211" s="12" t="n">
        <x:f>SUM(B1211,D1211:E1211)</x:f>
        <x:v>155422.55831199998</x:v>
      </x:c>
      <x:c r="G1211" s="12" t="n">
        <x:f>MAX(G1210,F1211)</x:f>
        <x:v>156500.126716</x:v>
      </x:c>
      <x:c r="H1211" s="14" t="n">
        <x:f>F1211/G1211-1</x:f>
        <x:v>-0.006885415536790451</x:v>
      </x:c>
      <x:c r="I1211" s="14" t="n">
        <x:f>F1211/F1210-1</x:f>
        <x:v>-0.0014925327270137734</x:v>
      </x:c>
      <x:c r="J1211" s="12" t="n">
        <x:v>0</x:v>
      </x:c>
      <x:c r="K1211" s="12" t="n">
        <x:v>0</x:v>
      </x:c>
      <x:c r="L1211" s="12" t="n">
        <x:v>0</x:v>
      </x:c>
      <x:c r="M1211" s="2" t="str">
        <x:v>持有</x:v>
      </x:c>
    </x:row>
    <x:row r="1212" ht="23" customHeight="1">
      <x:c r="A1212" s="11" t="d">
        <x:v>2019-10-17T00:00:00.000Z</x:v>
      </x:c>
      <x:c r="B1212" s="12" t="n">
        <x:v>10327.286716</x:v>
      </x:c>
      <x:c r="C1212" s="13" t="n">
        <x:v>484</x:v>
      </x:c>
      <x:c r="D1212" s="12" t="n">
        <x:v>144851.52</x:v>
      </x:c>
      <x:c r="E1212" s="12" t="n">
        <x:v>669.671596</x:v>
      </x:c>
      <x:c r="F1212" s="12" t="n">
        <x:f>SUM(B1212,D1212:E1212)</x:f>
        <x:v>155848.478312</x:v>
      </x:c>
      <x:c r="G1212" s="12" t="n">
        <x:f>MAX(G1211,F1212)</x:f>
        <x:v>156500.126716</x:v>
      </x:c>
      <x:c r="H1212" s="14" t="n">
        <x:f>F1212/G1212-1</x:f>
        <x:v>-0.00416388419405278</x:v>
      </x:c>
      <x:c r="I1212" s="14" t="n">
        <x:f>F1212/F1211-1</x:f>
        <x:v>0.0027404001364139674</x:v>
      </x:c>
      <x:c r="J1212" s="12" t="n">
        <x:v>0</x:v>
      </x:c>
      <x:c r="K1212" s="12" t="n">
        <x:v>0</x:v>
      </x:c>
      <x:c r="L1212" s="12" t="n">
        <x:v>0</x:v>
      </x:c>
      <x:c r="M1212" s="2" t="str">
        <x:v>持有</x:v>
      </x:c>
    </x:row>
    <x:row r="1213" ht="23" customHeight="1">
      <x:c r="A1213" s="11" t="d">
        <x:v>2019-10-18T00:00:00.000Z</x:v>
      </x:c>
      <x:c r="B1213" s="12" t="n">
        <x:v>10327.286716</x:v>
      </x:c>
      <x:c r="C1213" s="13" t="n">
        <x:v>484</x:v>
      </x:c>
      <x:c r="D1213" s="12" t="n">
        <x:v>144217.48</x:v>
      </x:c>
      <x:c r="E1213" s="12" t="n">
        <x:v>669.671596</x:v>
      </x:c>
      <x:c r="F1213" s="12" t="n">
        <x:f>SUM(B1213,D1213:E1213)</x:f>
        <x:v>155214.438312</x:v>
      </x:c>
      <x:c r="G1213" s="12" t="n">
        <x:f>MAX(G1212,F1213)</x:f>
        <x:v>156500.126716</x:v>
      </x:c>
      <x:c r="H1213" s="14" t="n">
        <x:f>F1213/G1213-1</x:f>
        <x:v>-0.008215254715627895</x:v>
      </x:c>
      <x:c r="I1213" s="14" t="n">
        <x:f>F1213/F1212-1</x:f>
        <x:v>-0.004068310495343175</x:v>
      </x:c>
      <x:c r="J1213" s="12" t="n">
        <x:v>0</x:v>
      </x:c>
      <x:c r="K1213" s="12" t="n">
        <x:v>0</x:v>
      </x:c>
      <x:c r="L1213" s="12" t="n">
        <x:v>0</x:v>
      </x:c>
      <x:c r="M1213" s="2" t="str">
        <x:v>持有</x:v>
      </x:c>
    </x:row>
    <x:row r="1214" ht="23" customHeight="1">
      <x:c r="A1214" s="11" t="d">
        <x:v>2019-10-21T00:00:00.000Z</x:v>
      </x:c>
      <x:c r="B1214" s="12" t="n">
        <x:v>10327.286716</x:v>
      </x:c>
      <x:c r="C1214" s="13" t="n">
        <x:v>484</x:v>
      </x:c>
      <x:c r="D1214" s="12" t="n">
        <x:v>145195.16</x:v>
      </x:c>
      <x:c r="E1214" s="12" t="n">
        <x:v>669.671596</x:v>
      </x:c>
      <x:c r="F1214" s="12" t="n">
        <x:f>SUM(B1214,D1214:E1214)</x:f>
        <x:v>156192.118312</x:v>
      </x:c>
      <x:c r="G1214" s="12" t="n">
        <x:f>MAX(G1213,F1214)</x:f>
        <x:v>156500.126716</x:v>
      </x:c>
      <x:c r="H1214" s="14" t="n">
        <x:f>F1214/G1214-1</x:f>
        <x:v>-0.001968103224343931</x:v>
      </x:c>
      <x:c r="I1214" s="14" t="n">
        <x:f>F1214/F1213-1</x:f>
        <x:v>0.006298898547277831</x:v>
      </x:c>
      <x:c r="J1214" s="12" t="n">
        <x:v>0</x:v>
      </x:c>
      <x:c r="K1214" s="12" t="n">
        <x:v>0</x:v>
      </x:c>
      <x:c r="L1214" s="12" t="n">
        <x:v>0</x:v>
      </x:c>
      <x:c r="M1214" s="2" t="str">
        <x:v>持有</x:v>
      </x:c>
    </x:row>
    <x:row r="1215" ht="23" customHeight="1">
      <x:c r="A1215" s="11" t="d">
        <x:v>2019-10-22T00:00:00.000Z</x:v>
      </x:c>
      <x:c r="B1215" s="12" t="n">
        <x:v>10327.286716</x:v>
      </x:c>
      <x:c r="C1215" s="13" t="n">
        <x:v>484</x:v>
      </x:c>
      <x:c r="D1215" s="12" t="n">
        <x:v>144720.84</x:v>
      </x:c>
      <x:c r="E1215" s="12" t="n">
        <x:v>669.671596</x:v>
      </x:c>
      <x:c r="F1215" s="12" t="n">
        <x:f>SUM(B1215,D1215:E1215)</x:f>
        <x:v>155717.798312</x:v>
      </x:c>
      <x:c r="G1215" s="12" t="n">
        <x:f>MAX(G1214,F1215)</x:f>
        <x:v>156500.126716</x:v>
      </x:c>
      <x:c r="H1215" s="14" t="n">
        <x:f>F1215/G1215-1</x:f>
        <x:v>-0.004998899492392628</x:v>
      </x:c>
      <x:c r="I1215" s="14" t="n">
        <x:f>F1215/F1214-1</x:f>
        <x:v>-0.0030367729506846075</x:v>
      </x:c>
      <x:c r="J1215" s="12" t="n">
        <x:v>0</x:v>
      </x:c>
      <x:c r="K1215" s="12" t="n">
        <x:v>0</x:v>
      </x:c>
      <x:c r="L1215" s="12" t="n">
        <x:v>0</x:v>
      </x:c>
      <x:c r="M1215" s="2" t="str">
        <x:v>持有</x:v>
      </x:c>
    </x:row>
    <x:row r="1216" ht="23" customHeight="1">
      <x:c r="A1216" s="11" t="d">
        <x:v>2019-10-23T00:00:00.000Z</x:v>
      </x:c>
      <x:c r="B1216" s="12" t="n">
        <x:v>10327.286716</x:v>
      </x:c>
      <x:c r="C1216" s="13" t="n">
        <x:v>484</x:v>
      </x:c>
      <x:c r="D1216" s="12" t="n">
        <x:v>145141.91999999998</x:v>
      </x:c>
      <x:c r="E1216" s="12" t="n">
        <x:v>669.671596</x:v>
      </x:c>
      <x:c r="F1216" s="12" t="n">
        <x:f>SUM(B1216,D1216:E1216)</x:f>
        <x:v>156138.878312</x:v>
      </x:c>
      <x:c r="G1216" s="12" t="n">
        <x:f>MAX(G1215,F1216)</x:f>
        <x:v>156500.126716</x:v>
      </x:c>
      <x:c r="H1216" s="14" t="n">
        <x:f>F1216/G1216-1</x:f>
        <x:v>-0.0023082946421862927</x:v>
      </x:c>
      <x:c r="I1216" s="14" t="n">
        <x:f>F1216/F1215-1</x:f>
        <x:v>0.002704122486732796</x:v>
      </x:c>
      <x:c r="J1216" s="12" t="n">
        <x:v>0</x:v>
      </x:c>
      <x:c r="K1216" s="12" t="n">
        <x:v>0</x:v>
      </x:c>
      <x:c r="L1216" s="12" t="n">
        <x:v>0</x:v>
      </x:c>
      <x:c r="M1216" s="2" t="str">
        <x:v>持有</x:v>
      </x:c>
    </x:row>
    <x:row r="1217" ht="23" customHeight="1">
      <x:c r="A1217" s="11" t="d">
        <x:v>2019-10-24T00:00:00.000Z</x:v>
      </x:c>
      <x:c r="B1217" s="12" t="n">
        <x:v>10327.286716</x:v>
      </x:c>
      <x:c r="C1217" s="13" t="n">
        <x:v>484</x:v>
      </x:c>
      <x:c r="D1217" s="12" t="n">
        <x:v>145379.08000000002</x:v>
      </x:c>
      <x:c r="E1217" s="12" t="n">
        <x:v>669.671596</x:v>
      </x:c>
      <x:c r="F1217" s="12" t="n">
        <x:f>SUM(B1217,D1217:E1217)</x:f>
        <x:v>156376.03831200002</x:v>
      </x:c>
      <x:c r="G1217" s="12" t="n">
        <x:f>MAX(G1216,F1217)</x:f>
        <x:v>156500.126716</x:v>
      </x:c>
      <x:c r="H1217" s="14" t="n">
        <x:f>F1217/G1217-1</x:f>
        <x:v>-0.0007928965081617223</x:v>
      </x:c>
      <x:c r="I1217" s="14" t="n">
        <x:f>F1217/F1216-1</x:f>
        <x:v>0.0015189042124801322</x:v>
      </x:c>
      <x:c r="J1217" s="12" t="n">
        <x:v>0</x:v>
      </x:c>
      <x:c r="K1217" s="12" t="n">
        <x:v>0</x:v>
      </x:c>
      <x:c r="L1217" s="12" t="n">
        <x:v>0</x:v>
      </x:c>
      <x:c r="M1217" s="2" t="str">
        <x:v>持有</x:v>
      </x:c>
    </x:row>
    <x:row r="1218" ht="23" customHeight="1">
      <x:c r="A1218" s="11" t="d">
        <x:v>2019-10-25T00:00:00.000Z</x:v>
      </x:c>
      <x:c r="B1218" s="12" t="n">
        <x:v>10327.286716</x:v>
      </x:c>
      <x:c r="C1218" s="13" t="n">
        <x:v>484</x:v>
      </x:c>
      <x:c r="D1218" s="12" t="n">
        <x:v>145974.40000000002</x:v>
      </x:c>
      <x:c r="E1218" s="12" t="n">
        <x:v>669.671596</x:v>
      </x:c>
      <x:c r="F1218" s="12" t="n">
        <x:f>SUM(B1218,D1218:E1218)</x:f>
        <x:v>156971.35831200003</x:v>
      </x:c>
      <x:c r="G1218" s="12" t="n">
        <x:f>MAX(G1217,F1218)</x:f>
        <x:v>156971.35831200003</x:v>
      </x:c>
      <x:c r="H1218" s="14" t="n">
        <x:f>F1218/G1218-1</x:f>
        <x:v>0</x:v>
      </x:c>
      <x:c r="I1218" s="14" t="n">
        <x:f>F1218/F1217-1</x:f>
        <x:v>0.0038069771201916236</x:v>
      </x:c>
      <x:c r="J1218" s="12" t="n">
        <x:v>0</x:v>
      </x:c>
      <x:c r="K1218" s="12" t="n">
        <x:v>0</x:v>
      </x:c>
      <x:c r="L1218" s="12" t="n">
        <x:v>0</x:v>
      </x:c>
      <x:c r="M1218" s="2" t="str">
        <x:v>持有</x:v>
      </x:c>
    </x:row>
    <x:row r="1219" ht="23" customHeight="1">
      <x:c r="A1219" s="11" t="d">
        <x:v>2019-10-28T00:00:00.000Z</x:v>
      </x:c>
      <x:c r="B1219" s="12" t="n">
        <x:v>10327.286716</x:v>
      </x:c>
      <x:c r="C1219" s="13" t="n">
        <x:v>484</x:v>
      </x:c>
      <x:c r="D1219" s="12" t="n">
        <x:v>146797.2</x:v>
      </x:c>
      <x:c r="E1219" s="12" t="n">
        <x:v>669.671596</x:v>
      </x:c>
      <x:c r="F1219" s="12" t="n">
        <x:f>SUM(B1219,D1219:E1219)</x:f>
        <x:v>157794.158312</x:v>
      </x:c>
      <x:c r="G1219" s="12" t="n">
        <x:f>MAX(G1218,F1219)</x:f>
        <x:v>157794.158312</x:v>
      </x:c>
      <x:c r="H1219" s="14" t="n">
        <x:f>F1219/G1219-1</x:f>
        <x:v>0</x:v>
      </x:c>
      <x:c r="I1219" s="14" t="n">
        <x:f>F1219/F1218-1</x:f>
        <x:v>0.005241720584239218</x:v>
      </x:c>
      <x:c r="J1219" s="12" t="n">
        <x:v>0</x:v>
      </x:c>
      <x:c r="K1219" s="12" t="n">
        <x:v>0</x:v>
      </x:c>
      <x:c r="L1219" s="12" t="n">
        <x:v>0</x:v>
      </x:c>
      <x:c r="M1219" s="2" t="str">
        <x:v>持有</x:v>
      </x:c>
    </x:row>
    <x:row r="1220" ht="23" customHeight="1">
      <x:c r="A1220" s="11" t="d">
        <x:v>2019-10-29T00:00:00.000Z</x:v>
      </x:c>
      <x:c r="B1220" s="12" t="n">
        <x:v>10327.286716</x:v>
      </x:c>
      <x:c r="C1220" s="13" t="n">
        <x:v>484</x:v>
      </x:c>
      <x:c r="D1220" s="12" t="n">
        <x:v>146753.63999999998</x:v>
      </x:c>
      <x:c r="E1220" s="12" t="n">
        <x:v>669.671596</x:v>
      </x:c>
      <x:c r="F1220" s="12" t="n">
        <x:f>SUM(B1220,D1220:E1220)</x:f>
        <x:v>157750.598312</x:v>
      </x:c>
      <x:c r="G1220" s="12" t="n">
        <x:f>MAX(G1219,F1220)</x:f>
        <x:v>157794.158312</x:v>
      </x:c>
      <x:c r="H1220" s="14" t="n">
        <x:f>F1220/G1220-1</x:f>
        <x:v>-0.0002760558468450913</x:v>
      </x:c>
      <x:c r="I1220" s="14" t="n">
        <x:f>F1220/F1219-1</x:f>
        <x:v>-0.0002760558468450913</x:v>
      </x:c>
      <x:c r="J1220" s="12" t="n">
        <x:v>0</x:v>
      </x:c>
      <x:c r="K1220" s="12" t="n">
        <x:v>0</x:v>
      </x:c>
      <x:c r="L1220" s="12" t="n">
        <x:v>0</x:v>
      </x:c>
      <x:c r="M1220" s="2" t="str">
        <x:v>持有</x:v>
      </x:c>
    </x:row>
    <x:row r="1221" ht="23" customHeight="1">
      <x:c r="A1221" s="11" t="d">
        <x:v>2019-10-30T00:00:00.000Z</x:v>
      </x:c>
      <x:c r="B1221" s="12" t="n">
        <x:v>10327.286716</x:v>
      </x:c>
      <x:c r="C1221" s="13" t="n">
        <x:v>484</x:v>
      </x:c>
      <x:c r="D1221" s="12" t="n">
        <x:v>147203.75999999998</x:v>
      </x:c>
      <x:c r="E1221" s="12" t="n">
        <x:v>669.671596</x:v>
      </x:c>
      <x:c r="F1221" s="12" t="n">
        <x:f>SUM(B1221,D1221:E1221)</x:f>
        <x:v>158200.71831199998</x:v>
      </x:c>
      <x:c r="G1221" s="12" t="n">
        <x:f>MAX(G1220,F1221)</x:f>
        <x:v>158200.71831199998</x:v>
      </x:c>
      <x:c r="H1221" s="14" t="n">
        <x:f>F1221/G1221-1</x:f>
        <x:v>0</x:v>
      </x:c>
      <x:c r="I1221" s="14" t="n">
        <x:f>F1221/F1220-1</x:f>
        <x:v>0.002853364772092526</x:v>
      </x:c>
      <x:c r="J1221" s="12" t="n">
        <x:v>0</x:v>
      </x:c>
      <x:c r="K1221" s="12" t="n">
        <x:v>0</x:v>
      </x:c>
      <x:c r="L1221" s="12" t="n">
        <x:v>0</x:v>
      </x:c>
      <x:c r="M1221" s="2" t="str">
        <x:v>持有</x:v>
      </x:c>
    </x:row>
    <x:row r="1222" ht="23" customHeight="1">
      <x:c r="A1222" s="11" t="d">
        <x:v>2019-10-31T00:00:00.000Z</x:v>
      </x:c>
      <x:c r="B1222" s="12" t="n">
        <x:v>10996.958312</x:v>
      </x:c>
      <x:c r="C1222" s="13" t="n">
        <x:v>484</x:v>
      </x:c>
      <x:c r="D1222" s="12" t="n">
        <x:v>146811.72</x:v>
      </x:c>
      <x:c r="E1222" s="12" t="n">
        <x:v>0</x:v>
      </x:c>
      <x:c r="F1222" s="12" t="n">
        <x:f>SUM(B1222,D1222:E1222)</x:f>
        <x:v>157808.678312</x:v>
      </x:c>
      <x:c r="G1222" s="12" t="n">
        <x:f>MAX(G1221,F1222)</x:f>
        <x:v>158200.71831199998</x:v>
      </x:c>
      <x:c r="H1222" s="14" t="n">
        <x:f>F1222/G1222-1</x:f>
        <x:v>-0.0024781176987249687</x:v>
      </x:c>
      <x:c r="I1222" s="14" t="n">
        <x:f>F1222/F1221-1</x:f>
        <x:v>-0.0024781176987249687</x:v>
      </x:c>
      <x:c r="J1222" s="12" t="n">
        <x:v>0</x:v>
      </x:c>
      <x:c r="K1222" s="12" t="n">
        <x:v>669.671596</x:v>
      </x:c>
      <x:c r="L1222" s="12" t="n">
        <x:v>0</x:v>
      </x:c>
      <x:c r="M1222" s="2" t="str">
        <x:v>持有</x:v>
      </x:c>
    </x:row>
    <x:row r="1223" ht="23" customHeight="1">
      <x:c r="A1223" s="11" t="d">
        <x:v>2019-11-01T00:00:00.000Z</x:v>
      </x:c>
      <x:c r="B1223" s="12" t="n">
        <x:v>10996.958312</x:v>
      </x:c>
      <x:c r="C1223" s="13" t="n">
        <x:v>484</x:v>
      </x:c>
      <x:c r="D1223" s="12" t="n">
        <x:v>148171.75999999998</x:v>
      </x:c>
      <x:c r="E1223" s="12" t="n">
        <x:v>0</x:v>
      </x:c>
      <x:c r="F1223" s="12" t="n">
        <x:f>SUM(B1223,D1223:E1223)</x:f>
        <x:v>159168.71831199998</x:v>
      </x:c>
      <x:c r="G1223" s="12" t="n">
        <x:f>MAX(G1222,F1223)</x:f>
        <x:v>159168.71831199998</x:v>
      </x:c>
      <x:c r="H1223" s="14" t="n">
        <x:f>F1223/G1223-1</x:f>
        <x:v>0</x:v>
      </x:c>
      <x:c r="I1223" s="14" t="n">
        <x:f>F1223/F1222-1</x:f>
        <x:v>0.00861828395337727</x:v>
      </x:c>
      <x:c r="J1223" s="12" t="n">
        <x:v>0</x:v>
      </x:c>
      <x:c r="K1223" s="12" t="n">
        <x:v>0</x:v>
      </x:c>
      <x:c r="L1223" s="12" t="n">
        <x:v>0</x:v>
      </x:c>
      <x:c r="M1223" s="2" t="str">
        <x:v>持有</x:v>
      </x:c>
    </x:row>
    <x:row r="1224" ht="23" customHeight="1">
      <x:c r="A1224" s="11" t="d">
        <x:v>2019-11-04T00:00:00.000Z</x:v>
      </x:c>
      <x:c r="B1224" s="12" t="n">
        <x:v>10996.958312</x:v>
      </x:c>
      <x:c r="C1224" s="13" t="n">
        <x:v>484</x:v>
      </x:c>
      <x:c r="D1224" s="12" t="n">
        <x:v>148767.08000000002</x:v>
      </x:c>
      <x:c r="E1224" s="12" t="n">
        <x:v>0</x:v>
      </x:c>
      <x:c r="F1224" s="12" t="n">
        <x:f>SUM(B1224,D1224:E1224)</x:f>
        <x:v>159764.03831200002</x:v>
      </x:c>
      <x:c r="G1224" s="12" t="n">
        <x:f>MAX(G1223,F1224)</x:f>
        <x:v>159764.03831200002</x:v>
      </x:c>
      <x:c r="H1224" s="14" t="n">
        <x:f>F1224/G1224-1</x:f>
        <x:v>0</x:v>
      </x:c>
      <x:c r="I1224" s="14" t="n">
        <x:f>F1224/F1223-1</x:f>
        <x:v>0.003740182155849814</x:v>
      </x:c>
      <x:c r="J1224" s="12" t="n">
        <x:v>0</x:v>
      </x:c>
      <x:c r="K1224" s="12" t="n">
        <x:v>0</x:v>
      </x:c>
      <x:c r="L1224" s="12" t="n">
        <x:v>0</x:v>
      </x:c>
      <x:c r="M1224" s="2" t="str">
        <x:v>持有</x:v>
      </x:c>
    </x:row>
    <x:row r="1225" ht="23" customHeight="1">
      <x:c r="A1225" s="11" t="d">
        <x:v>2019-11-05T00:00:00.000Z</x:v>
      </x:c>
      <x:c r="B1225" s="12" t="n">
        <x:v>10996.958312</x:v>
      </x:c>
      <x:c r="C1225" s="13" t="n">
        <x:v>484</x:v>
      </x:c>
      <x:c r="D1225" s="12" t="n">
        <x:v>148602.52</x:v>
      </x:c>
      <x:c r="E1225" s="12" t="n">
        <x:v>0</x:v>
      </x:c>
      <x:c r="F1225" s="12" t="n">
        <x:f>SUM(B1225,D1225:E1225)</x:f>
        <x:v>159599.478312</x:v>
      </x:c>
      <x:c r="G1225" s="12" t="n">
        <x:f>MAX(G1224,F1225)</x:f>
        <x:v>159764.03831200002</x:v>
      </x:c>
      <x:c r="H1225" s="14" t="n">
        <x:f>F1225/G1225-1</x:f>
        <x:v>-0.0010300190314335156</x:v>
      </x:c>
      <x:c r="I1225" s="14" t="n">
        <x:f>F1225/F1224-1</x:f>
        <x:v>-0.0010300190314335156</x:v>
      </x:c>
      <x:c r="J1225" s="12" t="n">
        <x:v>0</x:v>
      </x:c>
      <x:c r="K1225" s="12" t="n">
        <x:v>0</x:v>
      </x:c>
      <x:c r="L1225" s="12" t="n">
        <x:v>0</x:v>
      </x:c>
      <x:c r="M1225" s="2" t="str">
        <x:v>持有</x:v>
      </x:c>
    </x:row>
    <x:row r="1226" ht="23" customHeight="1">
      <x:c r="A1226" s="11" t="d">
        <x:v>2019-11-06T00:00:00.000Z</x:v>
      </x:c>
      <x:c r="B1226" s="12" t="n">
        <x:v>10996.958312</x:v>
      </x:c>
      <x:c r="C1226" s="13" t="n">
        <x:v>484</x:v>
      </x:c>
      <x:c r="D1226" s="12" t="n">
        <x:v>148636.40000000002</x:v>
      </x:c>
      <x:c r="E1226" s="12" t="n">
        <x:v>0</x:v>
      </x:c>
      <x:c r="F1226" s="12" t="n">
        <x:f>SUM(B1226,D1226:E1226)</x:f>
        <x:v>159633.35831200003</x:v>
      </x:c>
      <x:c r="G1226" s="12" t="n">
        <x:f>MAX(G1225,F1226)</x:f>
        <x:v>159764.03831200002</x:v>
      </x:c>
      <x:c r="H1226" s="14" t="n">
        <x:f>F1226/G1226-1</x:f>
        <x:v>-0.0008179562896676318</x:v>
      </x:c>
      <x:c r="I1226" s="14" t="n">
        <x:f>F1226/F1225-1</x:f>
        <x:v>0.00021228139564333226</x:v>
      </x:c>
      <x:c r="J1226" s="12" t="n">
        <x:v>0</x:v>
      </x:c>
      <x:c r="K1226" s="12" t="n">
        <x:v>0</x:v>
      </x:c>
      <x:c r="L1226" s="12" t="n">
        <x:v>0</x:v>
      </x:c>
      <x:c r="M1226" s="2" t="str">
        <x:v>持有</x:v>
      </x:c>
    </x:row>
    <x:row r="1227" ht="23" customHeight="1">
      <x:c r="A1227" s="11" t="d">
        <x:v>2019-11-07T00:00:00.000Z</x:v>
      </x:c>
      <x:c r="B1227" s="12" t="n">
        <x:v>10996.958312</x:v>
      </x:c>
      <x:c r="C1227" s="13" t="n">
        <x:v>484</x:v>
      </x:c>
      <x:c r="D1227" s="12" t="n">
        <x:v>149159.12</x:v>
      </x:c>
      <x:c r="E1227" s="12" t="n">
        <x:v>0</x:v>
      </x:c>
      <x:c r="F1227" s="12" t="n">
        <x:f>SUM(B1227,D1227:E1227)</x:f>
        <x:v>160156.078312</x:v>
      </x:c>
      <x:c r="G1227" s="12" t="n">
        <x:f>MAX(G1226,F1227)</x:f>
        <x:v>160156.078312</x:v>
      </x:c>
      <x:c r="H1227" s="14" t="n">
        <x:f>F1227/G1227-1</x:f>
        <x:v>0</x:v>
      </x:c>
      <x:c r="I1227" s="14" t="n">
        <x:f>F1227/F1226-1</x:f>
        <x:v>0.0032745035594523575</x:v>
      </x:c>
      <x:c r="J1227" s="12" t="n">
        <x:v>0</x:v>
      </x:c>
      <x:c r="K1227" s="12" t="n">
        <x:v>0</x:v>
      </x:c>
      <x:c r="L1227" s="12" t="n">
        <x:v>0</x:v>
      </x:c>
      <x:c r="M1227" s="2" t="str">
        <x:v>持有</x:v>
      </x:c>
    </x:row>
    <x:row r="1228" ht="23" customHeight="1">
      <x:c r="A1228" s="11" t="d">
        <x:v>2019-11-08T00:00:00.000Z</x:v>
      </x:c>
      <x:c r="B1228" s="12" t="n">
        <x:v>10996.958312</x:v>
      </x:c>
      <x:c r="C1228" s="13" t="n">
        <x:v>484</x:v>
      </x:c>
      <x:c r="D1228" s="12" t="n">
        <x:v>149526.96</x:v>
      </x:c>
      <x:c r="E1228" s="12" t="n">
        <x:v>0</x:v>
      </x:c>
      <x:c r="F1228" s="12" t="n">
        <x:f>SUM(B1228,D1228:E1228)</x:f>
        <x:v>160523.918312</x:v>
      </x:c>
      <x:c r="G1228" s="12" t="n">
        <x:f>MAX(G1227,F1228)</x:f>
        <x:v>160523.918312</x:v>
      </x:c>
      <x:c r="H1228" s="14" t="n">
        <x:f>F1228/G1228-1</x:f>
        <x:v>0</x:v>
      </x:c>
      <x:c r="I1228" s="14" t="n">
        <x:f>F1228/F1227-1</x:f>
        <x:v>0.0022967595353040604</x:v>
      </x:c>
      <x:c r="J1228" s="12" t="n">
        <x:v>0</x:v>
      </x:c>
      <x:c r="K1228" s="12" t="n">
        <x:v>0</x:v>
      </x:c>
      <x:c r="L1228" s="12" t="n">
        <x:v>0</x:v>
      </x:c>
      <x:c r="M1228" s="2" t="str">
        <x:v>持有</x:v>
      </x:c>
    </x:row>
    <x:row r="1229" ht="23" customHeight="1">
      <x:c r="A1229" s="11" t="d">
        <x:v>2019-11-11T00:00:00.000Z</x:v>
      </x:c>
      <x:c r="B1229" s="12" t="n">
        <x:v>10996.958312</x:v>
      </x:c>
      <x:c r="C1229" s="13" t="n">
        <x:v>484</x:v>
      </x:c>
      <x:c r="D1229" s="12" t="n">
        <x:v>149241.40000000002</x:v>
      </x:c>
      <x:c r="E1229" s="12" t="n">
        <x:v>0</x:v>
      </x:c>
      <x:c r="F1229" s="12" t="n">
        <x:f>SUM(B1229,D1229:E1229)</x:f>
        <x:v>160238.35831200003</x:v>
      </x:c>
      <x:c r="G1229" s="12" t="n">
        <x:f>MAX(G1228,F1229)</x:f>
        <x:v>160523.918312</x:v>
      </x:c>
      <x:c r="H1229" s="14" t="n">
        <x:f>F1229/G1229-1</x:f>
        <x:v>-0.0017789249290871556</x:v>
      </x:c>
      <x:c r="I1229" s="14" t="n">
        <x:f>F1229/F1228-1</x:f>
        <x:v>-0.0017789249290871556</x:v>
      </x:c>
      <x:c r="J1229" s="12" t="n">
        <x:v>0</x:v>
      </x:c>
      <x:c r="K1229" s="12" t="n">
        <x:v>0</x:v>
      </x:c>
      <x:c r="L1229" s="12" t="n">
        <x:v>0</x:v>
      </x:c>
      <x:c r="M1229" s="2" t="str">
        <x:v>持有</x:v>
      </x:c>
    </x:row>
    <x:row r="1230" ht="23" customHeight="1">
      <x:c r="A1230" s="11" t="d">
        <x:v>2019-11-12T00:00:00.000Z</x:v>
      </x:c>
      <x:c r="B1230" s="12" t="n">
        <x:v>10996.958312</x:v>
      </x:c>
      <x:c r="C1230" s="13" t="n">
        <x:v>484</x:v>
      </x:c>
      <x:c r="D1230" s="12" t="n">
        <x:v>149556</x:v>
      </x:c>
      <x:c r="E1230" s="12" t="n">
        <x:v>0</x:v>
      </x:c>
      <x:c r="F1230" s="12" t="n">
        <x:f>SUM(B1230,D1230:E1230)</x:f>
        <x:v>160552.958312</x:v>
      </x:c>
      <x:c r="G1230" s="12" t="n">
        <x:f>MAX(G1229,F1230)</x:f>
        <x:v>160552.958312</x:v>
      </x:c>
      <x:c r="H1230" s="14" t="n">
        <x:f>F1230/G1230-1</x:f>
        <x:v>0</x:v>
      </x:c>
      <x:c r="I1230" s="14" t="n">
        <x:f>F1230/F1229-1</x:f>
        <x:v>0.001963325157060103</x:v>
      </x:c>
      <x:c r="J1230" s="12" t="n">
        <x:v>0</x:v>
      </x:c>
      <x:c r="K1230" s="12" t="n">
        <x:v>0</x:v>
      </x:c>
      <x:c r="L1230" s="12" t="n">
        <x:v>0</x:v>
      </x:c>
      <x:c r="M1230" s="2" t="str">
        <x:v>持有</x:v>
      </x:c>
    </x:row>
    <x:row r="1231" ht="23" customHeight="1">
      <x:c r="A1231" s="11" t="d">
        <x:v>2019-11-13T00:00:00.000Z</x:v>
      </x:c>
      <x:c r="B1231" s="12" t="n">
        <x:v>10996.958312</x:v>
      </x:c>
      <x:c r="C1231" s="13" t="n">
        <x:v>484</x:v>
      </x:c>
      <x:c r="D1231" s="12" t="n">
        <x:v>149604.40000000002</x:v>
      </x:c>
      <x:c r="E1231" s="12" t="n">
        <x:v>0</x:v>
      </x:c>
      <x:c r="F1231" s="12" t="n">
        <x:f>SUM(B1231,D1231:E1231)</x:f>
        <x:v>160601.35831200003</x:v>
      </x:c>
      <x:c r="G1231" s="12" t="n">
        <x:f>MAX(G1230,F1231)</x:f>
        <x:v>160601.35831200003</x:v>
      </x:c>
      <x:c r="H1231" s="14" t="n">
        <x:f>F1231/G1231-1</x:f>
        <x:v>0</x:v>
      </x:c>
      <x:c r="I1231" s="14" t="n">
        <x:f>F1231/F1230-1</x:f>
        <x:v>0.00030145816376658807</x:v>
      </x:c>
      <x:c r="J1231" s="12" t="n">
        <x:v>0</x:v>
      </x:c>
      <x:c r="K1231" s="12" t="n">
        <x:v>0</x:v>
      </x:c>
      <x:c r="L1231" s="12" t="n">
        <x:v>0</x:v>
      </x:c>
      <x:c r="M1231" s="2" t="str">
        <x:v>持有</x:v>
      </x:c>
    </x:row>
    <x:row r="1232" ht="23" customHeight="1">
      <x:c r="A1232" s="11" t="d">
        <x:v>2019-11-14T00:00:00.000Z</x:v>
      </x:c>
      <x:c r="B1232" s="12" t="n">
        <x:v>10996.958312</x:v>
      </x:c>
      <x:c r="C1232" s="13" t="n">
        <x:v>484</x:v>
      </x:c>
      <x:c r="D1232" s="12" t="n">
        <x:v>149822.2</x:v>
      </x:c>
      <x:c r="E1232" s="12" t="n">
        <x:v>0</x:v>
      </x:c>
      <x:c r="F1232" s="12" t="n">
        <x:f>SUM(B1232,D1232:E1232)</x:f>
        <x:v>160819.158312</x:v>
      </x:c>
      <x:c r="G1232" s="12" t="n">
        <x:f>MAX(G1231,F1232)</x:f>
        <x:v>160819.158312</x:v>
      </x:c>
      <x:c r="H1232" s="14" t="n">
        <x:f>F1232/G1232-1</x:f>
        <x:v>0</x:v>
      </x:c>
      <x:c r="I1232" s="14" t="n">
        <x:f>F1232/F1231-1</x:f>
        <x:v>0.0013561529135817096</x:v>
      </x:c>
      <x:c r="J1232" s="12" t="n">
        <x:v>0</x:v>
      </x:c>
      <x:c r="K1232" s="12" t="n">
        <x:v>0</x:v>
      </x:c>
      <x:c r="L1232" s="12" t="n">
        <x:v>0</x:v>
      </x:c>
      <x:c r="M1232" s="2" t="str">
        <x:v>持有</x:v>
      </x:c>
    </x:row>
    <x:row r="1233" ht="23" customHeight="1">
      <x:c r="A1233" s="11" t="d">
        <x:v>2019-11-15T00:00:00.000Z</x:v>
      </x:c>
      <x:c r="B1233" s="12" t="n">
        <x:v>10996.958312</x:v>
      </x:c>
      <x:c r="C1233" s="13" t="n">
        <x:v>484</x:v>
      </x:c>
      <x:c r="D1233" s="12" t="n">
        <x:v>150906.36000000002</x:v>
      </x:c>
      <x:c r="E1233" s="12" t="n">
        <x:v>0</x:v>
      </x:c>
      <x:c r="F1233" s="12" t="n">
        <x:f>SUM(B1233,D1233:E1233)</x:f>
        <x:v>161903.31831200002</x:v>
      </x:c>
      <x:c r="G1233" s="12" t="n">
        <x:f>MAX(G1232,F1233)</x:f>
        <x:v>161903.31831200002</x:v>
      </x:c>
      <x:c r="H1233" s="14" t="n">
        <x:f>F1233/G1233-1</x:f>
        <x:v>0</x:v>
      </x:c>
      <x:c r="I1233" s="14" t="n">
        <x:f>F1233/F1232-1</x:f>
        <x:v>0.006741485351494436</x:v>
      </x:c>
      <x:c r="J1233" s="12" t="n">
        <x:v>0</x:v>
      </x:c>
      <x:c r="K1233" s="12" t="n">
        <x:v>0</x:v>
      </x:c>
      <x:c r="L1233" s="12" t="n">
        <x:v>0</x:v>
      </x:c>
      <x:c r="M1233" s="2" t="str">
        <x:v>持有</x:v>
      </x:c>
    </x:row>
    <x:row r="1234" ht="23" customHeight="1">
      <x:c r="A1234" s="11" t="d">
        <x:v>2019-11-18T00:00:00.000Z</x:v>
      </x:c>
      <x:c r="B1234" s="12" t="n">
        <x:v>10996.958312</x:v>
      </x:c>
      <x:c r="C1234" s="13" t="n">
        <x:v>484</x:v>
      </x:c>
      <x:c r="D1234" s="12" t="n">
        <x:v>151017.68</x:v>
      </x:c>
      <x:c r="E1234" s="12" t="n">
        <x:v>0</x:v>
      </x:c>
      <x:c r="F1234" s="12" t="n">
        <x:f>SUM(B1234,D1234:E1234)</x:f>
        <x:v>162014.638312</x:v>
      </x:c>
      <x:c r="G1234" s="12" t="n">
        <x:f>MAX(G1233,F1234)</x:f>
        <x:v>162014.638312</x:v>
      </x:c>
      <x:c r="H1234" s="14" t="n">
        <x:f>F1234/G1234-1</x:f>
        <x:v>0</x:v>
      </x:c>
      <x:c r="I1234" s="14" t="n">
        <x:f>F1234/F1233-1</x:f>
        <x:v>0.0006875708364757482</x:v>
      </x:c>
      <x:c r="J1234" s="12" t="n">
        <x:v>0</x:v>
      </x:c>
      <x:c r="K1234" s="12" t="n">
        <x:v>0</x:v>
      </x:c>
      <x:c r="L1234" s="12" t="n">
        <x:v>0</x:v>
      </x:c>
      <x:c r="M1234" s="2" t="str">
        <x:v>持有</x:v>
      </x:c>
    </x:row>
    <x:row r="1235" ht="23" customHeight="1">
      <x:c r="A1235" s="11" t="d">
        <x:v>2019-11-19T00:00:00.000Z</x:v>
      </x:c>
      <x:c r="B1235" s="12" t="n">
        <x:v>10996.958312</x:v>
      </x:c>
      <x:c r="C1235" s="13" t="n">
        <x:v>484</x:v>
      </x:c>
      <x:c r="D1235" s="12" t="n">
        <x:v>150974.12</x:v>
      </x:c>
      <x:c r="E1235" s="12" t="n">
        <x:v>0</x:v>
      </x:c>
      <x:c r="F1235" s="12" t="n">
        <x:f>SUM(B1235,D1235:E1235)</x:f>
        <x:v>161971.078312</x:v>
      </x:c>
      <x:c r="G1235" s="12" t="n">
        <x:f>MAX(G1234,F1235)</x:f>
        <x:v>162014.638312</x:v>
      </x:c>
      <x:c r="H1235" s="14" t="n">
        <x:f>F1235/G1235-1</x:f>
        <x:v>-0.0002688645942974244</x:v>
      </x:c>
      <x:c r="I1235" s="14" t="n">
        <x:f>F1235/F1234-1</x:f>
        <x:v>-0.0002688645942974244</x:v>
      </x:c>
      <x:c r="J1235" s="12" t="n">
        <x:v>0</x:v>
      </x:c>
      <x:c r="K1235" s="12" t="n">
        <x:v>0</x:v>
      </x:c>
      <x:c r="L1235" s="12" t="n">
        <x:v>0</x:v>
      </x:c>
      <x:c r="M1235" s="2" t="str">
        <x:v>持有</x:v>
      </x:c>
    </x:row>
    <x:row r="1236" ht="23" customHeight="1">
      <x:c r="A1236" s="11" t="d">
        <x:v>2019-11-20T00:00:00.000Z</x:v>
      </x:c>
      <x:c r="B1236" s="12" t="n">
        <x:v>10996.958312</x:v>
      </x:c>
      <x:c r="C1236" s="13" t="n">
        <x:v>484</x:v>
      </x:c>
      <x:c r="D1236" s="12" t="n">
        <x:v>150412.68</x:v>
      </x:c>
      <x:c r="E1236" s="12" t="n">
        <x:v>0</x:v>
      </x:c>
      <x:c r="F1236" s="12" t="n">
        <x:f>SUM(B1236,D1236:E1236)</x:f>
        <x:v>161409.638312</x:v>
      </x:c>
      <x:c r="G1236" s="12" t="n">
        <x:f>MAX(G1235,F1236)</x:f>
        <x:v>162014.638312</x:v>
      </x:c>
      <x:c r="H1236" s="14" t="n">
        <x:f>F1236/G1236-1</x:f>
        <x:v>-0.0037342304763531287</x:v>
      </x:c>
      <x:c r="I1236" s="14" t="n">
        <x:f>F1236/F1235-1</x:f>
        <x:v>-0.0034662978468200656</x:v>
      </x:c>
      <x:c r="J1236" s="12" t="n">
        <x:v>0</x:v>
      </x:c>
      <x:c r="K1236" s="12" t="n">
        <x:v>0</x:v>
      </x:c>
      <x:c r="L1236" s="12" t="n">
        <x:v>0</x:v>
      </x:c>
      <x:c r="M1236" s="2" t="str">
        <x:v>持有</x:v>
      </x:c>
    </x:row>
    <x:row r="1237" ht="23" customHeight="1">
      <x:c r="A1237" s="11" t="d">
        <x:v>2019-11-21T00:00:00.000Z</x:v>
      </x:c>
      <x:c r="B1237" s="12" t="n">
        <x:v>10996.958312</x:v>
      </x:c>
      <x:c r="C1237" s="13" t="n">
        <x:v>484</x:v>
      </x:c>
      <x:c r="D1237" s="12" t="n">
        <x:v>150170.68</x:v>
      </x:c>
      <x:c r="E1237" s="12" t="n">
        <x:v>0</x:v>
      </x:c>
      <x:c r="F1237" s="12" t="n">
        <x:f>SUM(B1237,D1237:E1237)</x:f>
        <x:v>161167.638312</x:v>
      </x:c>
      <x:c r="G1237" s="12" t="n">
        <x:f>MAX(G1236,F1237)</x:f>
        <x:v>162014.638312</x:v>
      </x:c>
      <x:c r="H1237" s="14" t="n">
        <x:f>F1237/G1237-1</x:f>
        <x:v>-0.0052279226668944245</x:v>
      </x:c>
      <x:c r="I1237" s="14" t="n">
        <x:f>F1237/F1236-1</x:f>
        <x:v>-0.001499290888269167</x:v>
      </x:c>
      <x:c r="J1237" s="12" t="n">
        <x:v>0</x:v>
      </x:c>
      <x:c r="K1237" s="12" t="n">
        <x:v>0</x:v>
      </x:c>
      <x:c r="L1237" s="12" t="n">
        <x:v>0</x:v>
      </x:c>
      <x:c r="M1237" s="2" t="str">
        <x:v>持有</x:v>
      </x:c>
    </x:row>
    <x:row r="1238" ht="23" customHeight="1">
      <x:c r="A1238" s="11" t="d">
        <x:v>2019-11-22T00:00:00.000Z</x:v>
      </x:c>
      <x:c r="B1238" s="12" t="n">
        <x:v>10996.958312</x:v>
      </x:c>
      <x:c r="C1238" s="13" t="n">
        <x:v>484</x:v>
      </x:c>
      <x:c r="D1238" s="12" t="n">
        <x:v>150504.63999999998</x:v>
      </x:c>
      <x:c r="E1238" s="12" t="n">
        <x:v>0</x:v>
      </x:c>
      <x:c r="F1238" s="12" t="n">
        <x:f>SUM(B1238,D1238:E1238)</x:f>
        <x:v>161501.598312</x:v>
      </x:c>
      <x:c r="G1238" s="12" t="n">
        <x:f>MAX(G1237,F1238)</x:f>
        <x:v>162014.638312</x:v>
      </x:c>
      <x:c r="H1238" s="14" t="n">
        <x:f>F1238/G1238-1</x:f>
        <x:v>-0.0031666274439474673</x:v>
      </x:c>
      <x:c r="I1238" s="14" t="n">
        <x:f>F1238/F1237-1</x:f>
        <x:v>0.0020721281486639764</x:v>
      </x:c>
      <x:c r="J1238" s="12" t="n">
        <x:v>0</x:v>
      </x:c>
      <x:c r="K1238" s="12" t="n">
        <x:v>0</x:v>
      </x:c>
      <x:c r="L1238" s="12" t="n">
        <x:v>0</x:v>
      </x:c>
      <x:c r="M1238" s="2" t="str">
        <x:v>持有</x:v>
      </x:c>
    </x:row>
    <x:row r="1239" ht="23" customHeight="1">
      <x:c r="A1239" s="11" t="d">
        <x:v>2019-11-25T00:00:00.000Z</x:v>
      </x:c>
      <x:c r="B1239" s="12" t="n">
        <x:v>10996.958312</x:v>
      </x:c>
      <x:c r="C1239" s="13" t="n">
        <x:v>484</x:v>
      </x:c>
      <x:c r="D1239" s="12" t="n">
        <x:v>151671.08000000002</x:v>
      </x:c>
      <x:c r="E1239" s="12" t="n">
        <x:v>0</x:v>
      </x:c>
      <x:c r="F1239" s="12" t="n">
        <x:f>SUM(B1239,D1239:E1239)</x:f>
        <x:v>162668.03831200002</x:v>
      </x:c>
      <x:c r="G1239" s="12" t="n">
        <x:f>MAX(G1238,F1239)</x:f>
        <x:v>162668.03831200002</x:v>
      </x:c>
      <x:c r="H1239" s="14" t="n">
        <x:f>F1239/G1239-1</x:f>
        <x:v>0</x:v>
      </x:c>
      <x:c r="I1239" s="14" t="n">
        <x:f>F1239/F1238-1</x:f>
        <x:v>0.007222467221325024</x:v>
      </x:c>
      <x:c r="J1239" s="12" t="n">
        <x:v>0</x:v>
      </x:c>
      <x:c r="K1239" s="12" t="n">
        <x:v>0</x:v>
      </x:c>
      <x:c r="L1239" s="12" t="n">
        <x:v>0</x:v>
      </x:c>
      <x:c r="M1239" s="2" t="str">
        <x:v>持有</x:v>
      </x:c>
    </x:row>
    <x:row r="1240" ht="23" customHeight="1">
      <x:c r="A1240" s="11" t="d">
        <x:v>2019-11-26T00:00:00.000Z</x:v>
      </x:c>
      <x:c r="B1240" s="12" t="n">
        <x:v>10996.958312</x:v>
      </x:c>
      <x:c r="C1240" s="13" t="n">
        <x:v>484</x:v>
      </x:c>
      <x:c r="D1240" s="12" t="n">
        <x:v>152014.72</x:v>
      </x:c>
      <x:c r="E1240" s="12" t="n">
        <x:v>0</x:v>
      </x:c>
      <x:c r="F1240" s="12" t="n">
        <x:f>SUM(B1240,D1240:E1240)</x:f>
        <x:v>163011.678312</x:v>
      </x:c>
      <x:c r="G1240" s="12" t="n">
        <x:f>MAX(G1239,F1240)</x:f>
        <x:v>163011.678312</x:v>
      </x:c>
      <x:c r="H1240" s="14" t="n">
        <x:f>F1240/G1240-1</x:f>
        <x:v>0</x:v>
      </x:c>
      <x:c r="I1240" s="14" t="n">
        <x:f>F1240/F1239-1</x:f>
        <x:v>0.002112523170291647</x:v>
      </x:c>
      <x:c r="J1240" s="12" t="n">
        <x:v>0</x:v>
      </x:c>
      <x:c r="K1240" s="12" t="n">
        <x:v>0</x:v>
      </x:c>
      <x:c r="L1240" s="12" t="n">
        <x:v>0</x:v>
      </x:c>
      <x:c r="M1240" s="2" t="str">
        <x:v>持有</x:v>
      </x:c>
    </x:row>
    <x:row r="1241" ht="23" customHeight="1">
      <x:c r="A1241" s="11" t="d">
        <x:v>2019-11-27T00:00:00.000Z</x:v>
      </x:c>
      <x:c r="B1241" s="12" t="n">
        <x:v>10996.958312</x:v>
      </x:c>
      <x:c r="C1241" s="13" t="n">
        <x:v>484</x:v>
      </x:c>
      <x:c r="D1241" s="12" t="n">
        <x:v>152692.32</x:v>
      </x:c>
      <x:c r="E1241" s="12" t="n">
        <x:v>0</x:v>
      </x:c>
      <x:c r="F1241" s="12" t="n">
        <x:f>SUM(B1241,D1241:E1241)</x:f>
        <x:v>163689.278312</x:v>
      </x:c>
      <x:c r="G1241" s="12" t="n">
        <x:f>MAX(G1240,F1241)</x:f>
        <x:v>163689.278312</x:v>
      </x:c>
      <x:c r="H1241" s="14" t="n">
        <x:f>F1241/G1241-1</x:f>
        <x:v>0</x:v>
      </x:c>
      <x:c r="I1241" s="14" t="n">
        <x:f>F1241/F1240-1</x:f>
        <x:v>0.004156757399326416</x:v>
      </x:c>
      <x:c r="J1241" s="12" t="n">
        <x:v>0</x:v>
      </x:c>
      <x:c r="K1241" s="12" t="n">
        <x:v>0</x:v>
      </x:c>
      <x:c r="L1241" s="12" t="n">
        <x:v>0</x:v>
      </x:c>
      <x:c r="M1241" s="2" t="str">
        <x:v>持有</x:v>
      </x:c>
    </x:row>
    <x:row r="1242" ht="23" customHeight="1">
      <x:c r="A1242" s="11" t="d">
        <x:v>2019-11-29T00:00:00.000Z</x:v>
      </x:c>
      <x:c r="B1242" s="12" t="n">
        <x:v>10996.958312</x:v>
      </x:c>
      <x:c r="C1242" s="13" t="n">
        <x:v>484</x:v>
      </x:c>
      <x:c r="D1242" s="12" t="n">
        <x:v>152126.04</x:v>
      </x:c>
      <x:c r="E1242" s="12" t="n">
        <x:v>0</x:v>
      </x:c>
      <x:c r="F1242" s="12" t="n">
        <x:f>SUM(B1242,D1242:E1242)</x:f>
        <x:v>163122.998312</x:v>
      </x:c>
      <x:c r="G1242" s="12" t="n">
        <x:f>MAX(G1241,F1242)</x:f>
        <x:v>163689.278312</x:v>
      </x:c>
      <x:c r="H1242" s="14" t="n">
        <x:f>F1242/G1242-1</x:f>
        <x:v>-0.0034594813163061344</x:v>
      </x:c>
      <x:c r="I1242" s="14" t="n">
        <x:f>F1242/F1241-1</x:f>
        <x:v>-0.0034594813163061344</x:v>
      </x:c>
      <x:c r="J1242" s="12" t="n">
        <x:v>0</x:v>
      </x:c>
      <x:c r="K1242" s="12" t="n">
        <x:v>0</x:v>
      </x:c>
      <x:c r="L1242" s="12" t="n">
        <x:v>0</x:v>
      </x:c>
      <x:c r="M1242" s="2" t="str">
        <x:v>持有</x:v>
      </x:c>
    </x:row>
    <x:row r="1243" ht="23" customHeight="1">
      <x:c r="A1243" s="11" t="d">
        <x:v>2019-12-02T00:00:00.000Z</x:v>
      </x:c>
      <x:c r="B1243" s="12" t="n">
        <x:v>10996.958312</x:v>
      </x:c>
      <x:c r="C1243" s="13" t="n">
        <x:v>484</x:v>
      </x:c>
      <x:c r="D1243" s="12" t="n">
        <x:v>150833.75999999998</x:v>
      </x:c>
      <x:c r="E1243" s="12" t="n">
        <x:v>0</x:v>
      </x:c>
      <x:c r="F1243" s="12" t="n">
        <x:f>SUM(B1243,D1243:E1243)</x:f>
        <x:v>161830.71831199998</x:v>
      </x:c>
      <x:c r="G1243" s="12" t="n">
        <x:f>MAX(G1242,F1243)</x:f>
        <x:v>163689.278312</x:v>
      </x:c>
      <x:c r="H1243" s="14" t="n">
        <x:f>F1243/G1243-1</x:f>
        <x:v>-0.011354195089415153</x:v>
      </x:c>
      <x:c r="I1243" s="14" t="n">
        <x:f>F1243/F1242-1</x:f>
        <x:v>-0.00792212019992622</x:v>
      </x:c>
      <x:c r="J1243" s="12" t="n">
        <x:v>0</x:v>
      </x:c>
      <x:c r="K1243" s="12" t="n">
        <x:v>0</x:v>
      </x:c>
      <x:c r="L1243" s="12" t="n">
        <x:v>0</x:v>
      </x:c>
      <x:c r="M1243" s="2" t="str">
        <x:v>持有</x:v>
      </x:c>
    </x:row>
    <x:row r="1244" ht="23" customHeight="1">
      <x:c r="A1244" s="11" t="d">
        <x:v>2019-12-03T00:00:00.000Z</x:v>
      </x:c>
      <x:c r="B1244" s="12" t="n">
        <x:v>10996.958312</x:v>
      </x:c>
      <x:c r="C1244" s="13" t="n">
        <x:v>484</x:v>
      </x:c>
      <x:c r="D1244" s="12" t="n">
        <x:v>149822.2</x:v>
      </x:c>
      <x:c r="E1244" s="12" t="n">
        <x:v>0</x:v>
      </x:c>
      <x:c r="F1244" s="12" t="n">
        <x:f>SUM(B1244,D1244:E1244)</x:f>
        <x:v>160819.158312</x:v>
      </x:c>
      <x:c r="G1244" s="12" t="n">
        <x:f>MAX(G1243,F1244)</x:f>
        <x:v>163689.278312</x:v>
      </x:c>
      <x:c r="H1244" s="14" t="n">
        <x:f>F1244/G1244-1</x:f>
        <x:v>-0.017533952312560164</x:v>
      </x:c>
      <x:c r="I1244" s="14" t="n">
        <x:f>F1244/F1243-1</x:f>
        <x:v>-0.0062507292221847255</x:v>
      </x:c>
      <x:c r="J1244" s="12" t="n">
        <x:v>0</x:v>
      </x:c>
      <x:c r="K1244" s="12" t="n">
        <x:v>0</x:v>
      </x:c>
      <x:c r="L1244" s="12" t="n">
        <x:v>0</x:v>
      </x:c>
      <x:c r="M1244" s="2" t="str">
        <x:v>持有</x:v>
      </x:c>
    </x:row>
    <x:row r="1245" ht="23" customHeight="1">
      <x:c r="A1245" s="11" t="d">
        <x:v>2019-12-04T00:00:00.000Z</x:v>
      </x:c>
      <x:c r="B1245" s="12" t="n">
        <x:v>10996.958312</x:v>
      </x:c>
      <x:c r="C1245" s="13" t="n">
        <x:v>484</x:v>
      </x:c>
      <x:c r="D1245" s="12" t="n">
        <x:v>150746.63999999998</x:v>
      </x:c>
      <x:c r="E1245" s="12" t="n">
        <x:v>0</x:v>
      </x:c>
      <x:c r="F1245" s="12" t="n">
        <x:f>SUM(B1245,D1245:E1245)</x:f>
        <x:v>161743.598312</x:v>
      </x:c>
      <x:c r="G1245" s="12" t="n">
        <x:f>MAX(G1244,F1245)</x:f>
        <x:v>163689.278312</x:v>
      </x:c>
      <x:c r="H1245" s="14" t="n">
        <x:f>F1245/G1245-1</x:f>
        <x:v>-0.011886422984231482</x:v>
      </x:c>
      <x:c r="I1245" s="14" t="n">
        <x:f>F1245/F1244-1</x:f>
        <x:v>0.005748320098818649</x:v>
      </x:c>
      <x:c r="J1245" s="12" t="n">
        <x:v>0</x:v>
      </x:c>
      <x:c r="K1245" s="12" t="n">
        <x:v>0</x:v>
      </x:c>
      <x:c r="L1245" s="12" t="n">
        <x:v>0</x:v>
      </x:c>
      <x:c r="M1245" s="2" t="str">
        <x:v>持有</x:v>
      </x:c>
    </x:row>
    <x:row r="1246" ht="23" customHeight="1">
      <x:c r="A1246" s="11" t="d">
        <x:v>2019-12-05T00:00:00.000Z</x:v>
      </x:c>
      <x:c r="B1246" s="12" t="n">
        <x:v>10996.958312</x:v>
      </x:c>
      <x:c r="C1246" s="13" t="n">
        <x:v>484</x:v>
      </x:c>
      <x:c r="D1246" s="12" t="n">
        <x:v>151017.68</x:v>
      </x:c>
      <x:c r="E1246" s="12" t="n">
        <x:v>0</x:v>
      </x:c>
      <x:c r="F1246" s="12" t="n">
        <x:f>SUM(B1246,D1246:E1246)</x:f>
        <x:v>162014.638312</x:v>
      </x:c>
      <x:c r="G1246" s="12" t="n">
        <x:f>MAX(G1245,F1246)</x:f>
        <x:v>163689.278312</x:v>
      </x:c>
      <x:c r="H1246" s="14" t="n">
        <x:f>F1246/G1246-1</x:f>
        <x:v>-0.01023060286702504</x:v>
      </x:c>
      <x:c r="I1246" s="14" t="n">
        <x:f>F1246/F1245-1</x:f>
        <x:v>0.0016757386556789378</x:v>
      </x:c>
      <x:c r="J1246" s="12" t="n">
        <x:v>0</x:v>
      </x:c>
      <x:c r="K1246" s="12" t="n">
        <x:v>0</x:v>
      </x:c>
      <x:c r="L1246" s="12" t="n">
        <x:v>0</x:v>
      </x:c>
      <x:c r="M1246" s="2" t="str">
        <x:v>持有</x:v>
      </x:c>
    </x:row>
    <x:row r="1247" ht="23" customHeight="1">
      <x:c r="A1247" s="11" t="d">
        <x:v>2019-12-06T00:00:00.000Z</x:v>
      </x:c>
      <x:c r="B1247" s="12" t="n">
        <x:v>10996.958312</x:v>
      </x:c>
      <x:c r="C1247" s="13" t="n">
        <x:v>484</x:v>
      </x:c>
      <x:c r="D1247" s="12" t="n">
        <x:v>152397.08000000002</x:v>
      </x:c>
      <x:c r="E1247" s="12" t="n">
        <x:v>0</x:v>
      </x:c>
      <x:c r="F1247" s="12" t="n">
        <x:f>SUM(B1247,D1247:E1247)</x:f>
        <x:v>163394.03831200002</x:v>
      </x:c>
      <x:c r="G1247" s="12" t="n">
        <x:f>MAX(G1246,F1247)</x:f>
        <x:v>163689.278312</x:v>
      </x:c>
      <x:c r="H1247" s="14" t="n">
        <x:f>F1247/G1247-1</x:f>
        <x:v>-0.0018036611990996931</x:v>
      </x:c>
      <x:c r="I1247" s="14" t="n">
        <x:f>F1247/F1246-1</x:f>
        <x:v>0.008514045486085253</x:v>
      </x:c>
      <x:c r="J1247" s="12" t="n">
        <x:v>0</x:v>
      </x:c>
      <x:c r="K1247" s="12" t="n">
        <x:v>0</x:v>
      </x:c>
      <x:c r="L1247" s="12" t="n">
        <x:v>0</x:v>
      </x:c>
      <x:c r="M1247" s="2" t="str">
        <x:v>持有</x:v>
      </x:c>
    </x:row>
    <x:row r="1248" ht="23" customHeight="1">
      <x:c r="A1248" s="11" t="d">
        <x:v>2019-12-09T00:00:00.000Z</x:v>
      </x:c>
      <x:c r="B1248" s="12" t="n">
        <x:v>10996.958312</x:v>
      </x:c>
      <x:c r="C1248" s="13" t="n">
        <x:v>484</x:v>
      </x:c>
      <x:c r="D1248" s="12" t="n">
        <x:v>151917.91999999998</x:v>
      </x:c>
      <x:c r="E1248" s="12" t="n">
        <x:v>0</x:v>
      </x:c>
      <x:c r="F1248" s="12" t="n">
        <x:f>SUM(B1248,D1248:E1248)</x:f>
        <x:v>162914.878312</x:v>
      </x:c>
      <x:c r="G1248" s="12" t="n">
        <x:f>MAX(G1247,F1248)</x:f>
        <x:v>163689.278312</x:v>
      </x:c>
      <x:c r="H1248" s="14" t="n">
        <x:f>F1248/G1248-1</x:f>
        <x:v>-0.004730914620589721</x:v>
      </x:c>
      <x:c r="I1248" s="14" t="n">
        <x:f>F1248/F1247-1</x:f>
        <x:v>-0.002932542735035848</x:v>
      </x:c>
      <x:c r="J1248" s="12" t="n">
        <x:v>0</x:v>
      </x:c>
      <x:c r="K1248" s="12" t="n">
        <x:v>0</x:v>
      </x:c>
      <x:c r="L1248" s="12" t="n">
        <x:v>0</x:v>
      </x:c>
      <x:c r="M1248" s="2" t="str">
        <x:v>持有</x:v>
      </x:c>
    </x:row>
    <x:row r="1249" ht="23" customHeight="1">
      <x:c r="A1249" s="11" t="d">
        <x:v>2019-12-10T00:00:00.000Z</x:v>
      </x:c>
      <x:c r="B1249" s="12" t="n">
        <x:v>10996.958312</x:v>
      </x:c>
      <x:c r="C1249" s="13" t="n">
        <x:v>484</x:v>
      </x:c>
      <x:c r="D1249" s="12" t="n">
        <x:v>151748.52</x:v>
      </x:c>
      <x:c r="E1249" s="12" t="n">
        <x:v>0</x:v>
      </x:c>
      <x:c r="F1249" s="12" t="n">
        <x:f>SUM(B1249,D1249:E1249)</x:f>
        <x:v>162745.478312</x:v>
      </x:c>
      <x:c r="G1249" s="12" t="n">
        <x:f>MAX(G1248,F1249)</x:f>
        <x:v>163689.278312</x:v>
      </x:c>
      <x:c r="H1249" s="14" t="n">
        <x:f>F1249/G1249-1</x:f>
        <x:v>-0.005765802193843705</x:v>
      </x:c>
      <x:c r="I1249" s="14" t="n">
        <x:f>F1249/F1248-1</x:f>
        <x:v>-0.0010398068104963132</x:v>
      </x:c>
      <x:c r="J1249" s="12" t="n">
        <x:v>0</x:v>
      </x:c>
      <x:c r="K1249" s="12" t="n">
        <x:v>0</x:v>
      </x:c>
      <x:c r="L1249" s="12" t="n">
        <x:v>0</x:v>
      </x:c>
      <x:c r="M1249" s="2" t="str">
        <x:v>持有</x:v>
      </x:c>
    </x:row>
    <x:row r="1250" ht="23" customHeight="1">
      <x:c r="A1250" s="11" t="d">
        <x:v>2019-12-11T00:00:00.000Z</x:v>
      </x:c>
      <x:c r="B1250" s="12" t="n">
        <x:v>10996.958312</x:v>
      </x:c>
      <x:c r="C1250" s="13" t="n">
        <x:v>484</x:v>
      </x:c>
      <x:c r="D1250" s="12" t="n">
        <x:v>152179.28</x:v>
      </x:c>
      <x:c r="E1250" s="12" t="n">
        <x:v>0</x:v>
      </x:c>
      <x:c r="F1250" s="12" t="n">
        <x:f>SUM(B1250,D1250:E1250)</x:f>
        <x:v>163176.238312</x:v>
      </x:c>
      <x:c r="G1250" s="12" t="n">
        <x:f>MAX(G1249,F1250)</x:f>
        <x:v>163689.278312</x:v>
      </x:c>
      <x:c r="H1250" s="14" t="n">
        <x:f>F1250/G1250-1</x:f>
        <x:v>-0.003134230936140625</x:v>
      </x:c>
      <x:c r="I1250" s="14" t="n">
        <x:f>F1250/F1249-1</x:f>
        <x:v>0.002646832369586294</x:v>
      </x:c>
      <x:c r="J1250" s="12" t="n">
        <x:v>0</x:v>
      </x:c>
      <x:c r="K1250" s="12" t="n">
        <x:v>0</x:v>
      </x:c>
      <x:c r="L1250" s="12" t="n">
        <x:v>0</x:v>
      </x:c>
      <x:c r="M1250" s="2" t="str">
        <x:v>持有</x:v>
      </x:c>
    </x:row>
    <x:row r="1251" ht="23" customHeight="1">
      <x:c r="A1251" s="11" t="d">
        <x:v>2019-12-12T00:00:00.000Z</x:v>
      </x:c>
      <x:c r="B1251" s="12" t="n">
        <x:v>10996.958312</x:v>
      </x:c>
      <x:c r="C1251" s="13" t="n">
        <x:v>484</x:v>
      </x:c>
      <x:c r="D1251" s="12" t="n">
        <x:v>153490.91999999998</x:v>
      </x:c>
      <x:c r="E1251" s="12" t="n">
        <x:v>0</x:v>
      </x:c>
      <x:c r="F1251" s="12" t="n">
        <x:f>SUM(B1251,D1251:E1251)</x:f>
        <x:v>164487.878312</x:v>
      </x:c>
      <x:c r="G1251" s="12" t="n">
        <x:f>MAX(G1250,F1251)</x:f>
        <x:v>164487.878312</x:v>
      </x:c>
      <x:c r="H1251" s="14" t="n">
        <x:f>F1251/G1251-1</x:f>
        <x:v>0</x:v>
      </x:c>
      <x:c r="I1251" s="14" t="n">
        <x:f>F1251/F1250-1</x:f>
        <x:v>0.008038180151524799</x:v>
      </x:c>
      <x:c r="J1251" s="12" t="n">
        <x:v>0</x:v>
      </x:c>
      <x:c r="K1251" s="12" t="n">
        <x:v>0</x:v>
      </x:c>
      <x:c r="L1251" s="12" t="n">
        <x:v>0</x:v>
      </x:c>
      <x:c r="M1251" s="2" t="str">
        <x:v>持有</x:v>
      </x:c>
    </x:row>
    <x:row r="1252" ht="23" customHeight="1">
      <x:c r="A1252" s="11" t="d">
        <x:v>2019-12-13T00:00:00.000Z</x:v>
      </x:c>
      <x:c r="B1252" s="12" t="n">
        <x:v>10996.958312</x:v>
      </x:c>
      <x:c r="C1252" s="13" t="n">
        <x:v>484</x:v>
      </x:c>
      <x:c r="D1252" s="12" t="n">
        <x:v>153582.88</x:v>
      </x:c>
      <x:c r="E1252" s="12" t="n">
        <x:v>0</x:v>
      </x:c>
      <x:c r="F1252" s="12" t="n">
        <x:f>SUM(B1252,D1252:E1252)</x:f>
        <x:v>164579.838312</x:v>
      </x:c>
      <x:c r="G1252" s="12" t="n">
        <x:f>MAX(G1251,F1252)</x:f>
        <x:v>164579.838312</x:v>
      </x:c>
      <x:c r="H1252" s="14" t="n">
        <x:f>F1252/G1252-1</x:f>
        <x:v>0</x:v>
      </x:c>
      <x:c r="I1252" s="14" t="n">
        <x:f>F1252/F1251-1</x:f>
        <x:v>0.0005590685523075845</x:v>
      </x:c>
      <x:c r="J1252" s="12" t="n">
        <x:v>0</x:v>
      </x:c>
      <x:c r="K1252" s="12" t="n">
        <x:v>0</x:v>
      </x:c>
      <x:c r="L1252" s="12" t="n">
        <x:v>0</x:v>
      </x:c>
      <x:c r="M1252" s="2" t="str">
        <x:v>持有</x:v>
      </x:c>
    </x:row>
    <x:row r="1253" ht="23" customHeight="1">
      <x:c r="A1253" s="11" t="d">
        <x:v>2019-12-16T00:00:00.000Z</x:v>
      </x:c>
      <x:c r="B1253" s="12" t="n">
        <x:v>10996.958312</x:v>
      </x:c>
      <x:c r="C1253" s="13" t="n">
        <x:v>484</x:v>
      </x:c>
      <x:c r="D1253" s="12" t="n">
        <x:v>154638</x:v>
      </x:c>
      <x:c r="E1253" s="12" t="n">
        <x:v>0</x:v>
      </x:c>
      <x:c r="F1253" s="12" t="n">
        <x:f>SUM(B1253,D1253:E1253)</x:f>
        <x:v>165634.958312</x:v>
      </x:c>
      <x:c r="G1253" s="12" t="n">
        <x:f>MAX(G1252,F1253)</x:f>
        <x:v>165634.958312</x:v>
      </x:c>
      <x:c r="H1253" s="14" t="n">
        <x:f>F1253/G1253-1</x:f>
        <x:v>0</x:v>
      </x:c>
      <x:c r="I1253" s="14" t="n">
        <x:f>F1253/F1252-1</x:f>
        <x:v>0.00641099183728544</x:v>
      </x:c>
      <x:c r="J1253" s="12" t="n">
        <x:v>0</x:v>
      </x:c>
      <x:c r="K1253" s="12" t="n">
        <x:v>0</x:v>
      </x:c>
      <x:c r="L1253" s="12" t="n">
        <x:v>0</x:v>
      </x:c>
      <x:c r="M1253" s="2" t="str">
        <x:v>持有</x:v>
      </x:c>
    </x:row>
    <x:row r="1254" ht="23" customHeight="1">
      <x:c r="A1254" s="11" t="d">
        <x:v>2019-12-17T00:00:00.000Z</x:v>
      </x:c>
      <x:c r="B1254" s="12" t="n">
        <x:v>10996.958312</x:v>
      </x:c>
      <x:c r="C1254" s="13" t="n">
        <x:v>484</x:v>
      </x:c>
      <x:c r="D1254" s="12" t="n">
        <x:v>154671.88</x:v>
      </x:c>
      <x:c r="E1254" s="12" t="n">
        <x:v>0</x:v>
      </x:c>
      <x:c r="F1254" s="12" t="n">
        <x:f>SUM(B1254,D1254:E1254)</x:f>
        <x:v>165668.838312</x:v>
      </x:c>
      <x:c r="G1254" s="12" t="n">
        <x:f>MAX(G1253,F1254)</x:f>
        <x:v>165668.838312</x:v>
      </x:c>
      <x:c r="H1254" s="14" t="n">
        <x:f>F1254/G1254-1</x:f>
        <x:v>0</x:v>
      </x:c>
      <x:c r="I1254" s="14" t="n">
        <x:f>F1254/F1253-1</x:f>
        <x:v>0.00020454619209187008</x:v>
      </x:c>
      <x:c r="J1254" s="12" t="n">
        <x:v>0</x:v>
      </x:c>
      <x:c r="K1254" s="12" t="n">
        <x:v>0</x:v>
      </x:c>
      <x:c r="L1254" s="12" t="n">
        <x:v>0</x:v>
      </x:c>
      <x:c r="M1254" s="2" t="str">
        <x:v>持有</x:v>
      </x:c>
    </x:row>
    <x:row r="1255" ht="23" customHeight="1">
      <x:c r="A1255" s="11" t="d">
        <x:v>2019-12-18T00:00:00.000Z</x:v>
      </x:c>
      <x:c r="B1255" s="12" t="n">
        <x:v>10996.958312</x:v>
      </x:c>
      <x:c r="C1255" s="13" t="n">
        <x:v>484</x:v>
      </x:c>
      <x:c r="D1255" s="12" t="n">
        <x:v>154681.56</x:v>
      </x:c>
      <x:c r="E1255" s="12" t="n">
        <x:v>0</x:v>
      </x:c>
      <x:c r="F1255" s="12" t="n">
        <x:f>SUM(B1255,D1255:E1255)</x:f>
        <x:v>165678.518312</x:v>
      </x:c>
      <x:c r="G1255" s="12" t="n">
        <x:f>MAX(G1254,F1255)</x:f>
        <x:v>165678.518312</x:v>
      </x:c>
      <x:c r="H1255" s="14" t="n">
        <x:f>F1255/G1255-1</x:f>
        <x:v>0</x:v>
      </x:c>
      <x:c r="I1255" s="14" t="n">
        <x:f>F1255/F1254-1</x:f>
        <x:v>0.000058429817572314136</x:v>
      </x:c>
      <x:c r="J1255" s="12" t="n">
        <x:v>0</x:v>
      </x:c>
      <x:c r="K1255" s="12" t="n">
        <x:v>0</x:v>
      </x:c>
      <x:c r="L1255" s="12" t="n">
        <x:v>0</x:v>
      </x:c>
      <x:c r="M1255" s="2" t="str">
        <x:v>持有</x:v>
      </x:c>
    </x:row>
    <x:row r="1256" ht="23" customHeight="1">
      <x:c r="A1256" s="11" t="d">
        <x:v>2019-12-19T00:00:00.000Z</x:v>
      </x:c>
      <x:c r="B1256" s="12" t="n">
        <x:v>10996.958312</x:v>
      </x:c>
      <x:c r="C1256" s="13" t="n">
        <x:v>484</x:v>
      </x:c>
      <x:c r="D1256" s="12" t="n">
        <x:v>155315.59999999998</x:v>
      </x:c>
      <x:c r="E1256" s="12" t="n">
        <x:v>0</x:v>
      </x:c>
      <x:c r="F1256" s="12" t="n">
        <x:f>SUM(B1256,D1256:E1256)</x:f>
        <x:v>166312.55831199998</x:v>
      </x:c>
      <x:c r="G1256" s="12" t="n">
        <x:f>MAX(G1255,F1256)</x:f>
        <x:v>166312.55831199998</x:v>
      </x:c>
      <x:c r="H1256" s="14" t="n">
        <x:f>F1256/G1256-1</x:f>
        <x:v>0</x:v>
      </x:c>
      <x:c r="I1256" s="14" t="n">
        <x:f>F1256/F1255-1</x:f>
        <x:v>0.003826929444202154</x:v>
      </x:c>
      <x:c r="J1256" s="12" t="n">
        <x:v>0</x:v>
      </x:c>
      <x:c r="K1256" s="12" t="n">
        <x:v>0</x:v>
      </x:c>
      <x:c r="L1256" s="12" t="n">
        <x:v>0</x:v>
      </x:c>
      <x:c r="M1256" s="2" t="str">
        <x:v>持有</x:v>
      </x:c>
    </x:row>
    <x:row r="1257" ht="23" customHeight="1">
      <x:c r="A1257" s="11" t="d">
        <x:v>2019-12-20T00:00:00.000Z</x:v>
      </x:c>
      <x:c r="B1257" s="12" t="n">
        <x:v>10996.958312</x:v>
      </x:c>
      <x:c r="C1257" s="13" t="n">
        <x:v>484</x:v>
      </x:c>
      <x:c r="D1257" s="12" t="n">
        <x:v>155233.32</x:v>
      </x:c>
      <x:c r="E1257" s="12" t="n">
        <x:v>759.876128</x:v>
      </x:c>
      <x:c r="F1257" s="12" t="n">
        <x:f>SUM(B1257,D1257:E1257)</x:f>
        <x:v>166990.15444</x:v>
      </x:c>
      <x:c r="G1257" s="12" t="n">
        <x:f>MAX(G1256,F1257)</x:f>
        <x:v>166990.15444</x:v>
      </x:c>
      <x:c r="H1257" s="14" t="n">
        <x:f>F1257/G1257-1</x:f>
        <x:v>0</x:v>
      </x:c>
      <x:c r="I1257" s="14" t="n">
        <x:f>F1257/F1256-1</x:f>
        <x:v>0.00407423308785182</x:v>
      </x:c>
      <x:c r="J1257" s="12" t="n">
        <x:v>759.876128</x:v>
      </x:c>
      <x:c r="K1257" s="12" t="n">
        <x:v>0</x:v>
      </x:c>
      <x:c r="L1257" s="12" t="n">
        <x:v>0</x:v>
      </x:c>
      <x:c r="M1257" s="2" t="str">
        <x:v>持有</x:v>
      </x:c>
    </x:row>
    <x:row r="1258" ht="23" customHeight="1">
      <x:c r="A1258" s="11" t="d">
        <x:v>2019-12-23T00:00:00.000Z</x:v>
      </x:c>
      <x:c r="B1258" s="12" t="n">
        <x:v>10996.958312</x:v>
      </x:c>
      <x:c r="C1258" s="13" t="n">
        <x:v>484</x:v>
      </x:c>
      <x:c r="D1258" s="12" t="n">
        <x:v>155470.48</x:v>
      </x:c>
      <x:c r="E1258" s="12" t="n">
        <x:v>759.876128</x:v>
      </x:c>
      <x:c r="F1258" s="12" t="n">
        <x:f>SUM(B1258,D1258:E1258)</x:f>
        <x:v>167227.31444000002</x:v>
      </x:c>
      <x:c r="G1258" s="12" t="n">
        <x:f>MAX(G1257,F1258)</x:f>
        <x:v>167227.31444000002</x:v>
      </x:c>
      <x:c r="H1258" s="14" t="n">
        <x:f>F1258/G1258-1</x:f>
        <x:v>0</x:v>
      </x:c>
      <x:c r="I1258" s="14" t="n">
        <x:f>F1258/F1257-1</x:f>
        <x:v>0.0014202034892136783</x:v>
      </x:c>
      <x:c r="J1258" s="12" t="n">
        <x:v>0</x:v>
      </x:c>
      <x:c r="K1258" s="12" t="n">
        <x:v>0</x:v>
      </x:c>
      <x:c r="L1258" s="12" t="n">
        <x:v>0</x:v>
      </x:c>
      <x:c r="M1258" s="2" t="str">
        <x:v>持有</x:v>
      </x:c>
    </x:row>
    <x:row r="1259" ht="23" customHeight="1">
      <x:c r="A1259" s="11" t="d">
        <x:v>2019-12-24T00:00:00.000Z</x:v>
      </x:c>
      <x:c r="B1259" s="12" t="n">
        <x:v>10996.958312</x:v>
      </x:c>
      <x:c r="C1259" s="13" t="n">
        <x:v>484</x:v>
      </x:c>
      <x:c r="D1259" s="12" t="n">
        <x:v>155475.32</x:v>
      </x:c>
      <x:c r="E1259" s="12" t="n">
        <x:v>759.876128</x:v>
      </x:c>
      <x:c r="F1259" s="12" t="n">
        <x:f>SUM(B1259,D1259:E1259)</x:f>
        <x:v>167232.15444</x:v>
      </x:c>
      <x:c r="G1259" s="12" t="n">
        <x:f>MAX(G1258,F1259)</x:f>
        <x:v>167232.15444</x:v>
      </x:c>
      <x:c r="H1259" s="14" t="n">
        <x:f>F1259/G1259-1</x:f>
        <x:v>0</x:v>
      </x:c>
      <x:c r="I1259" s="14" t="n">
        <x:f>F1259/F1258-1</x:f>
        <x:v>0.000028942640239115747</x:v>
      </x:c>
      <x:c r="J1259" s="12" t="n">
        <x:v>0</x:v>
      </x:c>
      <x:c r="K1259" s="12" t="n">
        <x:v>0</x:v>
      </x:c>
      <x:c r="L1259" s="12" t="n">
        <x:v>0</x:v>
      </x:c>
      <x:c r="M1259" s="2" t="str">
        <x:v>持有</x:v>
      </x:c>
    </x:row>
    <x:row r="1260" ht="23" customHeight="1">
      <x:c r="A1260" s="11" t="d">
        <x:v>2019-12-26T00:00:00.000Z</x:v>
      </x:c>
      <x:c r="B1260" s="12" t="n">
        <x:v>10996.958312</x:v>
      </x:c>
      <x:c r="C1260" s="13" t="n">
        <x:v>484</x:v>
      </x:c>
      <x:c r="D1260" s="12" t="n">
        <x:v>156302.96</x:v>
      </x:c>
      <x:c r="E1260" s="12" t="n">
        <x:v>759.876128</x:v>
      </x:c>
      <x:c r="F1260" s="12" t="n">
        <x:f>SUM(B1260,D1260:E1260)</x:f>
        <x:v>168059.79444</x:v>
      </x:c>
      <x:c r="G1260" s="12" t="n">
        <x:f>MAX(G1259,F1260)</x:f>
        <x:v>168059.79444</x:v>
      </x:c>
      <x:c r="H1260" s="14" t="n">
        <x:f>F1260/G1260-1</x:f>
        <x:v>0</x:v>
      </x:c>
      <x:c r="I1260" s="14" t="n">
        <x:f>F1260/F1259-1</x:f>
        <x:v>0.004949048242375742</x:v>
      </x:c>
      <x:c r="J1260" s="12" t="n">
        <x:v>0</x:v>
      </x:c>
      <x:c r="K1260" s="12" t="n">
        <x:v>0</x:v>
      </x:c>
      <x:c r="L1260" s="12" t="n">
        <x:v>0</x:v>
      </x:c>
      <x:c r="M1260" s="2" t="str">
        <x:v>持有</x:v>
      </x:c>
    </x:row>
    <x:row r="1261" ht="23" customHeight="1">
      <x:c r="A1261" s="11" t="d">
        <x:v>2019-12-27T00:00:00.000Z</x:v>
      </x:c>
      <x:c r="B1261" s="12" t="n">
        <x:v>10996.958312</x:v>
      </x:c>
      <x:c r="C1261" s="13" t="n">
        <x:v>484</x:v>
      </x:c>
      <x:c r="D1261" s="12" t="n">
        <x:v>156264.24000000002</x:v>
      </x:c>
      <x:c r="E1261" s="12" t="n">
        <x:v>759.876128</x:v>
      </x:c>
      <x:c r="F1261" s="12" t="n">
        <x:f>SUM(B1261,D1261:E1261)</x:f>
        <x:v>168021.07444000003</x:v>
      </x:c>
      <x:c r="G1261" s="12" t="n">
        <x:f>MAX(G1260,F1261)</x:f>
        <x:v>168059.79444</x:v>
      </x:c>
      <x:c r="H1261" s="14" t="n">
        <x:f>F1261/G1261-1</x:f>
        <x:v>-0.00023039418874093442</x:v>
      </x:c>
      <x:c r="I1261" s="14" t="n">
        <x:f>F1261/F1260-1</x:f>
        <x:v>-0.00023039418874093442</x:v>
      </x:c>
      <x:c r="J1261" s="12" t="n">
        <x:v>0</x:v>
      </x:c>
      <x:c r="K1261" s="12" t="n">
        <x:v>0</x:v>
      </x:c>
      <x:c r="L1261" s="12" t="n">
        <x:v>0</x:v>
      </x:c>
      <x:c r="M1261" s="2" t="str">
        <x:v>持有</x:v>
      </x:c>
    </x:row>
    <x:row r="1262" ht="23" customHeight="1">
      <x:c r="A1262" s="11" t="d">
        <x:v>2019-12-30T00:00:00.000Z</x:v>
      </x:c>
      <x:c r="B1262" s="12" t="n">
        <x:v>10996.958312</x:v>
      </x:c>
      <x:c r="C1262" s="13" t="n">
        <x:v>484</x:v>
      </x:c>
      <x:c r="D1262" s="12" t="n">
        <x:v>155402.72</x:v>
      </x:c>
      <x:c r="E1262" s="12" t="n">
        <x:v>759.876128</x:v>
      </x:c>
      <x:c r="F1262" s="12" t="n">
        <x:f>SUM(B1262,D1262:E1262)</x:f>
        <x:v>167159.55444</x:v>
      </x:c>
      <x:c r="G1262" s="12" t="n">
        <x:f>MAX(G1261,F1262)</x:f>
        <x:v>168059.79444</x:v>
      </x:c>
      <x:c r="H1262" s="14" t="n">
        <x:f>F1262/G1262-1</x:f>
        <x:v>-0.0053566648882305</x:v>
      </x:c>
      <x:c r="I1262" s="14" t="n">
        <x:f>F1262/F1261-1</x:f>
        <x:v>-0.005127452034641489</x:v>
      </x:c>
      <x:c r="J1262" s="12" t="n">
        <x:v>0</x:v>
      </x:c>
      <x:c r="K1262" s="12" t="n">
        <x:v>0</x:v>
      </x:c>
      <x:c r="L1262" s="12" t="n">
        <x:v>0</x:v>
      </x:c>
      <x:c r="M1262" s="2" t="str">
        <x:v>持有</x:v>
      </x:c>
    </x:row>
    <x:row r="1263" ht="23" customHeight="1">
      <x:c r="A1263" s="11" t="d">
        <x:v>2019-12-31T00:00:00.000Z</x:v>
      </x:c>
      <x:c r="B1263" s="12" t="n">
        <x:v>10996.958312</x:v>
      </x:c>
      <x:c r="C1263" s="13" t="n">
        <x:v>484</x:v>
      </x:c>
      <x:c r="D1263" s="12" t="n">
        <x:v>155780.24000000002</x:v>
      </x:c>
      <x:c r="E1263" s="12" t="n">
        <x:v>759.876128</x:v>
      </x:c>
      <x:c r="F1263" s="12" t="n">
        <x:f>SUM(B1263,D1263:E1263)</x:f>
        <x:v>167537.07444000003</x:v>
      </x:c>
      <x:c r="G1263" s="12" t="n">
        <x:f>MAX(G1262,F1263)</x:f>
        <x:v>168059.79444</x:v>
      </x:c>
      <x:c r="H1263" s="14" t="n">
        <x:f>F1263/G1263-1</x:f>
        <x:v>-0.003110321548004724</x:v>
      </x:c>
      <x:c r="I1263" s="14" t="n">
        <x:f>F1263/F1262-1</x:f>
        <x:v>0.002258441052111815</x:v>
      </x:c>
      <x:c r="J1263" s="12" t="n">
        <x:v>0</x:v>
      </x:c>
      <x:c r="K1263" s="12" t="n">
        <x:v>0</x:v>
      </x:c>
      <x:c r="L1263" s="12" t="n">
        <x:v>0</x:v>
      </x:c>
      <x:c r="M1263" s="2" t="str">
        <x:v>持有</x:v>
      </x:c>
    </x:row>
    <x:row r="1264" ht="23" customHeight="1">
      <x:c r="A1264" s="11" t="d">
        <x:v>2020-01-02T00:00:00.000Z</x:v>
      </x:c>
      <x:c r="B1264" s="12" t="n">
        <x:v>10996.958312</x:v>
      </x:c>
      <x:c r="C1264" s="13" t="n">
        <x:v>484</x:v>
      </x:c>
      <x:c r="D1264" s="12" t="n">
        <x:v>157237.08000000002</x:v>
      </x:c>
      <x:c r="E1264" s="12" t="n">
        <x:v>759.876128</x:v>
      </x:c>
      <x:c r="F1264" s="12" t="n">
        <x:f>SUM(B1264,D1264:E1264)</x:f>
        <x:v>168993.91444000002</x:v>
      </x:c>
      <x:c r="G1264" s="12" t="n">
        <x:f>MAX(G1263,F1264)</x:f>
        <x:v>168993.91444000002</x:v>
      </x:c>
      <x:c r="H1264" s="14" t="n">
        <x:f>F1264/G1264-1</x:f>
        <x:v>0</x:v>
      </x:c>
      <x:c r="I1264" s="14" t="n">
        <x:f>F1264/F1263-1</x:f>
        <x:v>0.008695627549123452</x:v>
      </x:c>
      <x:c r="J1264" s="12" t="n">
        <x:v>0</x:v>
      </x:c>
      <x:c r="K1264" s="12" t="n">
        <x:v>0</x:v>
      </x:c>
      <x:c r="L1264" s="12" t="n">
        <x:v>0</x:v>
      </x:c>
      <x:c r="M1264" s="2" t="str">
        <x:v>持有</x:v>
      </x:c>
    </x:row>
    <x:row r="1265" ht="23" customHeight="1">
      <x:c r="A1265" s="11" t="d">
        <x:v>2020-01-03T00:00:00.000Z</x:v>
      </x:c>
      <x:c r="B1265" s="12" t="n">
        <x:v>10996.958312</x:v>
      </x:c>
      <x:c r="C1265" s="13" t="n">
        <x:v>484</x:v>
      </x:c>
      <x:c r="D1265" s="12" t="n">
        <x:v>156046.44</x:v>
      </x:c>
      <x:c r="E1265" s="12" t="n">
        <x:v>759.876128</x:v>
      </x:c>
      <x:c r="F1265" s="12" t="n">
        <x:f>SUM(B1265,D1265:E1265)</x:f>
        <x:v>167803.27444</x:v>
      </x:c>
      <x:c r="G1265" s="12" t="n">
        <x:f>MAX(G1264,F1265)</x:f>
        <x:v>168993.91444000002</x:v>
      </x:c>
      <x:c r="H1265" s="14" t="n">
        <x:f>F1265/G1265-1</x:f>
        <x:v>-0.007045460802215686</x:v>
      </x:c>
      <x:c r="I1265" s="14" t="n">
        <x:f>F1265/F1264-1</x:f>
        <x:v>-0.007045460802215686</x:v>
      </x:c>
      <x:c r="J1265" s="12" t="n">
        <x:v>0</x:v>
      </x:c>
      <x:c r="K1265" s="12" t="n">
        <x:v>0</x:v>
      </x:c>
      <x:c r="L1265" s="12" t="n">
        <x:v>0</x:v>
      </x:c>
      <x:c r="M1265" s="2" t="str">
        <x:v>持有</x:v>
      </x:c>
    </x:row>
    <x:row r="1266" ht="23" customHeight="1">
      <x:c r="A1266" s="11" t="d">
        <x:v>2020-01-06T00:00:00.000Z</x:v>
      </x:c>
      <x:c r="B1266" s="12" t="n">
        <x:v>10996.958312</x:v>
      </x:c>
      <x:c r="C1266" s="13" t="n">
        <x:v>484</x:v>
      </x:c>
      <x:c r="D1266" s="12" t="n">
        <x:v>156641.75999999998</x:v>
      </x:c>
      <x:c r="E1266" s="12" t="n">
        <x:v>759.876128</x:v>
      </x:c>
      <x:c r="F1266" s="12" t="n">
        <x:f>SUM(B1266,D1266:E1266)</x:f>
        <x:v>168398.59444</x:v>
      </x:c>
      <x:c r="G1266" s="12" t="n">
        <x:f>MAX(G1265,F1266)</x:f>
        <x:v>168993.91444000002</x:v>
      </x:c>
      <x:c r="H1266" s="14" t="n">
        <x:f>F1266/G1266-1</x:f>
        <x:v>-0.003522730401108065</x:v>
      </x:c>
      <x:c r="I1266" s="14" t="n">
        <x:f>F1266/F1265-1</x:f>
        <x:v>0.0035477257639142668</x:v>
      </x:c>
      <x:c r="J1266" s="12" t="n">
        <x:v>0</x:v>
      </x:c>
      <x:c r="K1266" s="12" t="n">
        <x:v>0</x:v>
      </x:c>
      <x:c r="L1266" s="12" t="n">
        <x:v>0</x:v>
      </x:c>
      <x:c r="M1266" s="2" t="str">
        <x:v>持有</x:v>
      </x:c>
    </x:row>
    <x:row r="1267" ht="23" customHeight="1">
      <x:c r="A1267" s="11" t="d">
        <x:v>2020-01-07T00:00:00.000Z</x:v>
      </x:c>
      <x:c r="B1267" s="12" t="n">
        <x:v>10996.958312</x:v>
      </x:c>
      <x:c r="C1267" s="13" t="n">
        <x:v>484</x:v>
      </x:c>
      <x:c r="D1267" s="12" t="n">
        <x:v>156201.32</x:v>
      </x:c>
      <x:c r="E1267" s="12" t="n">
        <x:v>759.876128</x:v>
      </x:c>
      <x:c r="F1267" s="12" t="n">
        <x:f>SUM(B1267,D1267:E1267)</x:f>
        <x:v>167958.15444</x:v>
      </x:c>
      <x:c r="G1267" s="12" t="n">
        <x:f>MAX(G1266,F1267)</x:f>
        <x:v>168993.91444000002</x:v>
      </x:c>
      <x:c r="H1267" s="14" t="n">
        <x:f>F1267/G1267-1</x:f>
        <x:v>-0.006128978096236359</x:v>
      </x:c>
      <x:c r="I1267" s="14" t="n">
        <x:f>F1267/F1266-1</x:f>
        <x:v>-0.0026154612600219895</x:v>
      </x:c>
      <x:c r="J1267" s="12" t="n">
        <x:v>0</x:v>
      </x:c>
      <x:c r="K1267" s="12" t="n">
        <x:v>0</x:v>
      </x:c>
      <x:c r="L1267" s="12" t="n">
        <x:v>0</x:v>
      </x:c>
      <x:c r="M1267" s="2" t="str">
        <x:v>持有</x:v>
      </x:c>
    </x:row>
    <x:row r="1268" ht="23" customHeight="1">
      <x:c r="A1268" s="11" t="d">
        <x:v>2020-01-08T00:00:00.000Z</x:v>
      </x:c>
      <x:c r="B1268" s="12" t="n">
        <x:v>10996.958312</x:v>
      </x:c>
      <x:c r="C1268" s="13" t="n">
        <x:v>484</x:v>
      </x:c>
      <x:c r="D1268" s="12" t="n">
        <x:v>157033.8</x:v>
      </x:c>
      <x:c r="E1268" s="12" t="n">
        <x:v>759.876128</x:v>
      </x:c>
      <x:c r="F1268" s="12" t="n">
        <x:f>SUM(B1268,D1268:E1268)</x:f>
        <x:v>168790.63444</x:v>
      </x:c>
      <x:c r="G1268" s="12" t="n">
        <x:f>MAX(G1267,F1268)</x:f>
        <x:v>168993.91444000002</x:v>
      </x:c>
      <x:c r="H1268" s="14" t="n">
        <x:f>F1268/G1268-1</x:f>
        <x:v>-0.001202883551597922</x:v>
      </x:c>
      <x:c r="I1268" s="14" t="n">
        <x:f>F1268/F1267-1</x:f>
        <x:v>0.0049564726569877315</x:v>
      </x:c>
      <x:c r="J1268" s="12" t="n">
        <x:v>0</x:v>
      </x:c>
      <x:c r="K1268" s="12" t="n">
        <x:v>0</x:v>
      </x:c>
      <x:c r="L1268" s="12" t="n">
        <x:v>0</x:v>
      </x:c>
      <x:c r="M1268" s="2" t="str">
        <x:v>持有</x:v>
      </x:c>
    </x:row>
    <x:row r="1269" ht="23" customHeight="1">
      <x:c r="A1269" s="11" t="d">
        <x:v>2020-01-09T00:00:00.000Z</x:v>
      </x:c>
      <x:c r="B1269" s="12" t="n">
        <x:v>10996.958312</x:v>
      </x:c>
      <x:c r="C1269" s="13" t="n">
        <x:v>484</x:v>
      </x:c>
      <x:c r="D1269" s="12" t="n">
        <x:v>158098.59999999998</x:v>
      </x:c>
      <x:c r="E1269" s="12" t="n">
        <x:v>759.876128</x:v>
      </x:c>
      <x:c r="F1269" s="12" t="n">
        <x:f>SUM(B1269,D1269:E1269)</x:f>
        <x:v>169855.43443999998</x:v>
      </x:c>
      <x:c r="G1269" s="12" t="n">
        <x:f>MAX(G1268,F1269)</x:f>
        <x:v>169855.43443999998</x:v>
      </x:c>
      <x:c r="H1269" s="14" t="n">
        <x:f>F1269/G1269-1</x:f>
        <x:v>0</x:v>
      </x:c>
      <x:c r="I1269" s="14" t="n">
        <x:f>F1269/F1268-1</x:f>
        <x:v>0.00630840688248302</x:v>
      </x:c>
      <x:c r="J1269" s="12" t="n">
        <x:v>0</x:v>
      </x:c>
      <x:c r="K1269" s="12" t="n">
        <x:v>0</x:v>
      </x:c>
      <x:c r="L1269" s="12" t="n">
        <x:v>0</x:v>
      </x:c>
      <x:c r="M1269" s="2" t="str">
        <x:v>持有</x:v>
      </x:c>
    </x:row>
    <x:row r="1270" ht="23" customHeight="1">
      <x:c r="A1270" s="11" t="d">
        <x:v>2020-01-10T00:00:00.000Z</x:v>
      </x:c>
      <x:c r="B1270" s="12" t="n">
        <x:v>10996.958312</x:v>
      </x:c>
      <x:c r="C1270" s="13" t="n">
        <x:v>484</x:v>
      </x:c>
      <x:c r="D1270" s="12" t="n">
        <x:v>157643.63999999998</x:v>
      </x:c>
      <x:c r="E1270" s="12" t="n">
        <x:v>759.876128</x:v>
      </x:c>
      <x:c r="F1270" s="12" t="n">
        <x:f>SUM(B1270,D1270:E1270)</x:f>
        <x:v>169400.47444</x:v>
      </x:c>
      <x:c r="G1270" s="12" t="n">
        <x:f>MAX(G1269,F1270)</x:f>
        <x:v>169855.43443999998</x:v>
      </x:c>
      <x:c r="H1270" s="14" t="n">
        <x:f>F1270/G1270-1</x:f>
        <x:v>-0.0026785130631820087</x:v>
      </x:c>
      <x:c r="I1270" s="14" t="n">
        <x:f>F1270/F1269-1</x:f>
        <x:v>-0.0026785130631820087</x:v>
      </x:c>
      <x:c r="J1270" s="12" t="n">
        <x:v>0</x:v>
      </x:c>
      <x:c r="K1270" s="12" t="n">
        <x:v>0</x:v>
      </x:c>
      <x:c r="L1270" s="12" t="n">
        <x:v>0</x:v>
      </x:c>
      <x:c r="M1270" s="2" t="str">
        <x:v>持有</x:v>
      </x:c>
    </x:row>
    <x:row r="1271" ht="23" customHeight="1">
      <x:c r="A1271" s="11" t="d">
        <x:v>2020-01-13T00:00:00.000Z</x:v>
      </x:c>
      <x:c r="B1271" s="12" t="n">
        <x:v>10996.958312</x:v>
      </x:c>
      <x:c r="C1271" s="13" t="n">
        <x:v>484</x:v>
      </x:c>
      <x:c r="D1271" s="12" t="n">
        <x:v>158727.8</x:v>
      </x:c>
      <x:c r="E1271" s="12" t="n">
        <x:v>759.876128</x:v>
      </x:c>
      <x:c r="F1271" s="12" t="n">
        <x:f>SUM(B1271,D1271:E1271)</x:f>
        <x:v>170484.63444</x:v>
      </x:c>
      <x:c r="G1271" s="12" t="n">
        <x:f>MAX(G1270,F1271)</x:f>
        <x:v>170484.63444</x:v>
      </x:c>
      <x:c r="H1271" s="14" t="n">
        <x:f>F1271/G1271-1</x:f>
        <x:v>0</x:v>
      </x:c>
      <x:c r="I1271" s="14" t="n">
        <x:f>F1271/F1270-1</x:f>
        <x:v>0.006399982075516508</x:v>
      </x:c>
      <x:c r="J1271" s="12" t="n">
        <x:v>0</x:v>
      </x:c>
      <x:c r="K1271" s="12" t="n">
        <x:v>0</x:v>
      </x:c>
      <x:c r="L1271" s="12" t="n">
        <x:v>0</x:v>
      </x:c>
      <x:c r="M1271" s="2" t="str">
        <x:v>持有</x:v>
      </x:c>
    </x:row>
    <x:row r="1272" ht="23" customHeight="1">
      <x:c r="A1272" s="11" t="d">
        <x:v>2020-01-14T00:00:00.000Z</x:v>
      </x:c>
      <x:c r="B1272" s="12" t="n">
        <x:v>10996.958312</x:v>
      </x:c>
      <x:c r="C1272" s="13" t="n">
        <x:v>484</x:v>
      </x:c>
      <x:c r="D1272" s="12" t="n">
        <x:v>158485.8</x:v>
      </x:c>
      <x:c r="E1272" s="12" t="n">
        <x:v>759.876128</x:v>
      </x:c>
      <x:c r="F1272" s="12" t="n">
        <x:f>SUM(B1272,D1272:E1272)</x:f>
        <x:v>170242.63444</x:v>
      </x:c>
      <x:c r="G1272" s="12" t="n">
        <x:f>MAX(G1271,F1272)</x:f>
        <x:v>170484.63444</x:v>
      </x:c>
      <x:c r="H1272" s="14" t="n">
        <x:f>F1272/G1272-1</x:f>
        <x:v>-0.0014194827633288165</x:v>
      </x:c>
      <x:c r="I1272" s="14" t="n">
        <x:f>F1272/F1271-1</x:f>
        <x:v>-0.0014194827633288165</x:v>
      </x:c>
      <x:c r="J1272" s="12" t="n">
        <x:v>0</x:v>
      </x:c>
      <x:c r="K1272" s="12" t="n">
        <x:v>0</x:v>
      </x:c>
      <x:c r="L1272" s="12" t="n">
        <x:v>0</x:v>
      </x:c>
      <x:c r="M1272" s="2" t="str">
        <x:v>持有</x:v>
      </x:c>
    </x:row>
    <x:row r="1273" ht="23" customHeight="1">
      <x:c r="A1273" s="11" t="d">
        <x:v>2020-01-15T00:00:00.000Z</x:v>
      </x:c>
      <x:c r="B1273" s="12" t="n">
        <x:v>10996.958312</x:v>
      </x:c>
      <x:c r="C1273" s="13" t="n">
        <x:v>484</x:v>
      </x:c>
      <x:c r="D1273" s="12" t="n">
        <x:v>158843.96</x:v>
      </x:c>
      <x:c r="E1273" s="12" t="n">
        <x:v>759.876128</x:v>
      </x:c>
      <x:c r="F1273" s="12" t="n">
        <x:f>SUM(B1273,D1273:E1273)</x:f>
        <x:v>170600.79444</x:v>
      </x:c>
      <x:c r="G1273" s="12" t="n">
        <x:f>MAX(G1272,F1273)</x:f>
        <x:v>170600.79444</x:v>
      </x:c>
      <x:c r="H1273" s="14" t="n">
        <x:f>F1273/G1273-1</x:f>
        <x:v>0</x:v>
      </x:c>
      <x:c r="I1273" s="14" t="n">
        <x:f>F1273/F1272-1</x:f>
        <x:v>0.0021038208271280112</x:v>
      </x:c>
      <x:c r="J1273" s="12" t="n">
        <x:v>0</x:v>
      </x:c>
      <x:c r="K1273" s="12" t="n">
        <x:v>0</x:v>
      </x:c>
      <x:c r="L1273" s="12" t="n">
        <x:v>0</x:v>
      </x:c>
      <x:c r="M1273" s="2" t="str">
        <x:v>持有</x:v>
      </x:c>
    </x:row>
    <x:row r="1274" ht="23" customHeight="1">
      <x:c r="A1274" s="11" t="d">
        <x:v>2020-01-16T00:00:00.000Z</x:v>
      </x:c>
      <x:c r="B1274" s="12" t="n">
        <x:v>10996.958312</x:v>
      </x:c>
      <x:c r="C1274" s="13" t="n">
        <x:v>484</x:v>
      </x:c>
      <x:c r="D1274" s="12" t="n">
        <x:v>160165.28</x:v>
      </x:c>
      <x:c r="E1274" s="12" t="n">
        <x:v>759.876128</x:v>
      </x:c>
      <x:c r="F1274" s="12" t="n">
        <x:f>SUM(B1274,D1274:E1274)</x:f>
        <x:v>171922.11444</x:v>
      </x:c>
      <x:c r="G1274" s="12" t="n">
        <x:f>MAX(G1273,F1274)</x:f>
        <x:v>171922.11444</x:v>
      </x:c>
      <x:c r="H1274" s="14" t="n">
        <x:f>F1274/G1274-1</x:f>
        <x:v>0</x:v>
      </x:c>
      <x:c r="I1274" s="14" t="n">
        <x:f>F1274/F1273-1</x:f>
        <x:v>0.007745098751370083</x:v>
      </x:c>
      <x:c r="J1274" s="12" t="n">
        <x:v>0</x:v>
      </x:c>
      <x:c r="K1274" s="12" t="n">
        <x:v>0</x:v>
      </x:c>
      <x:c r="L1274" s="12" t="n">
        <x:v>0</x:v>
      </x:c>
      <x:c r="M1274" s="2" t="str">
        <x:v>持有</x:v>
      </x:c>
    </x:row>
    <x:row r="1275" ht="23" customHeight="1">
      <x:c r="A1275" s="11" t="d">
        <x:v>2020-01-17T00:00:00.000Z</x:v>
      </x:c>
      <x:c r="B1275" s="12" t="n">
        <x:v>10996.958312</x:v>
      </x:c>
      <x:c r="C1275" s="13" t="n">
        <x:v>484</x:v>
      </x:c>
      <x:c r="D1275" s="12" t="n">
        <x:v>160663.8</x:v>
      </x:c>
      <x:c r="E1275" s="12" t="n">
        <x:v>759.876128</x:v>
      </x:c>
      <x:c r="F1275" s="12" t="n">
        <x:f>SUM(B1275,D1275:E1275)</x:f>
        <x:v>172420.63444</x:v>
      </x:c>
      <x:c r="G1275" s="12" t="n">
        <x:f>MAX(G1274,F1275)</x:f>
        <x:v>172420.63444</x:v>
      </x:c>
      <x:c r="H1275" s="14" t="n">
        <x:f>F1275/G1275-1</x:f>
        <x:v>0</x:v>
      </x:c>
      <x:c r="I1275" s="14" t="n">
        <x:f>F1275/F1274-1</x:f>
        <x:v>0.0028996851372136145</x:v>
      </x:c>
      <x:c r="J1275" s="12" t="n">
        <x:v>0</x:v>
      </x:c>
      <x:c r="K1275" s="12" t="n">
        <x:v>0</x:v>
      </x:c>
      <x:c r="L1275" s="12" t="n">
        <x:v>0</x:v>
      </x:c>
      <x:c r="M1275" s="2" t="str">
        <x:v>持有</x:v>
      </x:c>
    </x:row>
    <x:row r="1276" ht="23" customHeight="1">
      <x:c r="A1276" s="11" t="d">
        <x:v>2020-01-21T00:00:00.000Z</x:v>
      </x:c>
      <x:c r="B1276" s="12" t="n">
        <x:v>10996.958312</x:v>
      </x:c>
      <x:c r="C1276" s="13" t="n">
        <x:v>484</x:v>
      </x:c>
      <x:c r="D1276" s="12" t="n">
        <x:v>160349.2</x:v>
      </x:c>
      <x:c r="E1276" s="12" t="n">
        <x:v>759.876128</x:v>
      </x:c>
      <x:c r="F1276" s="12" t="n">
        <x:f>SUM(B1276,D1276:E1276)</x:f>
        <x:v>172106.03444000002</x:v>
      </x:c>
      <x:c r="G1276" s="12" t="n">
        <x:f>MAX(G1275,F1276)</x:f>
        <x:v>172420.63444</x:v>
      </x:c>
      <x:c r="H1276" s="14" t="n">
        <x:f>F1276/G1276-1</x:f>
        <x:v>-0.0018246076000227873</x:v>
      </x:c>
      <x:c r="I1276" s="14" t="n">
        <x:f>F1276/F1275-1</x:f>
        <x:v>-0.0018246076000227873</x:v>
      </x:c>
      <x:c r="J1276" s="12" t="n">
        <x:v>0</x:v>
      </x:c>
      <x:c r="K1276" s="12" t="n">
        <x:v>0</x:v>
      </x:c>
      <x:c r="L1276" s="12" t="n">
        <x:v>0</x:v>
      </x:c>
      <x:c r="M1276" s="2" t="str">
        <x:v>持有</x:v>
      </x:c>
    </x:row>
    <x:row r="1277" ht="23" customHeight="1">
      <x:c r="A1277" s="11" t="d">
        <x:v>2020-01-22T00:00:00.000Z</x:v>
      </x:c>
      <x:c r="B1277" s="12" t="n">
        <x:v>10996.958312</x:v>
      </x:c>
      <x:c r="C1277" s="13" t="n">
        <x:v>484</x:v>
      </x:c>
      <x:c r="D1277" s="12" t="n">
        <x:v>160368.56</x:v>
      </x:c>
      <x:c r="E1277" s="12" t="n">
        <x:v>759.876128</x:v>
      </x:c>
      <x:c r="F1277" s="12" t="n">
        <x:f>SUM(B1277,D1277:E1277)</x:f>
        <x:v>172125.39444</x:v>
      </x:c>
      <x:c r="G1277" s="12" t="n">
        <x:f>MAX(G1276,F1277)</x:f>
        <x:v>172420.63444</x:v>
      </x:c>
      <x:c r="H1277" s="14" t="n">
        <x:f>F1277/G1277-1</x:f>
        <x:v>-0.0017123240554061114</x:v>
      </x:c>
      <x:c r="I1277" s="14" t="n">
        <x:f>F1277/F1276-1</x:f>
        <x:v>0.00011248879252256927</x:v>
      </x:c>
      <x:c r="J1277" s="12" t="n">
        <x:v>0</x:v>
      </x:c>
      <x:c r="K1277" s="12" t="n">
        <x:v>0</x:v>
      </x:c>
      <x:c r="L1277" s="12" t="n">
        <x:v>0</x:v>
      </x:c>
      <x:c r="M1277" s="2" t="str">
        <x:v>持有</x:v>
      </x:c>
    </x:row>
    <x:row r="1278" ht="23" customHeight="1">
      <x:c r="A1278" s="11" t="d">
        <x:v>2020-01-23T00:00:00.000Z</x:v>
      </x:c>
      <x:c r="B1278" s="12" t="n">
        <x:v>10996.958312</x:v>
      </x:c>
      <x:c r="C1278" s="13" t="n">
        <x:v>484</x:v>
      </x:c>
      <x:c r="D1278" s="12" t="n">
        <x:v>160552.48</x:v>
      </x:c>
      <x:c r="E1278" s="12" t="n">
        <x:v>759.876128</x:v>
      </x:c>
      <x:c r="F1278" s="12" t="n">
        <x:f>SUM(B1278,D1278:E1278)</x:f>
        <x:v>172309.31444000002</x:v>
      </x:c>
      <x:c r="G1278" s="12" t="n">
        <x:f>MAX(G1277,F1278)</x:f>
        <x:v>172420.63444</x:v>
      </x:c>
      <x:c r="H1278" s="14" t="n">
        <x:f>F1278/G1278-1</x:f>
        <x:v>-0.0006456303815464137</x:v>
      </x:c>
      <x:c r="I1278" s="14" t="n">
        <x:f>F1278/F1277-1</x:f>
        <x:v>0.0010685233320648635</x:v>
      </x:c>
      <x:c r="J1278" s="12" t="n">
        <x:v>0</x:v>
      </x:c>
      <x:c r="K1278" s="12" t="n">
        <x:v>0</x:v>
      </x:c>
      <x:c r="L1278" s="12" t="n">
        <x:v>0</x:v>
      </x:c>
      <x:c r="M1278" s="2" t="str">
        <x:v>持有</x:v>
      </x:c>
    </x:row>
    <x:row r="1279" ht="23" customHeight="1">
      <x:c r="A1279" s="11" t="d">
        <x:v>2020-01-24T00:00:00.000Z</x:v>
      </x:c>
      <x:c r="B1279" s="12" t="n">
        <x:v>10996.958312</x:v>
      </x:c>
      <x:c r="C1279" s="13" t="n">
        <x:v>484</x:v>
      </x:c>
      <x:c r="D1279" s="12" t="n">
        <x:v>159124.68</x:v>
      </x:c>
      <x:c r="E1279" s="12" t="n">
        <x:v>759.876128</x:v>
      </x:c>
      <x:c r="F1279" s="12" t="n">
        <x:f>SUM(B1279,D1279:E1279)</x:f>
        <x:v>170881.51444</x:v>
      </x:c>
      <x:c r="G1279" s="12" t="n">
        <x:f>MAX(G1278,F1279)</x:f>
        <x:v>172420.63444</x:v>
      </x:c>
      <x:c r="H1279" s="14" t="n">
        <x:f>F1279/G1279-1</x:f>
        <x:v>-0.008926541797035226</x:v>
      </x:c>
      <x:c r="I1279" s="14" t="n">
        <x:f>F1279/F1278-1</x:f>
        <x:v>-0.00828626127751897</x:v>
      </x:c>
      <x:c r="J1279" s="12" t="n">
        <x:v>0</x:v>
      </x:c>
      <x:c r="K1279" s="12" t="n">
        <x:v>0</x:v>
      </x:c>
      <x:c r="L1279" s="12" t="n">
        <x:v>0</x:v>
      </x:c>
      <x:c r="M1279" s="2" t="str">
        <x:v>持有</x:v>
      </x:c>
    </x:row>
    <x:row r="1280" ht="23" customHeight="1">
      <x:c r="A1280" s="11" t="d">
        <x:v>2020-01-27T00:00:00.000Z</x:v>
      </x:c>
      <x:c r="B1280" s="12" t="n">
        <x:v>10996.958312</x:v>
      </x:c>
      <x:c r="C1280" s="13" t="n">
        <x:v>484</x:v>
      </x:c>
      <x:c r="D1280" s="12" t="n">
        <x:v>156574</x:v>
      </x:c>
      <x:c r="E1280" s="12" t="n">
        <x:v>759.876128</x:v>
      </x:c>
      <x:c r="F1280" s="12" t="n">
        <x:f>SUM(B1280,D1280:E1280)</x:f>
        <x:v>168330.83444</x:v>
      </x:c>
      <x:c r="G1280" s="12" t="n">
        <x:f>MAX(G1279,F1280)</x:f>
        <x:v>172420.63444</x:v>
      </x:c>
      <x:c r="H1280" s="14" t="n">
        <x:f>F1280/G1280-1</x:f>
        <x:v>-0.023719898800298123</x:v>
      </x:c>
      <x:c r="I1280" s="14" t="n">
        <x:f>F1280/F1279-1</x:f>
        <x:v>-0.014926599921348371</x:v>
      </x:c>
      <x:c r="J1280" s="12" t="n">
        <x:v>0</x:v>
      </x:c>
      <x:c r="K1280" s="12" t="n">
        <x:v>0</x:v>
      </x:c>
      <x:c r="L1280" s="12" t="n">
        <x:v>0</x:v>
      </x:c>
      <x:c r="M1280" s="2" t="str">
        <x:v>持有</x:v>
      </x:c>
    </x:row>
    <x:row r="1281" ht="23" customHeight="1">
      <x:c r="A1281" s="11" t="d">
        <x:v>2020-01-28T00:00:00.000Z</x:v>
      </x:c>
      <x:c r="B1281" s="12" t="n">
        <x:v>10996.958312</x:v>
      </x:c>
      <x:c r="C1281" s="13" t="n">
        <x:v>484</x:v>
      </x:c>
      <x:c r="D1281" s="12" t="n">
        <x:v>158214.75999999998</x:v>
      </x:c>
      <x:c r="E1281" s="12" t="n">
        <x:v>759.876128</x:v>
      </x:c>
      <x:c r="F1281" s="12" t="n">
        <x:f>SUM(B1281,D1281:E1281)</x:f>
        <x:v>169971.59444</x:v>
      </x:c>
      <x:c r="G1281" s="12" t="n">
        <x:f>MAX(G1280,F1281)</x:f>
        <x:v>172420.63444</x:v>
      </x:c>
      <x:c r="H1281" s="14" t="n">
        <x:f>F1281/G1281-1</x:f>
        <x:v>-0.014203868394024766</x:v>
      </x:c>
      <x:c r="I1281" s="14" t="n">
        <x:f>F1281/F1280-1</x:f>
        <x:v>0.009747233805728062</x:v>
      </x:c>
      <x:c r="J1281" s="12" t="n">
        <x:v>0</x:v>
      </x:c>
      <x:c r="K1281" s="12" t="n">
        <x:v>0</x:v>
      </x:c>
      <x:c r="L1281" s="12" t="n">
        <x:v>0</x:v>
      </x:c>
      <x:c r="M1281" s="2" t="str">
        <x:v>持有</x:v>
      </x:c>
    </x:row>
    <x:row r="1282" ht="23" customHeight="1">
      <x:c r="A1282" s="11" t="d">
        <x:v>2020-01-29T00:00:00.000Z</x:v>
      </x:c>
      <x:c r="B1282" s="12" t="n">
        <x:v>10996.958312</x:v>
      </x:c>
      <x:c r="C1282" s="13" t="n">
        <x:v>484</x:v>
      </x:c>
      <x:c r="D1282" s="12" t="n">
        <x:v>158084.08000000002</x:v>
      </x:c>
      <x:c r="E1282" s="12" t="n">
        <x:v>759.876128</x:v>
      </x:c>
      <x:c r="F1282" s="12" t="n">
        <x:f>SUM(B1282,D1282:E1282)</x:f>
        <x:v>169840.91444000002</x:v>
      </x:c>
      <x:c r="G1282" s="12" t="n">
        <x:f>MAX(G1281,F1282)</x:f>
        <x:v>172420.63444</x:v>
      </x:c>
      <x:c r="H1282" s="14" t="n">
        <x:f>F1282/G1282-1</x:f>
        <x:v>-0.014961782320187855</x:v>
      </x:c>
      <x:c r="I1282" s="14" t="n">
        <x:f>F1282/F1281-1</x:f>
        <x:v>-0.0007688343480598547</x:v>
      </x:c>
      <x:c r="J1282" s="12" t="n">
        <x:v>0</x:v>
      </x:c>
      <x:c r="K1282" s="12" t="n">
        <x:v>0</x:v>
      </x:c>
      <x:c r="L1282" s="12" t="n">
        <x:v>0</x:v>
      </x:c>
      <x:c r="M1282" s="2" t="str">
        <x:v>持有</x:v>
      </x:c>
    </x:row>
    <x:row r="1283" ht="23" customHeight="1">
      <x:c r="A1283" s="11" t="d">
        <x:v>2020-01-30T00:00:00.000Z</x:v>
      </x:c>
      <x:c r="B1283" s="12" t="n">
        <x:v>10996.958312</x:v>
      </x:c>
      <x:c r="C1283" s="13" t="n">
        <x:v>484</x:v>
      </x:c>
      <x:c r="D1283" s="12" t="n">
        <x:v>158597.12</x:v>
      </x:c>
      <x:c r="E1283" s="12" t="n">
        <x:v>759.876128</x:v>
      </x:c>
      <x:c r="F1283" s="12" t="n">
        <x:f>SUM(B1283,D1283:E1283)</x:f>
        <x:v>170353.95444</x:v>
      </x:c>
      <x:c r="G1283" s="12" t="n">
        <x:f>MAX(G1282,F1283)</x:f>
        <x:v>172420.63444</x:v>
      </x:c>
      <x:c r="H1283" s="14" t="n">
        <x:f>F1283/G1283-1</x:f>
        <x:v>-0.011986268387842891</x:v>
      </x:c>
      <x:c r="I1283" s="14" t="n">
        <x:f>F1283/F1282-1</x:f>
        <x:v>0.0030207091247216322</x:v>
      </x:c>
      <x:c r="J1283" s="12" t="n">
        <x:v>0</x:v>
      </x:c>
      <x:c r="K1283" s="12" t="n">
        <x:v>0</x:v>
      </x:c>
      <x:c r="L1283" s="12" t="n">
        <x:v>0</x:v>
      </x:c>
      <x:c r="M1283" s="2" t="str">
        <x:v>持有</x:v>
      </x:c>
    </x:row>
    <x:row r="1284" ht="23" customHeight="1">
      <x:c r="A1284" s="11" t="d">
        <x:v>2020-01-31T00:00:00.000Z</x:v>
      </x:c>
      <x:c r="B1284" s="12" t="n">
        <x:v>11756.83444</x:v>
      </x:c>
      <x:c r="C1284" s="13" t="n">
        <x:v>484</x:v>
      </x:c>
      <x:c r="D1284" s="12" t="n">
        <x:v>155717.32</x:v>
      </x:c>
      <x:c r="E1284" s="12" t="n">
        <x:v>0</x:v>
      </x:c>
      <x:c r="F1284" s="12" t="n">
        <x:f>SUM(B1284,D1284:E1284)</x:f>
        <x:v>167474.15444</x:v>
      </x:c>
      <x:c r="G1284" s="12" t="n">
        <x:f>MAX(G1283,F1284)</x:f>
        <x:v>172420.63444</x:v>
      </x:c>
      <x:c r="H1284" s="14" t="n">
        <x:f>F1284/G1284-1</x:f>
        <x:v>-0.028688445649591277</x:v>
      </x:c>
      <x:c r="I1284" s="14" t="n">
        <x:f>F1284/F1283-1</x:f>
        <x:v>-0.016904802764729943</x:v>
      </x:c>
      <x:c r="J1284" s="12" t="n">
        <x:v>0</x:v>
      </x:c>
      <x:c r="K1284" s="12" t="n">
        <x:v>759.876128</x:v>
      </x:c>
      <x:c r="L1284" s="12" t="n">
        <x:v>0</x:v>
      </x:c>
      <x:c r="M1284" s="2" t="str">
        <x:v>持有</x:v>
      </x:c>
    </x:row>
    <x:row r="1285" ht="23" customHeight="1">
      <x:c r="A1285" s="11" t="d">
        <x:v>2020-02-03T00:00:00.000Z</x:v>
      </x:c>
      <x:c r="B1285" s="12" t="n">
        <x:v>11756.83444</x:v>
      </x:c>
      <x:c r="C1285" s="13" t="n">
        <x:v>484</x:v>
      </x:c>
      <x:c r="D1285" s="12" t="n">
        <x:v>156874.08000000002</x:v>
      </x:c>
      <x:c r="E1285" s="12" t="n">
        <x:v>0</x:v>
      </x:c>
      <x:c r="F1285" s="12" t="n">
        <x:f>SUM(B1285,D1285:E1285)</x:f>
        <x:v>168630.91444000002</x:v>
      </x:c>
      <x:c r="G1285" s="12" t="n">
        <x:f>MAX(G1284,F1285)</x:f>
        <x:v>172420.63444</x:v>
      </x:c>
      <x:c r="H1285" s="14" t="n">
        <x:f>F1285/G1285-1</x:f>
        <x:v>-0.021979503858737592</x:v>
      </x:c>
      <x:c r="I1285" s="14" t="n">
        <x:f>F1285/F1284-1</x:f>
        <x:v>0.006907095628384985</x:v>
      </x:c>
      <x:c r="J1285" s="12" t="n">
        <x:v>0</x:v>
      </x:c>
      <x:c r="K1285" s="12" t="n">
        <x:v>0</x:v>
      </x:c>
      <x:c r="L1285" s="12" t="n">
        <x:v>0</x:v>
      </x:c>
      <x:c r="M1285" s="2" t="str">
        <x:v>持有</x:v>
      </x:c>
    </x:row>
    <x:row r="1286" ht="23" customHeight="1">
      <x:c r="A1286" s="11" t="d">
        <x:v>2020-02-04T00:00:00.000Z</x:v>
      </x:c>
      <x:c r="B1286" s="12" t="n">
        <x:v>11756.83444</x:v>
      </x:c>
      <x:c r="C1286" s="13" t="n">
        <x:v>484</x:v>
      </x:c>
      <x:c r="D1286" s="12" t="n">
        <x:v>159265.04</x:v>
      </x:c>
      <x:c r="E1286" s="12" t="n">
        <x:v>0</x:v>
      </x:c>
      <x:c r="F1286" s="12" t="n">
        <x:f>SUM(B1286,D1286:E1286)</x:f>
        <x:v>171021.87444</x:v>
      </x:c>
      <x:c r="G1286" s="12" t="n">
        <x:f>MAX(G1285,F1286)</x:f>
        <x:v>172420.63444</x:v>
      </x:c>
      <x:c r="H1286" s="14" t="n">
        <x:f>F1286/G1286-1</x:f>
        <x:v>-0.00811248609856341</x:v>
      </x:c>
      <x:c r="I1286" s="14" t="n">
        <x:f>F1286/F1285-1</x:f>
        <x:v>0.014178657620045776</x:v>
      </x:c>
      <x:c r="J1286" s="12" t="n">
        <x:v>0</x:v>
      </x:c>
      <x:c r="K1286" s="12" t="n">
        <x:v>0</x:v>
      </x:c>
      <x:c r="L1286" s="12" t="n">
        <x:v>0</x:v>
      </x:c>
      <x:c r="M1286" s="2" t="str">
        <x:v>持有</x:v>
      </x:c>
    </x:row>
    <x:row r="1287" ht="23" customHeight="1">
      <x:c r="A1287" s="11" t="d">
        <x:v>2020-02-05T00:00:00.000Z</x:v>
      </x:c>
      <x:c r="B1287" s="12" t="n">
        <x:v>11756.83444</x:v>
      </x:c>
      <x:c r="C1287" s="13" t="n">
        <x:v>484</x:v>
      </x:c>
      <x:c r="D1287" s="12" t="n">
        <x:v>161104.24000000002</x:v>
      </x:c>
      <x:c r="E1287" s="12" t="n">
        <x:v>0</x:v>
      </x:c>
      <x:c r="F1287" s="12" t="n">
        <x:f>SUM(B1287,D1287:E1287)</x:f>
        <x:v>172861.07444000003</x:v>
      </x:c>
      <x:c r="G1287" s="12" t="n">
        <x:f>MAX(G1286,F1287)</x:f>
        <x:v>172861.07444000003</x:v>
      </x:c>
      <x:c r="H1287" s="14" t="n">
        <x:f>F1287/G1287-1</x:f>
        <x:v>0</x:v>
      </x:c>
      <x:c r="I1287" s="14" t="n">
        <x:f>F1287/F1286-1</x:f>
        <x:v>0.010754179873319503</x:v>
      </x:c>
      <x:c r="J1287" s="12" t="n">
        <x:v>0</x:v>
      </x:c>
      <x:c r="K1287" s="12" t="n">
        <x:v>0</x:v>
      </x:c>
      <x:c r="L1287" s="12" t="n">
        <x:v>0</x:v>
      </x:c>
      <x:c r="M1287" s="2" t="str">
        <x:v>持有</x:v>
      </x:c>
    </x:row>
    <x:row r="1288" ht="23" customHeight="1">
      <x:c r="A1288" s="11" t="d">
        <x:v>2020-02-06T00:00:00.000Z</x:v>
      </x:c>
      <x:c r="B1288" s="12" t="n">
        <x:v>11756.83444</x:v>
      </x:c>
      <x:c r="C1288" s="13" t="n">
        <x:v>484</x:v>
      </x:c>
      <x:c r="D1288" s="12" t="n">
        <x:v>161646.32</x:v>
      </x:c>
      <x:c r="E1288" s="12" t="n">
        <x:v>0</x:v>
      </x:c>
      <x:c r="F1288" s="12" t="n">
        <x:f>SUM(B1288,D1288:E1288)</x:f>
        <x:v>173403.15444</x:v>
      </x:c>
      <x:c r="G1288" s="12" t="n">
        <x:f>MAX(G1287,F1288)</x:f>
        <x:v>173403.15444</x:v>
      </x:c>
      <x:c r="H1288" s="14" t="n">
        <x:f>F1288/G1288-1</x:f>
        <x:v>0</x:v>
      </x:c>
      <x:c r="I1288" s="14" t="n">
        <x:f>F1288/F1287-1</x:f>
        <x:v>0.003135928674261157</x:v>
      </x:c>
      <x:c r="J1288" s="12" t="n">
        <x:v>0</x:v>
      </x:c>
      <x:c r="K1288" s="12" t="n">
        <x:v>0</x:v>
      </x:c>
      <x:c r="L1288" s="12" t="n">
        <x:v>0</x:v>
      </x:c>
      <x:c r="M1288" s="2" t="str">
        <x:v>持有</x:v>
      </x:c>
    </x:row>
    <x:row r="1289" ht="23" customHeight="1">
      <x:c r="A1289" s="11" t="d">
        <x:v>2020-02-07T00:00:00.000Z</x:v>
      </x:c>
      <x:c r="B1289" s="12" t="n">
        <x:v>11756.83444</x:v>
      </x:c>
      <x:c r="C1289" s="13" t="n">
        <x:v>484</x:v>
      </x:c>
      <x:c r="D1289" s="12" t="n">
        <x:v>160784.8</x:v>
      </x:c>
      <x:c r="E1289" s="12" t="n">
        <x:v>0</x:v>
      </x:c>
      <x:c r="F1289" s="12" t="n">
        <x:f>SUM(B1289,D1289:E1289)</x:f>
        <x:v>172541.63444</x:v>
      </x:c>
      <x:c r="G1289" s="12" t="n">
        <x:f>MAX(G1288,F1289)</x:f>
        <x:v>173403.15444</x:v>
      </x:c>
      <x:c r="H1289" s="14" t="n">
        <x:f>F1289/G1289-1</x:f>
        <x:v>-0.004968306388556054</x:v>
      </x:c>
      <x:c r="I1289" s="14" t="n">
        <x:f>F1289/F1288-1</x:f>
        <x:v>-0.004968306388556054</x:v>
      </x:c>
      <x:c r="J1289" s="12" t="n">
        <x:v>0</x:v>
      </x:c>
      <x:c r="K1289" s="12" t="n">
        <x:v>0</x:v>
      </x:c>
      <x:c r="L1289" s="12" t="n">
        <x:v>0</x:v>
      </x:c>
      <x:c r="M1289" s="2" t="str">
        <x:v>持有</x:v>
      </x:c>
    </x:row>
    <x:row r="1290" ht="23" customHeight="1">
      <x:c r="A1290" s="11" t="d">
        <x:v>2020-02-10T00:00:00.000Z</x:v>
      </x:c>
      <x:c r="B1290" s="12" t="n">
        <x:v>11756.83444</x:v>
      </x:c>
      <x:c r="C1290" s="13" t="n">
        <x:v>484</x:v>
      </x:c>
      <x:c r="D1290" s="12" t="n">
        <x:v>161985.12</x:v>
      </x:c>
      <x:c r="E1290" s="12" t="n">
        <x:v>0</x:v>
      </x:c>
      <x:c r="F1290" s="12" t="n">
        <x:f>SUM(B1290,D1290:E1290)</x:f>
        <x:v>173741.95444</x:v>
      </x:c>
      <x:c r="G1290" s="12" t="n">
        <x:f>MAX(G1289,F1290)</x:f>
        <x:v>173741.95444</x:v>
      </x:c>
      <x:c r="H1290" s="14" t="n">
        <x:f>F1290/G1290-1</x:f>
        <x:v>0</x:v>
      </x:c>
      <x:c r="I1290" s="14" t="n">
        <x:f>F1290/F1289-1</x:f>
        <x:v>0.006956697749477936</x:v>
      </x:c>
      <x:c r="J1290" s="12" t="n">
        <x:v>0</x:v>
      </x:c>
      <x:c r="K1290" s="12" t="n">
        <x:v>0</x:v>
      </x:c>
      <x:c r="L1290" s="12" t="n">
        <x:v>0</x:v>
      </x:c>
      <x:c r="M1290" s="2" t="str">
        <x:v>持有</x:v>
      </x:c>
    </x:row>
    <x:row r="1291" ht="23" customHeight="1">
      <x:c r="A1291" s="11" t="d">
        <x:v>2020-02-11T00:00:00.000Z</x:v>
      </x:c>
      <x:c r="B1291" s="12" t="n">
        <x:v>11756.83444</x:v>
      </x:c>
      <x:c r="C1291" s="13" t="n">
        <x:v>484</x:v>
      </x:c>
      <x:c r="D1291" s="12" t="n">
        <x:v>162265.84</x:v>
      </x:c>
      <x:c r="E1291" s="12" t="n">
        <x:v>0</x:v>
      </x:c>
      <x:c r="F1291" s="12" t="n">
        <x:f>SUM(B1291,D1291:E1291)</x:f>
        <x:v>174022.67444</x:v>
      </x:c>
      <x:c r="G1291" s="12" t="n">
        <x:f>MAX(G1290,F1291)</x:f>
        <x:v>174022.67444</x:v>
      </x:c>
      <x:c r="H1291" s="14" t="n">
        <x:f>F1291/G1291-1</x:f>
        <x:v>0</x:v>
      </x:c>
      <x:c r="I1291" s="14" t="n">
        <x:f>F1291/F1290-1</x:f>
        <x:v>0.001615729493229301</x:v>
      </x:c>
      <x:c r="J1291" s="12" t="n">
        <x:v>0</x:v>
      </x:c>
      <x:c r="K1291" s="12" t="n">
        <x:v>0</x:v>
      </x:c>
      <x:c r="L1291" s="12" t="n">
        <x:v>0</x:v>
      </x:c>
      <x:c r="M1291" s="2" t="str">
        <x:v>持有</x:v>
      </x:c>
    </x:row>
    <x:row r="1292" ht="23" customHeight="1">
      <x:c r="A1292" s="11" t="d">
        <x:v>2020-02-12T00:00:00.000Z</x:v>
      </x:c>
      <x:c r="B1292" s="12" t="n">
        <x:v>11756.83444</x:v>
      </x:c>
      <x:c r="C1292" s="13" t="n">
        <x:v>484</x:v>
      </x:c>
      <x:c r="D1292" s="12" t="n">
        <x:v>163311.28</x:v>
      </x:c>
      <x:c r="E1292" s="12" t="n">
        <x:v>0</x:v>
      </x:c>
      <x:c r="F1292" s="12" t="n">
        <x:f>SUM(B1292,D1292:E1292)</x:f>
        <x:v>175068.11444</x:v>
      </x:c>
      <x:c r="G1292" s="12" t="n">
        <x:f>MAX(G1291,F1292)</x:f>
        <x:v>175068.11444</x:v>
      </x:c>
      <x:c r="H1292" s="14" t="n">
        <x:f>F1292/G1292-1</x:f>
        <x:v>0</x:v>
      </x:c>
      <x:c r="I1292" s="14" t="n">
        <x:f>F1292/F1291-1</x:f>
        <x:v>0.006007493008392206</x:v>
      </x:c>
      <x:c r="J1292" s="12" t="n">
        <x:v>0</x:v>
      </x:c>
      <x:c r="K1292" s="12" t="n">
        <x:v>0</x:v>
      </x:c>
      <x:c r="L1292" s="12" t="n">
        <x:v>0</x:v>
      </x:c>
      <x:c r="M1292" s="2" t="str">
        <x:v>持有</x:v>
      </x:c>
    </x:row>
    <x:row r="1293" ht="23" customHeight="1">
      <x:c r="A1293" s="11" t="d">
        <x:v>2020-02-13T00:00:00.000Z</x:v>
      </x:c>
      <x:c r="B1293" s="12" t="n">
        <x:v>11756.83444</x:v>
      </x:c>
      <x:c r="C1293" s="13" t="n">
        <x:v>484</x:v>
      </x:c>
      <x:c r="D1293" s="12" t="n">
        <x:v>163137.04</x:v>
      </x:c>
      <x:c r="E1293" s="12" t="n">
        <x:v>0</x:v>
      </x:c>
      <x:c r="F1293" s="12" t="n">
        <x:f>SUM(B1293,D1293:E1293)</x:f>
        <x:v>174893.87444</x:v>
      </x:c>
      <x:c r="G1293" s="12" t="n">
        <x:f>MAX(G1292,F1293)</x:f>
        <x:v>175068.11444</x:v>
      </x:c>
      <x:c r="H1293" s="14" t="n">
        <x:f>F1293/G1293-1</x:f>
        <x:v>-0.0009952697586156356</x:v>
      </x:c>
      <x:c r="I1293" s="14" t="n">
        <x:f>F1293/F1292-1</x:f>
        <x:v>-0.0009952697586156356</x:v>
      </x:c>
      <x:c r="J1293" s="12" t="n">
        <x:v>0</x:v>
      </x:c>
      <x:c r="K1293" s="12" t="n">
        <x:v>0</x:v>
      </x:c>
      <x:c r="L1293" s="12" t="n">
        <x:v>0</x:v>
      </x:c>
      <x:c r="M1293" s="2" t="str">
        <x:v>持有</x:v>
      </x:c>
    </x:row>
    <x:row r="1294" ht="23" customHeight="1">
      <x:c r="A1294" s="11" t="d">
        <x:v>2020-02-14T00:00:00.000Z</x:v>
      </x:c>
      <x:c r="B1294" s="12" t="n">
        <x:v>11756.83444</x:v>
      </x:c>
      <x:c r="C1294" s="13" t="n">
        <x:v>484</x:v>
      </x:c>
      <x:c r="D1294" s="12" t="n">
        <x:v>163398.40000000002</x:v>
      </x:c>
      <x:c r="E1294" s="12" t="n">
        <x:v>0</x:v>
      </x:c>
      <x:c r="F1294" s="12" t="n">
        <x:f>SUM(B1294,D1294:E1294)</x:f>
        <x:v>175155.23444000003</x:v>
      </x:c>
      <x:c r="G1294" s="12" t="n">
        <x:f>MAX(G1293,F1294)</x:f>
        <x:v>175155.23444000003</x:v>
      </x:c>
      <x:c r="H1294" s="14" t="n">
        <x:f>F1294/G1294-1</x:f>
        <x:v>0</x:v>
      </x:c>
      <x:c r="I1294" s="14" t="n">
        <x:f>F1294/F1293-1</x:f>
        <x:v>0.0014943919610499456</x:v>
      </x:c>
      <x:c r="J1294" s="12" t="n">
        <x:v>0</x:v>
      </x:c>
      <x:c r="K1294" s="12" t="n">
        <x:v>0</x:v>
      </x:c>
      <x:c r="L1294" s="12" t="n">
        <x:v>0</x:v>
      </x:c>
      <x:c r="M1294" s="2" t="str">
        <x:v>持有</x:v>
      </x:c>
    </x:row>
    <x:row r="1295" ht="23" customHeight="1">
      <x:c r="A1295" s="11" t="d">
        <x:v>2020-02-18T00:00:00.000Z</x:v>
      </x:c>
      <x:c r="B1295" s="12" t="n">
        <x:v>11756.83444</x:v>
      </x:c>
      <x:c r="C1295" s="13" t="n">
        <x:v>484</x:v>
      </x:c>
      <x:c r="D1295" s="12" t="n">
        <x:v>162977.32</x:v>
      </x:c>
      <x:c r="E1295" s="12" t="n">
        <x:v>0</x:v>
      </x:c>
      <x:c r="F1295" s="12" t="n">
        <x:f>SUM(B1295,D1295:E1295)</x:f>
        <x:v>174734.15444</x:v>
      </x:c>
      <x:c r="G1295" s="12" t="n">
        <x:f>MAX(G1294,F1295)</x:f>
        <x:v>175155.23444000003</x:v>
      </x:c>
      <x:c r="H1295" s="14" t="n">
        <x:f>F1295/G1295-1</x:f>
        <x:v>-0.0024040389163719755</x:v>
      </x:c>
      <x:c r="I1295" s="14" t="n">
        <x:f>F1295/F1294-1</x:f>
        <x:v>-0.0024040389163719755</x:v>
      </x:c>
      <x:c r="J1295" s="12" t="n">
        <x:v>0</x:v>
      </x:c>
      <x:c r="K1295" s="12" t="n">
        <x:v>0</x:v>
      </x:c>
      <x:c r="L1295" s="12" t="n">
        <x:v>0</x:v>
      </x:c>
      <x:c r="M1295" s="2" t="str">
        <x:v>持有</x:v>
      </x:c>
    </x:row>
    <x:row r="1296" ht="23" customHeight="1">
      <x:c r="A1296" s="11" t="d">
        <x:v>2020-02-19T00:00:00.000Z</x:v>
      </x:c>
      <x:c r="B1296" s="12" t="n">
        <x:v>11756.83444</x:v>
      </x:c>
      <x:c r="C1296" s="13" t="n">
        <x:v>484</x:v>
      </x:c>
      <x:c r="D1296" s="12" t="n">
        <x:v>163756.56</x:v>
      </x:c>
      <x:c r="E1296" s="12" t="n">
        <x:v>0</x:v>
      </x:c>
      <x:c r="F1296" s="12" t="n">
        <x:f>SUM(B1296,D1296:E1296)</x:f>
        <x:v>175513.39444</x:v>
      </x:c>
      <x:c r="G1296" s="12" t="n">
        <x:f>MAX(G1295,F1296)</x:f>
        <x:v>175513.39444</x:v>
      </x:c>
      <x:c r="H1296" s="14" t="n">
        <x:f>F1296/G1296-1</x:f>
        <x:v>0</x:v>
      </x:c>
      <x:c r="I1296" s="14" t="n">
        <x:f>F1296/F1295-1</x:f>
        <x:v>0.004459574617780682</x:v>
      </x:c>
      <x:c r="J1296" s="12" t="n">
        <x:v>0</x:v>
      </x:c>
      <x:c r="K1296" s="12" t="n">
        <x:v>0</x:v>
      </x:c>
      <x:c r="L1296" s="12" t="n">
        <x:v>0</x:v>
      </x:c>
      <x:c r="M1296" s="2" t="str">
        <x:v>持有</x:v>
      </x:c>
    </x:row>
    <x:row r="1297" ht="23" customHeight="1">
      <x:c r="A1297" s="11" t="d">
        <x:v>2020-02-20T00:00:00.000Z</x:v>
      </x:c>
      <x:c r="B1297" s="12" t="n">
        <x:v>11756.83444</x:v>
      </x:c>
      <x:c r="C1297" s="13" t="n">
        <x:v>484</x:v>
      </x:c>
      <x:c r="D1297" s="12" t="n">
        <x:v>163083.8</x:v>
      </x:c>
      <x:c r="E1297" s="12" t="n">
        <x:v>0</x:v>
      </x:c>
      <x:c r="F1297" s="12" t="n">
        <x:f>SUM(B1297,D1297:E1297)</x:f>
        <x:v>174840.63444</x:v>
      </x:c>
      <x:c r="G1297" s="12" t="n">
        <x:f>MAX(G1296,F1297)</x:f>
        <x:v>175513.39444</x:v>
      </x:c>
      <x:c r="H1297" s="14" t="n">
        <x:f>F1297/G1297-1</x:f>
        <x:v>-0.0038330977652534237</x:v>
      </x:c>
      <x:c r="I1297" s="14" t="n">
        <x:f>F1297/F1296-1</x:f>
        <x:v>-0.0038330977652534237</x:v>
      </x:c>
      <x:c r="J1297" s="12" t="n">
        <x:v>0</x:v>
      </x:c>
      <x:c r="K1297" s="12" t="n">
        <x:v>0</x:v>
      </x:c>
      <x:c r="L1297" s="12" t="n">
        <x:v>0</x:v>
      </x:c>
      <x:c r="M1297" s="2" t="str">
        <x:v>持有</x:v>
      </x:c>
    </x:row>
    <x:row r="1298" ht="23" customHeight="1">
      <x:c r="A1298" s="11" t="d">
        <x:v>2020-02-21T00:00:00.000Z</x:v>
      </x:c>
      <x:c r="B1298" s="12" t="n">
        <x:v>11756.83444</x:v>
      </x:c>
      <x:c r="C1298" s="13" t="n">
        <x:v>484</x:v>
      </x:c>
      <x:c r="D1298" s="12" t="n">
        <x:v>161404.32</x:v>
      </x:c>
      <x:c r="E1298" s="12" t="n">
        <x:v>0</x:v>
      </x:c>
      <x:c r="F1298" s="12" t="n">
        <x:f>SUM(B1298,D1298:E1298)</x:f>
        <x:v>173161.15444</x:v>
      </x:c>
      <x:c r="G1298" s="12" t="n">
        <x:f>MAX(G1297,F1298)</x:f>
        <x:v>175513.39444</x:v>
      </x:c>
      <x:c r="H1298" s="14" t="n">
        <x:f>F1298/G1298-1</x:f>
        <x:v>-0.01340205405692907</x:v>
      </x:c>
      <x:c r="I1298" s="14" t="n">
        <x:f>F1298/F1297-1</x:f>
        <x:v>-0.009605776170849567</x:v>
      </x:c>
      <x:c r="J1298" s="12" t="n">
        <x:v>0</x:v>
      </x:c>
      <x:c r="K1298" s="12" t="n">
        <x:v>0</x:v>
      </x:c>
      <x:c r="L1298" s="12" t="n">
        <x:v>0</x:v>
      </x:c>
      <x:c r="M1298" s="2" t="str">
        <x:v>持有</x:v>
      </x:c>
    </x:row>
    <x:row r="1299" ht="23" customHeight="1">
      <x:c r="A1299" s="11" t="d">
        <x:v>2020-02-24T00:00:00.000Z</x:v>
      </x:c>
      <x:c r="B1299" s="12" t="n">
        <x:v>11756.83444</x:v>
      </x:c>
      <x:c r="C1299" s="13" t="n">
        <x:v>484</x:v>
      </x:c>
      <x:c r="D1299" s="12" t="n">
        <x:v>156051.28</x:v>
      </x:c>
      <x:c r="E1299" s="12" t="n">
        <x:v>0</x:v>
      </x:c>
      <x:c r="F1299" s="12" t="n">
        <x:f>SUM(B1299,D1299:E1299)</x:f>
        <x:v>167808.11444</x:v>
      </x:c>
      <x:c r="G1299" s="12" t="n">
        <x:f>MAX(G1298,F1299)</x:f>
        <x:v>175513.39444</x:v>
      </x:c>
      <x:c r="H1299" s="14" t="n">
        <x:f>F1299/G1299-1</x:f>
        <x:v>-0.04390137872146327</x:v>
      </x:c>
      <x:c r="I1299" s="14" t="n">
        <x:f>F1299/F1298-1</x:f>
        <x:v>-0.030913630815823767</x:v>
      </x:c>
      <x:c r="J1299" s="12" t="n">
        <x:v>0</x:v>
      </x:c>
      <x:c r="K1299" s="12" t="n">
        <x:v>0</x:v>
      </x:c>
      <x:c r="L1299" s="12" t="n">
        <x:v>0</x:v>
      </x:c>
      <x:c r="M1299" s="2" t="str">
        <x:v>持有</x:v>
      </x:c>
    </x:row>
    <x:row r="1300" ht="23" customHeight="1">
      <x:c r="A1300" s="11" t="d">
        <x:v>2020-02-25T00:00:00.000Z</x:v>
      </x:c>
      <x:c r="B1300" s="12" t="n">
        <x:v>11756.83444</x:v>
      </x:c>
      <x:c r="C1300" s="13" t="n">
        <x:v>484</x:v>
      </x:c>
      <x:c r="D1300" s="12" t="n">
        <x:v>151322.59999999998</x:v>
      </x:c>
      <x:c r="E1300" s="12" t="n">
        <x:v>0</x:v>
      </x:c>
      <x:c r="F1300" s="12" t="n">
        <x:f>SUM(B1300,D1300:E1300)</x:f>
        <x:v>163079.43443999998</x:v>
      </x:c>
      <x:c r="G1300" s="12" t="n">
        <x:f>MAX(G1299,F1300)</x:f>
        <x:v>175513.39444</x:v>
      </x:c>
      <x:c r="H1300" s="14" t="n">
        <x:f>F1300/G1300-1</x:f>
        <x:v>-0.07084336804989899</x:v>
      </x:c>
      <x:c r="I1300" s="14" t="n">
        <x:f>F1300/F1299-1</x:f>
        <x:v>-0.028179090241138294</x:v>
      </x:c>
      <x:c r="J1300" s="12" t="n">
        <x:v>0</x:v>
      </x:c>
      <x:c r="K1300" s="12" t="n">
        <x:v>0</x:v>
      </x:c>
      <x:c r="L1300" s="12" t="n">
        <x:v>0</x:v>
      </x:c>
      <x:c r="M1300" s="2" t="str">
        <x:v>持有</x:v>
      </x:c>
    </x:row>
    <x:row r="1301" ht="23" customHeight="1">
      <x:c r="A1301" s="11" t="d">
        <x:v>2020-02-26T00:00:00.000Z</x:v>
      </x:c>
      <x:c r="B1301" s="12" t="n">
        <x:v>11756.83444</x:v>
      </x:c>
      <x:c r="C1301" s="13" t="n">
        <x:v>484</x:v>
      </x:c>
      <x:c r="D1301" s="12" t="n">
        <x:v>150766</x:v>
      </x:c>
      <x:c r="E1301" s="12" t="n">
        <x:v>0</x:v>
      </x:c>
      <x:c r="F1301" s="12" t="n">
        <x:f>SUM(B1301,D1301:E1301)</x:f>
        <x:v>162522.83444</x:v>
      </x:c>
      <x:c r="G1301" s="12" t="n">
        <x:f>MAX(G1300,F1301)</x:f>
        <x:v>175513.39444</x:v>
      </x:c>
      <x:c r="H1301" s="14" t="n">
        <x:f>F1301/G1301-1</x:f>
        <x:v>-0.07401463598518043</x:v>
      </x:c>
      <x:c r="I1301" s="14" t="n">
        <x:f>F1301/F1300-1</x:f>
        <x:v>-0.0034130606468638636</x:v>
      </x:c>
      <x:c r="J1301" s="12" t="n">
        <x:v>0</x:v>
      </x:c>
      <x:c r="K1301" s="12" t="n">
        <x:v>0</x:v>
      </x:c>
      <x:c r="L1301" s="12" t="n">
        <x:v>0</x:v>
      </x:c>
      <x:c r="M1301" s="2" t="str">
        <x:v>持有</x:v>
      </x:c>
    </x:row>
    <x:row r="1302" ht="23" customHeight="1">
      <x:c r="A1302" s="11" t="d">
        <x:v>2020-02-27T00:00:00.000Z</x:v>
      </x:c>
      <x:c r="B1302" s="12" t="n">
        <x:v>11756.83444</x:v>
      </x:c>
      <x:c r="C1302" s="13" t="n">
        <x:v>484</x:v>
      </x:c>
      <x:c r="D1302" s="12" t="n">
        <x:v>143994.84</x:v>
      </x:c>
      <x:c r="E1302" s="12" t="n">
        <x:v>0</x:v>
      </x:c>
      <x:c r="F1302" s="12" t="n">
        <x:f>SUM(B1302,D1302:E1302)</x:f>
        <x:v>155751.67444</x:v>
      </x:c>
      <x:c r="G1302" s="12" t="n">
        <x:f>MAX(G1301,F1302)</x:f>
        <x:v>175513.39444</x:v>
      </x:c>
      <x:c r="H1302" s="14" t="n">
        <x:f>F1302/G1302-1</x:f>
        <x:v>-0.11259379982395379</x:v>
      </x:c>
      <x:c r="I1302" s="14" t="n">
        <x:f>F1302/F1301-1</x:f>
        <x:v>-0.04166282247864539</x:v>
      </x:c>
      <x:c r="J1302" s="12" t="n">
        <x:v>0</x:v>
      </x:c>
      <x:c r="K1302" s="12" t="n">
        <x:v>0</x:v>
      </x:c>
      <x:c r="L1302" s="12" t="n">
        <x:v>0</x:v>
      </x:c>
      <x:c r="M1302" s="2" t="str">
        <x:v>持有</x:v>
      </x:c>
    </x:row>
    <x:row r="1303" ht="23" customHeight="1">
      <x:c r="A1303" s="11" t="d">
        <x:v>2020-02-28T00:00:00.000Z</x:v>
      </x:c>
      <x:c r="B1303" s="12" t="n">
        <x:v>11756.83444</x:v>
      </x:c>
      <x:c r="C1303" s="13" t="n">
        <x:v>484</x:v>
      </x:c>
      <x:c r="D1303" s="12" t="n">
        <x:v>143389.84</x:v>
      </x:c>
      <x:c r="E1303" s="12" t="n">
        <x:v>0</x:v>
      </x:c>
      <x:c r="F1303" s="12" t="n">
        <x:f>SUM(B1303,D1303:E1303)</x:f>
        <x:v>155146.67444</x:v>
      </x:c>
      <x:c r="G1303" s="12" t="n">
        <x:f>MAX(G1302,F1303)</x:f>
        <x:v>175513.39444</x:v>
      </x:c>
      <x:c r="H1303" s="14" t="n">
        <x:f>F1303/G1303-1</x:f>
        <x:v>-0.11604083018839029</x:v>
      </x:c>
      <x:c r="I1303" s="14" t="n">
        <x:f>F1303/F1302-1</x:f>
        <x:v>-0.0038843884162097497</x:v>
      </x:c>
      <x:c r="J1303" s="12" t="n">
        <x:v>0</x:v>
      </x:c>
      <x:c r="K1303" s="12" t="n">
        <x:v>0</x:v>
      </x:c>
      <x:c r="L1303" s="12" t="n">
        <x:v>0</x:v>
      </x:c>
      <x:c r="M1303" s="2" t="str">
        <x:v>持有</x:v>
      </x:c>
    </x:row>
    <x:row r="1304" ht="23" customHeight="1">
      <x:c r="A1304" s="11" t="d">
        <x:v>2020-03-02T00:00:00.000Z</x:v>
      </x:c>
      <x:c r="B1304" s="12" t="n">
        <x:v>11756.83444</x:v>
      </x:c>
      <x:c r="C1304" s="13" t="n">
        <x:v>484</x:v>
      </x:c>
      <x:c r="D1304" s="12" t="n">
        <x:v>149599.56</x:v>
      </x:c>
      <x:c r="E1304" s="12" t="n">
        <x:v>0</x:v>
      </x:c>
      <x:c r="F1304" s="12" t="n">
        <x:f>SUM(B1304,D1304:E1304)</x:f>
        <x:v>161356.39444</x:v>
      </x:c>
      <x:c r="G1304" s="12" t="n">
        <x:f>MAX(G1303,F1304)</x:f>
        <x:v>175513.39444</x:v>
      </x:c>
      <x:c r="H1304" s="14" t="n">
        <x:f>F1304/G1304-1</x:f>
        <x:v>-0.08066051052781409</x:v>
      </x:c>
      <x:c r="I1304" s="14" t="n">
        <x:f>F1304/F1303-1</x:f>
        <x:v>0.04002483470827789</x:v>
      </x:c>
      <x:c r="J1304" s="12" t="n">
        <x:v>0</x:v>
      </x:c>
      <x:c r="K1304" s="12" t="n">
        <x:v>0</x:v>
      </x:c>
      <x:c r="L1304" s="12" t="n">
        <x:v>0</x:v>
      </x:c>
      <x:c r="M1304" s="2" t="str">
        <x:v>持有</x:v>
      </x:c>
    </x:row>
    <x:row r="1305" ht="23" customHeight="1">
      <x:c r="A1305" s="11" t="d">
        <x:v>2020-03-03T00:00:00.000Z</x:v>
      </x:c>
      <x:c r="B1305" s="12" t="n">
        <x:v>11756.83444</x:v>
      </x:c>
      <x:c r="C1305" s="13" t="n">
        <x:v>484</x:v>
      </x:c>
      <x:c r="D1305" s="12" t="n">
        <x:v>145316.16</x:v>
      </x:c>
      <x:c r="E1305" s="12" t="n">
        <x:v>0</x:v>
      </x:c>
      <x:c r="F1305" s="12" t="n">
        <x:f>SUM(B1305,D1305:E1305)</x:f>
        <x:v>157072.99444</x:v>
      </x:c>
      <x:c r="G1305" s="12" t="n">
        <x:f>MAX(G1304,F1305)</x:f>
        <x:v>175513.39444</x:v>
      </x:c>
      <x:c r="H1305" s="14" t="n">
        <x:f>F1305/G1305-1</x:f>
        <x:v>-0.10506548550802441</x:v>
      </x:c>
      <x:c r="I1305" s="14" t="n">
        <x:f>F1305/F1304-1</x:f>
        <x:v>-0.026546205465645567</x:v>
      </x:c>
      <x:c r="J1305" s="12" t="n">
        <x:v>0</x:v>
      </x:c>
      <x:c r="K1305" s="12" t="n">
        <x:v>0</x:v>
      </x:c>
      <x:c r="L1305" s="12" t="n">
        <x:v>0</x:v>
      </x:c>
      <x:c r="M1305" s="2" t="str">
        <x:v>持有</x:v>
      </x:c>
    </x:row>
    <x:row r="1306" ht="23" customHeight="1">
      <x:c r="A1306" s="11" t="d">
        <x:v>2020-03-04T00:00:00.000Z</x:v>
      </x:c>
      <x:c r="B1306" s="12" t="n">
        <x:v>11756.83444</x:v>
      </x:c>
      <x:c r="C1306" s="13" t="n">
        <x:v>484</x:v>
      </x:c>
      <x:c r="D1306" s="12" t="n">
        <x:v>151424.24000000002</x:v>
      </x:c>
      <x:c r="E1306" s="12" t="n">
        <x:v>0</x:v>
      </x:c>
      <x:c r="F1306" s="12" t="n">
        <x:f>SUM(B1306,D1306:E1306)</x:f>
        <x:v>163181.07444000003</x:v>
      </x:c>
      <x:c r="G1306" s="12" t="n">
        <x:f>MAX(G1305,F1306)</x:f>
        <x:v>175513.39444</x:v>
      </x:c>
      <x:c r="H1306" s="14" t="n">
        <x:f>F1306/G1306-1</x:f>
        <x:v>-0.07026426694867349</x:v>
      </x:c>
      <x:c r="I1306" s="14" t="n">
        <x:f>F1306/F1305-1</x:f>
        <x:v>0.038886888365353256</x:v>
      </x:c>
      <x:c r="J1306" s="12" t="n">
        <x:v>0</x:v>
      </x:c>
      <x:c r="K1306" s="12" t="n">
        <x:v>0</x:v>
      </x:c>
      <x:c r="L1306" s="12" t="n">
        <x:v>0</x:v>
      </x:c>
      <x:c r="M1306" s="2" t="str">
        <x:v>持有</x:v>
      </x:c>
    </x:row>
    <x:row r="1307" ht="23" customHeight="1">
      <x:c r="A1307" s="11" t="d">
        <x:v>2020-03-05T00:00:00.000Z</x:v>
      </x:c>
      <x:c r="B1307" s="12" t="n">
        <x:v>11756.83444</x:v>
      </x:c>
      <x:c r="C1307" s="13" t="n">
        <x:v>484</x:v>
      </x:c>
      <x:c r="D1307" s="12" t="n">
        <x:v>146390.63999999998</x:v>
      </x:c>
      <x:c r="E1307" s="12" t="n">
        <x:v>0</x:v>
      </x:c>
      <x:c r="F1307" s="12" t="n">
        <x:f>SUM(B1307,D1307:E1307)</x:f>
        <x:v>158147.47444</x:v>
      </x:c>
      <x:c r="G1307" s="12" t="n">
        <x:f>MAX(G1306,F1307)</x:f>
        <x:v>175513.39444</x:v>
      </x:c>
      <x:c r="H1307" s="14" t="n">
        <x:f>F1307/G1307-1</x:f>
        <x:v>-0.09894355958078527</x:v>
      </x:c>
      <x:c r="I1307" s="14" t="n">
        <x:f>F1307/F1306-1</x:f>
        <x:v>-0.030846714407747333</x:v>
      </x:c>
      <x:c r="J1307" s="12" t="n">
        <x:v>0</x:v>
      </x:c>
      <x:c r="K1307" s="12" t="n">
        <x:v>0</x:v>
      </x:c>
      <x:c r="L1307" s="12" t="n">
        <x:v>0</x:v>
      </x:c>
      <x:c r="M1307" s="2" t="str">
        <x:v>持有</x:v>
      </x:c>
    </x:row>
    <x:row r="1308" ht="23" customHeight="1">
      <x:c r="A1308" s="11" t="d">
        <x:v>2020-03-06T00:00:00.000Z</x:v>
      </x:c>
      <x:c r="B1308" s="12" t="n">
        <x:v>11756.83444</x:v>
      </x:c>
      <x:c r="C1308" s="13" t="n">
        <x:v>484</x:v>
      </x:c>
      <x:c r="D1308" s="12" t="n">
        <x:v>143970.63999999998</x:v>
      </x:c>
      <x:c r="E1308" s="12" t="n">
        <x:v>0</x:v>
      </x:c>
      <x:c r="F1308" s="12" t="n">
        <x:f>SUM(B1308,D1308:E1308)</x:f>
        <x:v>155727.47444</x:v>
      </x:c>
      <x:c r="G1308" s="12" t="n">
        <x:f>MAX(G1307,F1308)</x:f>
        <x:v>175513.39444</x:v>
      </x:c>
      <x:c r="H1308" s="14" t="n">
        <x:f>F1308/G1308-1</x:f>
        <x:v>-0.11273168103853126</x:v>
      </x:c>
      <x:c r="I1308" s="14" t="n">
        <x:f>F1308/F1307-1</x:f>
        <x:v>-0.01530217291530711</x:v>
      </x:c>
      <x:c r="J1308" s="12" t="n">
        <x:v>0</x:v>
      </x:c>
      <x:c r="K1308" s="12" t="n">
        <x:v>0</x:v>
      </x:c>
      <x:c r="L1308" s="12" t="n">
        <x:v>0</x:v>
      </x:c>
      <x:c r="M1308" s="2" t="str">
        <x:v>持有</x:v>
      </x:c>
    </x:row>
    <x:row r="1309" ht="23" customHeight="1">
      <x:c r="A1309" s="11" t="d">
        <x:v>2020-03-09T00:00:00.000Z</x:v>
      </x:c>
      <x:c r="B1309" s="12" t="n">
        <x:v>11756.83444</x:v>
      </x:c>
      <x:c r="C1309" s="13" t="n">
        <x:v>484</x:v>
      </x:c>
      <x:c r="D1309" s="12" t="n">
        <x:v>132727.32</x:v>
      </x:c>
      <x:c r="E1309" s="12" t="n">
        <x:v>0</x:v>
      </x:c>
      <x:c r="F1309" s="12" t="n">
        <x:f>SUM(B1309,D1309:E1309)</x:f>
        <x:v>144484.15444</x:v>
      </x:c>
      <x:c r="G1309" s="12" t="n">
        <x:f>MAX(G1308,F1309)</x:f>
        <x:v>175513.39444</x:v>
      </x:c>
      <x:c r="H1309" s="14" t="n">
        <x:f>F1309/G1309-1</x:f>
        <x:v>-0.176791293331219</x:v>
      </x:c>
      <x:c r="I1309" s="14" t="n">
        <x:f>F1309/F1308-1</x:f>
        <x:v>-0.07219869223739261</x:v>
      </x:c>
      <x:c r="J1309" s="12" t="n">
        <x:v>0</x:v>
      </x:c>
      <x:c r="K1309" s="12" t="n">
        <x:v>0</x:v>
      </x:c>
      <x:c r="L1309" s="12" t="n">
        <x:v>0</x:v>
      </x:c>
      <x:c r="M1309" s="2" t="str">
        <x:v>持有</x:v>
      </x:c>
    </x:row>
    <x:row r="1310" ht="23" customHeight="1">
      <x:c r="A1310" s="11" t="d">
        <x:v>2020-03-10T00:00:00.000Z</x:v>
      </x:c>
      <x:c r="B1310" s="12" t="n">
        <x:v>11756.83444</x:v>
      </x:c>
      <x:c r="C1310" s="13" t="n">
        <x:v>484</x:v>
      </x:c>
      <x:c r="D1310" s="12" t="n">
        <x:v>139595.28</x:v>
      </x:c>
      <x:c r="E1310" s="12" t="n">
        <x:v>0</x:v>
      </x:c>
      <x:c r="F1310" s="12" t="n">
        <x:f>SUM(B1310,D1310:E1310)</x:f>
        <x:v>151352.11444</x:v>
      </x:c>
      <x:c r="G1310" s="12" t="n">
        <x:f>MAX(G1309,F1310)</x:f>
        <x:v>175513.39444</x:v>
      </x:c>
      <x:c r="H1310" s="14" t="n">
        <x:f>F1310/G1310-1</x:f>
        <x:v>-0.13766060463413599</x:v>
      </x:c>
      <x:c r="I1310" s="14" t="n">
        <x:f>F1310/F1309-1</x:f>
        <x:v>0.04753434746266283</x:v>
      </x:c>
      <x:c r="J1310" s="12" t="n">
        <x:v>0</x:v>
      </x:c>
      <x:c r="K1310" s="12" t="n">
        <x:v>0</x:v>
      </x:c>
      <x:c r="L1310" s="12" t="n">
        <x:v>0</x:v>
      </x:c>
      <x:c r="M1310" s="2" t="str">
        <x:v>持有</x:v>
      </x:c>
    </x:row>
    <x:row r="1311" ht="23" customHeight="1">
      <x:c r="A1311" s="11" t="d">
        <x:v>2020-03-11T00:00:00.000Z</x:v>
      </x:c>
      <x:c r="B1311" s="12" t="n">
        <x:v>11756.83444</x:v>
      </x:c>
      <x:c r="C1311" s="13" t="n">
        <x:v>484</x:v>
      </x:c>
      <x:c r="D1311" s="12" t="n">
        <x:v>132790.24000000002</x:v>
      </x:c>
      <x:c r="E1311" s="12" t="n">
        <x:v>0</x:v>
      </x:c>
      <x:c r="F1311" s="12" t="n">
        <x:f>SUM(B1311,D1311:E1311)</x:f>
        <x:v>144547.07444000003</x:v>
      </x:c>
      <x:c r="G1311" s="12" t="n">
        <x:f>MAX(G1310,F1311)</x:f>
        <x:v>175513.39444</x:v>
      </x:c>
      <x:c r="H1311" s="14" t="n">
        <x:f>F1311/G1311-1</x:f>
        <x:v>-0.17643280217331758</x:v>
      </x:c>
      <x:c r="I1311" s="14" t="n">
        <x:f>F1311/F1310-1</x:f>
        <x:v>-0.04496164473934505</x:v>
      </x:c>
      <x:c r="J1311" s="12" t="n">
        <x:v>0</x:v>
      </x:c>
      <x:c r="K1311" s="12" t="n">
        <x:v>0</x:v>
      </x:c>
      <x:c r="L1311" s="12" t="n">
        <x:v>0</x:v>
      </x:c>
      <x:c r="M1311" s="2" t="str">
        <x:v>持有</x:v>
      </x:c>
    </x:row>
    <x:row r="1312" ht="23" customHeight="1">
      <x:c r="A1312" s="11" t="d">
        <x:v>2020-03-12T00:00:00.000Z</x:v>
      </x:c>
      <x:c r="B1312" s="12" t="n">
        <x:v>11756.83444</x:v>
      </x:c>
      <x:c r="C1312" s="13" t="n">
        <x:v>484</x:v>
      </x:c>
      <x:c r="D1312" s="12" t="n">
        <x:v>120085.24</x:v>
      </x:c>
      <x:c r="E1312" s="12" t="n">
        <x:v>0</x:v>
      </x:c>
      <x:c r="F1312" s="12" t="n">
        <x:f>SUM(B1312,D1312:E1312)</x:f>
        <x:v>131842.07444</x:v>
      </x:c>
      <x:c r="G1312" s="12" t="n">
        <x:f>MAX(G1311,F1312)</x:f>
        <x:v>175513.39444</x:v>
      </x:c>
      <x:c r="H1312" s="14" t="n">
        <x:f>F1312/G1312-1</x:f>
        <x:v>-0.24882043982648416</x:v>
      </x:c>
      <x:c r="I1312" s="14" t="n">
        <x:f>F1312/F1311-1</x:f>
        <x:v>-0.0878952413891555</x:v>
      </x:c>
      <x:c r="J1312" s="12" t="n">
        <x:v>0</x:v>
      </x:c>
      <x:c r="K1312" s="12" t="n">
        <x:v>0</x:v>
      </x:c>
      <x:c r="L1312" s="12" t="n">
        <x:v>0</x:v>
      </x:c>
      <x:c r="M1312" s="2" t="str">
        <x:v>持有</x:v>
      </x:c>
    </x:row>
    <x:row r="1313" ht="23" customHeight="1">
      <x:c r="A1313" s="11" t="d">
        <x:v>2020-03-13T00:00:00.000Z</x:v>
      </x:c>
      <x:c r="B1313" s="12" t="n">
        <x:v>11756.83444</x:v>
      </x:c>
      <x:c r="C1313" s="13" t="n">
        <x:v>484</x:v>
      </x:c>
      <x:c r="D1313" s="12" t="n">
        <x:v>130350.87999999999</x:v>
      </x:c>
      <x:c r="E1313" s="12" t="n">
        <x:v>0</x:v>
      </x:c>
      <x:c r="F1313" s="12" t="n">
        <x:f>SUM(B1313,D1313:E1313)</x:f>
        <x:v>142107.71443999998</x:v>
      </x:c>
      <x:c r="G1313" s="12" t="n">
        <x:f>MAX(G1312,F1313)</x:f>
        <x:v>175513.39444</x:v>
      </x:c>
      <x:c r="H1313" s="14" t="n">
        <x:f>F1313/G1313-1</x:f>
        <x:v>-0.19033122860272578</x:v>
      </x:c>
      <x:c r="I1313" s="14" t="n">
        <x:f>F1313/F1312-1</x:f>
        <x:v>0.07786315592805515</x:v>
      </x:c>
      <x:c r="J1313" s="12" t="n">
        <x:v>0</x:v>
      </x:c>
      <x:c r="K1313" s="12" t="n">
        <x:v>0</x:v>
      </x:c>
      <x:c r="L1313" s="12" t="n">
        <x:v>0</x:v>
      </x:c>
      <x:c r="M1313" s="2" t="str">
        <x:v>持有</x:v>
      </x:c>
    </x:row>
    <x:row r="1314" ht="23" customHeight="1">
      <x:c r="A1314" s="11" t="d">
        <x:v>2020-03-16T00:00:00.000Z</x:v>
      </x:c>
      <x:c r="B1314" s="12" t="n">
        <x:v>11756.83444</x:v>
      </x:c>
      <x:c r="C1314" s="13" t="n">
        <x:v>484</x:v>
      </x:c>
      <x:c r="D1314" s="12" t="n">
        <x:v>116087.4</x:v>
      </x:c>
      <x:c r="E1314" s="12" t="n">
        <x:v>0</x:v>
      </x:c>
      <x:c r="F1314" s="12" t="n">
        <x:f>SUM(B1314,D1314:E1314)</x:f>
        <x:v>127844.23444</x:v>
      </x:c>
      <x:c r="G1314" s="12" t="n">
        <x:f>MAX(G1313,F1314)</x:f>
        <x:v>175513.39444</x:v>
      </x:c>
      <x:c r="H1314" s="14" t="n">
        <x:f>F1314/G1314-1</x:f>
        <x:v>-0.2715984164746805</x:v>
      </x:c>
      <x:c r="I1314" s="14" t="n">
        <x:f>F1314/F1313-1</x:f>
        <x:v>-0.1003709056627059</x:v>
      </x:c>
      <x:c r="J1314" s="12" t="n">
        <x:v>0</x:v>
      </x:c>
      <x:c r="K1314" s="12" t="n">
        <x:v>0</x:v>
      </x:c>
      <x:c r="L1314" s="12" t="n">
        <x:v>0</x:v>
      </x:c>
      <x:c r="M1314" s="2" t="str">
        <x:v>持有</x:v>
      </x:c>
    </x:row>
    <x:row r="1315" ht="23" customHeight="1">
      <x:c r="A1315" s="11" t="d">
        <x:v>2020-03-17T00:00:00.000Z</x:v>
      </x:c>
      <x:c r="B1315" s="12" t="n">
        <x:v>11756.83444</x:v>
      </x:c>
      <x:c r="C1315" s="13" t="n">
        <x:v>484</x:v>
      </x:c>
      <x:c r="D1315" s="12" t="n">
        <x:v>122355.20000000001</x:v>
      </x:c>
      <x:c r="E1315" s="12" t="n">
        <x:v>0</x:v>
      </x:c>
      <x:c r="F1315" s="12" t="n">
        <x:f>SUM(B1315,D1315:E1315)</x:f>
        <x:v>134112.03444000002</x:v>
      </x:c>
      <x:c r="G1315" s="12" t="n">
        <x:f>MAX(G1314,F1315)</x:f>
        <x:v>175513.39444</x:v>
      </x:c>
      <x:c r="H1315" s="14" t="n">
        <x:f>F1315/G1315-1</x:f>
        <x:v>-0.2358871818991184</x:v>
      </x:c>
      <x:c r="I1315" s="14" t="n">
        <x:f>F1315/F1314-1</x:f>
        <x:v>0.049026849176695864</x:v>
      </x:c>
      <x:c r="J1315" s="12" t="n">
        <x:v>0</x:v>
      </x:c>
      <x:c r="K1315" s="12" t="n">
        <x:v>0</x:v>
      </x:c>
      <x:c r="L1315" s="12" t="n">
        <x:v>0</x:v>
      </x:c>
      <x:c r="M1315" s="2" t="str">
        <x:v>持有</x:v>
      </x:c>
    </x:row>
    <x:row r="1316" ht="23" customHeight="1">
      <x:c r="A1316" s="11" t="d">
        <x:v>2020-03-18T00:00:00.000Z</x:v>
      </x:c>
      <x:c r="B1316" s="12" t="n">
        <x:v>11756.83444</x:v>
      </x:c>
      <x:c r="C1316" s="13" t="n">
        <x:v>484</x:v>
      </x:c>
      <x:c r="D1316" s="12" t="n">
        <x:v>116160</x:v>
      </x:c>
      <x:c r="E1316" s="12" t="n">
        <x:v>0</x:v>
      </x:c>
      <x:c r="F1316" s="12" t="n">
        <x:f>SUM(B1316,D1316:E1316)</x:f>
        <x:v>127916.83444</x:v>
      </x:c>
      <x:c r="G1316" s="12" t="n">
        <x:f>MAX(G1315,F1316)</x:f>
        <x:v>175513.39444</x:v>
      </x:c>
      <x:c r="H1316" s="14" t="n">
        <x:f>F1316/G1316-1</x:f>
        <x:v>-0.2711847728309481</x:v>
      </x:c>
      <x:c r="I1316" s="14" t="n">
        <x:f>F1316/F1315-1</x:f>
        <x:v>-0.0461942138590975</x:v>
      </x:c>
      <x:c r="J1316" s="12" t="n">
        <x:v>0</x:v>
      </x:c>
      <x:c r="K1316" s="12" t="n">
        <x:v>0</x:v>
      </x:c>
      <x:c r="L1316" s="12" t="n">
        <x:v>0</x:v>
      </x:c>
      <x:c r="M1316" s="2" t="str">
        <x:v>持有</x:v>
      </x:c>
    </x:row>
    <x:row r="1317" ht="23" customHeight="1">
      <x:c r="A1317" s="11" t="d">
        <x:v>2020-03-19T00:00:00.000Z</x:v>
      </x:c>
      <x:c r="B1317" s="12" t="n">
        <x:v>11756.83444</x:v>
      </x:c>
      <x:c r="C1317" s="13" t="n">
        <x:v>484</x:v>
      </x:c>
      <x:c r="D1317" s="12" t="n">
        <x:v>116406.84</x:v>
      </x:c>
      <x:c r="E1317" s="12" t="n">
        <x:v>0</x:v>
      </x:c>
      <x:c r="F1317" s="12" t="n">
        <x:f>SUM(B1317,D1317:E1317)</x:f>
        <x:v>128163.67444</x:v>
      </x:c>
      <x:c r="G1317" s="12" t="n">
        <x:f>MAX(G1316,F1317)</x:f>
        <x:v>175513.39444</x:v>
      </x:c>
      <x:c r="H1317" s="14" t="n">
        <x:f>F1317/G1317-1</x:f>
        <x:v>-0.2697783844422581</x:v>
      </x:c>
      <x:c r="I1317" s="14" t="n">
        <x:f>F1317/F1316-1</x:f>
        <x:v>0.0019296912801245458</x:v>
      </x:c>
      <x:c r="J1317" s="12" t="n">
        <x:v>0</x:v>
      </x:c>
      <x:c r="K1317" s="12" t="n">
        <x:v>0</x:v>
      </x:c>
      <x:c r="L1317" s="12" t="n">
        <x:v>0</x:v>
      </x:c>
      <x:c r="M1317" s="2" t="str">
        <x:v>持有</x:v>
      </x:c>
    </x:row>
    <x:row r="1318" ht="23" customHeight="1">
      <x:c r="A1318" s="11" t="d">
        <x:v>2020-03-20T00:00:00.000Z</x:v>
      </x:c>
      <x:c r="B1318" s="12" t="n">
        <x:v>11756.83444</x:v>
      </x:c>
      <x:c r="C1318" s="13" t="n">
        <x:v>484</x:v>
      </x:c>
      <x:c r="D1318" s="12" t="n">
        <x:v>110739.20000000001</x:v>
      </x:c>
      <x:c r="E1318" s="12" t="n">
        <x:v>680.290556</x:v>
      </x:c>
      <x:c r="F1318" s="12" t="n">
        <x:f>SUM(B1318,D1318:E1318)</x:f>
        <x:v>123176.32499600002</x:v>
      </x:c>
      <x:c r="G1318" s="12" t="n">
        <x:f>MAX(G1317,F1318)</x:f>
        <x:v>175513.39444</x:v>
      </x:c>
      <x:c r="H1318" s="14" t="n">
        <x:f>F1318/G1318-1</x:f>
        <x:v>-0.29819416125469345</x:v>
      </x:c>
      <x:c r="I1318" s="14" t="n">
        <x:f>F1318/F1317-1</x:f>
        <x:v>-0.03891390806163886</x:v>
      </x:c>
      <x:c r="J1318" s="12" t="n">
        <x:v>680.290556</x:v>
      </x:c>
      <x:c r="K1318" s="12" t="n">
        <x:v>0</x:v>
      </x:c>
      <x:c r="L1318" s="12" t="n">
        <x:v>0</x:v>
      </x:c>
      <x:c r="M1318" s="2" t="str">
        <x:v>持有</x:v>
      </x:c>
    </x:row>
    <x:row r="1319" ht="23" customHeight="1">
      <x:c r="A1319" s="11" t="d">
        <x:v>2020-03-23T00:00:00.000Z</x:v>
      </x:c>
      <x:c r="B1319" s="12" t="n">
        <x:v>11756.83444</x:v>
      </x:c>
      <x:c r="C1319" s="13" t="n">
        <x:v>484</x:v>
      </x:c>
      <x:c r="D1319" s="12" t="n">
        <x:v>107907.79999999999</x:v>
      </x:c>
      <x:c r="E1319" s="12" t="n">
        <x:v>680.290556</x:v>
      </x:c>
      <x:c r="F1319" s="12" t="n">
        <x:f>SUM(B1319,D1319:E1319)</x:f>
        <x:v>120344.924996</x:v>
      </x:c>
      <x:c r="G1319" s="12" t="n">
        <x:f>MAX(G1318,F1319)</x:f>
        <x:v>175513.39444</x:v>
      </x:c>
      <x:c r="H1319" s="14" t="n">
        <x:f>F1319/G1319-1</x:f>
        <x:v>-0.3143262633602564</x:v>
      </x:c>
      <x:c r="I1319" s="14" t="n">
        <x:f>F1319/F1318-1</x:f>
        <x:v>-0.02298656012096456</x:v>
      </x:c>
      <x:c r="J1319" s="12" t="n">
        <x:v>0</x:v>
      </x:c>
      <x:c r="K1319" s="12" t="n">
        <x:v>0</x:v>
      </x:c>
      <x:c r="L1319" s="12" t="n">
        <x:v>0</x:v>
      </x:c>
      <x:c r="M1319" s="2" t="str">
        <x:v>持有</x:v>
      </x:c>
    </x:row>
    <x:row r="1320" ht="23" customHeight="1">
      <x:c r="A1320" s="11" t="d">
        <x:v>2020-03-24T00:00:00.000Z</x:v>
      </x:c>
      <x:c r="B1320" s="12" t="n">
        <x:v>11756.83444</x:v>
      </x:c>
      <x:c r="C1320" s="13" t="n">
        <x:v>484</x:v>
      </x:c>
      <x:c r="D1320" s="12" t="n">
        <x:v>117684.6</x:v>
      </x:c>
      <x:c r="E1320" s="12" t="n">
        <x:v>680.290556</x:v>
      </x:c>
      <x:c r="F1320" s="12" t="n">
        <x:f>SUM(B1320,D1320:E1320)</x:f>
        <x:v>130121.72499600002</x:v>
      </x:c>
      <x:c r="G1320" s="12" t="n">
        <x:f>MAX(G1319,F1320)</x:f>
        <x:v>175513.39444</x:v>
      </x:c>
      <x:c r="H1320" s="14" t="n">
        <x:f>F1320/G1320-1</x:f>
        <x:v>-0.2586222526709625</x:v>
      </x:c>
      <x:c r="I1320" s="14" t="n">
        <x:f>F1320/F1319-1</x:f>
        <x:v>0.08123981962949389</x:v>
      </x:c>
      <x:c r="J1320" s="12" t="n">
        <x:v>0</x:v>
      </x:c>
      <x:c r="K1320" s="12" t="n">
        <x:v>0</x:v>
      </x:c>
      <x:c r="L1320" s="12" t="n">
        <x:v>0</x:v>
      </x:c>
      <x:c r="M1320" s="2" t="str">
        <x:v>持有</x:v>
      </x:c>
    </x:row>
    <x:row r="1321" ht="23" customHeight="1">
      <x:c r="A1321" s="11" t="d">
        <x:v>2020-03-25T00:00:00.000Z</x:v>
      </x:c>
      <x:c r="B1321" s="12" t="n">
        <x:v>11756.83444</x:v>
      </x:c>
      <x:c r="C1321" s="13" t="n">
        <x:v>484</x:v>
      </x:c>
      <x:c r="D1321" s="12" t="n">
        <x:v>119446.36</x:v>
      </x:c>
      <x:c r="E1321" s="12" t="n">
        <x:v>680.290556</x:v>
      </x:c>
      <x:c r="F1321" s="12" t="n">
        <x:f>SUM(B1321,D1321:E1321)</x:f>
        <x:v>131883.484996</x:v>
      </x:c>
      <x:c r="G1321" s="12" t="n">
        <x:f>MAX(G1320,F1321)</x:f>
        <x:v>175513.39444</x:v>
      </x:c>
      <x:c r="H1321" s="14" t="n">
        <x:f>F1321/G1321-1</x:f>
        <x:v>-0.24858450024972345</x:v>
      </x:c>
      <x:c r="I1321" s="14" t="n">
        <x:f>F1321/F1320-1</x:f>
        <x:v>0.013539322507860607</x:v>
      </x:c>
      <x:c r="J1321" s="12" t="n">
        <x:v>0</x:v>
      </x:c>
      <x:c r="K1321" s="12" t="n">
        <x:v>0</x:v>
      </x:c>
      <x:c r="L1321" s="12" t="n">
        <x:v>0</x:v>
      </x:c>
      <x:c r="M1321" s="2" t="str">
        <x:v>持有</x:v>
      </x:c>
    </x:row>
    <x:row r="1322" ht="23" customHeight="1">
      <x:c r="A1322" s="11" t="d">
        <x:v>2020-03-26T00:00:00.000Z</x:v>
      </x:c>
      <x:c r="B1322" s="12" t="n">
        <x:v>11756.83444</x:v>
      </x:c>
      <x:c r="C1322" s="13" t="n">
        <x:v>484</x:v>
      </x:c>
      <x:c r="D1322" s="12" t="n">
        <x:v>126420.79999999999</x:v>
      </x:c>
      <x:c r="E1322" s="12" t="n">
        <x:v>680.290556</x:v>
      </x:c>
      <x:c r="F1322" s="12" t="n">
        <x:f>SUM(B1322,D1322:E1322)</x:f>
        <x:v>138857.924996</x:v>
      </x:c>
      <x:c r="G1322" s="12" t="n">
        <x:f>MAX(G1321,F1322)</x:f>
        <x:v>175513.39444</x:v>
      </x:c>
      <x:c r="H1322" s="14" t="n">
        <x:f>F1322/G1322-1</x:f>
        <x:v>-0.20884713420849965</x:v>
      </x:c>
      <x:c r="I1322" s="14" t="n">
        <x:f>F1322/F1321-1</x:f>
        <x:v>0.05288334623710855</x:v>
      </x:c>
      <x:c r="J1322" s="12" t="n">
        <x:v>0</x:v>
      </x:c>
      <x:c r="K1322" s="12" t="n">
        <x:v>0</x:v>
      </x:c>
      <x:c r="L1322" s="12" t="n">
        <x:v>0</x:v>
      </x:c>
      <x:c r="M1322" s="2" t="str">
        <x:v>持有</x:v>
      </x:c>
    </x:row>
    <x:row r="1323" ht="23" customHeight="1">
      <x:c r="A1323" s="11" t="d">
        <x:v>2020-03-27T00:00:00.000Z</x:v>
      </x:c>
      <x:c r="B1323" s="12" t="n">
        <x:v>11756.83444</x:v>
      </x:c>
      <x:c r="C1323" s="13" t="n">
        <x:v>484</x:v>
      </x:c>
      <x:c r="D1323" s="12" t="n">
        <x:v>122655.28</x:v>
      </x:c>
      <x:c r="E1323" s="12" t="n">
        <x:v>680.290556</x:v>
      </x:c>
      <x:c r="F1323" s="12" t="n">
        <x:f>SUM(B1323,D1323:E1323)</x:f>
        <x:v>135092.404996</x:v>
      </x:c>
      <x:c r="G1323" s="12" t="n">
        <x:f>MAX(G1322,F1323)</x:f>
        <x:v>175513.39444</x:v>
      </x:c>
      <x:c r="H1323" s="14" t="n">
        <x:f>F1323/G1323-1</x:f>
        <x:v>-0.23030145119675238</x:v>
      </x:c>
      <x:c r="I1323" s="14" t="n">
        <x:f>F1323/F1322-1</x:f>
        <x:v>-0.02711778964080347</x:v>
      </x:c>
      <x:c r="J1323" s="12" t="n">
        <x:v>0</x:v>
      </x:c>
      <x:c r="K1323" s="12" t="n">
        <x:v>0</x:v>
      </x:c>
      <x:c r="L1323" s="12" t="n">
        <x:v>0</x:v>
      </x:c>
      <x:c r="M1323" s="2" t="str">
        <x:v>持有</x:v>
      </x:c>
    </x:row>
    <x:row r="1324" ht="23" customHeight="1">
      <x:c r="A1324" s="11" t="d">
        <x:v>2020-03-30T00:00:00.000Z</x:v>
      </x:c>
      <x:c r="B1324" s="12" t="n">
        <x:v>11756.83444</x:v>
      </x:c>
      <x:c r="C1324" s="13" t="n">
        <x:v>484</x:v>
      </x:c>
      <x:c r="D1324" s="12" t="n">
        <x:v>126638.59999999999</x:v>
      </x:c>
      <x:c r="E1324" s="12" t="n">
        <x:v>680.290556</x:v>
      </x:c>
      <x:c r="F1324" s="12" t="n">
        <x:f>SUM(B1324,D1324:E1324)</x:f>
        <x:v>139075.724996</x:v>
      </x:c>
      <x:c r="G1324" s="12" t="n">
        <x:f>MAX(G1323,F1324)</x:f>
        <x:v>175513.39444</x:v>
      </x:c>
      <x:c r="H1324" s="14" t="n">
        <x:f>F1324/G1324-1</x:f>
        <x:v>-0.2076062032773024</x:v>
      </x:c>
      <x:c r="I1324" s="14" t="n">
        <x:f>F1324/F1323-1</x:f>
        <x:v>0.029485891528231667</x:v>
      </x:c>
      <x:c r="J1324" s="12" t="n">
        <x:v>0</x:v>
      </x:c>
      <x:c r="K1324" s="12" t="n">
        <x:v>0</x:v>
      </x:c>
      <x:c r="L1324" s="12" t="n">
        <x:v>0</x:v>
      </x:c>
      <x:c r="M1324" s="2" t="str">
        <x:v>持有</x:v>
      </x:c>
    </x:row>
    <x:row r="1325" ht="23" customHeight="1">
      <x:c r="A1325" s="11" t="d">
        <x:v>2020-03-31T00:00:00.000Z</x:v>
      </x:c>
      <x:c r="B1325" s="12" t="n">
        <x:v>11756.83444</x:v>
      </x:c>
      <x:c r="C1325" s="13" t="n">
        <x:v>484</x:v>
      </x:c>
      <x:c r="D1325" s="12" t="n">
        <x:v>124751</x:v>
      </x:c>
      <x:c r="E1325" s="12" t="n">
        <x:v>680.290556</x:v>
      </x:c>
      <x:c r="F1325" s="12" t="n">
        <x:f>SUM(B1325,D1325:E1325)</x:f>
        <x:v>137188.124996</x:v>
      </x:c>
      <x:c r="G1325" s="12" t="n">
        <x:f>MAX(G1324,F1325)</x:f>
        <x:v>175513.39444</x:v>
      </x:c>
      <x:c r="H1325" s="14" t="n">
        <x:f>F1325/G1325-1</x:f>
        <x:v>-0.2183609380143443</x:v>
      </x:c>
      <x:c r="I1325" s="14" t="n">
        <x:f>F1325/F1324-1</x:f>
        <x:v>-0.01357246205298801</x:v>
      </x:c>
      <x:c r="J1325" s="12" t="n">
        <x:v>0</x:v>
      </x:c>
      <x:c r="K1325" s="12" t="n">
        <x:v>0</x:v>
      </x:c>
      <x:c r="L1325" s="12" t="n">
        <x:v>0</x:v>
      </x:c>
      <x:c r="M1325" s="2" t="str">
        <x:v>持有</x:v>
      </x:c>
    </x:row>
    <x:row r="1326" ht="23" customHeight="1">
      <x:c r="A1326" s="11" t="d">
        <x:v>2020-04-01T00:00:00.000Z</x:v>
      </x:c>
      <x:c r="B1326" s="12" t="n">
        <x:v>11756.83444</x:v>
      </x:c>
      <x:c r="C1326" s="13" t="n">
        <x:v>484</x:v>
      </x:c>
      <x:c r="D1326" s="12" t="n">
        <x:v>119136.6</x:v>
      </x:c>
      <x:c r="E1326" s="12" t="n">
        <x:v>680.290556</x:v>
      </x:c>
      <x:c r="F1326" s="12" t="n">
        <x:f>SUM(B1326,D1326:E1326)</x:f>
        <x:v>131573.724996</x:v>
      </x:c>
      <x:c r="G1326" s="12" t="n">
        <x:f>MAX(G1325,F1326)</x:f>
        <x:v>175513.39444</x:v>
      </x:c>
      <x:c r="H1326" s="14" t="n">
        <x:f>F1326/G1326-1</x:f>
        <x:v>-0.250349379796315</x:v>
      </x:c>
      <x:c r="I1326" s="14" t="n">
        <x:f>F1326/F1325-1</x:f>
        <x:v>-0.040924824945043126</x:v>
      </x:c>
      <x:c r="J1326" s="12" t="n">
        <x:v>0</x:v>
      </x:c>
      <x:c r="K1326" s="12" t="n">
        <x:v>0</x:v>
      </x:c>
      <x:c r="L1326" s="12" t="n">
        <x:v>0</x:v>
      </x:c>
      <x:c r="M1326" s="2" t="str">
        <x:v>持有</x:v>
      </x:c>
    </x:row>
    <x:row r="1327" ht="23" customHeight="1">
      <x:c r="A1327" s="11" t="d">
        <x:v>2020-04-02T00:00:00.000Z</x:v>
      </x:c>
      <x:c r="B1327" s="12" t="n">
        <x:v>11756.83444</x:v>
      </x:c>
      <x:c r="C1327" s="13" t="n">
        <x:v>484</x:v>
      </x:c>
      <x:c r="D1327" s="12" t="n">
        <x:v>121885.72</x:v>
      </x:c>
      <x:c r="E1327" s="12" t="n">
        <x:v>680.290556</x:v>
      </x:c>
      <x:c r="F1327" s="12" t="n">
        <x:f>SUM(B1327,D1327:E1327)</x:f>
        <x:v>134322.844996</x:v>
      </x:c>
      <x:c r="G1327" s="12" t="n">
        <x:f>MAX(G1326,F1327)</x:f>
        <x:v>175513.39444</x:v>
      </x:c>
      <x:c r="H1327" s="14" t="n">
        <x:f>F1327/G1327-1</x:f>
        <x:v>-0.2346860738203156</x:v>
      </x:c>
      <x:c r="I1327" s="14" t="n">
        <x:f>F1327/F1326-1</x:f>
        <x:v>0.02089414128910283</x:v>
      </x:c>
      <x:c r="J1327" s="12" t="n">
        <x:v>0</x:v>
      </x:c>
      <x:c r="K1327" s="12" t="n">
        <x:v>0</x:v>
      </x:c>
      <x:c r="L1327" s="12" t="n">
        <x:v>0</x:v>
      </x:c>
      <x:c r="M1327" s="2" t="str">
        <x:v>持有</x:v>
      </x:c>
    </x:row>
    <x:row r="1328" ht="23" customHeight="1">
      <x:c r="A1328" s="11" t="d">
        <x:v>2020-04-03T00:00:00.000Z</x:v>
      </x:c>
      <x:c r="B1328" s="12" t="n">
        <x:v>11756.83444</x:v>
      </x:c>
      <x:c r="C1328" s="13" t="n">
        <x:v>484</x:v>
      </x:c>
      <x:c r="D1328" s="12" t="n">
        <x:v>120123.95999999999</x:v>
      </x:c>
      <x:c r="E1328" s="12" t="n">
        <x:v>680.290556</x:v>
      </x:c>
      <x:c r="F1328" s="12" t="n">
        <x:f>SUM(B1328,D1328:E1328)</x:f>
        <x:v>132561.084996</x:v>
      </x:c>
      <x:c r="G1328" s="12" t="n">
        <x:f>MAX(G1327,F1328)</x:f>
        <x:v>175513.39444</x:v>
      </x:c>
      <x:c r="H1328" s="14" t="n">
        <x:f>F1328/G1328-1</x:f>
        <x:v>-0.24472382624155464</x:v>
      </x:c>
      <x:c r="I1328" s="14" t="n">
        <x:f>F1328/F1327-1</x:f>
        <x:v>-0.01311586275627552</x:v>
      </x:c>
      <x:c r="J1328" s="12" t="n">
        <x:v>0</x:v>
      </x:c>
      <x:c r="K1328" s="12" t="n">
        <x:v>0</x:v>
      </x:c>
      <x:c r="L1328" s="12" t="n">
        <x:v>0</x:v>
      </x:c>
      <x:c r="M1328" s="2" t="str">
        <x:v>持有</x:v>
      </x:c>
    </x:row>
    <x:row r="1329" ht="23" customHeight="1">
      <x:c r="A1329" s="11" t="d">
        <x:v>2020-04-06T00:00:00.000Z</x:v>
      </x:c>
      <x:c r="B1329" s="12" t="n">
        <x:v>11756.83444</x:v>
      </x:c>
      <x:c r="C1329" s="13" t="n">
        <x:v>484</x:v>
      </x:c>
      <x:c r="D1329" s="12" t="n">
        <x:v>128192.24</x:v>
      </x:c>
      <x:c r="E1329" s="12" t="n">
        <x:v>680.290556</x:v>
      </x:c>
      <x:c r="F1329" s="12" t="n">
        <x:f>SUM(B1329,D1329:E1329)</x:f>
        <x:v>140629.36499600002</x:v>
      </x:c>
      <x:c r="G1329" s="12" t="n">
        <x:f>MAX(G1328,F1329)</x:f>
        <x:v>175513.39444</x:v>
      </x:c>
      <x:c r="H1329" s="14" t="n">
        <x:f>F1329/G1329-1</x:f>
        <x:v>-0.19875422930142939</x:v>
      </x:c>
      <x:c r="I1329" s="14" t="n">
        <x:f>F1329/F1328-1</x:f>
        <x:v>0.060864619509137796</x:v>
      </x:c>
      <x:c r="J1329" s="12" t="n">
        <x:v>0</x:v>
      </x:c>
      <x:c r="K1329" s="12" t="n">
        <x:v>0</x:v>
      </x:c>
      <x:c r="L1329" s="12" t="n">
        <x:v>0</x:v>
      </x:c>
      <x:c r="M1329" s="2" t="str">
        <x:v>持有</x:v>
      </x:c>
    </x:row>
    <x:row r="1330" ht="23" customHeight="1">
      <x:c r="A1330" s="11" t="d">
        <x:v>2020-04-07T00:00:00.000Z</x:v>
      </x:c>
      <x:c r="B1330" s="12" t="n">
        <x:v>11756.83444</x:v>
      </x:c>
      <x:c r="C1330" s="13" t="n">
        <x:v>484</x:v>
      </x:c>
      <x:c r="D1330" s="12" t="n">
        <x:v>128322.92</x:v>
      </x:c>
      <x:c r="E1330" s="12" t="n">
        <x:v>680.290556</x:v>
      </x:c>
      <x:c r="F1330" s="12" t="n">
        <x:f>SUM(B1330,D1330:E1330)</x:f>
        <x:v>140760.044996</x:v>
      </x:c>
      <x:c r="G1330" s="12" t="n">
        <x:f>MAX(G1329,F1330)</x:f>
        <x:v>175513.39444</x:v>
      </x:c>
      <x:c r="H1330" s="14" t="n">
        <x:f>F1330/G1330-1</x:f>
        <x:v>-0.19800967074271114</x:v>
      </x:c>
      <x:c r="I1330" s="14" t="n">
        <x:f>F1330/F1329-1</x:f>
        <x:v>0.0009292511560705652</x:v>
      </x:c>
      <x:c r="J1330" s="12" t="n">
        <x:v>0</x:v>
      </x:c>
      <x:c r="K1330" s="12" t="n">
        <x:v>0</x:v>
      </x:c>
      <x:c r="L1330" s="12" t="n">
        <x:v>0</x:v>
      </x:c>
      <x:c r="M1330" s="2" t="str">
        <x:v>持有</x:v>
      </x:c>
    </x:row>
    <x:row r="1331" ht="23" customHeight="1">
      <x:c r="A1331" s="11" t="d">
        <x:v>2020-04-08T00:00:00.000Z</x:v>
      </x:c>
      <x:c r="B1331" s="12" t="n">
        <x:v>11756.83444</x:v>
      </x:c>
      <x:c r="C1331" s="13" t="n">
        <x:v>484</x:v>
      </x:c>
      <x:c r="D1331" s="12" t="n">
        <x:v>132630.52</x:v>
      </x:c>
      <x:c r="E1331" s="12" t="n">
        <x:v>680.290556</x:v>
      </x:c>
      <x:c r="F1331" s="12" t="n">
        <x:f>SUM(B1331,D1331:E1331)</x:f>
        <x:v>145067.644996</x:v>
      </x:c>
      <x:c r="G1331" s="12" t="n">
        <x:f>MAX(G1330,F1331)</x:f>
        <x:v>175513.39444</x:v>
      </x:c>
      <x:c r="H1331" s="14" t="n">
        <x:f>F1331/G1331-1</x:f>
        <x:v>-0.17346681454792345</x:v>
      </x:c>
      <x:c r="I1331" s="14" t="n">
        <x:f>F1331/F1330-1</x:f>
        <x:v>0.030602434093583764</x:v>
      </x:c>
      <x:c r="J1331" s="12" t="n">
        <x:v>0</x:v>
      </x:c>
      <x:c r="K1331" s="12" t="n">
        <x:v>0</x:v>
      </x:c>
      <x:c r="L1331" s="12" t="n">
        <x:v>0</x:v>
      </x:c>
      <x:c r="M1331" s="2" t="str">
        <x:v>持有</x:v>
      </x:c>
    </x:row>
    <x:row r="1332" ht="23" customHeight="1">
      <x:c r="A1332" s="11" t="d">
        <x:v>2020-04-09T00:00:00.000Z</x:v>
      </x:c>
      <x:c r="B1332" s="12" t="n">
        <x:v>11756.83444</x:v>
      </x:c>
      <x:c r="C1332" s="13" t="n">
        <x:v>484</x:v>
      </x:c>
      <x:c r="D1332" s="12" t="n">
        <x:v>134648.8</x:v>
      </x:c>
      <x:c r="E1332" s="12" t="n">
        <x:v>680.290556</x:v>
      </x:c>
      <x:c r="F1332" s="12" t="n">
        <x:f>SUM(B1332,D1332:E1332)</x:f>
        <x:v>147085.924996</x:v>
      </x:c>
      <x:c r="G1332" s="12" t="n">
        <x:f>MAX(G1331,F1332)</x:f>
        <x:v>175513.39444</x:v>
      </x:c>
      <x:c r="H1332" s="14" t="n">
        <x:f>F1332/G1332-1</x:f>
        <x:v>-0.1619675212521633</x:v>
      </x:c>
      <x:c r="I1332" s="14" t="n">
        <x:f>F1332/F1331-1</x:f>
        <x:v>0.013912681908192948</x:v>
      </x:c>
      <x:c r="J1332" s="12" t="n">
        <x:v>0</x:v>
      </x:c>
      <x:c r="K1332" s="12" t="n">
        <x:v>0</x:v>
      </x:c>
      <x:c r="L1332" s="12" t="n">
        <x:v>0</x:v>
      </x:c>
      <x:c r="M1332" s="2" t="str">
        <x:v>持有</x:v>
      </x:c>
    </x:row>
    <x:row r="1333" ht="23" customHeight="1">
      <x:c r="A1333" s="11" t="d">
        <x:v>2020-04-13T00:00:00.000Z</x:v>
      </x:c>
      <x:c r="B1333" s="12" t="n">
        <x:v>11756.83444</x:v>
      </x:c>
      <x:c r="C1333" s="13" t="n">
        <x:v>484</x:v>
      </x:c>
      <x:c r="D1333" s="12" t="n">
        <x:v>133419.44</x:v>
      </x:c>
      <x:c r="E1333" s="12" t="n">
        <x:v>680.290556</x:v>
      </x:c>
      <x:c r="F1333" s="12" t="n">
        <x:f>SUM(B1333,D1333:E1333)</x:f>
        <x:v>145856.564996</x:v>
      </x:c>
      <x:c r="G1333" s="12" t="n">
        <x:f>MAX(G1332,F1333)</x:f>
        <x:v>175513.39444</x:v>
      </x:c>
      <x:c r="H1333" s="14" t="n">
        <x:f>F1333/G1333-1</x:f>
        <x:v>-0.16897188695269816</x:v>
      </x:c>
      <x:c r="I1333" s="14" t="n">
        <x:f>F1333/F1332-1</x:f>
        <x:v>-0.008358107684562022</x:v>
      </x:c>
      <x:c r="J1333" s="12" t="n">
        <x:v>0</x:v>
      </x:c>
      <x:c r="K1333" s="12" t="n">
        <x:v>0</x:v>
      </x:c>
      <x:c r="L1333" s="12" t="n">
        <x:v>0</x:v>
      </x:c>
      <x:c r="M1333" s="2" t="str">
        <x:v>持有</x:v>
      </x:c>
    </x:row>
    <x:row r="1334" ht="23" customHeight="1">
      <x:c r="A1334" s="11" t="d">
        <x:v>2020-04-14T00:00:00.000Z</x:v>
      </x:c>
      <x:c r="B1334" s="12" t="n">
        <x:v>11756.83444</x:v>
      </x:c>
      <x:c r="C1334" s="13" t="n">
        <x:v>484</x:v>
      </x:c>
      <x:c r="D1334" s="12" t="n">
        <x:v>137354.36000000002</x:v>
      </x:c>
      <x:c r="E1334" s="12" t="n">
        <x:v>680.290556</x:v>
      </x:c>
      <x:c r="F1334" s="12" t="n">
        <x:f>SUM(B1334,D1334:E1334)</x:f>
        <x:v>149791.484996</x:v>
      </x:c>
      <x:c r="G1334" s="12" t="n">
        <x:f>MAX(G1333,F1334)</x:f>
        <x:v>175513.39444</x:v>
      </x:c>
      <x:c r="H1334" s="14" t="n">
        <x:f>F1334/G1334-1</x:f>
        <x:v>-0.14655240146240311</x:v>
      </x:c>
      <x:c r="I1334" s="14" t="n">
        <x:f>F1334/F1333-1</x:f>
        <x:v>0.026978010897952487</x:v>
      </x:c>
      <x:c r="J1334" s="12" t="n">
        <x:v>0</x:v>
      </x:c>
      <x:c r="K1334" s="12" t="n">
        <x:v>0</x:v>
      </x:c>
      <x:c r="L1334" s="12" t="n">
        <x:v>0</x:v>
      </x:c>
      <x:c r="M1334" s="2" t="str">
        <x:v>持有</x:v>
      </x:c>
    </x:row>
    <x:row r="1335" ht="23" customHeight="1">
      <x:c r="A1335" s="11" t="d">
        <x:v>2020-04-15T00:00:00.000Z</x:v>
      </x:c>
      <x:c r="B1335" s="12" t="n">
        <x:v>11756.83444</x:v>
      </x:c>
      <x:c r="C1335" s="13" t="n">
        <x:v>484</x:v>
      </x:c>
      <x:c r="D1335" s="12" t="n">
        <x:v>134435.84</x:v>
      </x:c>
      <x:c r="E1335" s="12" t="n">
        <x:v>680.290556</x:v>
      </x:c>
      <x:c r="F1335" s="12" t="n">
        <x:f>SUM(B1335,D1335:E1335)</x:f>
        <x:v>146872.964996</x:v>
      </x:c>
      <x:c r="G1335" s="12" t="n">
        <x:f>MAX(G1334,F1335)</x:f>
        <x:v>175513.39444</x:v>
      </x:c>
      <x:c r="H1335" s="14" t="n">
        <x:f>F1335/G1335-1</x:f>
        <x:v>-0.16318087594044484</x:v>
      </x:c>
      <x:c r="I1335" s="14" t="n">
        <x:f>F1335/F1334-1</x:f>
        <x:v>-0.01948388454843042</x:v>
      </x:c>
      <x:c r="J1335" s="12" t="n">
        <x:v>0</x:v>
      </x:c>
      <x:c r="K1335" s="12" t="n">
        <x:v>0</x:v>
      </x:c>
      <x:c r="L1335" s="12" t="n">
        <x:v>0</x:v>
      </x:c>
      <x:c r="M1335" s="2" t="str">
        <x:v>持有</x:v>
      </x:c>
    </x:row>
    <x:row r="1336" ht="23" customHeight="1">
      <x:c r="A1336" s="11" t="d">
        <x:v>2020-04-16T00:00:00.000Z</x:v>
      </x:c>
      <x:c r="B1336" s="12" t="n">
        <x:v>11756.83444</x:v>
      </x:c>
      <x:c r="C1336" s="13" t="n">
        <x:v>484</x:v>
      </x:c>
      <x:c r="D1336" s="12" t="n">
        <x:v>135084.40000000002</x:v>
      </x:c>
      <x:c r="E1336" s="12" t="n">
        <x:v>680.290556</x:v>
      </x:c>
      <x:c r="F1336" s="12" t="n">
        <x:f>SUM(B1336,D1336:E1336)</x:f>
        <x:v>147521.52499600002</x:v>
      </x:c>
      <x:c r="G1336" s="12" t="n">
        <x:f>MAX(G1335,F1336)</x:f>
        <x:v>175513.39444</x:v>
      </x:c>
      <x:c r="H1336" s="14" t="n">
        <x:f>F1336/G1336-1</x:f>
        <x:v>-0.15948565938976877</x:v>
      </x:c>
      <x:c r="I1336" s="14" t="n">
        <x:f>F1336/F1335-1</x:f>
        <x:v>0.004415788841858559</x:v>
      </x:c>
      <x:c r="J1336" s="12" t="n">
        <x:v>0</x:v>
      </x:c>
      <x:c r="K1336" s="12" t="n">
        <x:v>0</x:v>
      </x:c>
      <x:c r="L1336" s="12" t="n">
        <x:v>0</x:v>
      </x:c>
      <x:c r="M1336" s="2" t="str">
        <x:v>持有</x:v>
      </x:c>
    </x:row>
    <x:row r="1337" ht="23" customHeight="1">
      <x:c r="A1337" s="11" t="d">
        <x:v>2020-04-17T00:00:00.000Z</x:v>
      </x:c>
      <x:c r="B1337" s="12" t="n">
        <x:v>11756.83444</x:v>
      </x:c>
      <x:c r="C1337" s="13" t="n">
        <x:v>484</x:v>
      </x:c>
      <x:c r="D1337" s="12" t="n">
        <x:v>138733.75999999998</x:v>
      </x:c>
      <x:c r="E1337" s="12" t="n">
        <x:v>680.290556</x:v>
      </x:c>
      <x:c r="F1337" s="12" t="n">
        <x:f>SUM(B1337,D1337:E1337)</x:f>
        <x:v>151170.88499599998</x:v>
      </x:c>
      <x:c r="G1337" s="12" t="n">
        <x:f>MAX(G1336,F1337)</x:f>
        <x:v>175513.39444</x:v>
      </x:c>
      <x:c r="H1337" s="14" t="n">
        <x:f>F1337/G1337-1</x:f>
        <x:v>-0.13869317223148814</x:v>
      </x:c>
      <x:c r="I1337" s="14" t="n">
        <x:f>F1337/F1336-1</x:f>
        <x:v>0.024737813685825838</x:v>
      </x:c>
      <x:c r="J1337" s="12" t="n">
        <x:v>0</x:v>
      </x:c>
      <x:c r="K1337" s="12" t="n">
        <x:v>0</x:v>
      </x:c>
      <x:c r="L1337" s="12" t="n">
        <x:v>0</x:v>
      </x:c>
      <x:c r="M1337" s="2" t="str">
        <x:v>持有</x:v>
      </x:c>
    </x:row>
    <x:row r="1338" ht="23" customHeight="1">
      <x:c r="A1338" s="11" t="d">
        <x:v>2020-04-20T00:00:00.000Z</x:v>
      </x:c>
      <x:c r="B1338" s="12" t="n">
        <x:v>11756.83444</x:v>
      </x:c>
      <x:c r="C1338" s="13" t="n">
        <x:v>484</x:v>
      </x:c>
      <x:c r="D1338" s="12" t="n">
        <x:v>136289.56</x:v>
      </x:c>
      <x:c r="E1338" s="12" t="n">
        <x:v>680.290556</x:v>
      </x:c>
      <x:c r="F1338" s="12" t="n">
        <x:f>SUM(B1338,D1338:E1338)</x:f>
        <x:v>148726.684996</x:v>
      </x:c>
      <x:c r="G1338" s="12" t="n">
        <x:f>MAX(G1337,F1338)</x:f>
        <x:v>175513.39444</x:v>
      </x:c>
      <x:c r="H1338" s="14" t="n">
        <x:f>F1338/G1338-1</x:f>
        <x:v>-0.1526191749038115</x:v>
      </x:c>
      <x:c r="I1338" s="14" t="n">
        <x:f>F1338/F1337-1</x:f>
        <x:v>-0.016168457306211192</x:v>
      </x:c>
      <x:c r="J1338" s="12" t="n">
        <x:v>0</x:v>
      </x:c>
      <x:c r="K1338" s="12" t="n">
        <x:v>0</x:v>
      </x:c>
      <x:c r="L1338" s="12" t="n">
        <x:v>0</x:v>
      </x:c>
      <x:c r="M1338" s="2" t="str">
        <x:v>持有</x:v>
      </x:c>
    </x:row>
    <x:row r="1339" ht="23" customHeight="1">
      <x:c r="A1339" s="11" t="d">
        <x:v>2020-04-21T00:00:00.000Z</x:v>
      </x:c>
      <x:c r="B1339" s="12" t="n">
        <x:v>11756.83444</x:v>
      </x:c>
      <x:c r="C1339" s="13" t="n">
        <x:v>484</x:v>
      </x:c>
      <x:c r="D1339" s="12" t="n">
        <x:v>132151.36000000002</x:v>
      </x:c>
      <x:c r="E1339" s="12" t="n">
        <x:v>680.290556</x:v>
      </x:c>
      <x:c r="F1339" s="12" t="n">
        <x:f>SUM(B1339,D1339:E1339)</x:f>
        <x:v>144588.484996</x:v>
      </x:c>
      <x:c r="G1339" s="12" t="n">
        <x:f>MAX(G1338,F1339)</x:f>
        <x:v>175513.39444</x:v>
      </x:c>
      <x:c r="H1339" s="14" t="n">
        <x:f>F1339/G1339-1</x:f>
        <x:v>-0.17619686259655698</x:v>
      </x:c>
      <x:c r="I1339" s="14" t="n">
        <x:f>F1339/F1338-1</x:f>
        <x:v>-0.027824193083516136</x:v>
      </x:c>
      <x:c r="J1339" s="12" t="n">
        <x:v>0</x:v>
      </x:c>
      <x:c r="K1339" s="12" t="n">
        <x:v>0</x:v>
      </x:c>
      <x:c r="L1339" s="12" t="n">
        <x:v>0</x:v>
      </x:c>
      <x:c r="M1339" s="2" t="str">
        <x:v>持有</x:v>
      </x:c>
    </x:row>
    <x:row r="1340" ht="23" customHeight="1">
      <x:c r="A1340" s="11" t="d">
        <x:v>2020-04-22T00:00:00.000Z</x:v>
      </x:c>
      <x:c r="B1340" s="12" t="n">
        <x:v>11756.83444</x:v>
      </x:c>
      <x:c r="C1340" s="13" t="n">
        <x:v>484</x:v>
      </x:c>
      <x:c r="D1340" s="12" t="n">
        <x:v>135084.40000000002</x:v>
      </x:c>
      <x:c r="E1340" s="12" t="n">
        <x:v>680.290556</x:v>
      </x:c>
      <x:c r="F1340" s="12" t="n">
        <x:f>SUM(B1340,D1340:E1340)</x:f>
        <x:v>147521.52499600002</x:v>
      </x:c>
      <x:c r="G1340" s="12" t="n">
        <x:f>MAX(G1339,F1340)</x:f>
        <x:v>175513.39444</x:v>
      </x:c>
      <x:c r="H1340" s="14" t="n">
        <x:f>F1340/G1340-1</x:f>
        <x:v>-0.15948565938976877</x:v>
      </x:c>
      <x:c r="I1340" s="14" t="n">
        <x:f>F1340/F1339-1</x:f>
        <x:v>0.02028543282738693</x:v>
      </x:c>
      <x:c r="J1340" s="12" t="n">
        <x:v>0</x:v>
      </x:c>
      <x:c r="K1340" s="12" t="n">
        <x:v>0</x:v>
      </x:c>
      <x:c r="L1340" s="12" t="n">
        <x:v>0</x:v>
      </x:c>
      <x:c r="M1340" s="2" t="str">
        <x:v>持有</x:v>
      </x:c>
    </x:row>
    <x:row r="1341" ht="23" customHeight="1">
      <x:c r="A1341" s="11" t="d">
        <x:v>2020-04-23T00:00:00.000Z</x:v>
      </x:c>
      <x:c r="B1341" s="12" t="n">
        <x:v>11756.83444</x:v>
      </x:c>
      <x:c r="C1341" s="13" t="n">
        <x:v>484</x:v>
      </x:c>
      <x:c r="D1341" s="12" t="n">
        <x:v>135074.72</x:v>
      </x:c>
      <x:c r="E1341" s="12" t="n">
        <x:v>680.290556</x:v>
      </x:c>
      <x:c r="F1341" s="12" t="n">
        <x:f>SUM(B1341,D1341:E1341)</x:f>
        <x:v>147511.844996</x:v>
      </x:c>
      <x:c r="G1341" s="12" t="n">
        <x:f>MAX(G1340,F1341)</x:f>
        <x:v>175513.39444</x:v>
      </x:c>
      <x:c r="H1341" s="14" t="n">
        <x:f>F1341/G1341-1</x:f>
        <x:v>-0.15954081187559987</x:v>
      </x:c>
      <x:c r="I1341" s="14" t="n">
        <x:f>F1341/F1340-1</x:f>
        <x:v>-0.00006561754293332722</x:v>
      </x:c>
      <x:c r="J1341" s="12" t="n">
        <x:v>0</x:v>
      </x:c>
      <x:c r="K1341" s="12" t="n">
        <x:v>0</x:v>
      </x:c>
      <x:c r="L1341" s="12" t="n">
        <x:v>0</x:v>
      </x:c>
      <x:c r="M1341" s="2" t="str">
        <x:v>持有</x:v>
      </x:c>
    </x:row>
    <x:row r="1342" ht="23" customHeight="1">
      <x:c r="A1342" s="11" t="d">
        <x:v>2020-04-24T00:00:00.000Z</x:v>
      </x:c>
      <x:c r="B1342" s="12" t="n">
        <x:v>11756.83444</x:v>
      </x:c>
      <x:c r="C1342" s="13" t="n">
        <x:v>484</x:v>
      </x:c>
      <x:c r="D1342" s="12" t="n">
        <x:v>136957.48</x:v>
      </x:c>
      <x:c r="E1342" s="12" t="n">
        <x:v>680.290556</x:v>
      </x:c>
      <x:c r="F1342" s="12" t="n">
        <x:f>SUM(B1342,D1342:E1342)</x:f>
        <x:v>149394.604996</x:v>
      </x:c>
      <x:c r="G1342" s="12" t="n">
        <x:f>MAX(G1341,F1342)</x:f>
        <x:v>175513.39444</x:v>
      </x:c>
      <x:c r="H1342" s="14" t="n">
        <x:f>F1342/G1342-1</x:f>
        <x:v>-0.14881365338147345</x:v>
      </x:c>
      <x:c r="I1342" s="14" t="n">
        <x:f>F1342/F1341-1</x:f>
        <x:v>0.01276344960671505</x:v>
      </x:c>
      <x:c r="J1342" s="12" t="n">
        <x:v>0</x:v>
      </x:c>
      <x:c r="K1342" s="12" t="n">
        <x:v>0</x:v>
      </x:c>
      <x:c r="L1342" s="12" t="n">
        <x:v>0</x:v>
      </x:c>
      <x:c r="M1342" s="2" t="str">
        <x:v>持有</x:v>
      </x:c>
    </x:row>
    <x:row r="1343" ht="23" customHeight="1">
      <x:c r="A1343" s="11" t="d">
        <x:v>2020-04-27T00:00:00.000Z</x:v>
      </x:c>
      <x:c r="B1343" s="12" t="n">
        <x:v>11756.83444</x:v>
      </x:c>
      <x:c r="C1343" s="13" t="n">
        <x:v>484</x:v>
      </x:c>
      <x:c r="D1343" s="12" t="n">
        <x:v>138932.2</x:v>
      </x:c>
      <x:c r="E1343" s="12" t="n">
        <x:v>680.290556</x:v>
      </x:c>
      <x:c r="F1343" s="12" t="n">
        <x:f>SUM(B1343,D1343:E1343)</x:f>
        <x:v>151369.324996</x:v>
      </x:c>
      <x:c r="G1343" s="12" t="n">
        <x:f>MAX(G1342,F1343)</x:f>
        <x:v>175513.39444</x:v>
      </x:c>
      <x:c r="H1343" s="14" t="n">
        <x:f>F1343/G1343-1</x:f>
        <x:v>-0.13756254627195275</x:v>
      </x:c>
      <x:c r="I1343" s="14" t="n">
        <x:f>F1343/F1342-1</x:f>
        <x:v>0.01321814800509613</x:v>
      </x:c>
      <x:c r="J1343" s="12" t="n">
        <x:v>0</x:v>
      </x:c>
      <x:c r="K1343" s="12" t="n">
        <x:v>0</x:v>
      </x:c>
      <x:c r="L1343" s="12" t="n">
        <x:v>0</x:v>
      </x:c>
      <x:c r="M1343" s="2" t="str">
        <x:v>持有</x:v>
      </x:c>
    </x:row>
    <x:row r="1344" ht="23" customHeight="1">
      <x:c r="A1344" s="11" t="d">
        <x:v>2020-04-28T00:00:00.000Z</x:v>
      </x:c>
      <x:c r="B1344" s="12" t="n">
        <x:v>11756.83444</x:v>
      </x:c>
      <x:c r="C1344" s="13" t="n">
        <x:v>484</x:v>
      </x:c>
      <x:c r="D1344" s="12" t="n">
        <x:v>138293.32</x:v>
      </x:c>
      <x:c r="E1344" s="12" t="n">
        <x:v>680.290556</x:v>
      </x:c>
      <x:c r="F1344" s="12" t="n">
        <x:f>SUM(B1344,D1344:E1344)</x:f>
        <x:v>150730.444996</x:v>
      </x:c>
      <x:c r="G1344" s="12" t="n">
        <x:f>MAX(G1343,F1344)</x:f>
        <x:v>175513.39444</x:v>
      </x:c>
      <x:c r="H1344" s="14" t="n">
        <x:f>F1344/G1344-1</x:f>
        <x:v>-0.1412026103367977</x:v>
      </x:c>
      <x:c r="I1344" s="14" t="n">
        <x:f>F1344/F1343-1</x:f>
        <x:v>-0.004220670205253851</x:v>
      </x:c>
      <x:c r="J1344" s="12" t="n">
        <x:v>0</x:v>
      </x:c>
      <x:c r="K1344" s="12" t="n">
        <x:v>0</x:v>
      </x:c>
      <x:c r="L1344" s="12" t="n">
        <x:v>0</x:v>
      </x:c>
      <x:c r="M1344" s="2" t="str">
        <x:v>持有</x:v>
      </x:c>
    </x:row>
    <x:row r="1345" ht="23" customHeight="1">
      <x:c r="A1345" s="11" t="d">
        <x:v>2020-04-29T00:00:00.000Z</x:v>
      </x:c>
      <x:c r="B1345" s="12" t="n">
        <x:v>11756.83444</x:v>
      </x:c>
      <x:c r="C1345" s="13" t="n">
        <x:v>484</x:v>
      </x:c>
      <x:c r="D1345" s="12" t="n">
        <x:v>141913.63999999998</x:v>
      </x:c>
      <x:c r="E1345" s="12" t="n">
        <x:v>680.290556</x:v>
      </x:c>
      <x:c r="F1345" s="12" t="n">
        <x:f>SUM(B1345,D1345:E1345)</x:f>
        <x:v>154350.76499599998</x:v>
      </x:c>
      <x:c r="G1345" s="12" t="n">
        <x:f>MAX(G1344,F1345)</x:f>
        <x:v>175513.39444</x:v>
      </x:c>
      <x:c r="H1345" s="14" t="n">
        <x:f>F1345/G1345-1</x:f>
        <x:v>-0.12057558063600982</x:v>
      </x:c>
      <x:c r="I1345" s="14" t="n">
        <x:f>F1345/F1344-1</x:f>
        <x:v>0.02401850535302308</x:v>
      </x:c>
      <x:c r="J1345" s="12" t="n">
        <x:v>0</x:v>
      </x:c>
      <x:c r="K1345" s="12" t="n">
        <x:v>0</x:v>
      </x:c>
      <x:c r="L1345" s="12" t="n">
        <x:v>0</x:v>
      </x:c>
      <x:c r="M1345" s="2" t="str">
        <x:v>持有</x:v>
      </x:c>
    </x:row>
    <x:row r="1346" ht="23" customHeight="1">
      <x:c r="A1346" s="11" t="d">
        <x:v>2020-04-30T00:00:00.000Z</x:v>
      </x:c>
      <x:c r="B1346" s="12" t="n">
        <x:v>12437.124996</x:v>
      </x:c>
      <x:c r="C1346" s="13" t="n">
        <x:v>484</x:v>
      </x:c>
      <x:c r="D1346" s="12" t="n">
        <x:v>140592.32</x:v>
      </x:c>
      <x:c r="E1346" s="12" t="n">
        <x:v>0</x:v>
      </x:c>
      <x:c r="F1346" s="12" t="n">
        <x:f>SUM(B1346,D1346:E1346)</x:f>
        <x:v>153029.444996</x:v>
      </x:c>
      <x:c r="G1346" s="12" t="n">
        <x:f>MAX(G1345,F1346)</x:f>
        <x:v>175513.39444</x:v>
      </x:c>
      <x:c r="H1346" s="14" t="n">
        <x:f>F1346/G1346-1</x:f>
        <x:v>-0.12810389495193897</x:v>
      </x:c>
      <x:c r="I1346" s="14" t="n">
        <x:f>F1346/F1345-1</x:f>
        <x:v>-0.008560501789765751</x:v>
      </x:c>
      <x:c r="J1346" s="12" t="n">
        <x:v>0</x:v>
      </x:c>
      <x:c r="K1346" s="12" t="n">
        <x:v>680.290556</x:v>
      </x:c>
      <x:c r="L1346" s="12" t="n">
        <x:v>0</x:v>
      </x:c>
      <x:c r="M1346" s="2" t="str">
        <x:v>持有</x:v>
      </x:c>
    </x:row>
    <x:row r="1347" ht="23" customHeight="1">
      <x:c r="A1347" s="11" t="d">
        <x:v>2020-05-01T00:00:00.000Z</x:v>
      </x:c>
      <x:c r="B1347" s="12" t="n">
        <x:v>12437.124996</x:v>
      </x:c>
      <x:c r="C1347" s="13" t="n">
        <x:v>484</x:v>
      </x:c>
      <x:c r="D1347" s="12" t="n">
        <x:v>136870.36000000002</x:v>
      </x:c>
      <x:c r="E1347" s="12" t="n">
        <x:v>0</x:v>
      </x:c>
      <x:c r="F1347" s="12" t="n">
        <x:f>SUM(B1347,D1347:E1347)</x:f>
        <x:v>149307.484996</x:v>
      </x:c>
      <x:c r="G1347" s="12" t="n">
        <x:f>MAX(G1346,F1347)</x:f>
        <x:v>175513.39444</x:v>
      </x:c>
      <x:c r="H1347" s="14" t="n">
        <x:f>F1347/G1347-1</x:f>
        <x:v>-0.14931002575395236</x:v>
      </x:c>
      <x:c r="I1347" s="14" t="n">
        <x:f>F1347/F1346-1</x:f>
        <x:v>-0.024321855183473184</x:v>
      </x:c>
      <x:c r="J1347" s="12" t="n">
        <x:v>0</x:v>
      </x:c>
      <x:c r="K1347" s="12" t="n">
        <x:v>0</x:v>
      </x:c>
      <x:c r="L1347" s="12" t="n">
        <x:v>0</x:v>
      </x:c>
      <x:c r="M1347" s="2" t="str">
        <x:v>持有</x:v>
      </x:c>
    </x:row>
    <x:row r="1348" ht="23" customHeight="1">
      <x:c r="A1348" s="11" t="d">
        <x:v>2020-05-04T00:00:00.000Z</x:v>
      </x:c>
      <x:c r="B1348" s="12" t="n">
        <x:v>12437.124996</x:v>
      </x:c>
      <x:c r="C1348" s="13" t="n">
        <x:v>484</x:v>
      </x:c>
      <x:c r="D1348" s="12" t="n">
        <x:v>137247.88</x:v>
      </x:c>
      <x:c r="E1348" s="12" t="n">
        <x:v>0</x:v>
      </x:c>
      <x:c r="F1348" s="12" t="n">
        <x:f>SUM(B1348,D1348:E1348)</x:f>
        <x:v>149685.004996</x:v>
      </x:c>
      <x:c r="G1348" s="12" t="n">
        <x:f>MAX(G1347,F1348)</x:f>
        <x:v>175513.39444</x:v>
      </x:c>
      <x:c r="H1348" s="14" t="n">
        <x:f>F1348/G1348-1</x:f>
        <x:v>-0.147159078806544</x:v>
      </x:c>
      <x:c r="I1348" s="14" t="n">
        <x:f>F1348/F1347-1</x:f>
        <x:v>0.0025284733716470775</x:v>
      </x:c>
      <x:c r="J1348" s="12" t="n">
        <x:v>0</x:v>
      </x:c>
      <x:c r="K1348" s="12" t="n">
        <x:v>0</x:v>
      </x:c>
      <x:c r="L1348" s="12" t="n">
        <x:v>0</x:v>
      </x:c>
      <x:c r="M1348" s="2" t="str">
        <x:v>持有</x:v>
      </x:c>
    </x:row>
    <x:row r="1349" ht="23" customHeight="1">
      <x:c r="A1349" s="11" t="d">
        <x:v>2020-05-05T00:00:00.000Z</x:v>
      </x:c>
      <x:c r="B1349" s="12" t="n">
        <x:v>12437.124996</x:v>
      </x:c>
      <x:c r="C1349" s="13" t="n">
        <x:v>484</x:v>
      </x:c>
      <x:c r="D1349" s="12" t="n">
        <x:v>138515.96</x:v>
      </x:c>
      <x:c r="E1349" s="12" t="n">
        <x:v>0</x:v>
      </x:c>
      <x:c r="F1349" s="12" t="n">
        <x:f>SUM(B1349,D1349:E1349)</x:f>
        <x:v>150953.084996</x:v>
      </x:c>
      <x:c r="G1349" s="12" t="n">
        <x:f>MAX(G1348,F1349)</x:f>
        <x:v>175513.39444</x:v>
      </x:c>
      <x:c r="H1349" s="14" t="n">
        <x:f>F1349/G1349-1</x:f>
        <x:v>-0.13993410316268518</x:v>
      </x:c>
      <x:c r="I1349" s="14" t="n">
        <x:f>F1349/F1348-1</x:f>
        <x:v>0.008471656863918264</x:v>
      </x:c>
      <x:c r="J1349" s="12" t="n">
        <x:v>0</x:v>
      </x:c>
      <x:c r="K1349" s="12" t="n">
        <x:v>0</x:v>
      </x:c>
      <x:c r="L1349" s="12" t="n">
        <x:v>0</x:v>
      </x:c>
      <x:c r="M1349" s="2" t="str">
        <x:v>持有</x:v>
      </x:c>
    </x:row>
    <x:row r="1350" ht="23" customHeight="1">
      <x:c r="A1350" s="11" t="d">
        <x:v>2020-05-06T00:00:00.000Z</x:v>
      </x:c>
      <x:c r="B1350" s="12" t="n">
        <x:v>12437.124996</x:v>
      </x:c>
      <x:c r="C1350" s="13" t="n">
        <x:v>484</x:v>
      </x:c>
      <x:c r="D1350" s="12" t="n">
        <x:v>137577</x:v>
      </x:c>
      <x:c r="E1350" s="12" t="n">
        <x:v>0</x:v>
      </x:c>
      <x:c r="F1350" s="12" t="n">
        <x:f>SUM(B1350,D1350:E1350)</x:f>
        <x:v>150014.124996</x:v>
      </x:c>
      <x:c r="G1350" s="12" t="n">
        <x:f>MAX(G1349,F1350)</x:f>
        <x:v>175513.39444</x:v>
      </x:c>
      <x:c r="H1350" s="14" t="n">
        <x:f>F1350/G1350-1</x:f>
        <x:v>-0.14528389428829058</x:v>
      </x:c>
      <x:c r="I1350" s="14" t="n">
        <x:f>F1350/F1349-1</x:f>
        <x:v>-0.0062202107365004755</x:v>
      </x:c>
      <x:c r="J1350" s="12" t="n">
        <x:v>0</x:v>
      </x:c>
      <x:c r="K1350" s="12" t="n">
        <x:v>0</x:v>
      </x:c>
      <x:c r="L1350" s="12" t="n">
        <x:v>0</x:v>
      </x:c>
      <x:c r="M1350" s="2" t="str">
        <x:v>持有</x:v>
      </x:c>
    </x:row>
    <x:row r="1351" ht="23" customHeight="1">
      <x:c r="A1351" s="11" t="d">
        <x:v>2020-05-07T00:00:00.000Z</x:v>
      </x:c>
      <x:c r="B1351" s="12" t="n">
        <x:v>12437.124996</x:v>
      </x:c>
      <x:c r="C1351" s="13" t="n">
        <x:v>484</x:v>
      </x:c>
      <x:c r="D1351" s="12" t="n">
        <x:v>139237.12</x:v>
      </x:c>
      <x:c r="E1351" s="12" t="n">
        <x:v>0</x:v>
      </x:c>
      <x:c r="F1351" s="12" t="n">
        <x:f>SUM(B1351,D1351:E1351)</x:f>
        <x:v>151674.244996</x:v>
      </x:c>
      <x:c r="G1351" s="12" t="n">
        <x:f>MAX(G1350,F1351)</x:f>
        <x:v>175513.39444</x:v>
      </x:c>
      <x:c r="H1351" s="14" t="n">
        <x:f>F1351/G1351-1</x:f>
        <x:v>-0.1358252429682768</x:v>
      </x:c>
      <x:c r="I1351" s="14" t="n">
        <x:f>F1351/F1350-1</x:f>
        <x:v>0.01106642457864715</x:v>
      </x:c>
      <x:c r="J1351" s="12" t="n">
        <x:v>0</x:v>
      </x:c>
      <x:c r="K1351" s="12" t="n">
        <x:v>0</x:v>
      </x:c>
      <x:c r="L1351" s="12" t="n">
        <x:v>0</x:v>
      </x:c>
      <x:c r="M1351" s="2" t="str">
        <x:v>持有</x:v>
      </x:c>
    </x:row>
    <x:row r="1352" ht="23" customHeight="1">
      <x:c r="A1352" s="11" t="d">
        <x:v>2020-05-08T00:00:00.000Z</x:v>
      </x:c>
      <x:c r="B1352" s="12" t="n">
        <x:v>12437.124996</x:v>
      </x:c>
      <x:c r="C1352" s="13" t="n">
        <x:v>484</x:v>
      </x:c>
      <x:c r="D1352" s="12" t="n">
        <x:v>141540.96</x:v>
      </x:c>
      <x:c r="E1352" s="12" t="n">
        <x:v>0</x:v>
      </x:c>
      <x:c r="F1352" s="12" t="n">
        <x:f>SUM(B1352,D1352:E1352)</x:f>
        <x:v>153978.084996</x:v>
      </x:c>
      <x:c r="G1352" s="12" t="n">
        <x:f>MAX(G1351,F1352)</x:f>
        <x:v>175513.39444</x:v>
      </x:c>
      <x:c r="H1352" s="14" t="n">
        <x:f>F1352/G1352-1</x:f>
        <x:v>-0.12269895134050268</x:v>
      </x:c>
      <x:c r="I1352" s="14" t="n">
        <x:f>F1352/F1351-1</x:f>
        <x:v>0.01518939487755988</x:v>
      </x:c>
      <x:c r="J1352" s="12" t="n">
        <x:v>0</x:v>
      </x:c>
      <x:c r="K1352" s="12" t="n">
        <x:v>0</x:v>
      </x:c>
      <x:c r="L1352" s="12" t="n">
        <x:v>0</x:v>
      </x:c>
      <x:c r="M1352" s="2" t="str">
        <x:v>持有</x:v>
      </x:c>
    </x:row>
    <x:row r="1353" ht="23" customHeight="1">
      <x:c r="A1353" s="11" t="d">
        <x:v>2020-05-11T00:00:00.000Z</x:v>
      </x:c>
      <x:c r="B1353" s="12" t="n">
        <x:v>12437.124996</x:v>
      </x:c>
      <x:c r="C1353" s="13" t="n">
        <x:v>484</x:v>
      </x:c>
      <x:c r="D1353" s="12" t="n">
        <x:v>141570</x:v>
      </x:c>
      <x:c r="E1353" s="12" t="n">
        <x:v>0</x:v>
      </x:c>
      <x:c r="F1353" s="12" t="n">
        <x:f>SUM(B1353,D1353:E1353)</x:f>
        <x:v>154007.124996</x:v>
      </x:c>
      <x:c r="G1353" s="12" t="n">
        <x:f>MAX(G1352,F1353)</x:f>
        <x:v>175513.39444</x:v>
      </x:c>
      <x:c r="H1353" s="14" t="n">
        <x:f>F1353/G1353-1</x:f>
        <x:v>-0.12253349388300971</x:v>
      </x:c>
      <x:c r="I1353" s="14" t="n">
        <x:f>F1353/F1352-1</x:f>
        <x:v>0.00018859826708950145</x:v>
      </x:c>
      <x:c r="J1353" s="12" t="n">
        <x:v>0</x:v>
      </x:c>
      <x:c r="K1353" s="12" t="n">
        <x:v>0</x:v>
      </x:c>
      <x:c r="L1353" s="12" t="n">
        <x:v>0</x:v>
      </x:c>
      <x:c r="M1353" s="2" t="str">
        <x:v>持有</x:v>
      </x:c>
    </x:row>
    <x:row r="1354" ht="23" customHeight="1">
      <x:c r="A1354" s="11" t="d">
        <x:v>2020-05-12T00:00:00.000Z</x:v>
      </x:c>
      <x:c r="B1354" s="12" t="n">
        <x:v>12437.124996</x:v>
      </x:c>
      <x:c r="C1354" s="13" t="n">
        <x:v>484</x:v>
      </x:c>
      <x:c r="D1354" s="12" t="n">
        <x:v>138748.28</x:v>
      </x:c>
      <x:c r="E1354" s="12" t="n">
        <x:v>0</x:v>
      </x:c>
      <x:c r="F1354" s="12" t="n">
        <x:f>SUM(B1354,D1354:E1354)</x:f>
        <x:v>151185.404996</x:v>
      </x:c>
      <x:c r="G1354" s="12" t="n">
        <x:f>MAX(G1353,F1354)</x:f>
        <x:v>175513.39444</x:v>
      </x:c>
      <x:c r="H1354" s="14" t="n">
        <x:f>F1354/G1354-1</x:f>
        <x:v>-0.13861044350274154</x:v>
      </x:c>
      <x:c r="I1354" s="14" t="n">
        <x:f>F1354/F1353-1</x:f>
        <x:v>-0.018322009452960586</x:v>
      </x:c>
      <x:c r="J1354" s="12" t="n">
        <x:v>0</x:v>
      </x:c>
      <x:c r="K1354" s="12" t="n">
        <x:v>0</x:v>
      </x:c>
      <x:c r="L1354" s="12" t="n">
        <x:v>0</x:v>
      </x:c>
      <x:c r="M1354" s="2" t="str">
        <x:v>持有</x:v>
      </x:c>
    </x:row>
    <x:row r="1355" ht="23" customHeight="1">
      <x:c r="A1355" s="11" t="d">
        <x:v>2020-05-13T00:00:00.000Z</x:v>
      </x:c>
      <x:c r="B1355" s="12" t="n">
        <x:v>12437.124996</x:v>
      </x:c>
      <x:c r="C1355" s="13" t="n">
        <x:v>484</x:v>
      </x:c>
      <x:c r="D1355" s="12" t="n">
        <x:v>136294.40000000002</x:v>
      </x:c>
      <x:c r="E1355" s="12" t="n">
        <x:v>0</x:v>
      </x:c>
      <x:c r="F1355" s="12" t="n">
        <x:f>SUM(B1355,D1355:E1355)</x:f>
        <x:v>148731.52499600002</x:v>
      </x:c>
      <x:c r="G1355" s="12" t="n">
        <x:f>MAX(G1354,F1355)</x:f>
        <x:v>175513.39444</x:v>
      </x:c>
      <x:c r="H1355" s="14" t="n">
        <x:f>F1355/G1355-1</x:f>
        <x:v>-0.15259159866089578</x:v>
      </x:c>
      <x:c r="I1355" s="14" t="n">
        <x:f>F1355/F1354-1</x:f>
        <x:v>-0.01623093181557378</x:v>
      </x:c>
      <x:c r="J1355" s="12" t="n">
        <x:v>0</x:v>
      </x:c>
      <x:c r="K1355" s="12" t="n">
        <x:v>0</x:v>
      </x:c>
      <x:c r="L1355" s="12" t="n">
        <x:v>0</x:v>
      </x:c>
      <x:c r="M1355" s="2" t="str">
        <x:v>持有</x:v>
      </x:c>
    </x:row>
    <x:row r="1356" ht="23" customHeight="1">
      <x:c r="A1356" s="11" t="d">
        <x:v>2020-05-14T00:00:00.000Z</x:v>
      </x:c>
      <x:c r="B1356" s="12" t="n">
        <x:v>12437.124996</x:v>
      </x:c>
      <x:c r="C1356" s="13" t="n">
        <x:v>484</x:v>
      </x:c>
      <x:c r="D1356" s="12" t="n">
        <x:v>137925.48</x:v>
      </x:c>
      <x:c r="E1356" s="12" t="n">
        <x:v>0</x:v>
      </x:c>
      <x:c r="F1356" s="12" t="n">
        <x:f>SUM(B1356,D1356:E1356)</x:f>
        <x:v>150362.604996</x:v>
      </x:c>
      <x:c r="G1356" s="12" t="n">
        <x:f>MAX(G1355,F1356)</x:f>
        <x:v>175513.39444</x:v>
      </x:c>
      <x:c r="H1356" s="14" t="n">
        <x:f>F1356/G1356-1</x:f>
        <x:v>-0.14329840479837508</x:v>
      </x:c>
      <x:c r="I1356" s="14" t="n">
        <x:f>F1356/F1355-1</x:f>
        <x:v>0.010966605768641502</x:v>
      </x:c>
      <x:c r="J1356" s="12" t="n">
        <x:v>0</x:v>
      </x:c>
      <x:c r="K1356" s="12" t="n">
        <x:v>0</x:v>
      </x:c>
      <x:c r="L1356" s="12" t="n">
        <x:v>0</x:v>
      </x:c>
      <x:c r="M1356" s="2" t="str">
        <x:v>持有</x:v>
      </x:c>
    </x:row>
    <x:row r="1357" ht="23" customHeight="1">
      <x:c r="A1357" s="11" t="d">
        <x:v>2020-05-15T00:00:00.000Z</x:v>
      </x:c>
      <x:c r="B1357" s="12" t="n">
        <x:v>12437.124996</x:v>
      </x:c>
      <x:c r="C1357" s="13" t="n">
        <x:v>484</x:v>
      </x:c>
      <x:c r="D1357" s="12" t="n">
        <x:v>138559.52</x:v>
      </x:c>
      <x:c r="E1357" s="12" t="n">
        <x:v>0</x:v>
      </x:c>
      <x:c r="F1357" s="12" t="n">
        <x:f>SUM(B1357,D1357:E1357)</x:f>
        <x:v>150996.644996</x:v>
      </x:c>
      <x:c r="G1357" s="12" t="n">
        <x:f>MAX(G1356,F1357)</x:f>
        <x:v>175513.39444</x:v>
      </x:c>
      <x:c r="H1357" s="14" t="n">
        <x:f>F1357/G1357-1</x:f>
        <x:v>-0.13968591697644572</x:v>
      </x:c>
      <x:c r="I1357" s="14" t="n">
        <x:f>F1357/F1356-1</x:f>
        <x:v>0.0042167399269044115</x:v>
      </x:c>
      <x:c r="J1357" s="12" t="n">
        <x:v>0</x:v>
      </x:c>
      <x:c r="K1357" s="12" t="n">
        <x:v>0</x:v>
      </x:c>
      <x:c r="L1357" s="12" t="n">
        <x:v>0</x:v>
      </x:c>
      <x:c r="M1357" s="2" t="str">
        <x:v>持有</x:v>
      </x:c>
    </x:row>
    <x:row r="1358" ht="23" customHeight="1">
      <x:c r="A1358" s="11" t="d">
        <x:v>2020-05-18T00:00:00.000Z</x:v>
      </x:c>
      <x:c r="B1358" s="12" t="n">
        <x:v>12437.124996</x:v>
      </x:c>
      <x:c r="C1358" s="13" t="n">
        <x:v>484</x:v>
      </x:c>
      <x:c r="D1358" s="12" t="n">
        <x:v>142780</x:v>
      </x:c>
      <x:c r="E1358" s="12" t="n">
        <x:v>0</x:v>
      </x:c>
      <x:c r="F1358" s="12" t="n">
        <x:f>SUM(B1358,D1358:E1358)</x:f>
        <x:v>155217.124996</x:v>
      </x:c>
      <x:c r="G1358" s="12" t="n">
        <x:f>MAX(G1357,F1358)</x:f>
        <x:v>175513.39444</x:v>
      </x:c>
      <x:c r="H1358" s="14" t="n">
        <x:f>F1358/G1358-1</x:f>
        <x:v>-0.11563943315413672</x:v>
      </x:c>
      <x:c r="I1358" s="14" t="n">
        <x:f>F1358/F1357-1</x:f>
        <x:v>0.027950819702727836</x:v>
      </x:c>
      <x:c r="J1358" s="12" t="n">
        <x:v>0</x:v>
      </x:c>
      <x:c r="K1358" s="12" t="n">
        <x:v>0</x:v>
      </x:c>
      <x:c r="L1358" s="12" t="n">
        <x:v>0</x:v>
      </x:c>
      <x:c r="M1358" s="2" t="str">
        <x:v>持有</x:v>
      </x:c>
    </x:row>
    <x:row r="1359" ht="23" customHeight="1">
      <x:c r="A1359" s="11" t="d">
        <x:v>2020-05-19T00:00:00.000Z</x:v>
      </x:c>
      <x:c r="B1359" s="12" t="n">
        <x:v>12437.124996</x:v>
      </x:c>
      <x:c r="C1359" s="13" t="n">
        <x:v>484</x:v>
      </x:c>
      <x:c r="D1359" s="12" t="n">
        <x:v>141313.48</x:v>
      </x:c>
      <x:c r="E1359" s="12" t="n">
        <x:v>0</x:v>
      </x:c>
      <x:c r="F1359" s="12" t="n">
        <x:f>SUM(B1359,D1359:E1359)</x:f>
        <x:v>153750.604996</x:v>
      </x:c>
      <x:c r="G1359" s="12" t="n">
        <x:f>MAX(G1358,F1359)</x:f>
        <x:v>175513.39444</x:v>
      </x:c>
      <x:c r="H1359" s="14" t="n">
        <x:f>F1359/G1359-1</x:f>
        <x:v>-0.12399503475753071</x:v>
      </x:c>
      <x:c r="I1359" s="14" t="n">
        <x:f>F1359/F1358-1</x:f>
        <x:v>-0.009448184277590421</x:v>
      </x:c>
      <x:c r="J1359" s="12" t="n">
        <x:v>0</x:v>
      </x:c>
      <x:c r="K1359" s="12" t="n">
        <x:v>0</x:v>
      </x:c>
      <x:c r="L1359" s="12" t="n">
        <x:v>0</x:v>
      </x:c>
      <x:c r="M1359" s="2" t="str">
        <x:v>持有</x:v>
      </x:c>
    </x:row>
    <x:row r="1360" ht="23" customHeight="1">
      <x:c r="A1360" s="11" t="d">
        <x:v>2020-05-20T00:00:00.000Z</x:v>
      </x:c>
      <x:c r="B1360" s="12" t="n">
        <x:v>12437.124996</x:v>
      </x:c>
      <x:c r="C1360" s="13" t="n">
        <x:v>484</x:v>
      </x:c>
      <x:c r="D1360" s="12" t="n">
        <x:v>143714.12</x:v>
      </x:c>
      <x:c r="E1360" s="12" t="n">
        <x:v>0</x:v>
      </x:c>
      <x:c r="F1360" s="12" t="n">
        <x:f>SUM(B1360,D1360:E1360)</x:f>
        <x:v>156151.244996</x:v>
      </x:c>
      <x:c r="G1360" s="12" t="n">
        <x:f>MAX(G1359,F1360)</x:f>
        <x:v>175513.39444</x:v>
      </x:c>
      <x:c r="H1360" s="14" t="n">
        <x:f>F1360/G1360-1</x:f>
        <x:v>-0.1103172182714468</x:v>
      </x:c>
      <x:c r="I1360" s="14" t="n">
        <x:f>F1360/F1359-1</x:f>
        <x:v>0.015613857259699548</x:v>
      </x:c>
      <x:c r="J1360" s="12" t="n">
        <x:v>0</x:v>
      </x:c>
      <x:c r="K1360" s="12" t="n">
        <x:v>0</x:v>
      </x:c>
      <x:c r="L1360" s="12" t="n">
        <x:v>0</x:v>
      </x:c>
      <x:c r="M1360" s="2" t="str">
        <x:v>持有</x:v>
      </x:c>
    </x:row>
    <x:row r="1361" ht="23" customHeight="1">
      <x:c r="A1361" s="11" t="d">
        <x:v>2020-05-21T00:00:00.000Z</x:v>
      </x:c>
      <x:c r="B1361" s="12" t="n">
        <x:v>12437.124996</x:v>
      </x:c>
      <x:c r="C1361" s="13" t="n">
        <x:v>484</x:v>
      </x:c>
      <x:c r="D1361" s="12" t="n">
        <x:v>142721.91999999998</x:v>
      </x:c>
      <x:c r="E1361" s="12" t="n">
        <x:v>0</x:v>
      </x:c>
      <x:c r="F1361" s="12" t="n">
        <x:f>SUM(B1361,D1361:E1361)</x:f>
        <x:v>155159.04499599998</x:v>
      </x:c>
      <x:c r="G1361" s="12" t="n">
        <x:f>MAX(G1360,F1361)</x:f>
        <x:v>175513.39444</x:v>
      </x:c>
      <x:c r="H1361" s="14" t="n">
        <x:f>F1361/G1361-1</x:f>
        <x:v>-0.11597034806912265</x:v>
      </x:c>
      <x:c r="I1361" s="14" t="n">
        <x:f>F1361/F1360-1</x:f>
        <x:v>-0.0063540959921608575</x:v>
      </x:c>
      <x:c r="J1361" s="12" t="n">
        <x:v>0</x:v>
      </x:c>
      <x:c r="K1361" s="12" t="n">
        <x:v>0</x:v>
      </x:c>
      <x:c r="L1361" s="12" t="n">
        <x:v>0</x:v>
      </x:c>
      <x:c r="M1361" s="2" t="str">
        <x:v>持有</x:v>
      </x:c>
    </x:row>
    <x:row r="1362" ht="23" customHeight="1">
      <x:c r="A1362" s="11" t="d">
        <x:v>2020-05-22T00:00:00.000Z</x:v>
      </x:c>
      <x:c r="B1362" s="12" t="n">
        <x:v>12437.124996</x:v>
      </x:c>
      <x:c r="C1362" s="13" t="n">
        <x:v>484</x:v>
      </x:c>
      <x:c r="D1362" s="12" t="n">
        <x:v>142992.96</x:v>
      </x:c>
      <x:c r="E1362" s="12" t="n">
        <x:v>0</x:v>
      </x:c>
      <x:c r="F1362" s="12" t="n">
        <x:f>SUM(B1362,D1362:E1362)</x:f>
        <x:v>155430.084996</x:v>
      </x:c>
      <x:c r="G1362" s="12" t="n">
        <x:f>MAX(G1361,F1362)</x:f>
        <x:v>175513.39444</x:v>
      </x:c>
      <x:c r="H1362" s="14" t="n">
        <x:f>F1362/G1362-1</x:f>
        <x:v>-0.11442607846585506</x:v>
      </x:c>
      <x:c r="I1362" s="14" t="n">
        <x:f>F1362/F1361-1</x:f>
        <x:v>0.0017468527213930773</x:v>
      </x:c>
      <x:c r="J1362" s="12" t="n">
        <x:v>0</x:v>
      </x:c>
      <x:c r="K1362" s="12" t="n">
        <x:v>0</x:v>
      </x:c>
      <x:c r="L1362" s="12" t="n">
        <x:v>0</x:v>
      </x:c>
      <x:c r="M1362" s="2" t="str">
        <x:v>持有</x:v>
      </x:c>
    </x:row>
    <x:row r="1363" ht="23" customHeight="1">
      <x:c r="A1363" s="11" t="d">
        <x:v>2020-05-26T00:00:00.000Z</x:v>
      </x:c>
      <x:c r="B1363" s="12" t="n">
        <x:v>12437.124996</x:v>
      </x:c>
      <x:c r="C1363" s="13" t="n">
        <x:v>484</x:v>
      </x:c>
      <x:c r="D1363" s="12" t="n">
        <x:v>144754.72</x:v>
      </x:c>
      <x:c r="E1363" s="12" t="n">
        <x:v>0</x:v>
      </x:c>
      <x:c r="F1363" s="12" t="n">
        <x:f>SUM(B1363,D1363:E1363)</x:f>
        <x:v>157191.844996</x:v>
      </x:c>
      <x:c r="G1363" s="12" t="n">
        <x:f>MAX(G1362,F1363)</x:f>
        <x:v>175513.39444</x:v>
      </x:c>
      <x:c r="H1363" s="14" t="n">
        <x:f>F1363/G1363-1</x:f>
        <x:v>-0.1043883260446159</x:v>
      </x:c>
      <x:c r="I1363" s="14" t="n">
        <x:f>F1363/F1362-1</x:f>
        <x:v>0.011334742563161804</x:v>
      </x:c>
      <x:c r="J1363" s="12" t="n">
        <x:v>0</x:v>
      </x:c>
      <x:c r="K1363" s="12" t="n">
        <x:v>0</x:v>
      </x:c>
      <x:c r="L1363" s="12" t="n">
        <x:v>0</x:v>
      </x:c>
      <x:c r="M1363" s="2" t="str">
        <x:v>持有</x:v>
      </x:c>
    </x:row>
    <x:row r="1364" ht="23" customHeight="1">
      <x:c r="A1364" s="11" t="d">
        <x:v>2020-05-27T00:00:00.000Z</x:v>
      </x:c>
      <x:c r="B1364" s="12" t="n">
        <x:v>12437.124996</x:v>
      </x:c>
      <x:c r="C1364" s="13" t="n">
        <x:v>484</x:v>
      </x:c>
      <x:c r="D1364" s="12" t="n">
        <x:v>146908.52</x:v>
      </x:c>
      <x:c r="E1364" s="12" t="n">
        <x:v>0</x:v>
      </x:c>
      <x:c r="F1364" s="12" t="n">
        <x:f>SUM(B1364,D1364:E1364)</x:f>
        <x:v>159345.644996</x:v>
      </x:c>
      <x:c r="G1364" s="12" t="n">
        <x:f>MAX(G1363,F1364)</x:f>
        <x:v>175513.39444</x:v>
      </x:c>
      <x:c r="H1364" s="14" t="n">
        <x:f>F1364/G1364-1</x:f>
        <x:v>-0.09211689794722211</x:v>
      </x:c>
      <x:c r="I1364" s="14" t="n">
        <x:f>F1364/F1363-1</x:f>
        <x:v>0.013701728611015485</x:v>
      </x:c>
      <x:c r="J1364" s="12" t="n">
        <x:v>0</x:v>
      </x:c>
      <x:c r="K1364" s="12" t="n">
        <x:v>0</x:v>
      </x:c>
      <x:c r="L1364" s="12" t="n">
        <x:v>0</x:v>
      </x:c>
      <x:c r="M1364" s="2" t="str">
        <x:v>持有</x:v>
      </x:c>
    </x:row>
    <x:row r="1365" ht="23" customHeight="1">
      <x:c r="A1365" s="11" t="d">
        <x:v>2020-05-28T00:00:00.000Z</x:v>
      </x:c>
      <x:c r="B1365" s="12" t="n">
        <x:v>12437.124996</x:v>
      </x:c>
      <x:c r="C1365" s="13" t="n">
        <x:v>484</x:v>
      </x:c>
      <x:c r="D1365" s="12" t="n">
        <x:v>146637.48</x:v>
      </x:c>
      <x:c r="E1365" s="12" t="n">
        <x:v>0</x:v>
      </x:c>
      <x:c r="F1365" s="12" t="n">
        <x:f>SUM(B1365,D1365:E1365)</x:f>
        <x:v>159074.604996</x:v>
      </x:c>
      <x:c r="G1365" s="12" t="n">
        <x:f>MAX(G1364,F1365)</x:f>
        <x:v>175513.39444</x:v>
      </x:c>
      <x:c r="H1365" s="14" t="n">
        <x:f>F1365/G1365-1</x:f>
        <x:v>-0.09366116755048948</x:v>
      </x:c>
      <x:c r="I1365" s="14" t="n">
        <x:f>F1365/F1364-1</x:f>
        <x:v>-0.0017009564334612426</x:v>
      </x:c>
      <x:c r="J1365" s="12" t="n">
        <x:v>0</x:v>
      </x:c>
      <x:c r="K1365" s="12" t="n">
        <x:v>0</x:v>
      </x:c>
      <x:c r="L1365" s="12" t="n">
        <x:v>0</x:v>
      </x:c>
      <x:c r="M1365" s="2" t="str">
        <x:v>持有</x:v>
      </x:c>
    </x:row>
    <x:row r="1366" ht="23" customHeight="1">
      <x:c r="A1366" s="11" t="d">
        <x:v>2020-05-29T00:00:00.000Z</x:v>
      </x:c>
      <x:c r="B1366" s="12" t="n">
        <x:v>12437.124996</x:v>
      </x:c>
      <x:c r="C1366" s="13" t="n">
        <x:v>484</x:v>
      </x:c>
      <x:c r="D1366" s="12" t="n">
        <x:v>147290.88</x:v>
      </x:c>
      <x:c r="E1366" s="12" t="n">
        <x:v>0</x:v>
      </x:c>
      <x:c r="F1366" s="12" t="n">
        <x:f>SUM(B1366,D1366:E1366)</x:f>
        <x:v>159728.004996</x:v>
      </x:c>
      <x:c r="G1366" s="12" t="n">
        <x:f>MAX(G1365,F1366)</x:f>
        <x:v>175513.39444</x:v>
      </x:c>
      <x:c r="H1366" s="14" t="n">
        <x:f>F1366/G1366-1</x:f>
        <x:v>-0.08993837475689814</x:v>
      </x:c>
      <x:c r="I1366" s="14" t="n">
        <x:f>F1366/F1365-1</x:f>
        <x:v>0.004107506663407534</x:v>
      </x:c>
      <x:c r="J1366" s="12" t="n">
        <x:v>0</x:v>
      </x:c>
      <x:c r="K1366" s="12" t="n">
        <x:v>0</x:v>
      </x:c>
      <x:c r="L1366" s="12" t="n">
        <x:v>0</x:v>
      </x:c>
      <x:c r="M1366" s="2" t="str">
        <x:v>持有</x:v>
      </x:c>
    </x:row>
    <x:row r="1367" ht="23" customHeight="1">
      <x:c r="A1367" s="11" t="d">
        <x:v>2020-06-01T00:00:00.000Z</x:v>
      </x:c>
      <x:c r="B1367" s="12" t="n">
        <x:v>12437.124996</x:v>
      </x:c>
      <x:c r="C1367" s="13" t="n">
        <x:v>484</x:v>
      </x:c>
      <x:c r="D1367" s="12" t="n">
        <x:v>147886.2</x:v>
      </x:c>
      <x:c r="E1367" s="12" t="n">
        <x:v>0</x:v>
      </x:c>
      <x:c r="F1367" s="12" t="n">
        <x:f>SUM(B1367,D1367:E1367)</x:f>
        <x:v>160323.324996</x:v>
      </x:c>
      <x:c r="G1367" s="12" t="n">
        <x:f>MAX(G1366,F1367)</x:f>
        <x:v>175513.39444</x:v>
      </x:c>
      <x:c r="H1367" s="14" t="n">
        <x:f>F1367/G1367-1</x:f>
        <x:v>-0.08654649687829252</x:v>
      </x:c>
      <x:c r="I1367" s="14" t="n">
        <x:f>F1367/F1366-1</x:f>
        <x:v>0.0037270859297022785</x:v>
      </x:c>
      <x:c r="J1367" s="12" t="n">
        <x:v>0</x:v>
      </x:c>
      <x:c r="K1367" s="12" t="n">
        <x:v>0</x:v>
      </x:c>
      <x:c r="L1367" s="12" t="n">
        <x:v>0</x:v>
      </x:c>
      <x:c r="M1367" s="2" t="str">
        <x:v>持有</x:v>
      </x:c>
    </x:row>
    <x:row r="1368" ht="23" customHeight="1">
      <x:c r="A1368" s="11" t="d">
        <x:v>2020-06-02T00:00:00.000Z</x:v>
      </x:c>
      <x:c r="B1368" s="12" t="n">
        <x:v>12437.124996</x:v>
      </x:c>
      <x:c r="C1368" s="13" t="n">
        <x:v>484</x:v>
      </x:c>
      <x:c r="D1368" s="12" t="n">
        <x:v>149110.72</x:v>
      </x:c>
      <x:c r="E1368" s="12" t="n">
        <x:v>0</x:v>
      </x:c>
      <x:c r="F1368" s="12" t="n">
        <x:f>SUM(B1368,D1368:E1368)</x:f>
        <x:v>161547.844996</x:v>
      </x:c>
      <x:c r="G1368" s="12" t="n">
        <x:f>MAX(G1367,F1368)</x:f>
        <x:v>175513.39444</x:v>
      </x:c>
      <x:c r="H1368" s="14" t="n">
        <x:f>F1368/G1368-1</x:f>
        <x:v>-0.07956970742067315</x:v>
      </x:c>
      <x:c r="I1368" s="14" t="n">
        <x:f>F1368/F1367-1</x:f>
        <x:v>0.007637815645543444</x:v>
      </x:c>
      <x:c r="J1368" s="12" t="n">
        <x:v>0</x:v>
      </x:c>
      <x:c r="K1368" s="12" t="n">
        <x:v>0</x:v>
      </x:c>
      <x:c r="L1368" s="12" t="n">
        <x:v>0</x:v>
      </x:c>
      <x:c r="M1368" s="2" t="str">
        <x:v>持有</x:v>
      </x:c>
    </x:row>
    <x:row r="1369" ht="23" customHeight="1">
      <x:c r="A1369" s="11" t="d">
        <x:v>2020-06-03T00:00:00.000Z</x:v>
      </x:c>
      <x:c r="B1369" s="12" t="n">
        <x:v>12437.124996</x:v>
      </x:c>
      <x:c r="C1369" s="13" t="n">
        <x:v>484</x:v>
      </x:c>
      <x:c r="D1369" s="12" t="n">
        <x:v>151095.12</x:v>
      </x:c>
      <x:c r="E1369" s="12" t="n">
        <x:v>0</x:v>
      </x:c>
      <x:c r="F1369" s="12" t="n">
        <x:f>SUM(B1369,D1369:E1369)</x:f>
        <x:v>163532.244996</x:v>
      </x:c>
      <x:c r="G1369" s="12" t="n">
        <x:f>MAX(G1368,F1369)</x:f>
        <x:v>175513.39444</x:v>
      </x:c>
      <x:c r="H1369" s="14" t="n">
        <x:f>F1369/G1369-1</x:f>
        <x:v>-0.06826344782532145</x:v>
      </x:c>
      <x:c r="I1369" s="14" t="n">
        <x:f>F1369/F1368-1</x:f>
        <x:v>0.012283667417842148</x:v>
      </x:c>
      <x:c r="J1369" s="12" t="n">
        <x:v>0</x:v>
      </x:c>
      <x:c r="K1369" s="12" t="n">
        <x:v>0</x:v>
      </x:c>
      <x:c r="L1369" s="12" t="n">
        <x:v>0</x:v>
      </x:c>
      <x:c r="M1369" s="2" t="str">
        <x:v>持有</x:v>
      </x:c>
    </x:row>
    <x:row r="1370" ht="23" customHeight="1">
      <x:c r="A1370" s="11" t="d">
        <x:v>2020-06-04T00:00:00.000Z</x:v>
      </x:c>
      <x:c r="B1370" s="12" t="n">
        <x:v>12437.124996</x:v>
      </x:c>
      <x:c r="C1370" s="13" t="n">
        <x:v>484</x:v>
      </x:c>
      <x:c r="D1370" s="12" t="n">
        <x:v>150698.24000000002</x:v>
      </x:c>
      <x:c r="E1370" s="12" t="n">
        <x:v>0</x:v>
      </x:c>
      <x:c r="F1370" s="12" t="n">
        <x:f>SUM(B1370,D1370:E1370)</x:f>
        <x:v>163135.36499600002</x:v>
      </x:c>
      <x:c r="G1370" s="12" t="n">
        <x:f>MAX(G1369,F1370)</x:f>
        <x:v>175513.39444</x:v>
      </x:c>
      <x:c r="H1370" s="14" t="n">
        <x:f>F1370/G1370-1</x:f>
        <x:v>-0.07052469974439168</x:v>
      </x:c>
      <x:c r="I1370" s="14" t="n">
        <x:f>F1370/F1369-1</x:f>
        <x:v>-0.0024269219811033915</x:v>
      </x:c>
      <x:c r="J1370" s="12" t="n">
        <x:v>0</x:v>
      </x:c>
      <x:c r="K1370" s="12" t="n">
        <x:v>0</x:v>
      </x:c>
      <x:c r="L1370" s="12" t="n">
        <x:v>0</x:v>
      </x:c>
      <x:c r="M1370" s="2" t="str">
        <x:v>持有</x:v>
      </x:c>
    </x:row>
    <x:row r="1371" ht="23" customHeight="1">
      <x:c r="A1371" s="11" t="d">
        <x:v>2020-06-05T00:00:00.000Z</x:v>
      </x:c>
      <x:c r="B1371" s="12" t="n">
        <x:v>12437.124996</x:v>
      </x:c>
      <x:c r="C1371" s="13" t="n">
        <x:v>484</x:v>
      </x:c>
      <x:c r="D1371" s="12" t="n">
        <x:v>154560.56</x:v>
      </x:c>
      <x:c r="E1371" s="12" t="n">
        <x:v>0</x:v>
      </x:c>
      <x:c r="F1371" s="12" t="n">
        <x:f>SUM(B1371,D1371:E1371)</x:f>
        <x:v>166997.684996</x:v>
      </x:c>
      <x:c r="G1371" s="12" t="n">
        <x:f>MAX(G1370,F1371)</x:f>
        <x:v>175513.39444</x:v>
      </x:c>
      <x:c r="H1371" s="14" t="n">
        <x:f>F1371/G1371-1</x:f>
        <x:v>-0.04851885789782917</x:v>
      </x:c>
      <x:c r="I1371" s="14" t="n">
        <x:f>F1371/F1370-1</x:f>
        <x:v>0.02367555312175673</x:v>
      </x:c>
      <x:c r="J1371" s="12" t="n">
        <x:v>0</x:v>
      </x:c>
      <x:c r="K1371" s="12" t="n">
        <x:v>0</x:v>
      </x:c>
      <x:c r="L1371" s="12" t="n">
        <x:v>0</x:v>
      </x:c>
      <x:c r="M1371" s="2" t="str">
        <x:v>持有</x:v>
      </x:c>
    </x:row>
    <x:row r="1372" ht="23" customHeight="1">
      <x:c r="A1372" s="11" t="d">
        <x:v>2020-06-08T00:00:00.000Z</x:v>
      </x:c>
      <x:c r="B1372" s="12" t="n">
        <x:v>12437.124996</x:v>
      </x:c>
      <x:c r="C1372" s="13" t="n">
        <x:v>484</x:v>
      </x:c>
      <x:c r="D1372" s="12" t="n">
        <x:v>156428.8</x:v>
      </x:c>
      <x:c r="E1372" s="12" t="n">
        <x:v>0</x:v>
      </x:c>
      <x:c r="F1372" s="12" t="n">
        <x:f>SUM(B1372,D1372:E1372)</x:f>
        <x:v>168865.924996</x:v>
      </x:c>
      <x:c r="G1372" s="12" t="n">
        <x:f>MAX(G1371,F1372)</x:f>
        <x:v>175513.39444</x:v>
      </x:c>
      <x:c r="H1372" s="14" t="n">
        <x:f>F1372/G1372-1</x:f>
        <x:v>-0.037874428132449345</x:v>
      </x:c>
      <x:c r="I1372" s="14" t="n">
        <x:f>F1372/F1371-1</x:f>
        <x:v>0.011187220948869703</x:v>
      </x:c>
      <x:c r="J1372" s="12" t="n">
        <x:v>0</x:v>
      </x:c>
      <x:c r="K1372" s="12" t="n">
        <x:v>0</x:v>
      </x:c>
      <x:c r="L1372" s="12" t="n">
        <x:v>0</x:v>
      </x:c>
      <x:c r="M1372" s="2" t="str">
        <x:v>持有</x:v>
      </x:c>
    </x:row>
    <x:row r="1373" ht="23" customHeight="1">
      <x:c r="A1373" s="11" t="d">
        <x:v>2020-06-09T00:00:00.000Z</x:v>
      </x:c>
      <x:c r="B1373" s="12" t="n">
        <x:v>12437.124996</x:v>
      </x:c>
      <x:c r="C1373" s="13" t="n">
        <x:v>484</x:v>
      </x:c>
      <x:c r="D1373" s="12" t="n">
        <x:v>155262.36000000002</x:v>
      </x:c>
      <x:c r="E1373" s="12" t="n">
        <x:v>0</x:v>
      </x:c>
      <x:c r="F1373" s="12" t="n">
        <x:f>SUM(B1373,D1373:E1373)</x:f>
        <x:v>167699.484996</x:v>
      </x:c>
      <x:c r="G1373" s="12" t="n">
        <x:f>MAX(G1372,F1373)</x:f>
        <x:v>175513.39444</x:v>
      </x:c>
      <x:c r="H1373" s="14" t="n">
        <x:f>F1373/G1373-1</x:f>
        <x:v>-0.04452030267508278</x:v>
      </x:c>
      <x:c r="I1373" s="14" t="n">
        <x:f>F1373/F1372-1</x:f>
        <x:v>-0.006907491846135372</x:v>
      </x:c>
      <x:c r="J1373" s="12" t="n">
        <x:v>0</x:v>
      </x:c>
      <x:c r="K1373" s="12" t="n">
        <x:v>0</x:v>
      </x:c>
      <x:c r="L1373" s="12" t="n">
        <x:v>0</x:v>
      </x:c>
      <x:c r="M1373" s="2" t="str">
        <x:v>持有</x:v>
      </x:c>
    </x:row>
    <x:row r="1374" ht="23" customHeight="1">
      <x:c r="A1374" s="11" t="d">
        <x:v>2020-06-10T00:00:00.000Z</x:v>
      </x:c>
      <x:c r="B1374" s="12" t="n">
        <x:v>12437.124996</x:v>
      </x:c>
      <x:c r="C1374" s="13" t="n">
        <x:v>484</x:v>
      </x:c>
      <x:c r="D1374" s="12" t="n">
        <x:v>154396</x:v>
      </x:c>
      <x:c r="E1374" s="12" t="n">
        <x:v>0</x:v>
      </x:c>
      <x:c r="F1374" s="12" t="n">
        <x:f>SUM(B1374,D1374:E1374)</x:f>
        <x:v>166833.124996</x:v>
      </x:c>
      <x:c r="G1374" s="12" t="n">
        <x:f>MAX(G1373,F1374)</x:f>
        <x:v>175513.39444</x:v>
      </x:c>
      <x:c r="H1374" s="14" t="n">
        <x:f>F1374/G1374-1</x:f>
        <x:v>-0.04945645015695588</x:v>
      </x:c>
      <x:c r="I1374" s="14" t="n">
        <x:f>F1374/F1373-1</x:f>
        <x:v>-0.005166145859187843</x:v>
      </x:c>
      <x:c r="J1374" s="12" t="n">
        <x:v>0</x:v>
      </x:c>
      <x:c r="K1374" s="12" t="n">
        <x:v>0</x:v>
      </x:c>
      <x:c r="L1374" s="12" t="n">
        <x:v>0</x:v>
      </x:c>
      <x:c r="M1374" s="2" t="str">
        <x:v>持有</x:v>
      </x:c>
    </x:row>
    <x:row r="1375" ht="23" customHeight="1">
      <x:c r="A1375" s="11" t="d">
        <x:v>2020-06-11T00:00:00.000Z</x:v>
      </x:c>
      <x:c r="B1375" s="12" t="n">
        <x:v>12437.124996</x:v>
      </x:c>
      <x:c r="C1375" s="13" t="n">
        <x:v>484</x:v>
      </x:c>
      <x:c r="D1375" s="12" t="n">
        <x:v>145495.24000000002</x:v>
      </x:c>
      <x:c r="E1375" s="12" t="n">
        <x:v>0</x:v>
      </x:c>
      <x:c r="F1375" s="12" t="n">
        <x:f>SUM(B1375,D1375:E1375)</x:f>
        <x:v>157932.36499600002</x:v>
      </x:c>
      <x:c r="G1375" s="12" t="n">
        <x:f>MAX(G1374,F1375)</x:f>
        <x:v>175513.39444</x:v>
      </x:c>
      <x:c r="H1375" s="14" t="n">
        <x:f>F1375/G1375-1</x:f>
        <x:v>-0.10016916087854555</x:v>
      </x:c>
      <x:c r="I1375" s="14" t="n">
        <x:f>F1375/F1374-1</x:f>
        <x:v>-0.053351275414959654</x:v>
      </x:c>
      <x:c r="J1375" s="12" t="n">
        <x:v>0</x:v>
      </x:c>
      <x:c r="K1375" s="12" t="n">
        <x:v>0</x:v>
      </x:c>
      <x:c r="L1375" s="12" t="n">
        <x:v>0</x:v>
      </x:c>
      <x:c r="M1375" s="2" t="str">
        <x:v>持有</x:v>
      </x:c>
    </x:row>
    <x:row r="1376" ht="23" customHeight="1">
      <x:c r="A1376" s="11" t="d">
        <x:v>2020-06-12T00:00:00.000Z</x:v>
      </x:c>
      <x:c r="B1376" s="12" t="n">
        <x:v>12437.124996</x:v>
      </x:c>
      <x:c r="C1376" s="13" t="n">
        <x:v>484</x:v>
      </x:c>
      <x:c r="D1376" s="12" t="n">
        <x:v>147237.63999999998</x:v>
      </x:c>
      <x:c r="E1376" s="12" t="n">
        <x:v>0</x:v>
      </x:c>
      <x:c r="F1376" s="12" t="n">
        <x:f>SUM(B1376,D1376:E1376)</x:f>
        <x:v>159674.76499599998</x:v>
      </x:c>
      <x:c r="G1376" s="12" t="n">
        <x:f>MAX(G1375,F1376)</x:f>
        <x:v>175513.39444</x:v>
      </x:c>
      <x:c r="H1376" s="14" t="n">
        <x:f>F1376/G1376-1</x:f>
        <x:v>-0.0902417134289687</x:v>
      </x:c>
      <x:c r="I1376" s="14" t="n">
        <x:f>F1376/F1375-1</x:f>
        <x:v>0.01103257080994191</x:v>
      </x:c>
      <x:c r="J1376" s="12" t="n">
        <x:v>0</x:v>
      </x:c>
      <x:c r="K1376" s="12" t="n">
        <x:v>0</x:v>
      </x:c>
      <x:c r="L1376" s="12" t="n">
        <x:v>0</x:v>
      </x:c>
      <x:c r="M1376" s="2" t="str">
        <x:v>持有</x:v>
      </x:c>
    </x:row>
    <x:row r="1377" ht="23" customHeight="1">
      <x:c r="A1377" s="11" t="d">
        <x:v>2020-06-15T00:00:00.000Z</x:v>
      </x:c>
      <x:c r="B1377" s="12" t="n">
        <x:v>12437.124996</x:v>
      </x:c>
      <x:c r="C1377" s="13" t="n">
        <x:v>484</x:v>
      </x:c>
      <x:c r="D1377" s="12" t="n">
        <x:v>148612.2</x:v>
      </x:c>
      <x:c r="E1377" s="12" t="n">
        <x:v>0</x:v>
      </x:c>
      <x:c r="F1377" s="12" t="n">
        <x:f>SUM(B1377,D1377:E1377)</x:f>
        <x:v>161049.324996</x:v>
      </x:c>
      <x:c r="G1377" s="12" t="n">
        <x:f>MAX(G1376,F1377)</x:f>
        <x:v>175513.39444</x:v>
      </x:c>
      <x:c r="H1377" s="14" t="n">
        <x:f>F1377/G1377-1</x:f>
        <x:v>-0.08241006044096877</x:v>
      </x:c>
      <x:c r="I1377" s="14" t="n">
        <x:f>F1377/F1376-1</x:f>
        <x:v>0.008608498656844432</x:v>
      </x:c>
      <x:c r="J1377" s="12" t="n">
        <x:v>0</x:v>
      </x:c>
      <x:c r="K1377" s="12" t="n">
        <x:v>0</x:v>
      </x:c>
      <x:c r="L1377" s="12" t="n">
        <x:v>0</x:v>
      </x:c>
      <x:c r="M1377" s="2" t="str">
        <x:v>持有</x:v>
      </x:c>
    </x:row>
    <x:row r="1378" ht="23" customHeight="1">
      <x:c r="A1378" s="11" t="d">
        <x:v>2020-06-16T00:00:00.000Z</x:v>
      </x:c>
      <x:c r="B1378" s="12" t="n">
        <x:v>12437.124996</x:v>
      </x:c>
      <x:c r="C1378" s="13" t="n">
        <x:v>484</x:v>
      </x:c>
      <x:c r="D1378" s="12" t="n">
        <x:v>151472.63999999998</x:v>
      </x:c>
      <x:c r="E1378" s="12" t="n">
        <x:v>0</x:v>
      </x:c>
      <x:c r="F1378" s="12" t="n">
        <x:f>SUM(B1378,D1378:E1378)</x:f>
        <x:v>163909.76499599998</x:v>
      </x:c>
      <x:c r="G1378" s="12" t="n">
        <x:f>MAX(G1377,F1378)</x:f>
        <x:v>175513.39444</x:v>
      </x:c>
      <x:c r="H1378" s="14" t="n">
        <x:f>F1378/G1378-1</x:f>
        <x:v>-0.0661125008779132</x:v>
      </x:c>
      <x:c r="I1378" s="14" t="n">
        <x:f>F1378/F1377-1</x:f>
        <x:v>0.01776126661860289</x:v>
      </x:c>
      <x:c r="J1378" s="12" t="n">
        <x:v>0</x:v>
      </x:c>
      <x:c r="K1378" s="12" t="n">
        <x:v>0</x:v>
      </x:c>
      <x:c r="L1378" s="12" t="n">
        <x:v>0</x:v>
      </x:c>
      <x:c r="M1378" s="2" t="str">
        <x:v>持有</x:v>
      </x:c>
    </x:row>
    <x:row r="1379" ht="23" customHeight="1">
      <x:c r="A1379" s="11" t="d">
        <x:v>2020-06-17T00:00:00.000Z</x:v>
      </x:c>
      <x:c r="B1379" s="12" t="n">
        <x:v>12437.124996</x:v>
      </x:c>
      <x:c r="C1379" s="13" t="n">
        <x:v>484</x:v>
      </x:c>
      <x:c r="D1379" s="12" t="n">
        <x:v>150843.44</x:v>
      </x:c>
      <x:c r="E1379" s="12" t="n">
        <x:v>0</x:v>
      </x:c>
      <x:c r="F1379" s="12" t="n">
        <x:f>SUM(B1379,D1379:E1379)</x:f>
        <x:v>163280.564996</x:v>
      </x:c>
      <x:c r="G1379" s="12" t="n">
        <x:f>MAX(G1378,F1379)</x:f>
        <x:v>175513.39444</x:v>
      </x:c>
      <x:c r="H1379" s="14" t="n">
        <x:f>F1379/G1379-1</x:f>
        <x:v>-0.06969741245692707</x:v>
      </x:c>
      <x:c r="I1379" s="14" t="n">
        <x:f>F1379/F1378-1</x:f>
        <x:v>-0.003838697468789176</x:v>
      </x:c>
      <x:c r="J1379" s="12" t="n">
        <x:v>0</x:v>
      </x:c>
      <x:c r="K1379" s="12" t="n">
        <x:v>0</x:v>
      </x:c>
      <x:c r="L1379" s="12" t="n">
        <x:v>0</x:v>
      </x:c>
      <x:c r="M1379" s="2" t="str">
        <x:v>持有</x:v>
      </x:c>
    </x:row>
    <x:row r="1380" ht="23" customHeight="1">
      <x:c r="A1380" s="11" t="d">
        <x:v>2020-06-18T00:00:00.000Z</x:v>
      </x:c>
      <x:c r="B1380" s="12" t="n">
        <x:v>12437.124996</x:v>
      </x:c>
      <x:c r="C1380" s="13" t="n">
        <x:v>484</x:v>
      </x:c>
      <x:c r="D1380" s="12" t="n">
        <x:v>150901.52</x:v>
      </x:c>
      <x:c r="E1380" s="12" t="n">
        <x:v>0</x:v>
      </x:c>
      <x:c r="F1380" s="12" t="n">
        <x:f>SUM(B1380,D1380:E1380)</x:f>
        <x:v>163338.644996</x:v>
      </x:c>
      <x:c r="G1380" s="12" t="n">
        <x:f>MAX(G1379,F1380)</x:f>
        <x:v>175513.39444</x:v>
      </x:c>
      <x:c r="H1380" s="14" t="n">
        <x:f>F1380/G1380-1</x:f>
        <x:v>-0.06936649754194124</x:v>
      </x:c>
      <x:c r="I1380" s="14" t="n">
        <x:f>F1380/F1379-1</x:f>
        <x:v>0.0003557067554329496</x:v>
      </x:c>
      <x:c r="J1380" s="12" t="n">
        <x:v>0</x:v>
      </x:c>
      <x:c r="K1380" s="12" t="n">
        <x:v>0</x:v>
      </x:c>
      <x:c r="L1380" s="12" t="n">
        <x:v>0</x:v>
      </x:c>
      <x:c r="M1380" s="2" t="str">
        <x:v>持有</x:v>
      </x:c>
    </x:row>
    <x:row r="1381" ht="23" customHeight="1">
      <x:c r="A1381" s="11" t="d">
        <x:v>2020-06-19T00:00:00.000Z</x:v>
      </x:c>
      <x:c r="B1381" s="12" t="n">
        <x:v>12437.124996</x:v>
      </x:c>
      <x:c r="C1381" s="13" t="n">
        <x:v>484</x:v>
      </x:c>
      <x:c r="D1381" s="12" t="n">
        <x:v>149381.75999999998</x:v>
      </x:c>
      <x:c r="E1381" s="12" t="n">
        <x:v>661.261128</x:v>
      </x:c>
      <x:c r="F1381" s="12" t="n">
        <x:f>SUM(B1381,D1381:E1381)</x:f>
        <x:v>162480.146124</x:v>
      </x:c>
      <x:c r="G1381" s="12" t="n">
        <x:f>MAX(G1380,F1381)</x:f>
        <x:v>175513.39444</x:v>
      </x:c>
      <x:c r="H1381" s="14" t="n">
        <x:f>F1381/G1381-1</x:f>
        <x:v>-0.07425785569007093</x:v>
      </x:c>
      <x:c r="I1381" s="14" t="n">
        <x:f>F1381/F1380-1</x:f>
        <x:v>-0.005255944617521546</x:v>
      </x:c>
      <x:c r="J1381" s="12" t="n">
        <x:v>661.261128</x:v>
      </x:c>
      <x:c r="K1381" s="12" t="n">
        <x:v>0</x:v>
      </x:c>
      <x:c r="L1381" s="12" t="n">
        <x:v>0</x:v>
      </x:c>
      <x:c r="M1381" s="2" t="str">
        <x:v>持有</x:v>
      </x:c>
    </x:row>
    <x:row r="1382" ht="23" customHeight="1">
      <x:c r="A1382" s="11" t="d">
        <x:v>2020-06-22T00:00:00.000Z</x:v>
      </x:c>
      <x:c r="B1382" s="12" t="n">
        <x:v>12437.124996</x:v>
      </x:c>
      <x:c r="C1382" s="13" t="n">
        <x:v>484</x:v>
      </x:c>
      <x:c r="D1382" s="12" t="n">
        <x:v>150340.08000000002</x:v>
      </x:c>
      <x:c r="E1382" s="12" t="n">
        <x:v>661.261128</x:v>
      </x:c>
      <x:c r="F1382" s="12" t="n">
        <x:f>SUM(B1382,D1382:E1382)</x:f>
        <x:v>163438.46612400003</x:v>
      </x:c>
      <x:c r="G1382" s="12" t="n">
        <x:f>MAX(G1381,F1382)</x:f>
        <x:v>175513.39444</x:v>
      </x:c>
      <x:c r="H1382" s="14" t="n">
        <x:f>F1382/G1382-1</x:f>
        <x:v>-0.06879775959280332</x:v>
      </x:c>
      <x:c r="I1382" s="14" t="n">
        <x:f>F1382/F1381-1</x:f>
        <x:v>0.005898074459316893</x:v>
      </x:c>
      <x:c r="J1382" s="12" t="n">
        <x:v>0</x:v>
      </x:c>
      <x:c r="K1382" s="12" t="n">
        <x:v>0</x:v>
      </x:c>
      <x:c r="L1382" s="12" t="n">
        <x:v>0</x:v>
      </x:c>
      <x:c r="M1382" s="2" t="str">
        <x:v>持有</x:v>
      </x:c>
    </x:row>
    <x:row r="1383" ht="23" customHeight="1">
      <x:c r="A1383" s="11" t="d">
        <x:v>2020-06-23T00:00:00.000Z</x:v>
      </x:c>
      <x:c r="B1383" s="12" t="n">
        <x:v>12437.124996</x:v>
      </x:c>
      <x:c r="C1383" s="13" t="n">
        <x:v>484</x:v>
      </x:c>
      <x:c r="D1383" s="12" t="n">
        <x:v>151032.2</x:v>
      </x:c>
      <x:c r="E1383" s="12" t="n">
        <x:v>661.261128</x:v>
      </x:c>
      <x:c r="F1383" s="12" t="n">
        <x:f>SUM(B1383,D1383:E1383)</x:f>
        <x:v>164130.58612400002</x:v>
      </x:c>
      <x:c r="G1383" s="12" t="n">
        <x:f>MAX(G1382,F1383)</x:f>
        <x:v>175513.39444</x:v>
      </x:c>
      <x:c r="H1383" s="14" t="n">
        <x:f>F1383/G1383-1</x:f>
        <x:v>-0.06485435685588792</x:v>
      </x:c>
      <x:c r="I1383" s="14" t="n">
        <x:f>F1383/F1382-1</x:f>
        <x:v>0.004234743609713654</x:v>
      </x:c>
      <x:c r="J1383" s="12" t="n">
        <x:v>0</x:v>
      </x:c>
      <x:c r="K1383" s="12" t="n">
        <x:v>0</x:v>
      </x:c>
      <x:c r="L1383" s="12" t="n">
        <x:v>0</x:v>
      </x:c>
      <x:c r="M1383" s="2" t="str">
        <x:v>持有</x:v>
      </x:c>
    </x:row>
    <x:row r="1384" ht="23" customHeight="1">
      <x:c r="A1384" s="11" t="d">
        <x:v>2020-06-24T00:00:00.000Z</x:v>
      </x:c>
      <x:c r="B1384" s="12" t="n">
        <x:v>12437.124996</x:v>
      </x:c>
      <x:c r="C1384" s="13" t="n">
        <x:v>484</x:v>
      </x:c>
      <x:c r="D1384" s="12" t="n">
        <x:v>147179.56</x:v>
      </x:c>
      <x:c r="E1384" s="12" t="n">
        <x:v>661.261128</x:v>
      </x:c>
      <x:c r="F1384" s="12" t="n">
        <x:f>SUM(B1384,D1384:E1384)</x:f>
        <x:v>160277.946124</x:v>
      </x:c>
      <x:c r="G1384" s="12" t="n">
        <x:f>MAX(G1383,F1384)</x:f>
        <x:v>175513.39444</x:v>
      </x:c>
      <x:c r="H1384" s="14" t="n">
        <x:f>F1384/G1384-1</x:f>
        <x:v>-0.08680504621661966</x:v>
      </x:c>
      <x:c r="I1384" s="14" t="n">
        <x:f>F1384/F1383-1</x:f>
        <x:v>-0.023473016766596855</x:v>
      </x:c>
      <x:c r="J1384" s="12" t="n">
        <x:v>0</x:v>
      </x:c>
      <x:c r="K1384" s="12" t="n">
        <x:v>0</x:v>
      </x:c>
      <x:c r="L1384" s="12" t="n">
        <x:v>0</x:v>
      </x:c>
      <x:c r="M1384" s="2" t="str">
        <x:v>持有</x:v>
      </x:c>
    </x:row>
    <x:row r="1385" ht="23" customHeight="1">
      <x:c r="A1385" s="11" t="d">
        <x:v>2020-06-25T00:00:00.000Z</x:v>
      </x:c>
      <x:c r="B1385" s="12" t="n">
        <x:v>12437.124996</x:v>
      </x:c>
      <x:c r="C1385" s="13" t="n">
        <x:v>484</x:v>
      </x:c>
      <x:c r="D1385" s="12" t="n">
        <x:v>148757.40000000002</x:v>
      </x:c>
      <x:c r="E1385" s="12" t="n">
        <x:v>661.261128</x:v>
      </x:c>
      <x:c r="F1385" s="12" t="n">
        <x:f>SUM(B1385,D1385:E1385)</x:f>
        <x:v>161855.78612400003</x:v>
      </x:c>
      <x:c r="G1385" s="12" t="n">
        <x:f>MAX(G1384,F1385)</x:f>
        <x:v>175513.39444</x:v>
      </x:c>
      <x:c r="H1385" s="14" t="n">
        <x:f>F1385/G1385-1</x:f>
        <x:v>-0.07781519102616907</x:v>
      </x:c>
      <x:c r="I1385" s="14" t="n">
        <x:f>F1385/F1384-1</x:f>
        <x:v>0.009844398672162358</x:v>
      </x:c>
      <x:c r="J1385" s="12" t="n">
        <x:v>0</x:v>
      </x:c>
      <x:c r="K1385" s="12" t="n">
        <x:v>0</x:v>
      </x:c>
      <x:c r="L1385" s="12" t="n">
        <x:v>0</x:v>
      </x:c>
      <x:c r="M1385" s="2" t="str">
        <x:v>持有</x:v>
      </x:c>
    </x:row>
    <x:row r="1386" ht="23" customHeight="1">
      <x:c r="A1386" s="11" t="d">
        <x:v>2020-06-26T00:00:00.000Z</x:v>
      </x:c>
      <x:c r="B1386" s="12" t="n">
        <x:v>12437.124996</x:v>
      </x:c>
      <x:c r="C1386" s="13" t="n">
        <x:v>484</x:v>
      </x:c>
      <x:c r="D1386" s="12" t="n">
        <x:v>145224.2</x:v>
      </x:c>
      <x:c r="E1386" s="12" t="n">
        <x:v>661.261128</x:v>
      </x:c>
      <x:c r="F1386" s="12" t="n">
        <x:f>SUM(B1386,D1386:E1386)</x:f>
        <x:v>158322.58612400002</x:v>
      </x:c>
      <x:c r="G1386" s="12" t="n">
        <x:f>MAX(G1385,F1386)</x:f>
        <x:v>175513.39444</x:v>
      </x:c>
      <x:c r="H1386" s="14" t="n">
        <x:f>F1386/G1386-1</x:f>
        <x:v>-0.09794584835447828</x:v>
      </x:c>
      <x:c r="I1386" s="14" t="n">
        <x:f>F1386/F1385-1</x:f>
        <x:v>-0.021829309193142965</x:v>
      </x:c>
      <x:c r="J1386" s="12" t="n">
        <x:v>0</x:v>
      </x:c>
      <x:c r="K1386" s="12" t="n">
        <x:v>0</x:v>
      </x:c>
      <x:c r="L1386" s="12" t="n">
        <x:v>0</x:v>
      </x:c>
      <x:c r="M1386" s="2" t="str">
        <x:v>持有</x:v>
      </x:c>
    </x:row>
    <x:row r="1387" ht="23" customHeight="1">
      <x:c r="A1387" s="11" t="d">
        <x:v>2020-06-29T00:00:00.000Z</x:v>
      </x:c>
      <x:c r="B1387" s="12" t="n">
        <x:v>12437.124996</x:v>
      </x:c>
      <x:c r="C1387" s="13" t="n">
        <x:v>484</x:v>
      </x:c>
      <x:c r="D1387" s="12" t="n">
        <x:v>147358.63999999998</x:v>
      </x:c>
      <x:c r="E1387" s="12" t="n">
        <x:v>661.261128</x:v>
      </x:c>
      <x:c r="F1387" s="12" t="n">
        <x:f>SUM(B1387,D1387:E1387)</x:f>
        <x:v>160457.026124</x:v>
      </x:c>
      <x:c r="G1387" s="12" t="n">
        <x:f>MAX(G1386,F1387)</x:f>
        <x:v>175513.39444</x:v>
      </x:c>
      <x:c r="H1387" s="14" t="n">
        <x:f>F1387/G1387-1</x:f>
        <x:v>-0.08578472522874647</x:v>
      </x:c>
      <x:c r="I1387" s="14" t="n">
        <x:f>F1387/F1386-1</x:f>
        <x:v>0.013481588775515974</x:v>
      </x:c>
      <x:c r="J1387" s="12" t="n">
        <x:v>0</x:v>
      </x:c>
      <x:c r="K1387" s="12" t="n">
        <x:v>0</x:v>
      </x:c>
      <x:c r="L1387" s="12" t="n">
        <x:v>0</x:v>
      </x:c>
      <x:c r="M1387" s="2" t="str">
        <x:v>持有</x:v>
      </x:c>
    </x:row>
    <x:row r="1388" ht="23" customHeight="1">
      <x:c r="A1388" s="11" t="d">
        <x:v>2020-06-30T00:00:00.000Z</x:v>
      </x:c>
      <x:c r="B1388" s="12" t="n">
        <x:v>12437.124996</x:v>
      </x:c>
      <x:c r="C1388" s="13" t="n">
        <x:v>484</x:v>
      </x:c>
      <x:c r="D1388" s="12" t="n">
        <x:v>149246.24000000002</x:v>
      </x:c>
      <x:c r="E1388" s="12" t="n">
        <x:v>661.261128</x:v>
      </x:c>
      <x:c r="F1388" s="12" t="n">
        <x:f>SUM(B1388,D1388:E1388)</x:f>
        <x:v>162344.62612400003</x:v>
      </x:c>
      <x:c r="G1388" s="12" t="n">
        <x:f>MAX(G1387,F1388)</x:f>
        <x:v>175513.39444</x:v>
      </x:c>
      <x:c r="H1388" s="14" t="n">
        <x:f>F1388/G1388-1</x:f>
        <x:v>-0.07502999049170445</x:v>
      </x:c>
      <x:c r="I1388" s="14" t="n">
        <x:f>F1388/F1387-1</x:f>
        <x:v>0.011763897447166327</x:v>
      </x:c>
      <x:c r="J1388" s="12" t="n">
        <x:v>0</x:v>
      </x:c>
      <x:c r="K1388" s="12" t="n">
        <x:v>0</x:v>
      </x:c>
      <x:c r="L1388" s="12" t="n">
        <x:v>0</x:v>
      </x:c>
      <x:c r="M1388" s="2" t="str">
        <x:v>持有</x:v>
      </x:c>
    </x:row>
    <x:row r="1389" ht="23" customHeight="1">
      <x:c r="A1389" s="11" t="d">
        <x:v>2020-07-01T00:00:00.000Z</x:v>
      </x:c>
      <x:c r="B1389" s="12" t="n">
        <x:v>12437.124996</x:v>
      </x:c>
      <x:c r="C1389" s="13" t="n">
        <x:v>484</x:v>
      </x:c>
      <x:c r="D1389" s="12" t="n">
        <x:v>150291.68</x:v>
      </x:c>
      <x:c r="E1389" s="12" t="n">
        <x:v>661.261128</x:v>
      </x:c>
      <x:c r="F1389" s="12" t="n">
        <x:f>SUM(B1389,D1389:E1389)</x:f>
        <x:v>163390.066124</x:v>
      </x:c>
      <x:c r="G1389" s="12" t="n">
        <x:f>MAX(G1388,F1389)</x:f>
        <x:v>175513.39444</x:v>
      </x:c>
      <x:c r="H1389" s="14" t="n">
        <x:f>F1389/G1389-1</x:f>
        <x:v>-0.06907352202195838</x:v>
      </x:c>
      <x:c r="I1389" s="14" t="n">
        <x:f>F1389/F1388-1</x:f>
        <x:v>0.00643963415950366</x:v>
      </x:c>
      <x:c r="J1389" s="12" t="n">
        <x:v>0</x:v>
      </x:c>
      <x:c r="K1389" s="12" t="n">
        <x:v>0</x:v>
      </x:c>
      <x:c r="L1389" s="12" t="n">
        <x:v>0</x:v>
      </x:c>
      <x:c r="M1389" s="2" t="str">
        <x:v>持有</x:v>
      </x:c>
    </x:row>
    <x:row r="1390" ht="23" customHeight="1">
      <x:c r="A1390" s="11" t="d">
        <x:v>2020-07-02T00:00:00.000Z</x:v>
      </x:c>
      <x:c r="B1390" s="12" t="n">
        <x:v>12437.124996</x:v>
      </x:c>
      <x:c r="C1390" s="13" t="n">
        <x:v>484</x:v>
      </x:c>
      <x:c r="D1390" s="12" t="n">
        <x:v>151119.32</x:v>
      </x:c>
      <x:c r="E1390" s="12" t="n">
        <x:v>661.261128</x:v>
      </x:c>
      <x:c r="F1390" s="12" t="n">
        <x:f>SUM(B1390,D1390:E1390)</x:f>
        <x:v>164217.70612400002</x:v>
      </x:c>
      <x:c r="G1390" s="12" t="n">
        <x:f>MAX(G1389,F1390)</x:f>
        <x:v>175513.39444</x:v>
      </x:c>
      <x:c r="H1390" s="14" t="n">
        <x:f>F1390/G1390-1</x:f>
        <x:v>-0.06435798448340913</x:v>
      </x:c>
      <x:c r="I1390" s="14" t="n">
        <x:f>F1390/F1389-1</x:f>
        <x:v>0.0050654242306988895</x:v>
      </x:c>
      <x:c r="J1390" s="12" t="n">
        <x:v>0</x:v>
      </x:c>
      <x:c r="K1390" s="12" t="n">
        <x:v>0</x:v>
      </x:c>
      <x:c r="L1390" s="12" t="n">
        <x:v>0</x:v>
      </x:c>
      <x:c r="M1390" s="2" t="str">
        <x:v>持有</x:v>
      </x:c>
    </x:row>
    <x:row r="1391" ht="23" customHeight="1">
      <x:c r="A1391" s="11" t="d">
        <x:v>2020-07-06T00:00:00.000Z</x:v>
      </x:c>
      <x:c r="B1391" s="12" t="n">
        <x:v>12437.124996</x:v>
      </x:c>
      <x:c r="C1391" s="13" t="n">
        <x:v>484</x:v>
      </x:c>
      <x:c r="D1391" s="12" t="n">
        <x:v>153452.2</x:v>
      </x:c>
      <x:c r="E1391" s="12" t="n">
        <x:v>661.261128</x:v>
      </x:c>
      <x:c r="F1391" s="12" t="n">
        <x:f>SUM(B1391,D1391:E1391)</x:f>
        <x:v>166550.58612400002</x:v>
      </x:c>
      <x:c r="G1391" s="12" t="n">
        <x:f>MAX(G1390,F1391)</x:f>
        <x:v>175513.39444</x:v>
      </x:c>
      <x:c r="H1391" s="14" t="n">
        <x:f>F1391/G1391-1</x:f>
        <x:v>-0.051066235398141924</x:v>
      </x:c>
      <x:c r="I1391" s="14" t="n">
        <x:f>F1391/F1390-1</x:f>
        <x:v>0.014206019893119537</x:v>
      </x:c>
      <x:c r="J1391" s="12" t="n">
        <x:v>0</x:v>
      </x:c>
      <x:c r="K1391" s="12" t="n">
        <x:v>0</x:v>
      </x:c>
      <x:c r="L1391" s="12" t="n">
        <x:v>0</x:v>
      </x:c>
      <x:c r="M1391" s="2" t="str">
        <x:v>持有</x:v>
      </x:c>
    </x:row>
    <x:row r="1392" ht="23" customHeight="1">
      <x:c r="A1392" s="11" t="d">
        <x:v>2020-07-07T00:00:00.000Z</x:v>
      </x:c>
      <x:c r="B1392" s="12" t="n">
        <x:v>12437.124996</x:v>
      </x:c>
      <x:c r="C1392" s="13" t="n">
        <x:v>484</x:v>
      </x:c>
      <x:c r="D1392" s="12" t="n">
        <x:v>151869.52</x:v>
      </x:c>
      <x:c r="E1392" s="12" t="n">
        <x:v>661.261128</x:v>
      </x:c>
      <x:c r="F1392" s="12" t="n">
        <x:f>SUM(B1392,D1392:E1392)</x:f>
        <x:v>164967.906124</x:v>
      </x:c>
      <x:c r="G1392" s="12" t="n">
        <x:f>MAX(G1391,F1392)</x:f>
        <x:v>175513.39444</x:v>
      </x:c>
      <x:c r="H1392" s="14" t="n">
        <x:f>F1392/G1392-1</x:f>
        <x:v>-0.06008366683150801</x:v>
      </x:c>
      <x:c r="I1392" s="14" t="n">
        <x:f>F1392/F1391-1</x:f>
        <x:v>-0.009502698470371551</x:v>
      </x:c>
      <x:c r="J1392" s="12" t="n">
        <x:v>0</x:v>
      </x:c>
      <x:c r="K1392" s="12" t="n">
        <x:v>0</x:v>
      </x:c>
      <x:c r="L1392" s="12" t="n">
        <x:v>0</x:v>
      </x:c>
      <x:c r="M1392" s="2" t="str">
        <x:v>持有</x:v>
      </x:c>
    </x:row>
    <x:row r="1393" ht="23" customHeight="1">
      <x:c r="A1393" s="11" t="d">
        <x:v>2020-07-08T00:00:00.000Z</x:v>
      </x:c>
      <x:c r="B1393" s="12" t="n">
        <x:v>12437.124996</x:v>
      </x:c>
      <x:c r="C1393" s="13" t="n">
        <x:v>484</x:v>
      </x:c>
      <x:c r="D1393" s="12" t="n">
        <x:v>153031.12</x:v>
      </x:c>
      <x:c r="E1393" s="12" t="n">
        <x:v>661.261128</x:v>
      </x:c>
      <x:c r="F1393" s="12" t="n">
        <x:f>SUM(B1393,D1393:E1393)</x:f>
        <x:v>166129.506124</x:v>
      </x:c>
      <x:c r="G1393" s="12" t="n">
        <x:f>MAX(G1392,F1393)</x:f>
        <x:v>175513.39444</x:v>
      </x:c>
      <x:c r="H1393" s="14" t="n">
        <x:f>F1393/G1393-1</x:f>
        <x:v>-0.05346536853178985</x:v>
      </x:c>
      <x:c r="I1393" s="14" t="n">
        <x:f>F1393/F1392-1</x:f>
        <x:v>0.007041369605109038</x:v>
      </x:c>
      <x:c r="J1393" s="12" t="n">
        <x:v>0</x:v>
      </x:c>
      <x:c r="K1393" s="12" t="n">
        <x:v>0</x:v>
      </x:c>
      <x:c r="L1393" s="12" t="n">
        <x:v>0</x:v>
      </x:c>
      <x:c r="M1393" s="2" t="str">
        <x:v>持有</x:v>
      </x:c>
    </x:row>
    <x:row r="1394" ht="23" customHeight="1">
      <x:c r="A1394" s="11" t="d">
        <x:v>2020-07-09T00:00:00.000Z</x:v>
      </x:c>
      <x:c r="B1394" s="12" t="n">
        <x:v>12437.124996</x:v>
      </x:c>
      <x:c r="C1394" s="13" t="n">
        <x:v>484</x:v>
      </x:c>
      <x:c r="D1394" s="12" t="n">
        <x:v>152159.91999999998</x:v>
      </x:c>
      <x:c r="E1394" s="12" t="n">
        <x:v>661.261128</x:v>
      </x:c>
      <x:c r="F1394" s="12" t="n">
        <x:f>SUM(B1394,D1394:E1394)</x:f>
        <x:v>165258.306124</x:v>
      </x:c>
      <x:c r="G1394" s="12" t="n">
        <x:f>MAX(G1393,F1394)</x:f>
        <x:v>175513.39444</x:v>
      </x:c>
      <x:c r="H1394" s="14" t="n">
        <x:f>F1394/G1394-1</x:f>
        <x:v>-0.05842909225657844</x:v>
      </x:c>
      <x:c r="I1394" s="14" t="n">
        <x:f>F1394/F1393-1</x:f>
        <x:v>-0.005244101546595492</x:v>
      </x:c>
      <x:c r="J1394" s="12" t="n">
        <x:v>0</x:v>
      </x:c>
      <x:c r="K1394" s="12" t="n">
        <x:v>0</x:v>
      </x:c>
      <x:c r="L1394" s="12" t="n">
        <x:v>0</x:v>
      </x:c>
      <x:c r="M1394" s="2" t="str">
        <x:v>持有</x:v>
      </x:c>
    </x:row>
    <x:row r="1395" ht="23" customHeight="1">
      <x:c r="A1395" s="11" t="d">
        <x:v>2020-07-10T00:00:00.000Z</x:v>
      </x:c>
      <x:c r="B1395" s="12" t="n">
        <x:v>12437.124996</x:v>
      </x:c>
      <x:c r="C1395" s="13" t="n">
        <x:v>484</x:v>
      </x:c>
      <x:c r="D1395" s="12" t="n">
        <x:v>153713.56</x:v>
      </x:c>
      <x:c r="E1395" s="12" t="n">
        <x:v>661.261128</x:v>
      </x:c>
      <x:c r="F1395" s="12" t="n">
        <x:f>SUM(B1395,D1395:E1395)</x:f>
        <x:v>166811.946124</x:v>
      </x:c>
      <x:c r="G1395" s="12" t="n">
        <x:f>MAX(G1394,F1395)</x:f>
        <x:v>175513.39444</x:v>
      </x:c>
      <x:c r="H1395" s="14" t="n">
        <x:f>F1395/G1395-1</x:f>
        <x:v>-0.049577118280705434</x:v>
      </x:c>
      <x:c r="I1395" s="14" t="n">
        <x:f>F1395/F1394-1</x:f>
        <x:v>0.009401282370849584</x:v>
      </x:c>
      <x:c r="J1395" s="12" t="n">
        <x:v>0</x:v>
      </x:c>
      <x:c r="K1395" s="12" t="n">
        <x:v>0</x:v>
      </x:c>
      <x:c r="L1395" s="12" t="n">
        <x:v>0</x:v>
      </x:c>
      <x:c r="M1395" s="2" t="str">
        <x:v>持有</x:v>
      </x:c>
    </x:row>
    <x:row r="1396" ht="23" customHeight="1">
      <x:c r="A1396" s="11" t="d">
        <x:v>2020-07-13T00:00:00.000Z</x:v>
      </x:c>
      <x:c r="B1396" s="12" t="n">
        <x:v>12437.124996</x:v>
      </x:c>
      <x:c r="C1396" s="13" t="n">
        <x:v>484</x:v>
      </x:c>
      <x:c r="D1396" s="12" t="n">
        <x:v>152382.56</x:v>
      </x:c>
      <x:c r="E1396" s="12" t="n">
        <x:v>661.261128</x:v>
      </x:c>
      <x:c r="F1396" s="12" t="n">
        <x:f>SUM(B1396,D1396:E1396)</x:f>
        <x:v>165480.946124</x:v>
      </x:c>
      <x:c r="G1396" s="12" t="n">
        <x:f>MAX(G1395,F1396)</x:f>
        <x:v>175513.39444</x:v>
      </x:c>
      <x:c r="H1396" s="14" t="n">
        <x:f>F1396/G1396-1</x:f>
        <x:v>-0.0571605850824658</x:v>
      </x:c>
      <x:c r="I1396" s="14" t="n">
        <x:f>F1396/F1395-1</x:f>
        <x:v>-0.007979044852163053</x:v>
      </x:c>
      <x:c r="J1396" s="12" t="n">
        <x:v>0</x:v>
      </x:c>
      <x:c r="K1396" s="12" t="n">
        <x:v>0</x:v>
      </x:c>
      <x:c r="L1396" s="12" t="n">
        <x:v>0</x:v>
      </x:c>
      <x:c r="M1396" s="2" t="str">
        <x:v>持有</x:v>
      </x:c>
    </x:row>
    <x:row r="1397" ht="23" customHeight="1">
      <x:c r="A1397" s="11" t="d">
        <x:v>2020-07-14T00:00:00.000Z</x:v>
      </x:c>
      <x:c r="B1397" s="12" t="n">
        <x:v>12437.124996</x:v>
      </x:c>
      <x:c r="C1397" s="13" t="n">
        <x:v>484</x:v>
      </x:c>
      <x:c r="D1397" s="12" t="n">
        <x:v>154357.28</x:v>
      </x:c>
      <x:c r="E1397" s="12" t="n">
        <x:v>661.261128</x:v>
      </x:c>
      <x:c r="F1397" s="12" t="n">
        <x:f>SUM(B1397,D1397:E1397)</x:f>
        <x:v>167455.666124</x:v>
      </x:c>
      <x:c r="G1397" s="12" t="n">
        <x:f>MAX(G1396,F1397)</x:f>
        <x:v>175513.39444</x:v>
      </x:c>
      <x:c r="H1397" s="14" t="n">
        <x:f>F1397/G1397-1</x:f>
        <x:v>-0.04590947797294498</x:v>
      </x:c>
      <x:c r="I1397" s="14" t="n">
        <x:f>F1397/F1396-1</x:f>
        <x:v>0.011933216761525367</x:v>
      </x:c>
      <x:c r="J1397" s="12" t="n">
        <x:v>0</x:v>
      </x:c>
      <x:c r="K1397" s="12" t="n">
        <x:v>0</x:v>
      </x:c>
      <x:c r="L1397" s="12" t="n">
        <x:v>0</x:v>
      </x:c>
      <x:c r="M1397" s="2" t="str">
        <x:v>持有</x:v>
      </x:c>
    </x:row>
    <x:row r="1398" ht="23" customHeight="1">
      <x:c r="A1398" s="11" t="d">
        <x:v>2020-07-15T00:00:00.000Z</x:v>
      </x:c>
      <x:c r="B1398" s="12" t="n">
        <x:v>12437.124996</x:v>
      </x:c>
      <x:c r="C1398" s="13" t="n">
        <x:v>484</x:v>
      </x:c>
      <x:c r="D1398" s="12" t="n">
        <x:v>155775.40000000002</x:v>
      </x:c>
      <x:c r="E1398" s="12" t="n">
        <x:v>661.261128</x:v>
      </x:c>
      <x:c r="F1398" s="12" t="n">
        <x:f>SUM(B1398,D1398:E1398)</x:f>
        <x:v>168873.78612400003</x:v>
      </x:c>
      <x:c r="G1398" s="12" t="n">
        <x:f>MAX(G1397,F1398)</x:f>
        <x:v>175513.39444</x:v>
      </x:c>
      <x:c r="H1398" s="14" t="n">
        <x:f>F1398/G1398-1</x:f>
        <x:v>-0.03782963879870571</x:v>
      </x:c>
      <x:c r="I1398" s="14" t="n">
        <x:f>F1398/F1397-1</x:f>
        <x:v>0.008468629535353545</x:v>
      </x:c>
      <x:c r="J1398" s="12" t="n">
        <x:v>0</x:v>
      </x:c>
      <x:c r="K1398" s="12" t="n">
        <x:v>0</x:v>
      </x:c>
      <x:c r="L1398" s="12" t="n">
        <x:v>0</x:v>
      </x:c>
      <x:c r="M1398" s="2" t="str">
        <x:v>持有</x:v>
      </x:c>
    </x:row>
    <x:row r="1399" ht="23" customHeight="1">
      <x:c r="A1399" s="11" t="d">
        <x:v>2020-07-16T00:00:00.000Z</x:v>
      </x:c>
      <x:c r="B1399" s="12" t="n">
        <x:v>12437.124996</x:v>
      </x:c>
      <x:c r="C1399" s="13" t="n">
        <x:v>484</x:v>
      </x:c>
      <x:c r="D1399" s="12" t="n">
        <x:v>155262.36000000002</x:v>
      </x:c>
      <x:c r="E1399" s="12" t="n">
        <x:v>661.261128</x:v>
      </x:c>
      <x:c r="F1399" s="12" t="n">
        <x:f>SUM(B1399,D1399:E1399)</x:f>
        <x:v>168360.74612400003</x:v>
      </x:c>
      <x:c r="G1399" s="12" t="n">
        <x:f>MAX(G1398,F1399)</x:f>
        <x:v>175513.39444</x:v>
      </x:c>
      <x:c r="H1399" s="14" t="n">
        <x:f>F1399/G1399-1</x:f>
        <x:v>-0.04075272054774792</x:v>
      </x:c>
      <x:c r="I1399" s="14" t="n">
        <x:f>F1399/F1398-1</x:f>
        <x:v>-0.0030380085137861057</x:v>
      </x:c>
      <x:c r="J1399" s="12" t="n">
        <x:v>0</x:v>
      </x:c>
      <x:c r="K1399" s="12" t="n">
        <x:v>0</x:v>
      </x:c>
      <x:c r="L1399" s="12" t="n">
        <x:v>0</x:v>
      </x:c>
      <x:c r="M1399" s="2" t="str">
        <x:v>持有</x:v>
      </x:c>
    </x:row>
    <x:row r="1400" ht="23" customHeight="1">
      <x:c r="A1400" s="11" t="d">
        <x:v>2020-07-17T00:00:00.000Z</x:v>
      </x:c>
      <x:c r="B1400" s="12" t="n">
        <x:v>12437.124996</x:v>
      </x:c>
      <x:c r="C1400" s="13" t="n">
        <x:v>484</x:v>
      </x:c>
      <x:c r="D1400" s="12" t="n">
        <x:v>155712.48</x:v>
      </x:c>
      <x:c r="E1400" s="12" t="n">
        <x:v>661.261128</x:v>
      </x:c>
      <x:c r="F1400" s="12" t="n">
        <x:f>SUM(B1400,D1400:E1400)</x:f>
        <x:v>168810.86612400002</x:v>
      </x:c>
      <x:c r="G1400" s="12" t="n">
        <x:f>MAX(G1399,F1400)</x:f>
        <x:v>175513.39444</x:v>
      </x:c>
      <x:c r="H1400" s="14" t="n">
        <x:f>F1400/G1400-1</x:f>
        <x:v>-0.03818812995660725</x:v>
      </x:c>
      <x:c r="I1400" s="14" t="n">
        <x:f>F1400/F1399-1</x:f>
        <x:v>0.0026735448158947683</x:v>
      </x:c>
      <x:c r="J1400" s="12" t="n">
        <x:v>0</x:v>
      </x:c>
      <x:c r="K1400" s="12" t="n">
        <x:v>0</x:v>
      </x:c>
      <x:c r="L1400" s="12" t="n">
        <x:v>0</x:v>
      </x:c>
      <x:c r="M1400" s="2" t="str">
        <x:v>持有</x:v>
      </x:c>
    </x:row>
    <x:row r="1401" ht="23" customHeight="1">
      <x:c r="A1401" s="11" t="d">
        <x:v>2020-07-20T00:00:00.000Z</x:v>
      </x:c>
      <x:c r="B1401" s="12" t="n">
        <x:v>12437.124996</x:v>
      </x:c>
      <x:c r="C1401" s="13" t="n">
        <x:v>484</x:v>
      </x:c>
      <x:c r="D1401" s="12" t="n">
        <x:v>156970.88</x:v>
      </x:c>
      <x:c r="E1401" s="12" t="n">
        <x:v>661.261128</x:v>
      </x:c>
      <x:c r="F1401" s="12" t="n">
        <x:f>SUM(B1401,D1401:E1401)</x:f>
        <x:v>170069.26612400002</x:v>
      </x:c>
      <x:c r="G1401" s="12" t="n">
        <x:f>MAX(G1400,F1401)</x:f>
        <x:v>175513.39444</x:v>
      </x:c>
      <x:c r="H1401" s="14" t="n">
        <x:f>F1401/G1401-1</x:f>
        <x:v>-0.03101830679857931</x:v>
      </x:c>
      <x:c r="I1401" s="14" t="n">
        <x:f>F1401/F1400-1</x:f>
        <x:v>0.007454496436714253</x:v>
      </x:c>
      <x:c r="J1401" s="12" t="n">
        <x:v>0</x:v>
      </x:c>
      <x:c r="K1401" s="12" t="n">
        <x:v>0</x:v>
      </x:c>
      <x:c r="L1401" s="12" t="n">
        <x:v>0</x:v>
      </x:c>
      <x:c r="M1401" s="2" t="str">
        <x:v>持有</x:v>
      </x:c>
    </x:row>
    <x:row r="1402" ht="23" customHeight="1">
      <x:c r="A1402" s="11" t="d">
        <x:v>2020-07-21T00:00:00.000Z</x:v>
      </x:c>
      <x:c r="B1402" s="12" t="n">
        <x:v>12437.124996</x:v>
      </x:c>
      <x:c r="C1402" s="13" t="n">
        <x:v>484</x:v>
      </x:c>
      <x:c r="D1402" s="12" t="n">
        <x:v>157304.84</x:v>
      </x:c>
      <x:c r="E1402" s="12" t="n">
        <x:v>661.261128</x:v>
      </x:c>
      <x:c r="F1402" s="12" t="n">
        <x:f>SUM(B1402,D1402:E1402)</x:f>
        <x:v>170403.226124</x:v>
      </x:c>
      <x:c r="G1402" s="12" t="n">
        <x:f>MAX(G1401,F1402)</x:f>
        <x:v>175513.39444</x:v>
      </x:c>
      <x:c r="H1402" s="14" t="n">
        <x:f>F1402/G1402-1</x:f>
        <x:v>-0.0291155460374104</x:v>
      </x:c>
      <x:c r="I1402" s="14" t="n">
        <x:f>F1402/F1401-1</x:f>
        <x:v>0.001963670495035208</x:v>
      </x:c>
      <x:c r="J1402" s="12" t="n">
        <x:v>0</x:v>
      </x:c>
      <x:c r="K1402" s="12" t="n">
        <x:v>0</x:v>
      </x:c>
      <x:c r="L1402" s="12" t="n">
        <x:v>0</x:v>
      </x:c>
      <x:c r="M1402" s="2" t="str">
        <x:v>持有</x:v>
      </x:c>
    </x:row>
    <x:row r="1403" ht="23" customHeight="1">
      <x:c r="A1403" s="11" t="d">
        <x:v>2020-07-22T00:00:00.000Z</x:v>
      </x:c>
      <x:c r="B1403" s="12" t="n">
        <x:v>12437.124996</x:v>
      </x:c>
      <x:c r="C1403" s="13" t="n">
        <x:v>484</x:v>
      </x:c>
      <x:c r="D1403" s="12" t="n">
        <x:v>158200.24000000002</x:v>
      </x:c>
      <x:c r="E1403" s="12" t="n">
        <x:v>661.261128</x:v>
      </x:c>
      <x:c r="F1403" s="12" t="n">
        <x:f>SUM(B1403,D1403:E1403)</x:f>
        <x:v>171298.62612400003</x:v>
      </x:c>
      <x:c r="G1403" s="12" t="n">
        <x:f>MAX(G1402,F1403)</x:f>
        <x:v>175513.39444</x:v>
      </x:c>
      <x:c r="H1403" s="14" t="n">
        <x:f>F1403/G1403-1</x:f>
        <x:v>-0.024013941098044334</x:v>
      </x:c>
      <x:c r="I1403" s="14" t="n">
        <x:f>F1403/F1402-1</x:f>
        <x:v>0.0052545953522527</x:v>
      </x:c>
      <x:c r="J1403" s="12" t="n">
        <x:v>0</x:v>
      </x:c>
      <x:c r="K1403" s="12" t="n">
        <x:v>0</x:v>
      </x:c>
      <x:c r="L1403" s="12" t="n">
        <x:v>0</x:v>
      </x:c>
      <x:c r="M1403" s="2" t="str">
        <x:v>持有</x:v>
      </x:c>
    </x:row>
    <x:row r="1404" ht="23" customHeight="1">
      <x:c r="A1404" s="11" t="d">
        <x:v>2020-07-23T00:00:00.000Z</x:v>
      </x:c>
      <x:c r="B1404" s="12" t="n">
        <x:v>12437.124996</x:v>
      </x:c>
      <x:c r="C1404" s="13" t="n">
        <x:v>484</x:v>
      </x:c>
      <x:c r="D1404" s="12" t="n">
        <x:v>156312.63999999998</x:v>
      </x:c>
      <x:c r="E1404" s="12" t="n">
        <x:v>661.261128</x:v>
      </x:c>
      <x:c r="F1404" s="12" t="n">
        <x:f>SUM(B1404,D1404:E1404)</x:f>
        <x:v>169411.026124</x:v>
      </x:c>
      <x:c r="G1404" s="12" t="n">
        <x:f>MAX(G1403,F1404)</x:f>
        <x:v>175513.39444</x:v>
      </x:c>
      <x:c r="H1404" s="14" t="n">
        <x:f>F1404/G1404-1</x:f>
        <x:v>-0.03476867583508636</x:v>
      </x:c>
      <x:c r="I1404" s="14" t="n">
        <x:f>F1404/F1403-1</x:f>
        <x:v>-0.011019352826762474</x:v>
      </x:c>
      <x:c r="J1404" s="12" t="n">
        <x:v>0</x:v>
      </x:c>
      <x:c r="K1404" s="12" t="n">
        <x:v>0</x:v>
      </x:c>
      <x:c r="L1404" s="12" t="n">
        <x:v>0</x:v>
      </x:c>
      <x:c r="M1404" s="2" t="str">
        <x:v>持有</x:v>
      </x:c>
    </x:row>
    <x:row r="1405" ht="23" customHeight="1">
      <x:c r="A1405" s="11" t="d">
        <x:v>2020-07-24T00:00:00.000Z</x:v>
      </x:c>
      <x:c r="B1405" s="12" t="n">
        <x:v>12437.124996</x:v>
      </x:c>
      <x:c r="C1405" s="13" t="n">
        <x:v>484</x:v>
      </x:c>
      <x:c r="D1405" s="12" t="n">
        <x:v>155305.91999999998</x:v>
      </x:c>
      <x:c r="E1405" s="12" t="n">
        <x:v>661.261128</x:v>
      </x:c>
      <x:c r="F1405" s="12" t="n">
        <x:f>SUM(B1405,D1405:E1405)</x:f>
        <x:v>168404.306124</x:v>
      </x:c>
      <x:c r="G1405" s="12" t="n">
        <x:f>MAX(G1404,F1405)</x:f>
        <x:v>175513.39444</x:v>
      </x:c>
      <x:c r="H1405" s="14" t="n">
        <x:f>F1405/G1405-1</x:f>
        <x:v>-0.04050453436150869</x:v>
      </x:c>
      <x:c r="I1405" s="14" t="n">
        <x:f>F1405/F1404-1</x:f>
        <x:v>-0.005942470351741669</x:v>
      </x:c>
      <x:c r="J1405" s="12" t="n">
        <x:v>0</x:v>
      </x:c>
      <x:c r="K1405" s="12" t="n">
        <x:v>0</x:v>
      </x:c>
      <x:c r="L1405" s="12" t="n">
        <x:v>0</x:v>
      </x:c>
      <x:c r="M1405" s="2" t="str">
        <x:v>持有</x:v>
      </x:c>
    </x:row>
    <x:row r="1406" ht="23" customHeight="1">
      <x:c r="A1406" s="11" t="d">
        <x:v>2020-07-27T00:00:00.000Z</x:v>
      </x:c>
      <x:c r="B1406" s="12" t="n">
        <x:v>12437.124996</x:v>
      </x:c>
      <x:c r="C1406" s="13" t="n">
        <x:v>484</x:v>
      </x:c>
      <x:c r="D1406" s="12" t="n">
        <x:v>156438.48</x:v>
      </x:c>
      <x:c r="E1406" s="12" t="n">
        <x:v>661.261128</x:v>
      </x:c>
      <x:c r="F1406" s="12" t="n">
        <x:f>SUM(B1406,D1406:E1406)</x:f>
        <x:v>169536.86612400002</x:v>
      </x:c>
      <x:c r="G1406" s="12" t="n">
        <x:f>MAX(G1405,F1406)</x:f>
        <x:v>175513.39444</x:v>
      </x:c>
      <x:c r="H1406" s="14" t="n">
        <x:f>F1406/G1406-1</x:f>
        <x:v>-0.03405169351928339</x:v>
      </x:c>
      <x:c r="I1406" s="14" t="n">
        <x:f>F1406/F1405-1</x:f>
        <x:v>0.006725243707046857</x:v>
      </x:c>
      <x:c r="J1406" s="12" t="n">
        <x:v>0</x:v>
      </x:c>
      <x:c r="K1406" s="12" t="n">
        <x:v>0</x:v>
      </x:c>
      <x:c r="L1406" s="12" t="n">
        <x:v>0</x:v>
      </x:c>
      <x:c r="M1406" s="2" t="str">
        <x:v>持有</x:v>
      </x:c>
    </x:row>
    <x:row r="1407" ht="23" customHeight="1">
      <x:c r="A1407" s="11" t="d">
        <x:v>2020-07-28T00:00:00.000Z</x:v>
      </x:c>
      <x:c r="B1407" s="12" t="n">
        <x:v>12437.124996</x:v>
      </x:c>
      <x:c r="C1407" s="13" t="n">
        <x:v>484</x:v>
      </x:c>
      <x:c r="D1407" s="12" t="n">
        <x:v>155446.28</x:v>
      </x:c>
      <x:c r="E1407" s="12" t="n">
        <x:v>661.261128</x:v>
      </x:c>
      <x:c r="F1407" s="12" t="n">
        <x:f>SUM(B1407,D1407:E1407)</x:f>
        <x:v>168544.666124</x:v>
      </x:c>
      <x:c r="G1407" s="12" t="n">
        <x:f>MAX(G1406,F1407)</x:f>
        <x:v>175513.39444</x:v>
      </x:c>
      <x:c r="H1407" s="14" t="n">
        <x:f>F1407/G1407-1</x:f>
        <x:v>-0.03970482331695935</x:v>
      </x:c>
      <x:c r="I1407" s="14" t="n">
        <x:f>F1407/F1406-1</x:f>
        <x:v>-0.005852414419848406</x:v>
      </x:c>
      <x:c r="J1407" s="12" t="n">
        <x:v>0</x:v>
      </x:c>
      <x:c r="K1407" s="12" t="n">
        <x:v>0</x:v>
      </x:c>
      <x:c r="L1407" s="12" t="n">
        <x:v>0</x:v>
      </x:c>
      <x:c r="M1407" s="2" t="str">
        <x:v>持有</x:v>
      </x:c>
    </x:row>
    <x:row r="1408" ht="23" customHeight="1">
      <x:c r="A1408" s="11" t="d">
        <x:v>2020-07-29T00:00:00.000Z</x:v>
      </x:c>
      <x:c r="B1408" s="12" t="n">
        <x:v>12437.124996</x:v>
      </x:c>
      <x:c r="C1408" s="13" t="n">
        <x:v>484</x:v>
      </x:c>
      <x:c r="D1408" s="12" t="n">
        <x:v>157358.08000000002</x:v>
      </x:c>
      <x:c r="E1408" s="12" t="n">
        <x:v>661.261128</x:v>
      </x:c>
      <x:c r="F1408" s="12" t="n">
        <x:f>SUM(B1408,D1408:E1408)</x:f>
        <x:v>170456.46612400003</x:v>
      </x:c>
      <x:c r="G1408" s="12" t="n">
        <x:f>MAX(G1407,F1408)</x:f>
        <x:v>175513.39444</x:v>
      </x:c>
      <x:c r="H1408" s="14" t="n">
        <x:f>F1408/G1408-1</x:f>
        <x:v>-0.02881220736533996</x:v>
      </x:c>
      <x:c r="I1408" s="14" t="n">
        <x:f>F1408/F1407-1</x:f>
        <x:v>0.011342987256526271</x:v>
      </x:c>
      <x:c r="J1408" s="12" t="n">
        <x:v>0</x:v>
      </x:c>
      <x:c r="K1408" s="12" t="n">
        <x:v>0</x:v>
      </x:c>
      <x:c r="L1408" s="12" t="n">
        <x:v>0</x:v>
      </x:c>
      <x:c r="M1408" s="2" t="str">
        <x:v>持有</x:v>
      </x:c>
    </x:row>
    <x:row r="1409" ht="23" customHeight="1">
      <x:c r="A1409" s="11" t="d">
        <x:v>2020-07-30T00:00:00.000Z</x:v>
      </x:c>
      <x:c r="B1409" s="12" t="n">
        <x:v>12437.124996</x:v>
      </x:c>
      <x:c r="C1409" s="13" t="n">
        <x:v>484</x:v>
      </x:c>
      <x:c r="D1409" s="12" t="n">
        <x:v>156796.63999999998</x:v>
      </x:c>
      <x:c r="E1409" s="12" t="n">
        <x:v>661.261128</x:v>
      </x:c>
      <x:c r="F1409" s="12" t="n">
        <x:f>SUM(B1409,D1409:E1409)</x:f>
        <x:v>169895.026124</x:v>
      </x:c>
      <x:c r="G1409" s="12" t="n">
        <x:f>MAX(G1408,F1409)</x:f>
        <x:v>175513.39444</x:v>
      </x:c>
      <x:c r="H1409" s="14" t="n">
        <x:f>F1409/G1409-1</x:f>
        <x:v>-0.03201105154353712</x:v>
      </x:c>
      <x:c r="I1409" s="14" t="n">
        <x:f>F1409/F1408-1</x:f>
        <x:v>-0.0032937442196625533</x:v>
      </x:c>
      <x:c r="J1409" s="12" t="n">
        <x:v>0</x:v>
      </x:c>
      <x:c r="K1409" s="12" t="n">
        <x:v>0</x:v>
      </x:c>
      <x:c r="L1409" s="12" t="n">
        <x:v>0</x:v>
      </x:c>
      <x:c r="M1409" s="2" t="str">
        <x:v>持有</x:v>
      </x:c>
    </x:row>
    <x:row r="1410" ht="23" customHeight="1">
      <x:c r="A1410" s="11" t="d">
        <x:v>2020-07-31T00:00:00.000Z</x:v>
      </x:c>
      <x:c r="B1410" s="12" t="n">
        <x:v>13098.386124</x:v>
      </x:c>
      <x:c r="C1410" s="13" t="n">
        <x:v>484</x:v>
      </x:c>
      <x:c r="D1410" s="12" t="n">
        <x:v>158035.68</x:v>
      </x:c>
      <x:c r="E1410" s="12" t="n">
        <x:v>0</x:v>
      </x:c>
      <x:c r="F1410" s="12" t="n">
        <x:f>SUM(B1410,D1410:E1410)</x:f>
        <x:v>171134.066124</x:v>
      </x:c>
      <x:c r="G1410" s="12" t="n">
        <x:f>MAX(G1409,F1410)</x:f>
        <x:v>175513.39444</x:v>
      </x:c>
      <x:c r="H1410" s="14" t="n">
        <x:f>F1410/G1410-1</x:f>
        <x:v>-0.02495153335717115</x:v>
      </x:c>
      <x:c r="I1410" s="14" t="n">
        <x:f>F1410/F1409-1</x:f>
        <x:v>0.007292973951430914</x:v>
      </x:c>
      <x:c r="J1410" s="12" t="n">
        <x:v>0</x:v>
      </x:c>
      <x:c r="K1410" s="12" t="n">
        <x:v>661.261128</x:v>
      </x:c>
      <x:c r="L1410" s="12" t="n">
        <x:v>0</x:v>
      </x:c>
      <x:c r="M1410" s="2" t="str">
        <x:v>持有</x:v>
      </x:c>
    </x:row>
    <x:row r="1411" ht="23" customHeight="1">
      <x:c r="A1411" s="11" t="d">
        <x:v>2020-08-03T00:00:00.000Z</x:v>
      </x:c>
      <x:c r="B1411" s="12" t="n">
        <x:v>13098.386124</x:v>
      </x:c>
      <x:c r="C1411" s="13" t="n">
        <x:v>484</x:v>
      </x:c>
      <x:c r="D1411" s="12" t="n">
        <x:v>159134.36000000002</x:v>
      </x:c>
      <x:c r="E1411" s="12" t="n">
        <x:v>0</x:v>
      </x:c>
      <x:c r="F1411" s="12" t="n">
        <x:f>SUM(B1411,D1411:E1411)</x:f>
        <x:v>172232.74612400003</x:v>
      </x:c>
      <x:c r="G1411" s="12" t="n">
        <x:f>MAX(G1410,F1411)</x:f>
        <x:v>175513.39444</x:v>
      </x:c>
      <x:c r="H1411" s="14" t="n">
        <x:f>F1411/G1411-1</x:f>
        <x:v>-0.01869172621535431</x:v>
      </x:c>
      <x:c r="I1411" s="14" t="n">
        <x:f>F1411/F1410-1</x:f>
        <x:v>0.0064199958832507065</x:v>
      </x:c>
      <x:c r="J1411" s="12" t="n">
        <x:v>0</x:v>
      </x:c>
      <x:c r="K1411" s="12" t="n">
        <x:v>0</x:v>
      </x:c>
      <x:c r="L1411" s="12" t="n">
        <x:v>0</x:v>
      </x:c>
      <x:c r="M1411" s="2" t="str">
        <x:v>持有</x:v>
      </x:c>
    </x:row>
    <x:row r="1412" ht="23" customHeight="1">
      <x:c r="A1412" s="11" t="d">
        <x:v>2020-08-04T00:00:00.000Z</x:v>
      </x:c>
      <x:c r="B1412" s="12" t="n">
        <x:v>13098.386124</x:v>
      </x:c>
      <x:c r="C1412" s="13" t="n">
        <x:v>484</x:v>
      </x:c>
      <x:c r="D1412" s="12" t="n">
        <x:v>159749.04</x:v>
      </x:c>
      <x:c r="E1412" s="12" t="n">
        <x:v>0</x:v>
      </x:c>
      <x:c r="F1412" s="12" t="n">
        <x:f>SUM(B1412,D1412:E1412)</x:f>
        <x:v>172847.42612400002</x:v>
      </x:c>
      <x:c r="G1412" s="12" t="n">
        <x:f>MAX(G1411,F1412)</x:f>
        <x:v>175513.39444</x:v>
      </x:c>
      <x:c r="H1412" s="14" t="n">
        <x:f>F1412/G1412-1</x:f>
        <x:v>-0.015189543365086933</x:v>
      </x:c>
      <x:c r="I1412" s="14" t="n">
        <x:f>F1412/F1411-1</x:f>
        <x:v>0.0035688915948506317</x:v>
      </x:c>
      <x:c r="J1412" s="12" t="n">
        <x:v>0</x:v>
      </x:c>
      <x:c r="K1412" s="12" t="n">
        <x:v>0</x:v>
      </x:c>
      <x:c r="L1412" s="12" t="n">
        <x:v>0</x:v>
      </x:c>
      <x:c r="M1412" s="2" t="str">
        <x:v>持有</x:v>
      </x:c>
    </x:row>
    <x:row r="1413" ht="23" customHeight="1">
      <x:c r="A1413" s="11" t="d">
        <x:v>2020-08-05T00:00:00.000Z</x:v>
      </x:c>
      <x:c r="B1413" s="12" t="n">
        <x:v>13098.386124</x:v>
      </x:c>
      <x:c r="C1413" s="13" t="n">
        <x:v>484</x:v>
      </x:c>
      <x:c r="D1413" s="12" t="n">
        <x:v>160741.24000000002</x:v>
      </x:c>
      <x:c r="E1413" s="12" t="n">
        <x:v>0</x:v>
      </x:c>
      <x:c r="F1413" s="12" t="n">
        <x:f>SUM(B1413,D1413:E1413)</x:f>
        <x:v>173839.62612400003</x:v>
      </x:c>
      <x:c r="G1413" s="12" t="n">
        <x:f>MAX(G1412,F1413)</x:f>
        <x:v>175513.39444</x:v>
      </x:c>
      <x:c r="H1413" s="14" t="n">
        <x:f>F1413/G1413-1</x:f>
        <x:v>-0.009536413567410973</x:v>
      </x:c>
      <x:c r="I1413" s="14" t="n">
        <x:f>F1413/F1412-1</x:f>
        <x:v>0.005740322677921794</x:v>
      </x:c>
      <x:c r="J1413" s="12" t="n">
        <x:v>0</x:v>
      </x:c>
      <x:c r="K1413" s="12" t="n">
        <x:v>0</x:v>
      </x:c>
      <x:c r="L1413" s="12" t="n">
        <x:v>0</x:v>
      </x:c>
      <x:c r="M1413" s="2" t="str">
        <x:v>持有</x:v>
      </x:c>
    </x:row>
    <x:row r="1414" ht="23" customHeight="1">
      <x:c r="A1414" s="11" t="d">
        <x:v>2020-08-06T00:00:00.000Z</x:v>
      </x:c>
      <x:c r="B1414" s="12" t="n">
        <x:v>13098.386124</x:v>
      </x:c>
      <x:c r="C1414" s="13" t="n">
        <x:v>484</x:v>
      </x:c>
      <x:c r="D1414" s="12" t="n">
        <x:v>161815.72</x:v>
      </x:c>
      <x:c r="E1414" s="12" t="n">
        <x:v>0</x:v>
      </x:c>
      <x:c r="F1414" s="12" t="n">
        <x:f>SUM(B1414,D1414:E1414)</x:f>
        <x:v>174914.106124</x:v>
      </x:c>
      <x:c r="G1414" s="12" t="n">
        <x:f>MAX(G1413,F1414)</x:f>
        <x:v>175513.39444</x:v>
      </x:c>
      <x:c r="H1414" s="14" t="n">
        <x:f>F1414/G1414-1</x:f>
        <x:v>-0.003414487640171826</x:v>
      </x:c>
      <x:c r="I1414" s="14" t="n">
        <x:f>F1414/F1413-1</x:f>
        <x:v>0.006180869252638388</x:v>
      </x:c>
      <x:c r="J1414" s="12" t="n">
        <x:v>0</x:v>
      </x:c>
      <x:c r="K1414" s="12" t="n">
        <x:v>0</x:v>
      </x:c>
      <x:c r="L1414" s="12" t="n">
        <x:v>0</x:v>
      </x:c>
      <x:c r="M1414" s="2" t="str">
        <x:v>持有</x:v>
      </x:c>
    </x:row>
    <x:row r="1415" ht="23" customHeight="1">
      <x:c r="A1415" s="11" t="d">
        <x:v>2020-08-07T00:00:00.000Z</x:v>
      </x:c>
      <x:c r="B1415" s="12" t="n">
        <x:v>13098.386124</x:v>
      </x:c>
      <x:c r="C1415" s="13" t="n">
        <x:v>484</x:v>
      </x:c>
      <x:c r="D1415" s="12" t="n">
        <x:v>161931.88</x:v>
      </x:c>
      <x:c r="E1415" s="12" t="n">
        <x:v>0</x:v>
      </x:c>
      <x:c r="F1415" s="12" t="n">
        <x:f>SUM(B1415,D1415:E1415)</x:f>
        <x:v>175030.26612400002</x:v>
      </x:c>
      <x:c r="G1415" s="12" t="n">
        <x:f>MAX(G1414,F1415)</x:f>
        <x:v>175513.39444</x:v>
      </x:c>
      <x:c r="H1415" s="14" t="n">
        <x:f>F1415/G1415-1</x:f>
        <x:v>-0.0027526578102000654</x:v>
      </x:c>
      <x:c r="I1415" s="14" t="n">
        <x:f>F1415/F1414-1</x:f>
        <x:v>0.0006640973822755747</x:v>
      </x:c>
      <x:c r="J1415" s="12" t="n">
        <x:v>0</x:v>
      </x:c>
      <x:c r="K1415" s="12" t="n">
        <x:v>0</x:v>
      </x:c>
      <x:c r="L1415" s="12" t="n">
        <x:v>0</x:v>
      </x:c>
      <x:c r="M1415" s="2" t="str">
        <x:v>持有</x:v>
      </x:c>
    </x:row>
    <x:row r="1416" ht="23" customHeight="1">
      <x:c r="A1416" s="11" t="d">
        <x:v>2020-08-10T00:00:00.000Z</x:v>
      </x:c>
      <x:c r="B1416" s="12" t="n">
        <x:v>13098.386124</x:v>
      </x:c>
      <x:c r="C1416" s="13" t="n">
        <x:v>484</x:v>
      </x:c>
      <x:c r="D1416" s="12" t="n">
        <x:v>162415.88</x:v>
      </x:c>
      <x:c r="E1416" s="12" t="n">
        <x:v>0</x:v>
      </x:c>
      <x:c r="F1416" s="12" t="n">
        <x:f>SUM(B1416,D1416:E1416)</x:f>
        <x:v>175514.26612400002</x:v>
      </x:c>
      <x:c r="G1416" s="12" t="n">
        <x:f>MAX(G1415,F1416)</x:f>
        <x:v>175514.26612400002</x:v>
      </x:c>
      <x:c r="H1416" s="14" t="n">
        <x:f>F1416/G1416-1</x:f>
        <x:v>0</x:v>
      </x:c>
      <x:c r="I1416" s="14" t="n">
        <x:f>F1416/F1415-1</x:f>
        <x:v>0.002765236040132013</x:v>
      </x:c>
      <x:c r="J1416" s="12" t="n">
        <x:v>0</x:v>
      </x:c>
      <x:c r="K1416" s="12" t="n">
        <x:v>0</x:v>
      </x:c>
      <x:c r="L1416" s="12" t="n">
        <x:v>0</x:v>
      </x:c>
      <x:c r="M1416" s="2" t="str">
        <x:v>持有</x:v>
      </x:c>
    </x:row>
    <x:row r="1417" ht="23" customHeight="1">
      <x:c r="A1417" s="11" t="d">
        <x:v>2020-08-11T00:00:00.000Z</x:v>
      </x:c>
      <x:c r="B1417" s="12" t="n">
        <x:v>13098.386124</x:v>
      </x:c>
      <x:c r="C1417" s="13" t="n">
        <x:v>484</x:v>
      </x:c>
      <x:c r="D1417" s="12" t="n">
        <x:v>161075.2</x:v>
      </x:c>
      <x:c r="E1417" s="12" t="n">
        <x:v>0</x:v>
      </x:c>
      <x:c r="F1417" s="12" t="n">
        <x:f>SUM(B1417,D1417:E1417)</x:f>
        <x:v>174173.58612400002</x:v>
      </x:c>
      <x:c r="G1417" s="12" t="n">
        <x:f>MAX(G1416,F1417)</x:f>
        <x:v>175514.26612400002</x:v>
      </x:c>
      <x:c r="H1417" s="14" t="n">
        <x:f>F1417/G1417-1</x:f>
        <x:v>-0.007638581350719376</x:v>
      </x:c>
      <x:c r="I1417" s="14" t="n">
        <x:f>F1417/F1416-1</x:f>
        <x:v>-0.007638581350719376</x:v>
      </x:c>
      <x:c r="J1417" s="12" t="n">
        <x:v>0</x:v>
      </x:c>
      <x:c r="K1417" s="12" t="n">
        <x:v>0</x:v>
      </x:c>
      <x:c r="L1417" s="12" t="n">
        <x:v>0</x:v>
      </x:c>
      <x:c r="M1417" s="2" t="str">
        <x:v>持有</x:v>
      </x:c>
    </x:row>
    <x:row r="1418" ht="23" customHeight="1">
      <x:c r="A1418" s="11" t="d">
        <x:v>2020-08-12T00:00:00.000Z</x:v>
      </x:c>
      <x:c r="B1418" s="12" t="n">
        <x:v>13098.386124</x:v>
      </x:c>
      <x:c r="C1418" s="13" t="n">
        <x:v>484</x:v>
      </x:c>
      <x:c r="D1418" s="12" t="n">
        <x:v>163320.96</x:v>
      </x:c>
      <x:c r="E1418" s="12" t="n">
        <x:v>0</x:v>
      </x:c>
      <x:c r="F1418" s="12" t="n">
        <x:f>SUM(B1418,D1418:E1418)</x:f>
        <x:v>176419.346124</x:v>
      </x:c>
      <x:c r="G1418" s="12" t="n">
        <x:f>MAX(G1417,F1418)</x:f>
        <x:v>176419.346124</x:v>
      </x:c>
      <x:c r="H1418" s="14" t="n">
        <x:f>F1418/G1418-1</x:f>
        <x:v>0</x:v>
      </x:c>
      <x:c r="I1418" s="14" t="n">
        <x:f>F1418/F1417-1</x:f>
        <x:v>0.012893803532305625</x:v>
      </x:c>
      <x:c r="J1418" s="12" t="n">
        <x:v>0</x:v>
      </x:c>
      <x:c r="K1418" s="12" t="n">
        <x:v>0</x:v>
      </x:c>
      <x:c r="L1418" s="12" t="n">
        <x:v>0</x:v>
      </x:c>
      <x:c r="M1418" s="2" t="str">
        <x:v>持有</x:v>
      </x:c>
    </x:row>
    <x:row r="1419" ht="23" customHeight="1">
      <x:c r="A1419" s="11" t="d">
        <x:v>2020-08-13T00:00:00.000Z</x:v>
      </x:c>
      <x:c r="B1419" s="12" t="n">
        <x:v>13098.386124</x:v>
      </x:c>
      <x:c r="C1419" s="13" t="n">
        <x:v>484</x:v>
      </x:c>
      <x:c r="D1419" s="12" t="n">
        <x:v>163025.72</x:v>
      </x:c>
      <x:c r="E1419" s="12" t="n">
        <x:v>0</x:v>
      </x:c>
      <x:c r="F1419" s="12" t="n">
        <x:f>SUM(B1419,D1419:E1419)</x:f>
        <x:v>176124.106124</x:v>
      </x:c>
      <x:c r="G1419" s="12" t="n">
        <x:f>MAX(G1418,F1419)</x:f>
        <x:v>176419.346124</x:v>
      </x:c>
      <x:c r="H1419" s="14" t="n">
        <x:f>F1419/G1419-1</x:f>
        <x:v>-0.0016735126078093465</x:v>
      </x:c>
      <x:c r="I1419" s="14" t="n">
        <x:f>F1419/F1418-1</x:f>
        <x:v>-0.0016735126078093465</x:v>
      </x:c>
      <x:c r="J1419" s="12" t="n">
        <x:v>0</x:v>
      </x:c>
      <x:c r="K1419" s="12" t="n">
        <x:v>0</x:v>
      </x:c>
      <x:c r="L1419" s="12" t="n">
        <x:v>0</x:v>
      </x:c>
      <x:c r="M1419" s="2" t="str">
        <x:v>持有</x:v>
      </x:c>
    </x:row>
    <x:row r="1420" ht="23" customHeight="1">
      <x:c r="A1420" s="11" t="d">
        <x:v>2020-08-14T00:00:00.000Z</x:v>
      </x:c>
      <x:c r="B1420" s="12" t="n">
        <x:v>13098.386124</x:v>
      </x:c>
      <x:c r="C1420" s="13" t="n">
        <x:v>484</x:v>
      </x:c>
      <x:c r="D1420" s="12" t="n">
        <x:v>163030.56</x:v>
      </x:c>
      <x:c r="E1420" s="12" t="n">
        <x:v>0</x:v>
      </x:c>
      <x:c r="F1420" s="12" t="n">
        <x:f>SUM(B1420,D1420:E1420)</x:f>
        <x:v>176128.946124</x:v>
      </x:c>
      <x:c r="G1420" s="12" t="n">
        <x:f>MAX(G1419,F1420)</x:f>
        <x:v>176419.346124</x:v>
      </x:c>
      <x:c r="H1420" s="14" t="n">
        <x:f>F1420/G1420-1</x:f>
        <x:v>-0.0016460779748944665</x:v>
      </x:c>
      <x:c r="I1420" s="14" t="n">
        <x:f>F1420/F1419-1</x:f>
        <x:v>0.000027480622082354245</x:v>
      </x:c>
      <x:c r="J1420" s="12" t="n">
        <x:v>0</x:v>
      </x:c>
      <x:c r="K1420" s="12" t="n">
        <x:v>0</x:v>
      </x:c>
      <x:c r="L1420" s="12" t="n">
        <x:v>0</x:v>
      </x:c>
      <x:c r="M1420" s="2" t="str">
        <x:v>持有</x:v>
      </x:c>
    </x:row>
    <x:row r="1421" ht="23" customHeight="1">
      <x:c r="A1421" s="11" t="d">
        <x:v>2020-08-17T00:00:00.000Z</x:v>
      </x:c>
      <x:c r="B1421" s="12" t="n">
        <x:v>13098.386124</x:v>
      </x:c>
      <x:c r="C1421" s="13" t="n">
        <x:v>484</x:v>
      </x:c>
      <x:c r="D1421" s="12" t="n">
        <x:v>163548.44</x:v>
      </x:c>
      <x:c r="E1421" s="12" t="n">
        <x:v>0</x:v>
      </x:c>
      <x:c r="F1421" s="12" t="n">
        <x:f>SUM(B1421,D1421:E1421)</x:f>
        <x:v>176646.826124</x:v>
      </x:c>
      <x:c r="G1421" s="12" t="n">
        <x:f>MAX(G1420,F1421)</x:f>
        <x:v>176646.826124</x:v>
      </x:c>
      <x:c r="H1421" s="14" t="n">
        <x:f>F1421/G1421-1</x:f>
        <x:v>0</x:v>
      </x:c>
      <x:c r="I1421" s="14" t="n">
        <x:f>F1421/F1420-1</x:f>
        <x:v>0.0029403457602896754</x:v>
      </x:c>
      <x:c r="J1421" s="12" t="n">
        <x:v>0</x:v>
      </x:c>
      <x:c r="K1421" s="12" t="n">
        <x:v>0</x:v>
      </x:c>
      <x:c r="L1421" s="12" t="n">
        <x:v>0</x:v>
      </x:c>
      <x:c r="M1421" s="2" t="str">
        <x:v>持有</x:v>
      </x:c>
    </x:row>
    <x:row r="1422" ht="23" customHeight="1">
      <x:c r="A1422" s="11" t="d">
        <x:v>2020-08-18T00:00:00.000Z</x:v>
      </x:c>
      <x:c r="B1422" s="12" t="n">
        <x:v>13098.386124</x:v>
      </x:c>
      <x:c r="C1422" s="13" t="n">
        <x:v>484</x:v>
      </x:c>
      <x:c r="D1422" s="12" t="n">
        <x:v>163901.75999999998</x:v>
      </x:c>
      <x:c r="E1422" s="12" t="n">
        <x:v>0</x:v>
      </x:c>
      <x:c r="F1422" s="12" t="n">
        <x:f>SUM(B1422,D1422:E1422)</x:f>
        <x:v>177000.146124</x:v>
      </x:c>
      <x:c r="G1422" s="12" t="n">
        <x:f>MAX(G1421,F1422)</x:f>
        <x:v>177000.146124</x:v>
      </x:c>
      <x:c r="H1422" s="14" t="n">
        <x:f>F1422/G1422-1</x:f>
        <x:v>0</x:v>
      </x:c>
      <x:c r="I1422" s="14" t="n">
        <x:f>F1422/F1421-1</x:f>
        <x:v>0.0020001491549694883</x:v>
      </x:c>
      <x:c r="J1422" s="12" t="n">
        <x:v>0</x:v>
      </x:c>
      <x:c r="K1422" s="12" t="n">
        <x:v>0</x:v>
      </x:c>
      <x:c r="L1422" s="12" t="n">
        <x:v>0</x:v>
      </x:c>
      <x:c r="M1422" s="2" t="str">
        <x:v>持有</x:v>
      </x:c>
    </x:row>
    <x:row r="1423" ht="23" customHeight="1">
      <x:c r="A1423" s="11" t="d">
        <x:v>2020-08-19T00:00:00.000Z</x:v>
      </x:c>
      <x:c r="B1423" s="12" t="n">
        <x:v>13098.386124</x:v>
      </x:c>
      <x:c r="C1423" s="13" t="n">
        <x:v>484</x:v>
      </x:c>
      <x:c r="D1423" s="12" t="n">
        <x:v>163219.32</x:v>
      </x:c>
      <x:c r="E1423" s="12" t="n">
        <x:v>0</x:v>
      </x:c>
      <x:c r="F1423" s="12" t="n">
        <x:f>SUM(B1423,D1423:E1423)</x:f>
        <x:v>176317.70612400002</x:v>
      </x:c>
      <x:c r="G1423" s="12" t="n">
        <x:f>MAX(G1422,F1423)</x:f>
        <x:v>177000.146124</x:v>
      </x:c>
      <x:c r="H1423" s="14" t="n">
        <x:f>F1423/G1423-1</x:f>
        <x:v>-0.0038555900373205</x:v>
      </x:c>
      <x:c r="I1423" s="14" t="n">
        <x:f>F1423/F1422-1</x:f>
        <x:v>-0.0038555900373205</x:v>
      </x:c>
      <x:c r="J1423" s="12" t="n">
        <x:v>0</x:v>
      </x:c>
      <x:c r="K1423" s="12" t="n">
        <x:v>0</x:v>
      </x:c>
      <x:c r="L1423" s="12" t="n">
        <x:v>0</x:v>
      </x:c>
      <x:c r="M1423" s="2" t="str">
        <x:v>持有</x:v>
      </x:c>
    </x:row>
    <x:row r="1424" ht="23" customHeight="1">
      <x:c r="A1424" s="11" t="d">
        <x:v>2020-08-20T00:00:00.000Z</x:v>
      </x:c>
      <x:c r="B1424" s="12" t="n">
        <x:v>13098.386124</x:v>
      </x:c>
      <x:c r="C1424" s="13" t="n">
        <x:v>484</x:v>
      </x:c>
      <x:c r="D1424" s="12" t="n">
        <x:v>163727.52</x:v>
      </x:c>
      <x:c r="E1424" s="12" t="n">
        <x:v>0</x:v>
      </x:c>
      <x:c r="F1424" s="12" t="n">
        <x:f>SUM(B1424,D1424:E1424)</x:f>
        <x:v>176825.906124</x:v>
      </x:c>
      <x:c r="G1424" s="12" t="n">
        <x:f>MAX(G1423,F1424)</x:f>
        <x:v>177000.146124</x:v>
      </x:c>
      <x:c r="H1424" s="14" t="n">
        <x:f>F1424/G1424-1</x:f>
        <x:v>-0.0009844059669754657</x:v>
      </x:c>
      <x:c r="I1424" s="14" t="n">
        <x:f>F1424/F1423-1</x:f>
        <x:v>0.002882297026043368</x:v>
      </x:c>
      <x:c r="J1424" s="12" t="n">
        <x:v>0</x:v>
      </x:c>
      <x:c r="K1424" s="12" t="n">
        <x:v>0</x:v>
      </x:c>
      <x:c r="L1424" s="12" t="n">
        <x:v>0</x:v>
      </x:c>
      <x:c r="M1424" s="2" t="str">
        <x:v>持有</x:v>
      </x:c>
    </x:row>
    <x:row r="1425" ht="23" customHeight="1">
      <x:c r="A1425" s="11" t="d">
        <x:v>2020-08-21T00:00:00.000Z</x:v>
      </x:c>
      <x:c r="B1425" s="12" t="n">
        <x:v>13098.386124</x:v>
      </x:c>
      <x:c r="C1425" s="13" t="n">
        <x:v>484</x:v>
      </x:c>
      <x:c r="D1425" s="12" t="n">
        <x:v>164308.32</x:v>
      </x:c>
      <x:c r="E1425" s="12" t="n">
        <x:v>0</x:v>
      </x:c>
      <x:c r="F1425" s="12" t="n">
        <x:f>SUM(B1425,D1425:E1425)</x:f>
        <x:v>177406.70612400002</x:v>
      </x:c>
      <x:c r="G1425" s="12" t="n">
        <x:f>MAX(G1424,F1425)</x:f>
        <x:v>177406.70612400002</x:v>
      </x:c>
      <x:c r="H1425" s="14" t="n">
        <x:f>F1425/G1425-1</x:f>
        <x:v>0</x:v>
      </x:c>
      <x:c r="I1425" s="14" t="n">
        <x:f>F1425/F1424-1</x:f>
        <x:v>0.0032845865898898374</x:v>
      </x:c>
      <x:c r="J1425" s="12" t="n">
        <x:v>0</x:v>
      </x:c>
      <x:c r="K1425" s="12" t="n">
        <x:v>0</x:v>
      </x:c>
      <x:c r="L1425" s="12" t="n">
        <x:v>0</x:v>
      </x:c>
      <x:c r="M1425" s="2" t="str">
        <x:v>持有</x:v>
      </x:c>
    </x:row>
    <x:row r="1426" ht="23" customHeight="1">
      <x:c r="A1426" s="11" t="d">
        <x:v>2020-08-24T00:00:00.000Z</x:v>
      </x:c>
      <x:c r="B1426" s="12" t="n">
        <x:v>13098.386124</x:v>
      </x:c>
      <x:c r="C1426" s="13" t="n">
        <x:v>484</x:v>
      </x:c>
      <x:c r="D1426" s="12" t="n">
        <x:v>165973.28</x:v>
      </x:c>
      <x:c r="E1426" s="12" t="n">
        <x:v>0</x:v>
      </x:c>
      <x:c r="F1426" s="12" t="n">
        <x:f>SUM(B1426,D1426:E1426)</x:f>
        <x:v>179071.666124</x:v>
      </x:c>
      <x:c r="G1426" s="12" t="n">
        <x:f>MAX(G1425,F1426)</x:f>
        <x:v>179071.666124</x:v>
      </x:c>
      <x:c r="H1426" s="14" t="n">
        <x:f>F1426/G1426-1</x:f>
        <x:v>0</x:v>
      </x:c>
      <x:c r="I1426" s="14" t="n">
        <x:f>F1426/F1425-1</x:f>
        <x:v>0.009384989081733242</x:v>
      </x:c>
      <x:c r="J1426" s="12" t="n">
        <x:v>0</x:v>
      </x:c>
      <x:c r="K1426" s="12" t="n">
        <x:v>0</x:v>
      </x:c>
      <x:c r="L1426" s="12" t="n">
        <x:v>0</x:v>
      </x:c>
      <x:c r="M1426" s="2" t="str">
        <x:v>持有</x:v>
      </x:c>
    </x:row>
    <x:row r="1427" ht="23" customHeight="1">
      <x:c r="A1427" s="11" t="d">
        <x:v>2020-08-25T00:00:00.000Z</x:v>
      </x:c>
      <x:c r="B1427" s="12" t="n">
        <x:v>13098.386124</x:v>
      </x:c>
      <x:c r="C1427" s="13" t="n">
        <x:v>484</x:v>
      </x:c>
      <x:c r="D1427" s="12" t="n">
        <x:v>166554.08000000002</x:v>
      </x:c>
      <x:c r="E1427" s="12" t="n">
        <x:v>0</x:v>
      </x:c>
      <x:c r="F1427" s="12" t="n">
        <x:f>SUM(B1427,D1427:E1427)</x:f>
        <x:v>179652.46612400003</x:v>
      </x:c>
      <x:c r="G1427" s="12" t="n">
        <x:f>MAX(G1426,F1427)</x:f>
        <x:v>179652.46612400003</x:v>
      </x:c>
      <x:c r="H1427" s="14" t="n">
        <x:f>F1427/G1427-1</x:f>
        <x:v>0</x:v>
      </x:c>
      <x:c r="I1427" s="14" t="n">
        <x:f>F1427/F1426-1</x:f>
        <x:v>0.003243394181622339</x:v>
      </x:c>
      <x:c r="J1427" s="12" t="n">
        <x:v>0</x:v>
      </x:c>
      <x:c r="K1427" s="12" t="n">
        <x:v>0</x:v>
      </x:c>
      <x:c r="L1427" s="12" t="n">
        <x:v>0</x:v>
      </x:c>
      <x:c r="M1427" s="2" t="str">
        <x:v>持有</x:v>
      </x:c>
    </x:row>
    <x:row r="1428" ht="23" customHeight="1">
      <x:c r="A1428" s="11" t="d">
        <x:v>2020-08-26T00:00:00.000Z</x:v>
      </x:c>
      <x:c r="B1428" s="12" t="n">
        <x:v>13098.386124</x:v>
      </x:c>
      <x:c r="C1428" s="13" t="n">
        <x:v>484</x:v>
      </x:c>
      <x:c r="D1428" s="12" t="n">
        <x:v>168223.88</x:v>
      </x:c>
      <x:c r="E1428" s="12" t="n">
        <x:v>0</x:v>
      </x:c>
      <x:c r="F1428" s="12" t="n">
        <x:f>SUM(B1428,D1428:E1428)</x:f>
        <x:v>181322.26612400002</x:v>
      </x:c>
      <x:c r="G1428" s="12" t="n">
        <x:f>MAX(G1427,F1428)</x:f>
        <x:v>181322.26612400002</x:v>
      </x:c>
      <x:c r="H1428" s="14" t="n">
        <x:f>F1428/G1428-1</x:f>
        <x:v>0</x:v>
      </x:c>
      <x:c r="I1428" s="14" t="n">
        <x:f>F1428/F1427-1</x:f>
        <x:v>0.009294612181095507</x:v>
      </x:c>
      <x:c r="J1428" s="12" t="n">
        <x:v>0</x:v>
      </x:c>
      <x:c r="K1428" s="12" t="n">
        <x:v>0</x:v>
      </x:c>
      <x:c r="L1428" s="12" t="n">
        <x:v>0</x:v>
      </x:c>
      <x:c r="M1428" s="2" t="str">
        <x:v>持有</x:v>
      </x:c>
    </x:row>
    <x:row r="1429" ht="23" customHeight="1">
      <x:c r="A1429" s="11" t="d">
        <x:v>2020-08-27T00:00:00.000Z</x:v>
      </x:c>
      <x:c r="B1429" s="12" t="n">
        <x:v>13098.386124</x:v>
      </x:c>
      <x:c r="C1429" s="13" t="n">
        <x:v>484</x:v>
      </x:c>
      <x:c r="D1429" s="12" t="n">
        <x:v>168591.72</x:v>
      </x:c>
      <x:c r="E1429" s="12" t="n">
        <x:v>0</x:v>
      </x:c>
      <x:c r="F1429" s="12" t="n">
        <x:f>SUM(B1429,D1429:E1429)</x:f>
        <x:v>181690.106124</x:v>
      </x:c>
      <x:c r="G1429" s="12" t="n">
        <x:f>MAX(G1428,F1429)</x:f>
        <x:v>181690.106124</x:v>
      </x:c>
      <x:c r="H1429" s="14" t="n">
        <x:f>F1429/G1429-1</x:f>
        <x:v>0</x:v>
      </x:c>
      <x:c r="I1429" s="14" t="n">
        <x:f>F1429/F1428-1</x:f>
        <x:v>0.002028653225348842</x:v>
      </x:c>
      <x:c r="J1429" s="12" t="n">
        <x:v>0</x:v>
      </x:c>
      <x:c r="K1429" s="12" t="n">
        <x:v>0</x:v>
      </x:c>
      <x:c r="L1429" s="12" t="n">
        <x:v>0</x:v>
      </x:c>
      <x:c r="M1429" s="2" t="str">
        <x:v>持有</x:v>
      </x:c>
    </x:row>
    <x:row r="1430" ht="23" customHeight="1">
      <x:c r="A1430" s="11" t="d">
        <x:v>2020-08-28T00:00:00.000Z</x:v>
      </x:c>
      <x:c r="B1430" s="12" t="n">
        <x:v>13098.386124</x:v>
      </x:c>
      <x:c r="C1430" s="13" t="n">
        <x:v>484</x:v>
      </x:c>
      <x:c r="D1430" s="12" t="n">
        <x:v>169680.72</x:v>
      </x:c>
      <x:c r="E1430" s="12" t="n">
        <x:v>0</x:v>
      </x:c>
      <x:c r="F1430" s="12" t="n">
        <x:f>SUM(B1430,D1430:E1430)</x:f>
        <x:v>182779.106124</x:v>
      </x:c>
      <x:c r="G1430" s="12" t="n">
        <x:f>MAX(G1429,F1430)</x:f>
        <x:v>182779.106124</x:v>
      </x:c>
      <x:c r="H1430" s="14" t="n">
        <x:f>F1430/G1430-1</x:f>
        <x:v>0</x:v>
      </x:c>
      <x:c r="I1430" s="14" t="n">
        <x:f>F1430/F1429-1</x:f>
        <x:v>0.0059937220756356435</x:v>
      </x:c>
      <x:c r="J1430" s="12" t="n">
        <x:v>0</x:v>
      </x:c>
      <x:c r="K1430" s="12" t="n">
        <x:v>0</x:v>
      </x:c>
      <x:c r="L1430" s="12" t="n">
        <x:v>0</x:v>
      </x:c>
      <x:c r="M1430" s="2" t="str">
        <x:v>持有</x:v>
      </x:c>
    </x:row>
    <x:row r="1431" ht="23" customHeight="1">
      <x:c r="A1431" s="11" t="d">
        <x:v>2020-08-31T00:00:00.000Z</x:v>
      </x:c>
      <x:c r="B1431" s="12" t="n">
        <x:v>13098.386124</x:v>
      </x:c>
      <x:c r="C1431" s="13" t="n">
        <x:v>484</x:v>
      </x:c>
      <x:c r="D1431" s="12" t="n">
        <x:v>169066.04</x:v>
      </x:c>
      <x:c r="E1431" s="12" t="n">
        <x:v>0</x:v>
      </x:c>
      <x:c r="F1431" s="12" t="n">
        <x:f>SUM(B1431,D1431:E1431)</x:f>
        <x:v>182164.42612400002</x:v>
      </x:c>
      <x:c r="G1431" s="12" t="n">
        <x:f>MAX(G1430,F1431)</x:f>
        <x:v>182779.106124</x:v>
      </x:c>
      <x:c r="H1431" s="14" t="n">
        <x:f>F1431/G1431-1</x:f>
        <x:v>-0.0033629664409398075</x:v>
      </x:c>
      <x:c r="I1431" s="14" t="n">
        <x:f>F1431/F1430-1</x:f>
        <x:v>-0.0033629664409398075</x:v>
      </x:c>
      <x:c r="J1431" s="12" t="n">
        <x:v>0</x:v>
      </x:c>
      <x:c r="K1431" s="12" t="n">
        <x:v>0</x:v>
      </x:c>
      <x:c r="L1431" s="12" t="n">
        <x:v>0</x:v>
      </x:c>
      <x:c r="M1431" s="2" t="str">
        <x:v>持有</x:v>
      </x:c>
    </x:row>
    <x:row r="1432" ht="23" customHeight="1">
      <x:c r="A1432" s="11" t="d">
        <x:v>2020-09-01T00:00:00.000Z</x:v>
      </x:c>
      <x:c r="B1432" s="12" t="n">
        <x:v>13098.386124</x:v>
      </x:c>
      <x:c r="C1432" s="13" t="n">
        <x:v>484</x:v>
      </x:c>
      <x:c r="D1432" s="12" t="n">
        <x:v>170658.40000000002</x:v>
      </x:c>
      <x:c r="E1432" s="12" t="n">
        <x:v>0</x:v>
      </x:c>
      <x:c r="F1432" s="12" t="n">
        <x:f>SUM(B1432,D1432:E1432)</x:f>
        <x:v>183756.78612400003</x:v>
      </x:c>
      <x:c r="G1432" s="12" t="n">
        <x:f>MAX(G1431,F1432)</x:f>
        <x:v>183756.78612400003</x:v>
      </x:c>
      <x:c r="H1432" s="14" t="n">
        <x:f>F1432/G1432-1</x:f>
        <x:v>0</x:v>
      </x:c>
      <x:c r="I1432" s="14" t="n">
        <x:f>F1432/F1431-1</x:f>
        <x:v>0.008741333496783188</x:v>
      </x:c>
      <x:c r="J1432" s="12" t="n">
        <x:v>0</x:v>
      </x:c>
      <x:c r="K1432" s="12" t="n">
        <x:v>0</x:v>
      </x:c>
      <x:c r="L1432" s="12" t="n">
        <x:v>0</x:v>
      </x:c>
      <x:c r="M1432" s="2" t="str">
        <x:v>持有</x:v>
      </x:c>
    </x:row>
    <x:row r="1433" ht="23" customHeight="1">
      <x:c r="A1433" s="11" t="d">
        <x:v>2020-09-02T00:00:00.000Z</x:v>
      </x:c>
      <x:c r="B1433" s="12" t="n">
        <x:v>13098.386124</x:v>
      </x:c>
      <x:c r="C1433" s="13" t="n">
        <x:v>484</x:v>
      </x:c>
      <x:c r="D1433" s="12" t="n">
        <x:v>173126.8</x:v>
      </x:c>
      <x:c r="E1433" s="12" t="n">
        <x:v>0</x:v>
      </x:c>
      <x:c r="F1433" s="12" t="n">
        <x:f>SUM(B1433,D1433:E1433)</x:f>
        <x:v>186225.186124</x:v>
      </x:c>
      <x:c r="G1433" s="12" t="n">
        <x:f>MAX(G1432,F1433)</x:f>
        <x:v>186225.186124</x:v>
      </x:c>
      <x:c r="H1433" s="14" t="n">
        <x:f>F1433/G1433-1</x:f>
        <x:v>0</x:v>
      </x:c>
      <x:c r="I1433" s="14" t="n">
        <x:f>F1433/F1432-1</x:f>
        <x:v>0.013432973290762096</x:v>
      </x:c>
      <x:c r="J1433" s="12" t="n">
        <x:v>0</x:v>
      </x:c>
      <x:c r="K1433" s="12" t="n">
        <x:v>0</x:v>
      </x:c>
      <x:c r="L1433" s="12" t="n">
        <x:v>0</x:v>
      </x:c>
      <x:c r="M1433" s="2" t="str">
        <x:v>持有</x:v>
      </x:c>
    </x:row>
    <x:row r="1434" ht="23" customHeight="1">
      <x:c r="A1434" s="11" t="d">
        <x:v>2020-09-03T00:00:00.000Z</x:v>
      </x:c>
      <x:c r="B1434" s="12" t="n">
        <x:v>13098.386124</x:v>
      </x:c>
      <x:c r="C1434" s="13" t="n">
        <x:v>484</x:v>
      </x:c>
      <x:c r="D1434" s="12" t="n">
        <x:v>167168.75999999998</x:v>
      </x:c>
      <x:c r="E1434" s="12" t="n">
        <x:v>0</x:v>
      </x:c>
      <x:c r="F1434" s="12" t="n">
        <x:f>SUM(B1434,D1434:E1434)</x:f>
        <x:v>180267.146124</x:v>
      </x:c>
      <x:c r="G1434" s="12" t="n">
        <x:f>MAX(G1433,F1434)</x:f>
        <x:v>186225.186124</x:v>
      </x:c>
      <x:c r="H1434" s="14" t="n">
        <x:f>F1434/G1434-1</x:f>
        <x:v>-0.03199373899958291</x:v>
      </x:c>
      <x:c r="I1434" s="14" t="n">
        <x:f>F1434/F1433-1</x:f>
        <x:v>-0.03199373899958291</x:v>
      </x:c>
      <x:c r="J1434" s="12" t="n">
        <x:v>0</x:v>
      </x:c>
      <x:c r="K1434" s="12" t="n">
        <x:v>0</x:v>
      </x:c>
      <x:c r="L1434" s="12" t="n">
        <x:v>0</x:v>
      </x:c>
      <x:c r="M1434" s="2" t="str">
        <x:v>持有</x:v>
      </x:c>
    </x:row>
    <x:row r="1435" ht="23" customHeight="1">
      <x:c r="A1435" s="11" t="d">
        <x:v>2020-09-04T00:00:00.000Z</x:v>
      </x:c>
      <x:c r="B1435" s="12" t="n">
        <x:v>13098.386124</x:v>
      </x:c>
      <x:c r="C1435" s="13" t="n">
        <x:v>484</x:v>
      </x:c>
      <x:c r="D1435" s="12" t="n">
        <x:v>165803.88</x:v>
      </x:c>
      <x:c r="E1435" s="12" t="n">
        <x:v>0</x:v>
      </x:c>
      <x:c r="F1435" s="12" t="n">
        <x:f>SUM(B1435,D1435:E1435)</x:f>
        <x:v>178902.26612400002</x:v>
      </x:c>
      <x:c r="G1435" s="12" t="n">
        <x:f>MAX(G1434,F1435)</x:f>
        <x:v>186225.186124</x:v>
      </x:c>
      <x:c r="H1435" s="14" t="n">
        <x:f>F1435/G1435-1</x:f>
        <x:v>-0.0393229302245075</x:v>
      </x:c>
      <x:c r="I1435" s="14" t="n">
        <x:f>F1435/F1434-1</x:f>
        <x:v>-0.0075714295663232845</x:v>
      </x:c>
      <x:c r="J1435" s="12" t="n">
        <x:v>0</x:v>
      </x:c>
      <x:c r="K1435" s="12" t="n">
        <x:v>0</x:v>
      </x:c>
      <x:c r="L1435" s="12" t="n">
        <x:v>0</x:v>
      </x:c>
      <x:c r="M1435" s="2" t="str">
        <x:v>持有</x:v>
      </x:c>
    </x:row>
    <x:row r="1436" ht="23" customHeight="1">
      <x:c r="A1436" s="11" t="d">
        <x:v>2020-09-08T00:00:00.000Z</x:v>
      </x:c>
      <x:c r="B1436" s="12" t="n">
        <x:v>13098.386124</x:v>
      </x:c>
      <x:c r="C1436" s="13" t="n">
        <x:v>484</x:v>
      </x:c>
      <x:c r="D1436" s="12" t="n">
        <x:v>161273.63999999998</x:v>
      </x:c>
      <x:c r="E1436" s="12" t="n">
        <x:v>0</x:v>
      </x:c>
      <x:c r="F1436" s="12" t="n">
        <x:f>SUM(B1436,D1436:E1436)</x:f>
        <x:v>174372.026124</x:v>
      </x:c>
      <x:c r="G1436" s="12" t="n">
        <x:f>MAX(G1435,F1436)</x:f>
        <x:v>186225.186124</x:v>
      </x:c>
      <x:c r="H1436" s="14" t="n">
        <x:f>F1436/G1436-1</x:f>
        <x:v>-0.06364960748170467</x:v>
      </x:c>
      <x:c r="I1436" s="14" t="n">
        <x:f>F1436/F1435-1</x:f>
        <x:v>-0.025322429380855604</x:v>
      </x:c>
      <x:c r="J1436" s="12" t="n">
        <x:v>0</x:v>
      </x:c>
      <x:c r="K1436" s="12" t="n">
        <x:v>0</x:v>
      </x:c>
      <x:c r="L1436" s="12" t="n">
        <x:v>0</x:v>
      </x:c>
      <x:c r="M1436" s="2" t="str">
        <x:v>持有</x:v>
      </x:c>
    </x:row>
    <x:row r="1437" ht="23" customHeight="1">
      <x:c r="A1437" s="11" t="d">
        <x:v>2020-09-09T00:00:00.000Z</x:v>
      </x:c>
      <x:c r="B1437" s="12" t="n">
        <x:v>13098.386124</x:v>
      </x:c>
      <x:c r="C1437" s="13" t="n">
        <x:v>484</x:v>
      </x:c>
      <x:c r="D1437" s="12" t="n">
        <x:v>164458.36000000002</x:v>
      </x:c>
      <x:c r="E1437" s="12" t="n">
        <x:v>0</x:v>
      </x:c>
      <x:c r="F1437" s="12" t="n">
        <x:f>SUM(B1437,D1437:E1437)</x:f>
        <x:v>177556.74612400003</x:v>
      </x:c>
      <x:c r="G1437" s="12" t="n">
        <x:f>MAX(G1436,F1437)</x:f>
        <x:v>186225.186124</x:v>
      </x:c>
      <x:c r="H1437" s="14" t="n">
        <x:f>F1437/G1437-1</x:f>
        <x:v>-0.04654816129021344</x:v>
      </x:c>
      <x:c r="I1437" s="14" t="n">
        <x:f>F1437/F1436-1</x:f>
        <x:v>0.0182639387222312</x:v>
      </x:c>
      <x:c r="J1437" s="12" t="n">
        <x:v>0</x:v>
      </x:c>
      <x:c r="K1437" s="12" t="n">
        <x:v>0</x:v>
      </x:c>
      <x:c r="L1437" s="12" t="n">
        <x:v>0</x:v>
      </x:c>
      <x:c r="M1437" s="2" t="str">
        <x:v>持有</x:v>
      </x:c>
    </x:row>
    <x:row r="1438" ht="23" customHeight="1">
      <x:c r="A1438" s="11" t="d">
        <x:v>2020-09-10T00:00:00.000Z</x:v>
      </x:c>
      <x:c r="B1438" s="12" t="n">
        <x:v>13098.386124</x:v>
      </x:c>
      <x:c r="C1438" s="13" t="n">
        <x:v>484</x:v>
      </x:c>
      <x:c r="D1438" s="12" t="n">
        <x:v>161602.75999999998</x:v>
      </x:c>
      <x:c r="E1438" s="12" t="n">
        <x:v>0</x:v>
      </x:c>
      <x:c r="F1438" s="12" t="n">
        <x:f>SUM(B1438,D1438:E1438)</x:f>
        <x:v>174701.146124</x:v>
      </x:c>
      <x:c r="G1438" s="12" t="n">
        <x:f>MAX(G1437,F1438)</x:f>
        <x:v>186225.186124</x:v>
      </x:c>
      <x:c r="H1438" s="14" t="n">
        <x:f>F1438/G1438-1</x:f>
        <x:v>-0.06188228477498525</x:v>
      </x:c>
      <x:c r="I1438" s="14" t="n">
        <x:f>F1438/F1437-1</x:f>
        <x:v>-0.016082745726854974</x:v>
      </x:c>
      <x:c r="J1438" s="12" t="n">
        <x:v>0</x:v>
      </x:c>
      <x:c r="K1438" s="12" t="n">
        <x:v>0</x:v>
      </x:c>
      <x:c r="L1438" s="12" t="n">
        <x:v>0</x:v>
      </x:c>
      <x:c r="M1438" s="2" t="str">
        <x:v>持有</x:v>
      </x:c>
    </x:row>
    <x:row r="1439" ht="23" customHeight="1">
      <x:c r="A1439" s="11" t="d">
        <x:v>2020-09-11T00:00:00.000Z</x:v>
      </x:c>
      <x:c r="B1439" s="12" t="n">
        <x:v>13098.386124</x:v>
      </x:c>
      <x:c r="C1439" s="13" t="n">
        <x:v>484</x:v>
      </x:c>
      <x:c r="D1439" s="12" t="n">
        <x:v>161685.04</x:v>
      </x:c>
      <x:c r="E1439" s="12" t="n">
        <x:v>0</x:v>
      </x:c>
      <x:c r="F1439" s="12" t="n">
        <x:f>SUM(B1439,D1439:E1439)</x:f>
        <x:v>174783.42612400002</x:v>
      </x:c>
      <x:c r="G1439" s="12" t="n">
        <x:f>MAX(G1438,F1439)</x:f>
        <x:v>186225.186124</x:v>
      </x:c>
      <x:c r="H1439" s="14" t="n">
        <x:f>F1439/G1439-1</x:f>
        <x:v>-0.06144045409830523</x:v>
      </x:c>
      <x:c r="I1439" s="14" t="n">
        <x:f>F1439/F1438-1</x:f>
        <x:v>0.0004709757309870888</x:v>
      </x:c>
      <x:c r="J1439" s="12" t="n">
        <x:v>0</x:v>
      </x:c>
      <x:c r="K1439" s="12" t="n">
        <x:v>0</x:v>
      </x:c>
      <x:c r="L1439" s="12" t="n">
        <x:v>0</x:v>
      </x:c>
      <x:c r="M1439" s="2" t="str">
        <x:v>持有</x:v>
      </x:c>
    </x:row>
    <x:row r="1440" ht="23" customHeight="1">
      <x:c r="A1440" s="11" t="d">
        <x:v>2020-09-14T00:00:00.000Z</x:v>
      </x:c>
      <x:c r="B1440" s="12" t="n">
        <x:v>13098.386124</x:v>
      </x:c>
      <x:c r="C1440" s="13" t="n">
        <x:v>484</x:v>
      </x:c>
      <x:c r="D1440" s="12" t="n">
        <x:v>163814.63999999998</x:v>
      </x:c>
      <x:c r="E1440" s="12" t="n">
        <x:v>0</x:v>
      </x:c>
      <x:c r="F1440" s="12" t="n">
        <x:f>SUM(B1440,D1440:E1440)</x:f>
        <x:v>176913.026124</x:v>
      </x:c>
      <x:c r="G1440" s="12" t="n">
        <x:f>MAX(G1439,F1440)</x:f>
        <x:v>186225.186124</x:v>
      </x:c>
      <x:c r="H1440" s="14" t="n">
        <x:f>F1440/G1440-1</x:f>
        <x:v>-0.05000483658423838</x:v>
      </x:c>
      <x:c r="I1440" s="14" t="n">
        <x:f>F1440/F1439-1</x:f>
        <x:v>0.01218422162344579</x:v>
      </x:c>
      <x:c r="J1440" s="12" t="n">
        <x:v>0</x:v>
      </x:c>
      <x:c r="K1440" s="12" t="n">
        <x:v>0</x:v>
      </x:c>
      <x:c r="L1440" s="12" t="n">
        <x:v>0</x:v>
      </x:c>
      <x:c r="M1440" s="2" t="str">
        <x:v>持有</x:v>
      </x:c>
    </x:row>
    <x:row r="1441" ht="23" customHeight="1">
      <x:c r="A1441" s="11" t="d">
        <x:v>2020-09-15T00:00:00.000Z</x:v>
      </x:c>
      <x:c r="B1441" s="12" t="n">
        <x:v>13098.386124</x:v>
      </x:c>
      <x:c r="C1441" s="13" t="n">
        <x:v>484</x:v>
      </x:c>
      <x:c r="D1441" s="12" t="n">
        <x:v>164642.28</x:v>
      </x:c>
      <x:c r="E1441" s="12" t="n">
        <x:v>0</x:v>
      </x:c>
      <x:c r="F1441" s="12" t="n">
        <x:f>SUM(B1441,D1441:E1441)</x:f>
        <x:v>177740.666124</x:v>
      </x:c>
      <x:c r="G1441" s="12" t="n">
        <x:f>MAX(G1440,F1441)</x:f>
        <x:v>186225.186124</x:v>
      </x:c>
      <x:c r="H1441" s="14" t="n">
        <x:f>F1441/G1441-1</x:f>
        <x:v>-0.04556053977763508</x:v>
      </x:c>
      <x:c r="I1441" s="14" t="n">
        <x:f>F1441/F1440-1</x:f>
        <x:v>0.004678230982380738</x:v>
      </x:c>
      <x:c r="J1441" s="12" t="n">
        <x:v>0</x:v>
      </x:c>
      <x:c r="K1441" s="12" t="n">
        <x:v>0</x:v>
      </x:c>
      <x:c r="L1441" s="12" t="n">
        <x:v>0</x:v>
      </x:c>
      <x:c r="M1441" s="2" t="str">
        <x:v>持有</x:v>
      </x:c>
    </x:row>
    <x:row r="1442" ht="23" customHeight="1">
      <x:c r="A1442" s="11" t="d">
        <x:v>2020-09-16T00:00:00.000Z</x:v>
      </x:c>
      <x:c r="B1442" s="12" t="n">
        <x:v>13098.386124</x:v>
      </x:c>
      <x:c r="C1442" s="13" t="n">
        <x:v>484</x:v>
      </x:c>
      <x:c r="D1442" s="12" t="n">
        <x:v>163988.88</x:v>
      </x:c>
      <x:c r="E1442" s="12" t="n">
        <x:v>0</x:v>
      </x:c>
      <x:c r="F1442" s="12" t="n">
        <x:f>SUM(B1442,D1442:E1442)</x:f>
        <x:v>177087.26612400002</x:v>
      </x:c>
      <x:c r="G1442" s="12" t="n">
        <x:f>MAX(G1441,F1442)</x:f>
        <x:v>186225.186124</x:v>
      </x:c>
      <x:c r="H1442" s="14" t="n">
        <x:f>F1442/G1442-1</x:f>
        <x:v>-0.049069195151269174</x:v>
      </x:c>
      <x:c r="I1442" s="14" t="n">
        <x:f>F1442/F1441-1</x:f>
        <x:v>-0.0036761424059486014</x:v>
      </x:c>
      <x:c r="J1442" s="12" t="n">
        <x:v>0</x:v>
      </x:c>
      <x:c r="K1442" s="12" t="n">
        <x:v>0</x:v>
      </x:c>
      <x:c r="L1442" s="12" t="n">
        <x:v>0</x:v>
      </x:c>
      <x:c r="M1442" s="2" t="str">
        <x:v>持有</x:v>
      </x:c>
    </x:row>
    <x:row r="1443" ht="23" customHeight="1">
      <x:c r="A1443" s="11" t="d">
        <x:v>2020-09-17T00:00:00.000Z</x:v>
      </x:c>
      <x:c r="B1443" s="12" t="n">
        <x:v>13098.386124</x:v>
      </x:c>
      <x:c r="C1443" s="13" t="n">
        <x:v>484</x:v>
      </x:c>
      <x:c r="D1443" s="12" t="n">
        <x:v>162546.56</x:v>
      </x:c>
      <x:c r="E1443" s="12" t="n">
        <x:v>0</x:v>
      </x:c>
      <x:c r="F1443" s="12" t="n">
        <x:f>SUM(B1443,D1443:E1443)</x:f>
        <x:v>175644.946124</x:v>
      </x:c>
      <x:c r="G1443" s="12" t="n">
        <x:f>MAX(G1442,F1443)</x:f>
        <x:v>186225.186124</x:v>
      </x:c>
      <x:c r="H1443" s="14" t="n">
        <x:f>F1443/G1443-1</x:f>
        <x:v>-0.05681422701306915</x:v>
      </x:c>
      <x:c r="I1443" s="14" t="n">
        <x:f>F1443/F1442-1</x:f>
        <x:v>-0.008144684999485285</x:v>
      </x:c>
      <x:c r="J1443" s="12" t="n">
        <x:v>0</x:v>
      </x:c>
      <x:c r="K1443" s="12" t="n">
        <x:v>0</x:v>
      </x:c>
      <x:c r="L1443" s="12" t="n">
        <x:v>0</x:v>
      </x:c>
      <x:c r="M1443" s="2" t="str">
        <x:v>持有</x:v>
      </x:c>
    </x:row>
    <x:row r="1444" ht="23" customHeight="1">
      <x:c r="A1444" s="11" t="d">
        <x:v>2020-09-18T00:00:00.000Z</x:v>
      </x:c>
      <x:c r="B1444" s="12" t="n">
        <x:v>13098.386124</x:v>
      </x:c>
      <x:c r="C1444" s="13" t="n">
        <x:v>484</x:v>
      </x:c>
      <x:c r="D1444" s="12" t="n">
        <x:v>160034.59999999998</x:v>
      </x:c>
      <x:c r="E1444" s="12" t="n">
        <x:v>648.184416</x:v>
      </x:c>
      <x:c r="F1444" s="12" t="n">
        <x:f>SUM(B1444,D1444:E1444)</x:f>
        <x:v>173781.17054</x:v>
      </x:c>
      <x:c r="G1444" s="12" t="n">
        <x:f>MAX(G1443,F1444)</x:f>
        <x:v>186225.186124</x:v>
      </x:c>
      <x:c r="H1444" s="14" t="n">
        <x:f>F1444/G1444-1</x:f>
        <x:v>-0.06682240916496673</x:v>
      </x:c>
      <x:c r="I1444" s="14" t="n">
        <x:f>F1444/F1443-1</x:f>
        <x:v>-0.01061104019858472</x:v>
      </x:c>
      <x:c r="J1444" s="12" t="n">
        <x:v>648.184416</x:v>
      </x:c>
      <x:c r="K1444" s="12" t="n">
        <x:v>0</x:v>
      </x:c>
      <x:c r="L1444" s="12" t="n">
        <x:v>0</x:v>
      </x:c>
      <x:c r="M1444" s="2" t="str">
        <x:v>持有</x:v>
      </x:c>
    </x:row>
    <x:row r="1445" ht="23" customHeight="1">
      <x:c r="A1445" s="11" t="d">
        <x:v>2020-09-21T00:00:00.000Z</x:v>
      </x:c>
      <x:c r="B1445" s="12" t="n">
        <x:v>13098.386124</x:v>
      </x:c>
      <x:c r="C1445" s="13" t="n">
        <x:v>484</x:v>
      </x:c>
      <x:c r="D1445" s="12" t="n">
        <x:v>158253.48</x:v>
      </x:c>
      <x:c r="E1445" s="12" t="n">
        <x:v>648.184416</x:v>
      </x:c>
      <x:c r="F1445" s="12" t="n">
        <x:f>SUM(B1445,D1445:E1445)</x:f>
        <x:v>172000.05054000003</x:v>
      </x:c>
      <x:c r="G1445" s="12" t="n">
        <x:f>MAX(G1444,F1445)</x:f>
        <x:v>186225.186124</x:v>
      </x:c>
      <x:c r="H1445" s="14" t="n">
        <x:f>F1445/G1445-1</x:f>
        <x:v>-0.07638674381309529</x:v>
      </x:c>
      <x:c r="I1445" s="14" t="n">
        <x:f>F1445/F1444-1</x:f>
        <x:v>-0.010249211663527102</x:v>
      </x:c>
      <x:c r="J1445" s="12" t="n">
        <x:v>0</x:v>
      </x:c>
      <x:c r="K1445" s="12" t="n">
        <x:v>0</x:v>
      </x:c>
      <x:c r="L1445" s="12" t="n">
        <x:v>0</x:v>
      </x:c>
      <x:c r="M1445" s="2" t="str">
        <x:v>持有</x:v>
      </x:c>
    </x:row>
    <x:row r="1446" ht="23" customHeight="1">
      <x:c r="A1446" s="11" t="d">
        <x:v>2020-09-22T00:00:00.000Z</x:v>
      </x:c>
      <x:c r="B1446" s="12" t="n">
        <x:v>13098.386124</x:v>
      </x:c>
      <x:c r="C1446" s="13" t="n">
        <x:v>484</x:v>
      </x:c>
      <x:c r="D1446" s="12" t="n">
        <x:v>159865.2</x:v>
      </x:c>
      <x:c r="E1446" s="12" t="n">
        <x:v>648.184416</x:v>
      </x:c>
      <x:c r="F1446" s="12" t="n">
        <x:f>SUM(B1446,D1446:E1446)</x:f>
        <x:v>173611.77054000003</x:v>
      </x:c>
      <x:c r="G1446" s="12" t="n">
        <x:f>MAX(G1445,F1446)</x:f>
        <x:v>186225.186124</x:v>
      </x:c>
      <x:c r="H1446" s="14" t="n">
        <x:f>F1446/G1446-1</x:f>
        <x:v>-0.06773206055813097</x:v>
      </x:c>
      <x:c r="I1446" s="14" t="n">
        <x:f>F1446/F1445-1</x:f>
        <x:v>0.00937046236288852</x:v>
      </x:c>
      <x:c r="J1446" s="12" t="n">
        <x:v>0</x:v>
      </x:c>
      <x:c r="K1446" s="12" t="n">
        <x:v>0</x:v>
      </x:c>
      <x:c r="L1446" s="12" t="n">
        <x:v>0</x:v>
      </x:c>
      <x:c r="M1446" s="2" t="str">
        <x:v>持有</x:v>
      </x:c>
    </x:row>
    <x:row r="1447" ht="23" customHeight="1">
      <x:c r="A1447" s="11" t="d">
        <x:v>2020-09-23T00:00:00.000Z</x:v>
      </x:c>
      <x:c r="B1447" s="12" t="n">
        <x:v>13098.386124</x:v>
      </x:c>
      <x:c r="C1447" s="13" t="n">
        <x:v>484</x:v>
      </x:c>
      <x:c r="D1447" s="12" t="n">
        <x:v>156157.75999999998</x:v>
      </x:c>
      <x:c r="E1447" s="12" t="n">
        <x:v>648.184416</x:v>
      </x:c>
      <x:c r="F1447" s="12" t="n">
        <x:f>SUM(B1447,D1447:E1447)</x:f>
        <x:v>169904.33054</x:v>
      </x:c>
      <x:c r="G1447" s="12" t="n">
        <x:f>MAX(G1446,F1447)</x:f>
        <x:v>186225.186124</x:v>
      </x:c>
      <x:c r="H1447" s="14" t="n">
        <x:f>F1447/G1447-1</x:f>
        <x:v>-0.08764043104852959</x:v>
      </x:c>
      <x:c r="I1447" s="14" t="n">
        <x:f>F1447/F1446-1</x:f>
        <x:v>-0.021354773287942663</x:v>
      </x:c>
      <x:c r="J1447" s="12" t="n">
        <x:v>0</x:v>
      </x:c>
      <x:c r="K1447" s="12" t="n">
        <x:v>0</x:v>
      </x:c>
      <x:c r="L1447" s="12" t="n">
        <x:v>0</x:v>
      </x:c>
      <x:c r="M1447" s="2" t="str">
        <x:v>持有</x:v>
      </x:c>
    </x:row>
    <x:row r="1448" ht="23" customHeight="1">
      <x:c r="A1448" s="11" t="d">
        <x:v>2020-09-24T00:00:00.000Z</x:v>
      </x:c>
      <x:c r="B1448" s="12" t="n">
        <x:v>13098.386124</x:v>
      </x:c>
      <x:c r="C1448" s="13" t="n">
        <x:v>484</x:v>
      </x:c>
      <x:c r="D1448" s="12" t="n">
        <x:v>156574</x:v>
      </x:c>
      <x:c r="E1448" s="12" t="n">
        <x:v>648.184416</x:v>
      </x:c>
      <x:c r="F1448" s="12" t="n">
        <x:f>SUM(B1448,D1448:E1448)</x:f>
        <x:v>170320.57054000002</x:v>
      </x:c>
      <x:c r="G1448" s="12" t="n">
        <x:f>MAX(G1447,F1448)</x:f>
        <x:v>186225.186124</x:v>
      </x:c>
      <x:c r="H1448" s="14" t="n">
        <x:f>F1448/G1448-1</x:f>
        <x:v>-0.0854052876253254</x:v>
      </x:c>
      <x:c r="I1448" s="14" t="n">
        <x:f>F1448/F1447-1</x:f>
        <x:v>0.002449849269156923</x:v>
      </x:c>
      <x:c r="J1448" s="12" t="n">
        <x:v>0</x:v>
      </x:c>
      <x:c r="K1448" s="12" t="n">
        <x:v>0</x:v>
      </x:c>
      <x:c r="L1448" s="12" t="n">
        <x:v>0</x:v>
      </x:c>
      <x:c r="M1448" s="2" t="str">
        <x:v>持有</x:v>
      </x:c>
    </x:row>
    <x:row r="1449" ht="23" customHeight="1">
      <x:c r="A1449" s="11" t="d">
        <x:v>2020-09-25T00:00:00.000Z</x:v>
      </x:c>
      <x:c r="B1449" s="12" t="n">
        <x:v>13098.386124</x:v>
      </x:c>
      <x:c r="C1449" s="13" t="n">
        <x:v>484</x:v>
      </x:c>
      <x:c r="D1449" s="12" t="n">
        <x:v>159105.32</x:v>
      </x:c>
      <x:c r="E1449" s="12" t="n">
        <x:v>648.184416</x:v>
      </x:c>
      <x:c r="F1449" s="12" t="n">
        <x:f>SUM(B1449,D1449:E1449)</x:f>
        <x:v>172851.89054000002</x:v>
      </x:c>
      <x:c r="G1449" s="12" t="n">
        <x:f>MAX(G1448,F1449)</x:f>
        <x:v>186225.186124</x:v>
      </x:c>
      <x:c r="H1449" s="14" t="n">
        <x:f>F1449/G1449-1</x:f>
        <x:v>-0.07181249680746848</x:v>
      </x:c>
      <x:c r="I1449" s="14" t="n">
        <x:f>F1449/F1448-1</x:f>
        <x:v>0.014862092065418109</x:v>
      </x:c>
      <x:c r="J1449" s="12" t="n">
        <x:v>0</x:v>
      </x:c>
      <x:c r="K1449" s="12" t="n">
        <x:v>0</x:v>
      </x:c>
      <x:c r="L1449" s="12" t="n">
        <x:v>0</x:v>
      </x:c>
      <x:c r="M1449" s="2" t="str">
        <x:v>持有</x:v>
      </x:c>
    </x:row>
    <x:row r="1450" ht="23" customHeight="1">
      <x:c r="A1450" s="11" t="d">
        <x:v>2020-09-28T00:00:00.000Z</x:v>
      </x:c>
      <x:c r="B1450" s="12" t="n">
        <x:v>13098.386124</x:v>
      </x:c>
      <x:c r="C1450" s="13" t="n">
        <x:v>484</x:v>
      </x:c>
      <x:c r="D1450" s="12" t="n">
        <x:v>161747.96</x:v>
      </x:c>
      <x:c r="E1450" s="12" t="n">
        <x:v>648.184416</x:v>
      </x:c>
      <x:c r="F1450" s="12" t="n">
        <x:f>SUM(B1450,D1450:E1450)</x:f>
        <x:v>175494.53054</x:v>
      </x:c>
      <x:c r="G1450" s="12" t="n">
        <x:f>MAX(G1449,F1450)</x:f>
        <x:v>186225.186124</x:v>
      </x:c>
      <x:c r="H1450" s="14" t="n">
        <x:f>F1450/G1450-1</x:f>
        <x:v>-0.057621935074103625</x:v>
      </x:c>
      <x:c r="I1450" s="14" t="n">
        <x:f>F1450/F1449-1</x:f>
        <x:v>0.015288464544670033</x:v>
      </x:c>
      <x:c r="J1450" s="12" t="n">
        <x:v>0</x:v>
      </x:c>
      <x:c r="K1450" s="12" t="n">
        <x:v>0</x:v>
      </x:c>
      <x:c r="L1450" s="12" t="n">
        <x:v>0</x:v>
      </x:c>
      <x:c r="M1450" s="2" t="str">
        <x:v>持有</x:v>
      </x:c>
    </x:row>
    <x:row r="1451" ht="23" customHeight="1">
      <x:c r="A1451" s="11" t="d">
        <x:v>2020-09-29T00:00:00.000Z</x:v>
      </x:c>
      <x:c r="B1451" s="12" t="n">
        <x:v>13098.386124</x:v>
      </x:c>
      <x:c r="C1451" s="13" t="n">
        <x:v>484</x:v>
      </x:c>
      <x:c r="D1451" s="12" t="n">
        <x:v>160867.08000000002</x:v>
      </x:c>
      <x:c r="E1451" s="12" t="n">
        <x:v>648.184416</x:v>
      </x:c>
      <x:c r="F1451" s="12" t="n">
        <x:f>SUM(B1451,D1451:E1451)</x:f>
        <x:v>174613.65054000003</x:v>
      </x:c>
      <x:c r="G1451" s="12" t="n">
        <x:f>MAX(G1450,F1451)</x:f>
        <x:v>186225.186124</x:v>
      </x:c>
      <x:c r="H1451" s="14" t="n">
        <x:f>F1451/G1451-1</x:f>
        <x:v>-0.06235212231855847</x:v>
      </x:c>
      <x:c r="I1451" s="14" t="n">
        <x:f>F1451/F1450-1</x:f>
        <x:v>-0.005019415689420548</x:v>
      </x:c>
      <x:c r="J1451" s="12" t="n">
        <x:v>0</x:v>
      </x:c>
      <x:c r="K1451" s="12" t="n">
        <x:v>0</x:v>
      </x:c>
      <x:c r="L1451" s="12" t="n">
        <x:v>0</x:v>
      </x:c>
      <x:c r="M1451" s="2" t="str">
        <x:v>持有</x:v>
      </x:c>
    </x:row>
    <x:row r="1452" ht="23" customHeight="1">
      <x:c r="A1452" s="11" t="d">
        <x:v>2020-09-30T00:00:00.000Z</x:v>
      </x:c>
      <x:c r="B1452" s="12" t="n">
        <x:v>13098.386124</x:v>
      </x:c>
      <x:c r="C1452" s="13" t="n">
        <x:v>484</x:v>
      </x:c>
      <x:c r="D1452" s="12" t="n">
        <x:v>162086.75999999998</x:v>
      </x:c>
      <x:c r="E1452" s="12" t="n">
        <x:v>648.184416</x:v>
      </x:c>
      <x:c r="F1452" s="12" t="n">
        <x:f>SUM(B1452,D1452:E1452)</x:f>
        <x:v>175833.33054</x:v>
      </x:c>
      <x:c r="G1452" s="12" t="n">
        <x:f>MAX(G1451,F1452)</x:f>
        <x:v>186225.186124</x:v>
      </x:c>
      <x:c r="H1452" s="14" t="n">
        <x:f>F1452/G1452-1</x:f>
        <x:v>-0.05580263228777482</x:v>
      </x:c>
      <x:c r="I1452" s="14" t="n">
        <x:f>F1452/F1451-1</x:f>
        <x:v>0.006985020908892636</x:v>
      </x:c>
      <x:c r="J1452" s="12" t="n">
        <x:v>0</x:v>
      </x:c>
      <x:c r="K1452" s="12" t="n">
        <x:v>0</x:v>
      </x:c>
      <x:c r="L1452" s="12" t="n">
        <x:v>0</x:v>
      </x:c>
      <x:c r="M1452" s="2" t="str">
        <x:v>持有</x:v>
      </x:c>
    </x:row>
    <x:row r="1453" ht="23" customHeight="1">
      <x:c r="A1453" s="11" t="d">
        <x:v>2020-10-01T00:00:00.000Z</x:v>
      </x:c>
      <x:c r="B1453" s="12" t="n">
        <x:v>13098.386124</x:v>
      </x:c>
      <x:c r="C1453" s="13" t="n">
        <x:v>484</x:v>
      </x:c>
      <x:c r="D1453" s="12" t="n">
        <x:v>163127.36000000002</x:v>
      </x:c>
      <x:c r="E1453" s="12" t="n">
        <x:v>648.184416</x:v>
      </x:c>
      <x:c r="F1453" s="12" t="n">
        <x:f>SUM(B1453,D1453:E1453)</x:f>
        <x:v>176873.93054000003</x:v>
      </x:c>
      <x:c r="G1453" s="12" t="n">
        <x:f>MAX(G1452,F1453)</x:f>
        <x:v>186225.186124</x:v>
      </x:c>
      <x:c r="H1453" s="14" t="n">
        <x:f>F1453/G1453-1</x:f>
        <x:v>-0.05021477372976468</x:v>
      </x:c>
      <x:c r="I1453" s="14" t="n">
        <x:f>F1453/F1452-1</x:f>
        <x:v>0.00591810435941964</x:v>
      </x:c>
      <x:c r="J1453" s="12" t="n">
        <x:v>0</x:v>
      </x:c>
      <x:c r="K1453" s="12" t="n">
        <x:v>0</x:v>
      </x:c>
      <x:c r="L1453" s="12" t="n">
        <x:v>0</x:v>
      </x:c>
      <x:c r="M1453" s="2" t="str">
        <x:v>持有</x:v>
      </x:c>
    </x:row>
    <x:row r="1454" ht="23" customHeight="1">
      <x:c r="A1454" s="11" t="d">
        <x:v>2020-10-02T00:00:00.000Z</x:v>
      </x:c>
      <x:c r="B1454" s="12" t="n">
        <x:v>13098.386124</x:v>
      </x:c>
      <x:c r="C1454" s="13" t="n">
        <x:v>484</x:v>
      </x:c>
      <x:c r="D1454" s="12" t="n">
        <x:v>161578.56</x:v>
      </x:c>
      <x:c r="E1454" s="12" t="n">
        <x:v>648.184416</x:v>
      </x:c>
      <x:c r="F1454" s="12" t="n">
        <x:f>SUM(B1454,D1454:E1454)</x:f>
        <x:v>175325.13054</x:v>
      </x:c>
      <x:c r="G1454" s="12" t="n">
        <x:f>MAX(G1453,F1454)</x:f>
        <x:v>186225.186124</x:v>
      </x:c>
      <x:c r="H1454" s="14" t="n">
        <x:f>F1454/G1454-1</x:f>
        <x:v>-0.05853158646726797</x:v>
      </x:c>
      <x:c r="I1454" s="14" t="n">
        <x:f>F1454/F1453-1</x:f>
        <x:v>-0.008756519376662775</x:v>
      </x:c>
      <x:c r="J1454" s="12" t="n">
        <x:v>0</x:v>
      </x:c>
      <x:c r="K1454" s="12" t="n">
        <x:v>0</x:v>
      </x:c>
      <x:c r="L1454" s="12" t="n">
        <x:v>0</x:v>
      </x:c>
      <x:c r="M1454" s="2" t="str">
        <x:v>持有</x:v>
      </x:c>
    </x:row>
    <x:row r="1455" ht="23" customHeight="1">
      <x:c r="A1455" s="11" t="d">
        <x:v>2020-10-05T00:00:00.000Z</x:v>
      </x:c>
      <x:c r="B1455" s="12" t="n">
        <x:v>13098.386124</x:v>
      </x:c>
      <x:c r="C1455" s="13" t="n">
        <x:v>484</x:v>
      </x:c>
      <x:c r="D1455" s="12" t="n">
        <x:v>164443.84</x:v>
      </x:c>
      <x:c r="E1455" s="12" t="n">
        <x:v>648.184416</x:v>
      </x:c>
      <x:c r="F1455" s="12" t="n">
        <x:f>SUM(B1455,D1455:E1455)</x:f>
        <x:v>178190.41054</x:v>
      </x:c>
      <x:c r="G1455" s="12" t="n">
        <x:f>MAX(G1454,F1455)</x:f>
        <x:v>186225.186124</x:v>
      </x:c>
      <x:c r="H1455" s="14" t="n">
        <x:f>F1455/G1455-1</x:f>
        <x:v>-0.043145482902887</x:v>
      </x:c>
      <x:c r="I1455" s="14" t="n">
        <x:f>F1455/F1454-1</x:f>
        <x:v>0.016342665715832982</x:v>
      </x:c>
      <x:c r="J1455" s="12" t="n">
        <x:v>0</x:v>
      </x:c>
      <x:c r="K1455" s="12" t="n">
        <x:v>0</x:v>
      </x:c>
      <x:c r="L1455" s="12" t="n">
        <x:v>0</x:v>
      </x:c>
      <x:c r="M1455" s="2" t="str">
        <x:v>持有</x:v>
      </x:c>
    </x:row>
    <x:row r="1456" ht="23" customHeight="1">
      <x:c r="A1456" s="11" t="d">
        <x:v>2020-10-06T00:00:00.000Z</x:v>
      </x:c>
      <x:c r="B1456" s="12" t="n">
        <x:v>13098.386124</x:v>
      </x:c>
      <x:c r="C1456" s="13" t="n">
        <x:v>484</x:v>
      </x:c>
      <x:c r="D1456" s="12" t="n">
        <x:v>162106.12</x:v>
      </x:c>
      <x:c r="E1456" s="12" t="n">
        <x:v>648.184416</x:v>
      </x:c>
      <x:c r="F1456" s="12" t="n">
        <x:f>SUM(B1456,D1456:E1456)</x:f>
        <x:v>175852.69054</x:v>
      </x:c>
      <x:c r="G1456" s="12" t="n">
        <x:f>MAX(G1455,F1456)</x:f>
        <x:v>186225.186124</x:v>
      </x:c>
      <x:c r="H1456" s="14" t="n">
        <x:f>F1456/G1456-1</x:f>
        <x:v>-0.05569867212855595</x:v>
      </x:c>
      <x:c r="I1456" s="14" t="n">
        <x:f>F1456/F1455-1</x:f>
        <x:v>-0.013119224502124549</x:v>
      </x:c>
      <x:c r="J1456" s="12" t="n">
        <x:v>0</x:v>
      </x:c>
      <x:c r="K1456" s="12" t="n">
        <x:v>0</x:v>
      </x:c>
      <x:c r="L1456" s="12" t="n">
        <x:v>0</x:v>
      </x:c>
      <x:c r="M1456" s="2" t="str">
        <x:v>持有</x:v>
      </x:c>
    </x:row>
    <x:row r="1457" ht="23" customHeight="1">
      <x:c r="A1457" s="11" t="d">
        <x:v>2020-10-07T00:00:00.000Z</x:v>
      </x:c>
      <x:c r="B1457" s="12" t="n">
        <x:v>13098.386124</x:v>
      </x:c>
      <x:c r="C1457" s="13" t="n">
        <x:v>484</x:v>
      </x:c>
      <x:c r="D1457" s="12" t="n">
        <x:v>164927.84</x:v>
      </x:c>
      <x:c r="E1457" s="12" t="n">
        <x:v>648.184416</x:v>
      </x:c>
      <x:c r="F1457" s="12" t="n">
        <x:f>SUM(B1457,D1457:E1457)</x:f>
        <x:v>178674.41054</x:v>
      </x:c>
      <x:c r="G1457" s="12" t="n">
        <x:f>MAX(G1456,F1457)</x:f>
        <x:v>186225.186124</x:v>
      </x:c>
      <x:c r="H1457" s="14" t="n">
        <x:f>F1457/G1457-1</x:f>
        <x:v>-0.04054647892241725</x:v>
      </x:c>
      <x:c r="I1457" s="14" t="n">
        <x:f>F1457/F1456-1</x:f>
        <x:v>0.016045930212015502</x:v>
      </x:c>
      <x:c r="J1457" s="12" t="n">
        <x:v>0</x:v>
      </x:c>
      <x:c r="K1457" s="12" t="n">
        <x:v>0</x:v>
      </x:c>
      <x:c r="L1457" s="12" t="n">
        <x:v>0</x:v>
      </x:c>
      <x:c r="M1457" s="2" t="str">
        <x:v>持有</x:v>
      </x:c>
    </x:row>
    <x:row r="1458" ht="23" customHeight="1">
      <x:c r="A1458" s="11" t="d">
        <x:v>2020-10-08T00:00:00.000Z</x:v>
      </x:c>
      <x:c r="B1458" s="12" t="n">
        <x:v>13098.386124</x:v>
      </x:c>
      <x:c r="C1458" s="13" t="n">
        <x:v>484</x:v>
      </x:c>
      <x:c r="D1458" s="12" t="n">
        <x:v>166389.52</x:v>
      </x:c>
      <x:c r="E1458" s="12" t="n">
        <x:v>648.184416</x:v>
      </x:c>
      <x:c r="F1458" s="12" t="n">
        <x:f>SUM(B1458,D1458:E1458)</x:f>
        <x:v>180136.09054</x:v>
      </x:c>
      <x:c r="G1458" s="12" t="n">
        <x:f>MAX(G1457,F1458)</x:f>
        <x:v>186225.186124</x:v>
      </x:c>
      <x:c r="H1458" s="14" t="n">
        <x:f>F1458/G1458-1</x:f>
        <x:v>-0.03269748690139851</x:v>
      </x:c>
      <x:c r="I1458" s="14" t="n">
        <x:f>F1458/F1457-1</x:f>
        <x:v>0.00818069020394363</x:v>
      </x:c>
      <x:c r="J1458" s="12" t="n">
        <x:v>0</x:v>
      </x:c>
      <x:c r="K1458" s="12" t="n">
        <x:v>0</x:v>
      </x:c>
      <x:c r="L1458" s="12" t="n">
        <x:v>0</x:v>
      </x:c>
      <x:c r="M1458" s="2" t="str">
        <x:v>持有</x:v>
      </x:c>
    </x:row>
    <x:row r="1459" ht="23" customHeight="1">
      <x:c r="A1459" s="11" t="d">
        <x:v>2020-10-09T00:00:00.000Z</x:v>
      </x:c>
      <x:c r="B1459" s="12" t="n">
        <x:v>13098.386124</x:v>
      </x:c>
      <x:c r="C1459" s="13" t="n">
        <x:v>484</x:v>
      </x:c>
      <x:c r="D1459" s="12" t="n">
        <x:v>167875.40000000002</x:v>
      </x:c>
      <x:c r="E1459" s="12" t="n">
        <x:v>648.184416</x:v>
      </x:c>
      <x:c r="F1459" s="12" t="n">
        <x:f>SUM(B1459,D1459:E1459)</x:f>
        <x:v>181621.97054000004</x:v>
      </x:c>
      <x:c r="G1459" s="12" t="n">
        <x:f>MAX(G1458,F1459)</x:f>
        <x:v>186225.186124</x:v>
      </x:c>
      <x:c r="H1459" s="14" t="n">
        <x:f>F1459/G1459-1</x:f>
        <x:v>-0.024718544681356147</x:v>
      </x:c>
      <x:c r="I1459" s="14" t="n">
        <x:f>F1459/F1458-1</x:f>
        <x:v>0.00824865242465167</x:v>
      </x:c>
      <x:c r="J1459" s="12" t="n">
        <x:v>0</x:v>
      </x:c>
      <x:c r="K1459" s="12" t="n">
        <x:v>0</x:v>
      </x:c>
      <x:c r="L1459" s="12" t="n">
        <x:v>0</x:v>
      </x:c>
      <x:c r="M1459" s="2" t="str">
        <x:v>持有</x:v>
      </x:c>
    </x:row>
    <x:row r="1460" ht="23" customHeight="1">
      <x:c r="A1460" s="11" t="d">
        <x:v>2020-10-12T00:00:00.000Z</x:v>
      </x:c>
      <x:c r="B1460" s="12" t="n">
        <x:v>13098.386124</x:v>
      </x:c>
      <x:c r="C1460" s="13" t="n">
        <x:v>484</x:v>
      </x:c>
      <x:c r="D1460" s="12" t="n">
        <x:v>170576.12</x:v>
      </x:c>
      <x:c r="E1460" s="12" t="n">
        <x:v>648.184416</x:v>
      </x:c>
      <x:c r="F1460" s="12" t="n">
        <x:f>SUM(B1460,D1460:E1460)</x:f>
        <x:v>184322.69054</x:v>
      </x:c>
      <x:c r="G1460" s="12" t="n">
        <x:f>MAX(G1459,F1460)</x:f>
        <x:v>186225.186124</x:v>
      </x:c>
      <x:c r="H1460" s="14" t="n">
        <x:f>F1460/G1460-1</x:f>
        <x:v>-0.010216102470334998</x:v>
      </x:c>
      <x:c r="I1460" s="14" t="n">
        <x:f>F1460/F1459-1</x:f>
        <x:v>0.014870007147098852</x:v>
      </x:c>
      <x:c r="J1460" s="12" t="n">
        <x:v>0</x:v>
      </x:c>
      <x:c r="K1460" s="12" t="n">
        <x:v>0</x:v>
      </x:c>
      <x:c r="L1460" s="12" t="n">
        <x:v>0</x:v>
      </x:c>
      <x:c r="M1460" s="2" t="str">
        <x:v>持有</x:v>
      </x:c>
    </x:row>
    <x:row r="1461" ht="23" customHeight="1">
      <x:c r="A1461" s="11" t="d">
        <x:v>2020-10-13T00:00:00.000Z</x:v>
      </x:c>
      <x:c r="B1461" s="12" t="n">
        <x:v>13098.386124</x:v>
      </x:c>
      <x:c r="C1461" s="13" t="n">
        <x:v>484</x:v>
      </x:c>
      <x:c r="D1461" s="12" t="n">
        <x:v>169462.91999999998</x:v>
      </x:c>
      <x:c r="E1461" s="12" t="n">
        <x:v>648.184416</x:v>
      </x:c>
      <x:c r="F1461" s="12" t="n">
        <x:f>SUM(B1461,D1461:E1461)</x:f>
        <x:v>183209.49054</x:v>
      </x:c>
      <x:c r="G1461" s="12" t="n">
        <x:f>MAX(G1460,F1461)</x:f>
        <x:v>186225.186124</x:v>
      </x:c>
      <x:c r="H1461" s="14" t="n">
        <x:f>F1461/G1461-1</x:f>
        <x:v>-0.016193811625415555</x:v>
      </x:c>
      <x:c r="I1461" s="14" t="n">
        <x:f>F1461/F1460-1</x:f>
        <x:v>-0.006039408369847066</x:v>
      </x:c>
      <x:c r="J1461" s="12" t="n">
        <x:v>0</x:v>
      </x:c>
      <x:c r="K1461" s="12" t="n">
        <x:v>0</x:v>
      </x:c>
      <x:c r="L1461" s="12" t="n">
        <x:v>0</x:v>
      </x:c>
      <x:c r="M1461" s="2" t="str">
        <x:v>持有</x:v>
      </x:c>
    </x:row>
    <x:row r="1462" ht="23" customHeight="1">
      <x:c r="A1462" s="11" t="d">
        <x:v>2020-10-14T00:00:00.000Z</x:v>
      </x:c>
      <x:c r="B1462" s="12" t="n">
        <x:v>13098.386124</x:v>
      </x:c>
      <x:c r="C1462" s="13" t="n">
        <x:v>484</x:v>
      </x:c>
      <x:c r="D1462" s="12" t="n">
        <x:v>168398.12</x:v>
      </x:c>
      <x:c r="E1462" s="12" t="n">
        <x:v>648.184416</x:v>
      </x:c>
      <x:c r="F1462" s="12" t="n">
        <x:f>SUM(B1462,D1462:E1462)</x:f>
        <x:v>182144.69054</x:v>
      </x:c>
      <x:c r="G1462" s="12" t="n">
        <x:f>MAX(G1461,F1462)</x:f>
        <x:v>186225.186124</x:v>
      </x:c>
      <x:c r="H1462" s="14" t="n">
        <x:f>F1462/G1462-1</x:f>
        <x:v>-0.021911620382448982</x:v>
      </x:c>
      <x:c r="I1462" s="14" t="n">
        <x:f>F1462/F1461-1</x:f>
        <x:v>-0.005811925991724309</x:v>
      </x:c>
      <x:c r="J1462" s="12" t="n">
        <x:v>0</x:v>
      </x:c>
      <x:c r="K1462" s="12" t="n">
        <x:v>0</x:v>
      </x:c>
      <x:c r="L1462" s="12" t="n">
        <x:v>0</x:v>
      </x:c>
      <x:c r="M1462" s="2" t="str">
        <x:v>持有</x:v>
      </x:c>
    </x:row>
    <x:row r="1463" ht="23" customHeight="1">
      <x:c r="A1463" s="11" t="d">
        <x:v>2020-10-15T00:00:00.000Z</x:v>
      </x:c>
      <x:c r="B1463" s="12" t="n">
        <x:v>13098.386124</x:v>
      </x:c>
      <x:c r="C1463" s="13" t="n">
        <x:v>484</x:v>
      </x:c>
      <x:c r="D1463" s="12" t="n">
        <x:v>168190</x:v>
      </x:c>
      <x:c r="E1463" s="12" t="n">
        <x:v>648.184416</x:v>
      </x:c>
      <x:c r="F1463" s="12" t="n">
        <x:f>SUM(B1463,D1463:E1463)</x:f>
        <x:v>181936.57054000002</x:v>
      </x:c>
      <x:c r="G1463" s="12" t="n">
        <x:f>MAX(G1462,F1463)</x:f>
        <x:v>186225.186124</x:v>
      </x:c>
      <x:c r="H1463" s="14" t="n">
        <x:f>F1463/G1463-1</x:f>
        <x:v>-0.023029192094050965</x:v>
      </x:c>
      <x:c r="I1463" s="14" t="n">
        <x:f>F1463/F1462-1</x:f>
        <x:v>-0.0011426081066815419</x:v>
      </x:c>
      <x:c r="J1463" s="12" t="n">
        <x:v>0</x:v>
      </x:c>
      <x:c r="K1463" s="12" t="n">
        <x:v>0</x:v>
      </x:c>
      <x:c r="L1463" s="12" t="n">
        <x:v>0</x:v>
      </x:c>
      <x:c r="M1463" s="2" t="str">
        <x:v>持有</x:v>
      </x:c>
    </x:row>
    <x:row r="1464" ht="23" customHeight="1">
      <x:c r="A1464" s="11" t="d">
        <x:v>2020-10-16T00:00:00.000Z</x:v>
      </x:c>
      <x:c r="B1464" s="12" t="n">
        <x:v>13098.386124</x:v>
      </x:c>
      <x:c r="C1464" s="13" t="n">
        <x:v>484</x:v>
      </x:c>
      <x:c r="D1464" s="12" t="n">
        <x:v>168088.36000000002</x:v>
      </x:c>
      <x:c r="E1464" s="12" t="n">
        <x:v>648.184416</x:v>
      </x:c>
      <x:c r="F1464" s="12" t="n">
        <x:f>SUM(B1464,D1464:E1464)</x:f>
        <x:v>181834.93054000003</x:v>
      </x:c>
      <x:c r="G1464" s="12" t="n">
        <x:f>MAX(G1463,F1464)</x:f>
        <x:v>186225.186124</x:v>
      </x:c>
      <x:c r="H1464" s="14" t="n">
        <x:f>F1464/G1464-1</x:f>
        <x:v>-0.02357498292994953</x:v>
      </x:c>
      <x:c r="I1464" s="14" t="n">
        <x:f>F1464/F1463-1</x:f>
        <x:v>-0.0005586562377113413</x:v>
      </x:c>
      <x:c r="J1464" s="12" t="n">
        <x:v>0</x:v>
      </x:c>
      <x:c r="K1464" s="12" t="n">
        <x:v>0</x:v>
      </x:c>
      <x:c r="L1464" s="12" t="n">
        <x:v>0</x:v>
      </x:c>
      <x:c r="M1464" s="2" t="str">
        <x:v>持有</x:v>
      </x:c>
    </x:row>
    <x:row r="1465" ht="23" customHeight="1">
      <x:c r="A1465" s="11" t="d">
        <x:v>2020-10-19T00:00:00.000Z</x:v>
      </x:c>
      <x:c r="B1465" s="12" t="n">
        <x:v>13098.386124</x:v>
      </x:c>
      <x:c r="C1465" s="13" t="n">
        <x:v>484</x:v>
      </x:c>
      <x:c r="D1465" s="12" t="n">
        <x:v>165532.84</x:v>
      </x:c>
      <x:c r="E1465" s="12" t="n">
        <x:v>648.184416</x:v>
      </x:c>
      <x:c r="F1465" s="12" t="n">
        <x:f>SUM(B1465,D1465:E1465)</x:f>
        <x:v>179279.41054</x:v>
      </x:c>
      <x:c r="G1465" s="12" t="n">
        <x:f>MAX(G1464,F1465)</x:f>
        <x:v>186225.186124</x:v>
      </x:c>
      <x:c r="H1465" s="14" t="n">
        <x:f>F1465/G1465-1</x:f>
        <x:v>-0.03729772394682995</x:v>
      </x:c>
      <x:c r="I1465" s="14" t="n">
        <x:f>F1465/F1464-1</x:f>
        <x:v>-0.014054065368028112</x:v>
      </x:c>
      <x:c r="J1465" s="12" t="n">
        <x:v>0</x:v>
      </x:c>
      <x:c r="K1465" s="12" t="n">
        <x:v>0</x:v>
      </x:c>
      <x:c r="L1465" s="12" t="n">
        <x:v>0</x:v>
      </x:c>
      <x:c r="M1465" s="2" t="str">
        <x:v>持有</x:v>
      </x:c>
    </x:row>
    <x:row r="1466" ht="23" customHeight="1">
      <x:c r="A1466" s="11" t="d">
        <x:v>2020-10-20T00:00:00.000Z</x:v>
      </x:c>
      <x:c r="B1466" s="12" t="n">
        <x:v>13098.386124</x:v>
      </x:c>
      <x:c r="C1466" s="13" t="n">
        <x:v>484</x:v>
      </x:c>
      <x:c r="D1466" s="12" t="n">
        <x:v>166195.91999999998</x:v>
      </x:c>
      <x:c r="E1466" s="12" t="n">
        <x:v>648.184416</x:v>
      </x:c>
      <x:c r="F1466" s="12" t="n">
        <x:f>SUM(B1466,D1466:E1466)</x:f>
        <x:v>179942.49054</x:v>
      </x:c>
      <x:c r="G1466" s="12" t="n">
        <x:f>MAX(G1465,F1466)</x:f>
        <x:v>186225.186124</x:v>
      </x:c>
      <x:c r="H1466" s="14" t="n">
        <x:f>F1466/G1466-1</x:f>
        <x:v>-0.033737088493586476</x:v>
      </x:c>
      <x:c r="I1466" s="14" t="n">
        <x:f>F1466/F1465-1</x:f>
        <x:v>0.003698584226726087</x:v>
      </x:c>
      <x:c r="J1466" s="12" t="n">
        <x:v>0</x:v>
      </x:c>
      <x:c r="K1466" s="12" t="n">
        <x:v>0</x:v>
      </x:c>
      <x:c r="L1466" s="12" t="n">
        <x:v>0</x:v>
      </x:c>
      <x:c r="M1466" s="2" t="str">
        <x:v>持有</x:v>
      </x:c>
    </x:row>
    <x:row r="1467" ht="23" customHeight="1">
      <x:c r="A1467" s="11" t="d">
        <x:v>2020-10-21T00:00:00.000Z</x:v>
      </x:c>
      <x:c r="B1467" s="12" t="n">
        <x:v>13098.386124</x:v>
      </x:c>
      <x:c r="C1467" s="13" t="n">
        <x:v>484</x:v>
      </x:c>
      <x:c r="D1467" s="12" t="n">
        <x:v>165881.32</x:v>
      </x:c>
      <x:c r="E1467" s="12" t="n">
        <x:v>648.184416</x:v>
      </x:c>
      <x:c r="F1467" s="12" t="n">
        <x:f>SUM(B1467,D1467:E1467)</x:f>
        <x:v>179627.89054000002</x:v>
      </x:c>
      <x:c r="G1467" s="12" t="n">
        <x:f>MAX(G1466,F1467)</x:f>
        <x:v>186225.186124</x:v>
      </x:c>
      <x:c r="H1467" s="14" t="n">
        <x:f>F1467/G1467-1</x:f>
        <x:v>-0.03542644108089166</x:v>
      </x:c>
      <x:c r="I1467" s="14" t="n">
        <x:f>F1467/F1466-1</x:f>
        <x:v>-0.0017483363660015794</x:v>
      </x:c>
      <x:c r="J1467" s="12" t="n">
        <x:v>0</x:v>
      </x:c>
      <x:c r="K1467" s="12" t="n">
        <x:v>0</x:v>
      </x:c>
      <x:c r="L1467" s="12" t="n">
        <x:v>0</x:v>
      </x:c>
      <x:c r="M1467" s="2" t="str">
        <x:v>持有</x:v>
      </x:c>
    </x:row>
    <x:row r="1468" ht="23" customHeight="1">
      <x:c r="A1468" s="11" t="d">
        <x:v>2020-10-22T00:00:00.000Z</x:v>
      </x:c>
      <x:c r="B1468" s="12" t="n">
        <x:v>13098.386124</x:v>
      </x:c>
      <x:c r="C1468" s="13" t="n">
        <x:v>484</x:v>
      </x:c>
      <x:c r="D1468" s="12" t="n">
        <x:v>166791.24000000002</x:v>
      </x:c>
      <x:c r="E1468" s="12" t="n">
        <x:v>648.184416</x:v>
      </x:c>
      <x:c r="F1468" s="12" t="n">
        <x:f>SUM(B1468,D1468:E1468)</x:f>
        <x:v>180537.81054000003</x:v>
      </x:c>
      <x:c r="G1468" s="12" t="n">
        <x:f>MAX(G1467,F1468)</x:f>
        <x:v>186225.186124</x:v>
      </x:c>
      <x:c r="H1468" s="14" t="n">
        <x:f>F1468/G1468-1</x:f>
        <x:v>-0.03054031359760845</x:v>
      </x:c>
      <x:c r="I1468" s="14" t="n">
        <x:f>F1468/F1467-1</x:f>
        <x:v>0.005065583063212475</x:v>
      </x:c>
      <x:c r="J1468" s="12" t="n">
        <x:v>0</x:v>
      </x:c>
      <x:c r="K1468" s="12" t="n">
        <x:v>0</x:v>
      </x:c>
      <x:c r="L1468" s="12" t="n">
        <x:v>0</x:v>
      </x:c>
      <x:c r="M1468" s="2" t="str">
        <x:v>持有</x:v>
      </x:c>
    </x:row>
    <x:row r="1469" ht="23" customHeight="1">
      <x:c r="A1469" s="11" t="d">
        <x:v>2020-10-23T00:00:00.000Z</x:v>
      </x:c>
      <x:c r="B1469" s="12" t="n">
        <x:v>13098.386124</x:v>
      </x:c>
      <x:c r="C1469" s="13" t="n">
        <x:v>484</x:v>
      </x:c>
      <x:c r="D1469" s="12" t="n">
        <x:v>167357.52</x:v>
      </x:c>
      <x:c r="E1469" s="12" t="n">
        <x:v>648.184416</x:v>
      </x:c>
      <x:c r="F1469" s="12" t="n">
        <x:f>SUM(B1469,D1469:E1469)</x:f>
        <x:v>181104.09054</x:v>
      </x:c>
      <x:c r="G1469" s="12" t="n">
        <x:f>MAX(G1468,F1469)</x:f>
        <x:v>186225.186124</x:v>
      </x:c>
      <x:c r="H1469" s="14" t="n">
        <x:f>F1469/G1469-1</x:f>
        <x:v>-0.02749947894045901</x:v>
      </x:c>
      <x:c r="I1469" s="14" t="n">
        <x:f>F1469/F1468-1</x:f>
        <x:v>0.003136628268096242</x:v>
      </x:c>
      <x:c r="J1469" s="12" t="n">
        <x:v>0</x:v>
      </x:c>
      <x:c r="K1469" s="12" t="n">
        <x:v>0</x:v>
      </x:c>
      <x:c r="L1469" s="12" t="n">
        <x:v>0</x:v>
      </x:c>
      <x:c r="M1469" s="2" t="str">
        <x:v>持有</x:v>
      </x:c>
    </x:row>
    <x:row r="1470" ht="23" customHeight="1">
      <x:c r="A1470" s="11" t="d">
        <x:v>2020-10-26T00:00:00.000Z</x:v>
      </x:c>
      <x:c r="B1470" s="12" t="n">
        <x:v>13098.386124</x:v>
      </x:c>
      <x:c r="C1470" s="13" t="n">
        <x:v>484</x:v>
      </x:c>
      <x:c r="D1470" s="12" t="n">
        <x:v>164264.75999999998</x:v>
      </x:c>
      <x:c r="E1470" s="12" t="n">
        <x:v>648.184416</x:v>
      </x:c>
      <x:c r="F1470" s="12" t="n">
        <x:f>SUM(B1470,D1470:E1470)</x:f>
        <x:v>178011.33054</x:v>
      </x:c>
      <x:c r="G1470" s="12" t="n">
        <x:f>MAX(G1469,F1470)</x:f>
        <x:v>186225.186124</x:v>
      </x:c>
      <x:c r="H1470" s="14" t="n">
        <x:f>F1470/G1470-1</x:f>
        <x:v>-0.04410711437566084</x:v>
      </x:c>
      <x:c r="I1470" s="14" t="n">
        <x:f>F1470/F1469-1</x:f>
        <x:v>-0.01707725093772483</x:v>
      </x:c>
      <x:c r="J1470" s="12" t="n">
        <x:v>0</x:v>
      </x:c>
      <x:c r="K1470" s="12" t="n">
        <x:v>0</x:v>
      </x:c>
      <x:c r="L1470" s="12" t="n">
        <x:v>0</x:v>
      </x:c>
      <x:c r="M1470" s="2" t="str">
        <x:v>持有</x:v>
      </x:c>
    </x:row>
    <x:row r="1471" ht="23" customHeight="1">
      <x:c r="A1471" s="11" t="d">
        <x:v>2020-10-27T00:00:00.000Z</x:v>
      </x:c>
      <x:c r="B1471" s="12" t="n">
        <x:v>13098.386124</x:v>
      </x:c>
      <x:c r="C1471" s="13" t="n">
        <x:v>484</x:v>
      </x:c>
      <x:c r="D1471" s="12" t="n">
        <x:v>163698.48</x:v>
      </x:c>
      <x:c r="E1471" s="12" t="n">
        <x:v>648.184416</x:v>
      </x:c>
      <x:c r="F1471" s="12" t="n">
        <x:f>SUM(B1471,D1471:E1471)</x:f>
        <x:v>177445.05054000003</x:v>
      </x:c>
      <x:c r="G1471" s="12" t="n">
        <x:f>MAX(G1470,F1471)</x:f>
        <x:v>186225.186124</x:v>
      </x:c>
      <x:c r="H1471" s="14" t="n">
        <x:f>F1471/G1471-1</x:f>
        <x:v>-0.04714794903281039</x:v>
      </x:c>
      <x:c r="I1471" s="14" t="n">
        <x:f>F1471/F1470-1</x:f>
        <x:v>-0.0031811458196630005</x:v>
      </x:c>
      <x:c r="J1471" s="12" t="n">
        <x:v>0</x:v>
      </x:c>
      <x:c r="K1471" s="12" t="n">
        <x:v>0</x:v>
      </x:c>
      <x:c r="L1471" s="12" t="n">
        <x:v>0</x:v>
      </x:c>
      <x:c r="M1471" s="2" t="str">
        <x:v>持有</x:v>
      </x:c>
    </x:row>
    <x:row r="1472" ht="23" customHeight="1">
      <x:c r="A1472" s="11" t="d">
        <x:v>2020-10-28T00:00:00.000Z</x:v>
      </x:c>
      <x:c r="B1472" s="12" t="n">
        <x:v>13098.386124</x:v>
      </x:c>
      <x:c r="C1472" s="13" t="n">
        <x:v>484</x:v>
      </x:c>
      <x:c r="D1472" s="12" t="n">
        <x:v>158103.44</x:v>
      </x:c>
      <x:c r="E1472" s="12" t="n">
        <x:v>648.184416</x:v>
      </x:c>
      <x:c r="F1472" s="12" t="n">
        <x:f>SUM(B1472,D1472:E1472)</x:f>
        <x:v>171850.01054000002</x:v>
      </x:c>
      <x:c r="G1472" s="12" t="n">
        <x:f>MAX(G1471,F1472)</x:f>
        <x:v>186225.186124</x:v>
      </x:c>
      <x:c r="H1472" s="14" t="n">
        <x:f>F1472/G1472-1</x:f>
        <x:v>-0.07719243504704099</x:v>
      </x:c>
      <x:c r="I1472" s="14" t="n">
        <x:f>F1472/F1471-1</x:f>
        <x:v>-0.031531113338879924</x:v>
      </x:c>
      <x:c r="J1472" s="12" t="n">
        <x:v>0</x:v>
      </x:c>
      <x:c r="K1472" s="12" t="n">
        <x:v>0</x:v>
      </x:c>
      <x:c r="L1472" s="12" t="n">
        <x:v>0</x:v>
      </x:c>
      <x:c r="M1472" s="2" t="str">
        <x:v>持有</x:v>
      </x:c>
    </x:row>
    <x:row r="1473" ht="23" customHeight="1">
      <x:c r="A1473" s="11" t="d">
        <x:v>2020-10-29T00:00:00.000Z</x:v>
      </x:c>
      <x:c r="B1473" s="12" t="n">
        <x:v>13098.386124</x:v>
      </x:c>
      <x:c r="C1473" s="13" t="n">
        <x:v>484</x:v>
      </x:c>
      <x:c r="D1473" s="12" t="n">
        <x:v>159710.32</x:v>
      </x:c>
      <x:c r="E1473" s="12" t="n">
        <x:v>648.184416</x:v>
      </x:c>
      <x:c r="F1473" s="12" t="n">
        <x:f>SUM(B1473,D1473:E1473)</x:f>
        <x:v>173456.89054000002</x:v>
      </x:c>
      <x:c r="G1473" s="12" t="n">
        <x:f>MAX(G1472,F1473)</x:f>
        <x:v>186225.186124</x:v>
      </x:c>
      <x:c r="H1473" s="14" t="n">
        <x:f>F1473/G1473-1</x:f>
        <x:v>-0.0685637418318813</x:v>
      </x:c>
      <x:c r="I1473" s="14" t="n">
        <x:f>F1473/F1472-1</x:f>
        <x:v>0.009350479496339492</x:v>
      </x:c>
      <x:c r="J1473" s="12" t="n">
        <x:v>0</x:v>
      </x:c>
      <x:c r="K1473" s="12" t="n">
        <x:v>0</x:v>
      </x:c>
      <x:c r="L1473" s="12" t="n">
        <x:v>0</x:v>
      </x:c>
      <x:c r="M1473" s="2" t="str">
        <x:v>持有</x:v>
      </x:c>
    </x:row>
    <x:row r="1474" ht="23" customHeight="1">
      <x:c r="A1474" s="11" t="d">
        <x:v>2020-10-30T00:00:00.000Z</x:v>
      </x:c>
      <x:c r="B1474" s="12" t="n">
        <x:v>13746.57054</x:v>
      </x:c>
      <x:c r="C1474" s="13" t="n">
        <x:v>484</x:v>
      </x:c>
      <x:c r="D1474" s="12" t="n">
        <x:v>158045.36000000002</x:v>
      </x:c>
      <x:c r="E1474" s="12" t="n">
        <x:v>0</x:v>
      </x:c>
      <x:c r="F1474" s="12" t="n">
        <x:f>SUM(B1474,D1474:E1474)</x:f>
        <x:v>171791.93054000003</x:v>
      </x:c>
      <x:c r="G1474" s="12" t="n">
        <x:f>MAX(G1473,F1474)</x:f>
        <x:v>186225.186124</x:v>
      </x:c>
      <x:c r="H1474" s="14" t="n">
        <x:f>F1474/G1474-1</x:f>
        <x:v>-0.07750431552469728</x:v>
      </x:c>
      <x:c r="I1474" s="14" t="n">
        <x:f>F1474/F1473-1</x:f>
        <x:v>-0.009598696222540948</x:v>
      </x:c>
      <x:c r="J1474" s="12" t="n">
        <x:v>0</x:v>
      </x:c>
      <x:c r="K1474" s="12" t="n">
        <x:v>648.184416</x:v>
      </x:c>
      <x:c r="L1474" s="12" t="n">
        <x:v>0</x:v>
      </x:c>
      <x:c r="M1474" s="2" t="str">
        <x:v>持有</x:v>
      </x:c>
    </x:row>
    <x:row r="1475" ht="23" customHeight="1">
      <x:c r="A1475" s="11" t="d">
        <x:v>2020-11-02T00:00:00.000Z</x:v>
      </x:c>
      <x:c r="B1475" s="12" t="n">
        <x:v>13746.57054</x:v>
      </x:c>
      <x:c r="C1475" s="13" t="n">
        <x:v>484</x:v>
      </x:c>
      <x:c r="D1475" s="12" t="n">
        <x:v>159816.8</x:v>
      </x:c>
      <x:c r="E1475" s="12" t="n">
        <x:v>0</x:v>
      </x:c>
      <x:c r="F1475" s="12" t="n">
        <x:f>SUM(B1475,D1475:E1475)</x:f>
        <x:v>173563.37053999997</x:v>
      </x:c>
      <x:c r="G1475" s="12" t="n">
        <x:f>MAX(G1474,F1475)</x:f>
        <x:v>186225.186124</x:v>
      </x:c>
      <x:c r="H1475" s="14" t="n">
        <x:f>F1475/G1475-1</x:f>
        <x:v>-0.06799196095617821</x:v>
      </x:c>
      <x:c r="I1475" s="14" t="n">
        <x:f>F1475/F1474-1</x:f>
        <x:v>0.010311543705409765</x:v>
      </x:c>
      <x:c r="J1475" s="12" t="n">
        <x:v>0</x:v>
      </x:c>
      <x:c r="K1475" s="12" t="n">
        <x:v>0</x:v>
      </x:c>
      <x:c r="L1475" s="12" t="n">
        <x:v>0</x:v>
      </x:c>
      <x:c r="M1475" s="2" t="str">
        <x:v>持有</x:v>
      </x:c>
    </x:row>
    <x:row r="1476" ht="23" customHeight="1">
      <x:c r="A1476" s="11" t="d">
        <x:v>2020-11-03T00:00:00.000Z</x:v>
      </x:c>
      <x:c r="B1476" s="12" t="n">
        <x:v>13746.57054</x:v>
      </x:c>
      <x:c r="C1476" s="13" t="n">
        <x:v>484</x:v>
      </x:c>
      <x:c r="D1476" s="12" t="n">
        <x:v>162638.52</x:v>
      </x:c>
      <x:c r="E1476" s="12" t="n">
        <x:v>0</x:v>
      </x:c>
      <x:c r="F1476" s="12" t="n">
        <x:f>SUM(B1476,D1476:E1476)</x:f>
        <x:v>176385.09054</x:v>
      </x:c>
      <x:c r="G1476" s="12" t="n">
        <x:f>MAX(G1475,F1476)</x:f>
        <x:v>186225.186124</x:v>
      </x:c>
      <x:c r="H1476" s="14" t="n">
        <x:f>F1476/G1476-1</x:f>
        <x:v>-0.05283976775003929</x:v>
      </x:c>
      <x:c r="I1476" s="14" t="n">
        <x:f>F1476/F1475-1</x:f>
        <x:v>0.01625757780124304</x:v>
      </x:c>
      <x:c r="J1476" s="12" t="n">
        <x:v>0</x:v>
      </x:c>
      <x:c r="K1476" s="12" t="n">
        <x:v>0</x:v>
      </x:c>
      <x:c r="L1476" s="12" t="n">
        <x:v>0</x:v>
      </x:c>
      <x:c r="M1476" s="2" t="str">
        <x:v>持有</x:v>
      </x:c>
    </x:row>
    <x:row r="1477" ht="23" customHeight="1">
      <x:c r="A1477" s="11" t="d">
        <x:v>2020-11-04T00:00:00.000Z</x:v>
      </x:c>
      <x:c r="B1477" s="12" t="n">
        <x:v>13746.57054</x:v>
      </x:c>
      <x:c r="C1477" s="13" t="n">
        <x:v>484</x:v>
      </x:c>
      <x:c r="D1477" s="12" t="n">
        <x:v>166273.36000000002</x:v>
      </x:c>
      <x:c r="E1477" s="12" t="n">
        <x:v>0</x:v>
      </x:c>
      <x:c r="F1477" s="12" t="n">
        <x:f>SUM(B1477,D1477:E1477)</x:f>
        <x:v>180019.93054000003</x:v>
      </x:c>
      <x:c r="G1477" s="12" t="n">
        <x:f>MAX(G1476,F1477)</x:f>
        <x:v>186225.186124</x:v>
      </x:c>
      <x:c r="H1477" s="14" t="n">
        <x:f>F1477/G1477-1</x:f>
        <x:v>-0.0333212478567112</x:v>
      </x:c>
      <x:c r="I1477" s="14" t="n">
        <x:f>F1477/F1476-1</x:f>
        <x:v>0.020607410688012306</x:v>
      </x:c>
      <x:c r="J1477" s="12" t="n">
        <x:v>0</x:v>
      </x:c>
      <x:c r="K1477" s="12" t="n">
        <x:v>0</x:v>
      </x:c>
      <x:c r="L1477" s="12" t="n">
        <x:v>0</x:v>
      </x:c>
      <x:c r="M1477" s="2" t="str">
        <x:v>持有</x:v>
      </x:c>
    </x:row>
    <x:row r="1478" ht="23" customHeight="1">
      <x:c r="A1478" s="11" t="d">
        <x:v>2020-11-05T00:00:00.000Z</x:v>
      </x:c>
      <x:c r="B1478" s="12" t="n">
        <x:v>13746.57054</x:v>
      </x:c>
      <x:c r="C1478" s="13" t="n">
        <x:v>484</x:v>
      </x:c>
      <x:c r="D1478" s="12" t="n">
        <x:v>169516.16</x:v>
      </x:c>
      <x:c r="E1478" s="12" t="n">
        <x:v>0</x:v>
      </x:c>
      <x:c r="F1478" s="12" t="n">
        <x:f>SUM(B1478,D1478:E1478)</x:f>
        <x:v>183262.73054000002</x:v>
      </x:c>
      <x:c r="G1478" s="12" t="n">
        <x:f>MAX(G1477,F1478)</x:f>
        <x:v>186225.186124</x:v>
      </x:c>
      <x:c r="H1478" s="14" t="n">
        <x:f>F1478/G1478-1</x:f>
        <x:v>-0.01590792118756379</x:v>
      </x:c>
      <x:c r="I1478" s="14" t="n">
        <x:f>F1478/F1477-1</x:f>
        <x:v>0.018013561000010725</x:v>
      </x:c>
      <x:c r="J1478" s="12" t="n">
        <x:v>0</x:v>
      </x:c>
      <x:c r="K1478" s="12" t="n">
        <x:v>0</x:v>
      </x:c>
      <x:c r="L1478" s="12" t="n">
        <x:v>0</x:v>
      </x:c>
      <x:c r="M1478" s="2" t="str">
        <x:v>持有</x:v>
      </x:c>
    </x:row>
    <x:row r="1479" ht="23" customHeight="1">
      <x:c r="A1479" s="11" t="d">
        <x:v>2020-11-06T00:00:00.000Z</x:v>
      </x:c>
      <x:c r="B1479" s="12" t="n">
        <x:v>13746.57054</x:v>
      </x:c>
      <x:c r="C1479" s="13" t="n">
        <x:v>484</x:v>
      </x:c>
      <x:c r="D1479" s="12" t="n">
        <x:v>169477.44</x:v>
      </x:c>
      <x:c r="E1479" s="12" t="n">
        <x:v>0</x:v>
      </x:c>
      <x:c r="F1479" s="12" t="n">
        <x:f>SUM(B1479,D1479:E1479)</x:f>
        <x:v>183224.01054</x:v>
      </x:c>
      <x:c r="G1479" s="12" t="n">
        <x:f>MAX(G1478,F1479)</x:f>
        <x:v>186225.186124</x:v>
      </x:c>
      <x:c r="H1479" s="14" t="n">
        <x:f>F1479/G1479-1</x:f>
        <x:v>-0.016115841506001538</x:v>
      </x:c>
      <x:c r="I1479" s="14" t="n">
        <x:f>F1479/F1478-1</x:f>
        <x:v>-0.00021128136575254697</x:v>
      </x:c>
      <x:c r="J1479" s="12" t="n">
        <x:v>0</x:v>
      </x:c>
      <x:c r="K1479" s="12" t="n">
        <x:v>0</x:v>
      </x:c>
      <x:c r="L1479" s="12" t="n">
        <x:v>0</x:v>
      </x:c>
      <x:c r="M1479" s="2" t="str">
        <x:v>持有</x:v>
      </x:c>
    </x:row>
    <x:row r="1480" ht="23" customHeight="1">
      <x:c r="A1480" s="11" t="d">
        <x:v>2020-11-09T00:00:00.000Z</x:v>
      </x:c>
      <x:c r="B1480" s="12" t="n">
        <x:v>13746.57054</x:v>
      </x:c>
      <x:c r="C1480" s="13" t="n">
        <x:v>484</x:v>
      </x:c>
      <x:c r="D1480" s="12" t="n">
        <x:v>171607.04</x:v>
      </x:c>
      <x:c r="E1480" s="12" t="n">
        <x:v>0</x:v>
      </x:c>
      <x:c r="F1480" s="12" t="n">
        <x:f>SUM(B1480,D1480:E1480)</x:f>
        <x:v>185353.61054000002</x:v>
      </x:c>
      <x:c r="G1480" s="12" t="n">
        <x:f>MAX(G1479,F1480)</x:f>
        <x:v>186225.186124</x:v>
      </x:c>
      <x:c r="H1480" s="14" t="n">
        <x:f>F1480/G1480-1</x:f>
        <x:v>-0.004680223991934351</x:v>
      </x:c>
      <x:c r="I1480" s="14" t="n">
        <x:f>F1480/F1479-1</x:f>
        <x:v>0.01162293082507948</x:v>
      </x:c>
      <x:c r="J1480" s="12" t="n">
        <x:v>0</x:v>
      </x:c>
      <x:c r="K1480" s="12" t="n">
        <x:v>0</x:v>
      </x:c>
      <x:c r="L1480" s="12" t="n">
        <x:v>0</x:v>
      </x:c>
      <x:c r="M1480" s="2" t="str">
        <x:v>持有</x:v>
      </x:c>
    </x:row>
    <x:row r="1481" ht="23" customHeight="1">
      <x:c r="A1481" s="11" t="d">
        <x:v>2020-11-10T00:00:00.000Z</x:v>
      </x:c>
      <x:c r="B1481" s="12" t="n">
        <x:v>13746.57054</x:v>
      </x:c>
      <x:c r="C1481" s="13" t="n">
        <x:v>484</x:v>
      </x:c>
      <x:c r="D1481" s="12" t="n">
        <x:v>171355.36000000002</x:v>
      </x:c>
      <x:c r="E1481" s="12" t="n">
        <x:v>0</x:v>
      </x:c>
      <x:c r="F1481" s="12" t="n">
        <x:f>SUM(B1481,D1481:E1481)</x:f>
        <x:v>185101.93054000003</x:v>
      </x:c>
      <x:c r="G1481" s="12" t="n">
        <x:f>MAX(G1480,F1481)</x:f>
        <x:v>186225.186124</x:v>
      </x:c>
      <x:c r="H1481" s="14" t="n">
        <x:f>F1481/G1481-1</x:f>
        <x:v>-0.006031706061778497</x:v>
      </x:c>
      <x:c r="I1481" s="14" t="n">
        <x:f>F1481/F1480-1</x:f>
        <x:v>-0.0013578370513892546</x:v>
      </x:c>
      <x:c r="J1481" s="12" t="n">
        <x:v>0</x:v>
      </x:c>
      <x:c r="K1481" s="12" t="n">
        <x:v>0</x:v>
      </x:c>
      <x:c r="L1481" s="12" t="n">
        <x:v>0</x:v>
      </x:c>
      <x:c r="M1481" s="2" t="str">
        <x:v>持有</x:v>
      </x:c>
    </x:row>
    <x:row r="1482" ht="23" customHeight="1">
      <x:c r="A1482" s="11" t="d">
        <x:v>2020-11-11T00:00:00.000Z</x:v>
      </x:c>
      <x:c r="B1482" s="12" t="n">
        <x:v>13746.57054</x:v>
      </x:c>
      <x:c r="C1482" s="13" t="n">
        <x:v>484</x:v>
      </x:c>
      <x:c r="D1482" s="12" t="n">
        <x:v>172628.28</x:v>
      </x:c>
      <x:c r="E1482" s="12" t="n">
        <x:v>0</x:v>
      </x:c>
      <x:c r="F1482" s="12" t="n">
        <x:f>SUM(B1482,D1482:E1482)</x:f>
        <x:v>186374.85054</x:v>
      </x:c>
      <x:c r="G1482" s="12" t="n">
        <x:f>MAX(G1481,F1482)</x:f>
        <x:v>186374.85054</x:v>
      </x:c>
      <x:c r="H1482" s="14" t="n">
        <x:f>F1482/G1482-1</x:f>
        <x:v>0</x:v>
      </x:c>
      <x:c r="I1482" s="14" t="n">
        <x:f>F1482/F1481-1</x:f>
        <x:v>0.006876859664761259</x:v>
      </x:c>
      <x:c r="J1482" s="12" t="n">
        <x:v>0</x:v>
      </x:c>
      <x:c r="K1482" s="12" t="n">
        <x:v>0</x:v>
      </x:c>
      <x:c r="L1482" s="12" t="n">
        <x:v>0</x:v>
      </x:c>
      <x:c r="M1482" s="2" t="str">
        <x:v>持有</x:v>
      </x:c>
    </x:row>
    <x:row r="1483" ht="23" customHeight="1">
      <x:c r="A1483" s="11" t="d">
        <x:v>2020-11-12T00:00:00.000Z</x:v>
      </x:c>
      <x:c r="B1483" s="12" t="n">
        <x:v>13746.57054</x:v>
      </x:c>
      <x:c r="C1483" s="13" t="n">
        <x:v>484</x:v>
      </x:c>
      <x:c r="D1483" s="12" t="n">
        <x:v>170953.63999999998</x:v>
      </x:c>
      <x:c r="E1483" s="12" t="n">
        <x:v>0</x:v>
      </x:c>
      <x:c r="F1483" s="12" t="n">
        <x:f>SUM(B1483,D1483:E1483)</x:f>
        <x:v>184700.21054</x:v>
      </x:c>
      <x:c r="G1483" s="12" t="n">
        <x:f>MAX(G1482,F1483)</x:f>
        <x:v>186374.85054</x:v>
      </x:c>
      <x:c r="H1483" s="14" t="n">
        <x:f>F1483/G1483-1</x:f>
        <x:v>-0.008985332490665687</x:v>
      </x:c>
      <x:c r="I1483" s="14" t="n">
        <x:f>F1483/F1482-1</x:f>
        <x:v>-0.008985332490665687</x:v>
      </x:c>
      <x:c r="J1483" s="12" t="n">
        <x:v>0</x:v>
      </x:c>
      <x:c r="K1483" s="12" t="n">
        <x:v>0</x:v>
      </x:c>
      <x:c r="L1483" s="12" t="n">
        <x:v>0</x:v>
      </x:c>
      <x:c r="M1483" s="2" t="str">
        <x:v>持有</x:v>
      </x:c>
    </x:row>
    <x:row r="1484" ht="23" customHeight="1">
      <x:c r="A1484" s="11" t="d">
        <x:v>2020-11-13T00:00:00.000Z</x:v>
      </x:c>
      <x:c r="B1484" s="12" t="n">
        <x:v>13746.57054</x:v>
      </x:c>
      <x:c r="C1484" s="13" t="n">
        <x:v>484</x:v>
      </x:c>
      <x:c r="D1484" s="12" t="n">
        <x:v>173320.40000000002</x:v>
      </x:c>
      <x:c r="E1484" s="12" t="n">
        <x:v>0</x:v>
      </x:c>
      <x:c r="F1484" s="12" t="n">
        <x:f>SUM(B1484,D1484:E1484)</x:f>
        <x:v>187066.97054</x:v>
      </x:c>
      <x:c r="G1484" s="12" t="n">
        <x:f>MAX(G1483,F1484)</x:f>
        <x:v>187066.97054</x:v>
      </x:c>
      <x:c r="H1484" s="14" t="n">
        <x:f>F1484/G1484-1</x:f>
        <x:v>0</x:v>
      </x:c>
      <x:c r="I1484" s="14" t="n">
        <x:f>F1484/F1483-1</x:f>
        <x:v>0.012814062274647098</x:v>
      </x:c>
      <x:c r="J1484" s="12" t="n">
        <x:v>0</x:v>
      </x:c>
      <x:c r="K1484" s="12" t="n">
        <x:v>0</x:v>
      </x:c>
      <x:c r="L1484" s="12" t="n">
        <x:v>0</x:v>
      </x:c>
      <x:c r="M1484" s="2" t="str">
        <x:v>持有</x:v>
      </x:c>
    </x:row>
    <x:row r="1485" ht="23" customHeight="1">
      <x:c r="A1485" s="11" t="d">
        <x:v>2020-11-16T00:00:00.000Z</x:v>
      </x:c>
      <x:c r="B1485" s="12" t="n">
        <x:v>13746.57054</x:v>
      </x:c>
      <x:c r="C1485" s="13" t="n">
        <x:v>484</x:v>
      </x:c>
      <x:c r="D1485" s="12" t="n">
        <x:v>175483.88</x:v>
      </x:c>
      <x:c r="E1485" s="12" t="n">
        <x:v>0</x:v>
      </x:c>
      <x:c r="F1485" s="12" t="n">
        <x:f>SUM(B1485,D1485:E1485)</x:f>
        <x:v>189230.45054</x:v>
      </x:c>
      <x:c r="G1485" s="12" t="n">
        <x:f>MAX(G1484,F1485)</x:f>
        <x:v>189230.45054</x:v>
      </x:c>
      <x:c r="H1485" s="14" t="n">
        <x:f>F1485/G1485-1</x:f>
        <x:v>0</x:v>
      </x:c>
      <x:c r="I1485" s="14" t="n">
        <x:f>F1485/F1484-1</x:f>
        <x:v>0.011565269880378759</x:v>
      </x:c>
      <x:c r="J1485" s="12" t="n">
        <x:v>0</x:v>
      </x:c>
      <x:c r="K1485" s="12" t="n">
        <x:v>0</x:v>
      </x:c>
      <x:c r="L1485" s="12" t="n">
        <x:v>0</x:v>
      </x:c>
      <x:c r="M1485" s="2" t="str">
        <x:v>持有</x:v>
      </x:c>
    </x:row>
    <x:row r="1486" ht="23" customHeight="1">
      <x:c r="A1486" s="11" t="d">
        <x:v>2020-11-17T00:00:00.000Z</x:v>
      </x:c>
      <x:c r="B1486" s="12" t="n">
        <x:v>13746.57054</x:v>
      </x:c>
      <x:c r="C1486" s="13" t="n">
        <x:v>484</x:v>
      </x:c>
      <x:c r="D1486" s="12" t="n">
        <x:v>174540.08000000002</x:v>
      </x:c>
      <x:c r="E1486" s="12" t="n">
        <x:v>0</x:v>
      </x:c>
      <x:c r="F1486" s="12" t="n">
        <x:f>SUM(B1486,D1486:E1486)</x:f>
        <x:v>188286.65054</x:v>
      </x:c>
      <x:c r="G1486" s="12" t="n">
        <x:f>MAX(G1485,F1486)</x:f>
        <x:v>189230.45054</x:v>
      </x:c>
      <x:c r="H1486" s="14" t="n">
        <x:f>F1486/G1486-1</x:f>
        <x:v>-0.004987569375365819</x:v>
      </x:c>
      <x:c r="I1486" s="14" t="n">
        <x:f>F1486/F1485-1</x:f>
        <x:v>-0.004987569375365819</x:v>
      </x:c>
      <x:c r="J1486" s="12" t="n">
        <x:v>0</x:v>
      </x:c>
      <x:c r="K1486" s="12" t="n">
        <x:v>0</x:v>
      </x:c>
      <x:c r="L1486" s="12" t="n">
        <x:v>0</x:v>
      </x:c>
      <x:c r="M1486" s="2" t="str">
        <x:v>持有</x:v>
      </x:c>
    </x:row>
    <x:row r="1487" ht="23" customHeight="1">
      <x:c r="A1487" s="11" t="d">
        <x:v>2020-11-18T00:00:00.000Z</x:v>
      </x:c>
      <x:c r="B1487" s="12" t="n">
        <x:v>13746.57054</x:v>
      </x:c>
      <x:c r="C1487" s="13" t="n">
        <x:v>484</x:v>
      </x:c>
      <x:c r="D1487" s="12" t="n">
        <x:v>172439.52</x:v>
      </x:c>
      <x:c r="E1487" s="12" t="n">
        <x:v>0</x:v>
      </x:c>
      <x:c r="F1487" s="12" t="n">
        <x:f>SUM(B1487,D1487:E1487)</x:f>
        <x:v>186186.09054</x:v>
      </x:c>
      <x:c r="G1487" s="12" t="n">
        <x:f>MAX(G1486,F1487)</x:f>
        <x:v>189230.45054</x:v>
      </x:c>
      <x:c r="H1487" s="14" t="n">
        <x:f>F1487/G1487-1</x:f>
        <x:v>-0.016088108395411083</x:v>
      </x:c>
      <x:c r="I1487" s="14" t="n">
        <x:f>F1487/F1486-1</x:f>
        <x:v>-0.011156181247983676</x:v>
      </x:c>
      <x:c r="J1487" s="12" t="n">
        <x:v>0</x:v>
      </x:c>
      <x:c r="K1487" s="12" t="n">
        <x:v>0</x:v>
      </x:c>
      <x:c r="L1487" s="12" t="n">
        <x:v>0</x:v>
      </x:c>
      <x:c r="M1487" s="2" t="str">
        <x:v>持有</x:v>
      </x:c>
    </x:row>
    <x:row r="1488" ht="23" customHeight="1">
      <x:c r="A1488" s="11" t="d">
        <x:v>2020-11-19T00:00:00.000Z</x:v>
      </x:c>
      <x:c r="B1488" s="12" t="n">
        <x:v>13746.57054</x:v>
      </x:c>
      <x:c r="C1488" s="13" t="n">
        <x:v>484</x:v>
      </x:c>
      <x:c r="D1488" s="12" t="n">
        <x:v>173165.52</x:v>
      </x:c>
      <x:c r="E1488" s="12" t="n">
        <x:v>0</x:v>
      </x:c>
      <x:c r="F1488" s="12" t="n">
        <x:f>SUM(B1488,D1488:E1488)</x:f>
        <x:v>186912.09054</x:v>
      </x:c>
      <x:c r="G1488" s="12" t="n">
        <x:f>MAX(G1487,F1488)</x:f>
        <x:v>189230.45054</x:v>
      </x:c>
      <x:c r="H1488" s="14" t="n">
        <x:f>F1488/G1488-1</x:f>
        <x:v>-0.012251516568206444</x:v>
      </x:c>
      <x:c r="I1488" s="14" t="n">
        <x:f>F1488/F1487-1</x:f>
        <x:v>0.003899324583777286</x:v>
      </x:c>
      <x:c r="J1488" s="12" t="n">
        <x:v>0</x:v>
      </x:c>
      <x:c r="K1488" s="12" t="n">
        <x:v>0</x:v>
      </x:c>
      <x:c r="L1488" s="12" t="n">
        <x:v>0</x:v>
      </x:c>
      <x:c r="M1488" s="2" t="str">
        <x:v>持有</x:v>
      </x:c>
    </x:row>
    <x:row r="1489" ht="23" customHeight="1">
      <x:c r="A1489" s="11" t="d">
        <x:v>2020-11-20T00:00:00.000Z</x:v>
      </x:c>
      <x:c r="B1489" s="12" t="n">
        <x:v>13746.57054</x:v>
      </x:c>
      <x:c r="C1489" s="13" t="n">
        <x:v>484</x:v>
      </x:c>
      <x:c r="D1489" s="12" t="n">
        <x:v>171979.72</x:v>
      </x:c>
      <x:c r="E1489" s="12" t="n">
        <x:v>0</x:v>
      </x:c>
      <x:c r="F1489" s="12" t="n">
        <x:f>SUM(B1489,D1489:E1489)</x:f>
        <x:v>185726.29054000002</x:v>
      </x:c>
      <x:c r="G1489" s="12" t="n">
        <x:f>MAX(G1488,F1489)</x:f>
        <x:v>189230.45054</x:v>
      </x:c>
      <x:c r="H1489" s="14" t="n">
        <x:f>F1489/G1489-1</x:f>
        <x:v>-0.018517949885973883</x:v>
      </x:c>
      <x:c r="I1489" s="14" t="n">
        <x:f>F1489/F1488-1</x:f>
        <x:v>-0.006344158885464024</x:v>
      </x:c>
      <x:c r="J1489" s="12" t="n">
        <x:v>0</x:v>
      </x:c>
      <x:c r="K1489" s="12" t="n">
        <x:v>0</x:v>
      </x:c>
      <x:c r="L1489" s="12" t="n">
        <x:v>0</x:v>
      </x:c>
      <x:c r="M1489" s="2" t="str">
        <x:v>持有</x:v>
      </x:c>
    </x:row>
    <x:row r="1490" ht="23" customHeight="1">
      <x:c r="A1490" s="11" t="d">
        <x:v>2020-11-23T00:00:00.000Z</x:v>
      </x:c>
      <x:c r="B1490" s="12" t="n">
        <x:v>13746.57054</x:v>
      </x:c>
      <x:c r="C1490" s="13" t="n">
        <x:v>484</x:v>
      </x:c>
      <x:c r="D1490" s="12" t="n">
        <x:v>173010.63999999998</x:v>
      </x:c>
      <x:c r="E1490" s="12" t="n">
        <x:v>0</x:v>
      </x:c>
      <x:c r="F1490" s="12" t="n">
        <x:f>SUM(B1490,D1490:E1490)</x:f>
        <x:v>186757.21054</x:v>
      </x:c>
      <x:c r="G1490" s="12" t="n">
        <x:f>MAX(G1489,F1490)</x:f>
        <x:v>189230.45054</x:v>
      </x:c>
      <x:c r="H1490" s="14" t="n">
        <x:f>F1490/G1490-1</x:f>
        <x:v>-0.013069989491343526</x:v>
      </x:c>
      <x:c r="I1490" s="14" t="n">
        <x:f>F1490/F1489-1</x:f>
        <x:v>0.005550748884299406</x:v>
      </x:c>
      <x:c r="J1490" s="12" t="n">
        <x:v>0</x:v>
      </x:c>
      <x:c r="K1490" s="12" t="n">
        <x:v>0</x:v>
      </x:c>
      <x:c r="L1490" s="12" t="n">
        <x:v>0</x:v>
      </x:c>
      <x:c r="M1490" s="2" t="str">
        <x:v>持有</x:v>
      </x:c>
    </x:row>
    <x:row r="1491" ht="23" customHeight="1">
      <x:c r="A1491" s="11" t="d">
        <x:v>2020-11-24T00:00:00.000Z</x:v>
      </x:c>
      <x:c r="B1491" s="12" t="n">
        <x:v>13746.57054</x:v>
      </x:c>
      <x:c r="C1491" s="13" t="n">
        <x:v>484</x:v>
      </x:c>
      <x:c r="D1491" s="12" t="n">
        <x:v>175798.48</x:v>
      </x:c>
      <x:c r="E1491" s="12" t="n">
        <x:v>0</x:v>
      </x:c>
      <x:c r="F1491" s="12" t="n">
        <x:f>SUM(B1491,D1491:E1491)</x:f>
        <x:v>189545.05054000003</x:v>
      </x:c>
      <x:c r="G1491" s="12" t="n">
        <x:f>MAX(G1490,F1491)</x:f>
        <x:v>189545.05054000003</x:v>
      </x:c>
      <x:c r="H1491" s="14" t="n">
        <x:f>F1491/G1491-1</x:f>
        <x:v>0</x:v>
      </x:c>
      <x:c r="I1491" s="14" t="n">
        <x:f>F1491/F1490-1</x:f>
        <x:v>0.014927616406023247</x:v>
      </x:c>
      <x:c r="J1491" s="12" t="n">
        <x:v>0</x:v>
      </x:c>
      <x:c r="K1491" s="12" t="n">
        <x:v>0</x:v>
      </x:c>
      <x:c r="L1491" s="12" t="n">
        <x:v>0</x:v>
      </x:c>
      <x:c r="M1491" s="2" t="str">
        <x:v>持有</x:v>
      </x:c>
    </x:row>
    <x:row r="1492" ht="23" customHeight="1">
      <x:c r="A1492" s="11" t="d">
        <x:v>2020-11-25T00:00:00.000Z</x:v>
      </x:c>
      <x:c r="B1492" s="12" t="n">
        <x:v>13746.57054</x:v>
      </x:c>
      <x:c r="C1492" s="13" t="n">
        <x:v>484</x:v>
      </x:c>
      <x:c r="D1492" s="12" t="n">
        <x:v>175527.44</x:v>
      </x:c>
      <x:c r="E1492" s="12" t="n">
        <x:v>0</x:v>
      </x:c>
      <x:c r="F1492" s="12" t="n">
        <x:f>SUM(B1492,D1492:E1492)</x:f>
        <x:v>189274.01054</x:v>
      </x:c>
      <x:c r="G1492" s="12" t="n">
        <x:f>MAX(G1491,F1492)</x:f>
        <x:v>189545.05054000003</x:v>
      </x:c>
      <x:c r="H1492" s="14" t="n">
        <x:f>F1492/G1492-1</x:f>
        <x:v>-0.0014299502900648742</x:v>
      </x:c>
      <x:c r="I1492" s="14" t="n">
        <x:f>F1492/F1491-1</x:f>
        <x:v>-0.0014299502900648742</x:v>
      </x:c>
      <x:c r="J1492" s="12" t="n">
        <x:v>0</x:v>
      </x:c>
      <x:c r="K1492" s="12" t="n">
        <x:v>0</x:v>
      </x:c>
      <x:c r="L1492" s="12" t="n">
        <x:v>0</x:v>
      </x:c>
      <x:c r="M1492" s="2" t="str">
        <x:v>持有</x:v>
      </x:c>
    </x:row>
    <x:row r="1493" ht="23" customHeight="1">
      <x:c r="A1493" s="11" t="d">
        <x:v>2020-11-27T00:00:00.000Z</x:v>
      </x:c>
      <x:c r="B1493" s="12" t="n">
        <x:v>13746.57054</x:v>
      </x:c>
      <x:c r="C1493" s="13" t="n">
        <x:v>484</x:v>
      </x:c>
      <x:c r="D1493" s="12" t="n">
        <x:v>176016.28</x:v>
      </x:c>
      <x:c r="E1493" s="12" t="n">
        <x:v>0</x:v>
      </x:c>
      <x:c r="F1493" s="12" t="n">
        <x:f>SUM(B1493,D1493:E1493)</x:f>
        <x:v>189762.85054</x:v>
      </x:c>
      <x:c r="G1493" s="12" t="n">
        <x:f>MAX(G1492,F1493)</x:f>
        <x:v>189762.85054</x:v>
      </x:c>
      <x:c r="H1493" s="14" t="n">
        <x:f>F1493/G1493-1</x:f>
        <x:v>0</x:v>
      </x:c>
      <x:c r="I1493" s="14" t="n">
        <x:f>F1493/F1492-1</x:f>
        <x:v>0.002582710635260277</x:v>
      </x:c>
      <x:c r="J1493" s="12" t="n">
        <x:v>0</x:v>
      </x:c>
      <x:c r="K1493" s="12" t="n">
        <x:v>0</x:v>
      </x:c>
      <x:c r="L1493" s="12" t="n">
        <x:v>0</x:v>
      </x:c>
      <x:c r="M1493" s="2" t="str">
        <x:v>持有</x:v>
      </x:c>
    </x:row>
    <x:row r="1494" ht="23" customHeight="1">
      <x:c r="A1494" s="11" t="d">
        <x:v>2020-11-30T00:00:00.000Z</x:v>
      </x:c>
      <x:c r="B1494" s="12" t="n">
        <x:v>13746.57054</x:v>
      </x:c>
      <x:c r="C1494" s="13" t="n">
        <x:v>484</x:v>
      </x:c>
      <x:c r="D1494" s="12" t="n">
        <x:v>175237.04</x:v>
      </x:c>
      <x:c r="E1494" s="12" t="n">
        <x:v>0</x:v>
      </x:c>
      <x:c r="F1494" s="12" t="n">
        <x:f>SUM(B1494,D1494:E1494)</x:f>
        <x:v>188983.61054000002</x:v>
      </x:c>
      <x:c r="G1494" s="12" t="n">
        <x:f>MAX(G1493,F1494)</x:f>
        <x:v>189762.85054</x:v>
      </x:c>
      <x:c r="H1494" s="14" t="n">
        <x:f>F1494/G1494-1</x:f>
        <x:v>-0.0041063885675333145</x:v>
      </x:c>
      <x:c r="I1494" s="14" t="n">
        <x:f>F1494/F1493-1</x:f>
        <x:v>-0.0041063885675333145</x:v>
      </x:c>
      <x:c r="J1494" s="12" t="n">
        <x:v>0</x:v>
      </x:c>
      <x:c r="K1494" s="12" t="n">
        <x:v>0</x:v>
      </x:c>
      <x:c r="L1494" s="12" t="n">
        <x:v>0</x:v>
      </x:c>
      <x:c r="M1494" s="2" t="str">
        <x:v>持有</x:v>
      </x:c>
    </x:row>
    <x:row r="1495" ht="23" customHeight="1">
      <x:c r="A1495" s="11" t="d">
        <x:v>2020-12-01T00:00:00.000Z</x:v>
      </x:c>
      <x:c r="B1495" s="12" t="n">
        <x:v>13746.57054</x:v>
      </x:c>
      <x:c r="C1495" s="13" t="n">
        <x:v>484</x:v>
      </x:c>
      <x:c r="D1495" s="12" t="n">
        <x:v>177153.68</x:v>
      </x:c>
      <x:c r="E1495" s="12" t="n">
        <x:v>0</x:v>
      </x:c>
      <x:c r="F1495" s="12" t="n">
        <x:f>SUM(B1495,D1495:E1495)</x:f>
        <x:v>190900.25053999998</x:v>
      </x:c>
      <x:c r="G1495" s="12" t="n">
        <x:f>MAX(G1494,F1495)</x:f>
        <x:v>190900.25053999998</x:v>
      </x:c>
      <x:c r="H1495" s="14" t="n">
        <x:f>F1495/G1495-1</x:f>
        <x:v>0</x:v>
      </x:c>
      <x:c r="I1495" s="14" t="n">
        <x:f>F1495/F1494-1</x:f>
        <x:v>0.010141831847340521</x:v>
      </x:c>
      <x:c r="J1495" s="12" t="n">
        <x:v>0</x:v>
      </x:c>
      <x:c r="K1495" s="12" t="n">
        <x:v>0</x:v>
      </x:c>
      <x:c r="L1495" s="12" t="n">
        <x:v>0</x:v>
      </x:c>
      <x:c r="M1495" s="2" t="str">
        <x:v>持有</x:v>
      </x:c>
    </x:row>
    <x:row r="1496" ht="23" customHeight="1">
      <x:c r="A1496" s="11" t="d">
        <x:v>2020-12-02T00:00:00.000Z</x:v>
      </x:c>
      <x:c r="B1496" s="12" t="n">
        <x:v>13746.57054</x:v>
      </x:c>
      <x:c r="C1496" s="13" t="n">
        <x:v>484</x:v>
      </x:c>
      <x:c r="D1496" s="12" t="n">
        <x:v>177526.36000000002</x:v>
      </x:c>
      <x:c r="E1496" s="12" t="n">
        <x:v>0</x:v>
      </x:c>
      <x:c r="F1496" s="12" t="n">
        <x:f>SUM(B1496,D1496:E1496)</x:f>
        <x:v>191272.93054000003</x:v>
      </x:c>
      <x:c r="G1496" s="12" t="n">
        <x:f>MAX(G1495,F1496)</x:f>
        <x:v>191272.93054000003</x:v>
      </x:c>
      <x:c r="H1496" s="14" t="n">
        <x:f>F1496/G1496-1</x:f>
        <x:v>0</x:v>
      </x:c>
      <x:c r="I1496" s="14" t="n">
        <x:f>F1496/F1495-1</x:f>
        <x:v>0.001952223734363212</x:v>
      </x:c>
      <x:c r="J1496" s="12" t="n">
        <x:v>0</x:v>
      </x:c>
      <x:c r="K1496" s="12" t="n">
        <x:v>0</x:v>
      </x:c>
      <x:c r="L1496" s="12" t="n">
        <x:v>0</x:v>
      </x:c>
      <x:c r="M1496" s="2" t="str">
        <x:v>持有</x:v>
      </x:c>
    </x:row>
    <x:row r="1497" ht="23" customHeight="1">
      <x:c r="A1497" s="11" t="d">
        <x:v>2020-12-03T00:00:00.000Z</x:v>
      </x:c>
      <x:c r="B1497" s="12" t="n">
        <x:v>13746.57054</x:v>
      </x:c>
      <x:c r="C1497" s="13" t="n">
        <x:v>484</x:v>
      </x:c>
      <x:c r="D1497" s="12" t="n">
        <x:v>177477.96</x:v>
      </x:c>
      <x:c r="E1497" s="12" t="n">
        <x:v>0</x:v>
      </x:c>
      <x:c r="F1497" s="12" t="n">
        <x:f>SUM(B1497,D1497:E1497)</x:f>
        <x:v>191224.53054</x:v>
      </x:c>
      <x:c r="G1497" s="12" t="n">
        <x:f>MAX(G1496,F1497)</x:f>
        <x:v>191272.93054000003</x:v>
      </x:c>
      <x:c r="H1497" s="14" t="n">
        <x:f>F1497/G1497-1</x:f>
        <x:v>-0.0002530415561856625</x:v>
      </x:c>
      <x:c r="I1497" s="14" t="n">
        <x:f>F1497/F1496-1</x:f>
        <x:v>-0.0002530415561856625</x:v>
      </x:c>
      <x:c r="J1497" s="12" t="n">
        <x:v>0</x:v>
      </x:c>
      <x:c r="K1497" s="12" t="n">
        <x:v>0</x:v>
      </x:c>
      <x:c r="L1497" s="12" t="n">
        <x:v>0</x:v>
      </x:c>
      <x:c r="M1497" s="2" t="str">
        <x:v>持有</x:v>
      </x:c>
    </x:row>
    <x:row r="1498" ht="23" customHeight="1">
      <x:c r="A1498" s="11" t="d">
        <x:v>2020-12-04T00:00:00.000Z</x:v>
      </x:c>
      <x:c r="B1498" s="12" t="n">
        <x:v>13746.57054</x:v>
      </x:c>
      <x:c r="C1498" s="13" t="n">
        <x:v>484</x:v>
      </x:c>
      <x:c r="D1498" s="12" t="n">
        <x:v>179007.40000000002</x:v>
      </x:c>
      <x:c r="E1498" s="12" t="n">
        <x:v>0</x:v>
      </x:c>
      <x:c r="F1498" s="12" t="n">
        <x:f>SUM(B1498,D1498:E1498)</x:f>
        <x:v>192753.97054</x:v>
      </x:c>
      <x:c r="G1498" s="12" t="n">
        <x:f>MAX(G1497,F1498)</x:f>
        <x:v>192753.97054</x:v>
      </x:c>
      <x:c r="H1498" s="14" t="n">
        <x:f>F1498/G1498-1</x:f>
        <x:v>0</x:v>
      </x:c>
      <x:c r="I1498" s="14" t="n">
        <x:f>F1498/F1497-1</x:f>
        <x:v>0.00799813703650365</x:v>
      </x:c>
      <x:c r="J1498" s="12" t="n">
        <x:v>0</x:v>
      </x:c>
      <x:c r="K1498" s="12" t="n">
        <x:v>0</x:v>
      </x:c>
      <x:c r="L1498" s="12" t="n">
        <x:v>0</x:v>
      </x:c>
      <x:c r="M1498" s="2" t="str">
        <x:v>持有</x:v>
      </x:c>
    </x:row>
    <x:row r="1499" ht="23" customHeight="1">
      <x:c r="A1499" s="11" t="d">
        <x:v>2020-12-07T00:00:00.000Z</x:v>
      </x:c>
      <x:c r="B1499" s="12" t="n">
        <x:v>13746.57054</x:v>
      </x:c>
      <x:c r="C1499" s="13" t="n">
        <x:v>484</x:v>
      </x:c>
      <x:c r="D1499" s="12" t="n">
        <x:v>178639.56</x:v>
      </x:c>
      <x:c r="E1499" s="12" t="n">
        <x:v>0</x:v>
      </x:c>
      <x:c r="F1499" s="12" t="n">
        <x:f>SUM(B1499,D1499:E1499)</x:f>
        <x:v>192386.13053999998</x:v>
      </x:c>
      <x:c r="G1499" s="12" t="n">
        <x:f>MAX(G1498,F1499)</x:f>
        <x:v>192753.97054</x:v>
      </x:c>
      <x:c r="H1499" s="14" t="n">
        <x:f>F1499/G1499-1</x:f>
        <x:v>-0.0019083394182206614</x:v>
      </x:c>
      <x:c r="I1499" s="14" t="n">
        <x:f>F1499/F1498-1</x:f>
        <x:v>-0.0019083394182206614</x:v>
      </x:c>
      <x:c r="J1499" s="12" t="n">
        <x:v>0</x:v>
      </x:c>
      <x:c r="K1499" s="12" t="n">
        <x:v>0</x:v>
      </x:c>
      <x:c r="L1499" s="12" t="n">
        <x:v>0</x:v>
      </x:c>
      <x:c r="M1499" s="2" t="str">
        <x:v>持有</x:v>
      </x:c>
    </x:row>
    <x:row r="1500" ht="23" customHeight="1">
      <x:c r="A1500" s="11" t="d">
        <x:v>2020-12-08T00:00:00.000Z</x:v>
      </x:c>
      <x:c r="B1500" s="12" t="n">
        <x:v>13746.57054</x:v>
      </x:c>
      <x:c r="C1500" s="13" t="n">
        <x:v>484</x:v>
      </x:c>
      <x:c r="D1500" s="12" t="n">
        <x:v>179162.28</x:v>
      </x:c>
      <x:c r="E1500" s="12" t="n">
        <x:v>0</x:v>
      </x:c>
      <x:c r="F1500" s="12" t="n">
        <x:f>SUM(B1500,D1500:E1500)</x:f>
        <x:v>192908.85054</x:v>
      </x:c>
      <x:c r="G1500" s="12" t="n">
        <x:f>MAX(G1499,F1500)</x:f>
        <x:v>192908.85054</x:v>
      </x:c>
      <x:c r="H1500" s="14" t="n">
        <x:f>F1500/G1500-1</x:f>
        <x:v>0</x:v>
      </x:c>
      <x:c r="I1500" s="14" t="n">
        <x:f>F1500/F1499-1</x:f>
        <x:v>0.0027170357786854282</x:v>
      </x:c>
      <x:c r="J1500" s="12" t="n">
        <x:v>0</x:v>
      </x:c>
      <x:c r="K1500" s="12" t="n">
        <x:v>0</x:v>
      </x:c>
      <x:c r="L1500" s="12" t="n">
        <x:v>0</x:v>
      </x:c>
      <x:c r="M1500" s="2" t="str">
        <x:v>持有</x:v>
      </x:c>
    </x:row>
    <x:row r="1501" ht="23" customHeight="1">
      <x:c r="A1501" s="11" t="d">
        <x:v>2020-12-09T00:00:00.000Z</x:v>
      </x:c>
      <x:c r="B1501" s="12" t="n">
        <x:v>13746.57054</x:v>
      </x:c>
      <x:c r="C1501" s="13" t="n">
        <x:v>484</x:v>
      </x:c>
      <x:c r="D1501" s="12" t="n">
        <x:v>177555.40000000002</x:v>
      </x:c>
      <x:c r="E1501" s="12" t="n">
        <x:v>0</x:v>
      </x:c>
      <x:c r="F1501" s="12" t="n">
        <x:f>SUM(B1501,D1501:E1501)</x:f>
        <x:v>191301.97054</x:v>
      </x:c>
      <x:c r="G1501" s="12" t="n">
        <x:f>MAX(G1500,F1501)</x:f>
        <x:v>192908.85054</x:v>
      </x:c>
      <x:c r="H1501" s="14" t="n">
        <x:f>F1501/G1501-1</x:f>
        <x:v>-0.008329737051990804</x:v>
      </x:c>
      <x:c r="I1501" s="14" t="n">
        <x:f>F1501/F1500-1</x:f>
        <x:v>-0.008329737051990804</x:v>
      </x:c>
      <x:c r="J1501" s="12" t="n">
        <x:v>0</x:v>
      </x:c>
      <x:c r="K1501" s="12" t="n">
        <x:v>0</x:v>
      </x:c>
      <x:c r="L1501" s="12" t="n">
        <x:v>0</x:v>
      </x:c>
      <x:c r="M1501" s="2" t="str">
        <x:v>持有</x:v>
      </x:c>
    </x:row>
    <x:row r="1502" ht="23" customHeight="1">
      <x:c r="A1502" s="11" t="d">
        <x:v>2020-12-10T00:00:00.000Z</x:v>
      </x:c>
      <x:c r="B1502" s="12" t="n">
        <x:v>13746.57054</x:v>
      </x:c>
      <x:c r="C1502" s="13" t="n">
        <x:v>484</x:v>
      </x:c>
      <x:c r="D1502" s="12" t="n">
        <x:v>177497.32</x:v>
      </x:c>
      <x:c r="E1502" s="12" t="n">
        <x:v>0</x:v>
      </x:c>
      <x:c r="F1502" s="12" t="n">
        <x:f>SUM(B1502,D1502:E1502)</x:f>
        <x:v>191243.89054</x:v>
      </x:c>
      <x:c r="G1502" s="12" t="n">
        <x:f>MAX(G1501,F1502)</x:f>
        <x:v>192908.85054</x:v>
      </x:c>
      <x:c r="H1502" s="14" t="n">
        <x:f>F1502/G1502-1</x:f>
        <x:v>-0.008630811885195433</x:v>
      </x:c>
      <x:c r="I1502" s="14" t="n">
        <x:f>F1502/F1501-1</x:f>
        <x:v>-0.0003036037728000318</x:v>
      </x:c>
      <x:c r="J1502" s="12" t="n">
        <x:v>0</x:v>
      </x:c>
      <x:c r="K1502" s="12" t="n">
        <x:v>0</x:v>
      </x:c>
      <x:c r="L1502" s="12" t="n">
        <x:v>0</x:v>
      </x:c>
      <x:c r="M1502" s="2" t="str">
        <x:v>持有</x:v>
      </x:c>
    </x:row>
    <x:row r="1503" ht="23" customHeight="1">
      <x:c r="A1503" s="11" t="d">
        <x:v>2020-12-11T00:00:00.000Z</x:v>
      </x:c>
      <x:c r="B1503" s="12" t="n">
        <x:v>13746.57054</x:v>
      </x:c>
      <x:c r="C1503" s="13" t="n">
        <x:v>484</x:v>
      </x:c>
      <x:c r="D1503" s="12" t="n">
        <x:v>177289.2</x:v>
      </x:c>
      <x:c r="E1503" s="12" t="n">
        <x:v>0</x:v>
      </x:c>
      <x:c r="F1503" s="12" t="n">
        <x:f>SUM(B1503,D1503:E1503)</x:f>
        <x:v>191035.77054</x:v>
      </x:c>
      <x:c r="G1503" s="12" t="n">
        <x:f>MAX(G1502,F1503)</x:f>
        <x:v>192908.85054</x:v>
      </x:c>
      <x:c r="H1503" s="14" t="n">
        <x:f>F1503/G1503-1</x:f>
        <x:v>-0.009709663370844779</x:v>
      </x:c>
      <x:c r="I1503" s="14" t="n">
        <x:f>F1503/F1502-1</x:f>
        <x:v>-0.0010882439141577382</x:v>
      </x:c>
      <x:c r="J1503" s="12" t="n">
        <x:v>0</x:v>
      </x:c>
      <x:c r="K1503" s="12" t="n">
        <x:v>0</x:v>
      </x:c>
      <x:c r="L1503" s="12" t="n">
        <x:v>0</x:v>
      </x:c>
      <x:c r="M1503" s="2" t="str">
        <x:v>持有</x:v>
      </x:c>
    </x:row>
    <x:row r="1504" ht="23" customHeight="1">
      <x:c r="A1504" s="11" t="d">
        <x:v>2020-12-14T00:00:00.000Z</x:v>
      </x:c>
      <x:c r="B1504" s="12" t="n">
        <x:v>13746.57054</x:v>
      </x:c>
      <x:c r="C1504" s="13" t="n">
        <x:v>484</x:v>
      </x:c>
      <x:c r="D1504" s="12" t="n">
        <x:v>176495.44</x:v>
      </x:c>
      <x:c r="E1504" s="12" t="n">
        <x:v>0</x:v>
      </x:c>
      <x:c r="F1504" s="12" t="n">
        <x:f>SUM(B1504,D1504:E1504)</x:f>
        <x:v>190242.01054</x:v>
      </x:c>
      <x:c r="G1504" s="12" t="n">
        <x:f>MAX(G1503,F1504)</x:f>
        <x:v>192908.85054</x:v>
      </x:c>
      <x:c r="H1504" s="14" t="n">
        <x:f>F1504/G1504-1</x:f>
        <x:v>-0.013824352757972891</x:v>
      </x:c>
      <x:c r="I1504" s="14" t="n">
        <x:f>F1504/F1503-1</x:f>
        <x:v>-0.00415503336237133</x:v>
      </x:c>
      <x:c r="J1504" s="12" t="n">
        <x:v>0</x:v>
      </x:c>
      <x:c r="K1504" s="12" t="n">
        <x:v>0</x:v>
      </x:c>
      <x:c r="L1504" s="12" t="n">
        <x:v>0</x:v>
      </x:c>
      <x:c r="M1504" s="2" t="str">
        <x:v>持有</x:v>
      </x:c>
    </x:row>
    <x:row r="1505" ht="23" customHeight="1">
      <x:c r="A1505" s="11" t="d">
        <x:v>2020-12-15T00:00:00.000Z</x:v>
      </x:c>
      <x:c r="B1505" s="12" t="n">
        <x:v>13746.57054</x:v>
      </x:c>
      <x:c r="C1505" s="13" t="n">
        <x:v>484</x:v>
      </x:c>
      <x:c r="D1505" s="12" t="n">
        <x:v>178881.56</x:v>
      </x:c>
      <x:c r="E1505" s="12" t="n">
        <x:v>0</x:v>
      </x:c>
      <x:c r="F1505" s="12" t="n">
        <x:f>SUM(B1505,D1505:E1505)</x:f>
        <x:v>192628.13053999998</x:v>
      </x:c>
      <x:c r="G1505" s="12" t="n">
        <x:f>MAX(G1504,F1505)</x:f>
        <x:v>192908.85054</x:v>
      </x:c>
      <x:c r="H1505" s="14" t="n">
        <x:f>F1505/G1505-1</x:f>
        <x:v>-0.0014551950271551872</x:v>
      </x:c>
      <x:c r="I1505" s="14" t="n">
        <x:f>F1505/F1504-1</x:f>
        <x:v>0.012542550371639871</x:v>
      </x:c>
      <x:c r="J1505" s="12" t="n">
        <x:v>0</x:v>
      </x:c>
      <x:c r="K1505" s="12" t="n">
        <x:v>0</x:v>
      </x:c>
      <x:c r="L1505" s="12" t="n">
        <x:v>0</x:v>
      </x:c>
      <x:c r="M1505" s="2" t="str">
        <x:v>持有</x:v>
      </x:c>
    </x:row>
    <x:row r="1506" ht="23" customHeight="1">
      <x:c r="A1506" s="11" t="d">
        <x:v>2020-12-16T00:00:00.000Z</x:v>
      </x:c>
      <x:c r="B1506" s="12" t="n">
        <x:v>13746.57054</x:v>
      </x:c>
      <x:c r="C1506" s="13" t="n">
        <x:v>484</x:v>
      </x:c>
      <x:c r="D1506" s="12" t="n">
        <x:v>179162.28</x:v>
      </x:c>
      <x:c r="E1506" s="12" t="n">
        <x:v>0</x:v>
      </x:c>
      <x:c r="F1506" s="12" t="n">
        <x:f>SUM(B1506,D1506:E1506)</x:f>
        <x:v>192908.85054</x:v>
      </x:c>
      <x:c r="G1506" s="12" t="n">
        <x:f>MAX(G1505,F1506)</x:f>
        <x:v>192908.85054</x:v>
      </x:c>
      <x:c r="H1506" s="14" t="n">
        <x:f>F1506/G1506-1</x:f>
        <x:v>0</x:v>
      </x:c>
      <x:c r="I1506" s="14" t="n">
        <x:f>F1506/F1505-1</x:f>
        <x:v>0.0014573157057231612</x:v>
      </x:c>
      <x:c r="J1506" s="12" t="n">
        <x:v>0</x:v>
      </x:c>
      <x:c r="K1506" s="12" t="n">
        <x:v>0</x:v>
      </x:c>
      <x:c r="L1506" s="12" t="n">
        <x:v>0</x:v>
      </x:c>
      <x:c r="M1506" s="2" t="str">
        <x:v>持有</x:v>
      </x:c>
    </x:row>
    <x:row r="1507" ht="23" customHeight="1">
      <x:c r="A1507" s="11" t="d">
        <x:v>2020-12-17T00:00:00.000Z</x:v>
      </x:c>
      <x:c r="B1507" s="12" t="n">
        <x:v>13746.57054</x:v>
      </x:c>
      <x:c r="C1507" s="13" t="n">
        <x:v>484</x:v>
      </x:c>
      <x:c r="D1507" s="12" t="n">
        <x:v>180164.16</x:v>
      </x:c>
      <x:c r="E1507" s="12" t="n">
        <x:v>0</x:v>
      </x:c>
      <x:c r="F1507" s="12" t="n">
        <x:f>SUM(B1507,D1507:E1507)</x:f>
        <x:v>193910.73054000002</x:v>
      </x:c>
      <x:c r="G1507" s="12" t="n">
        <x:f>MAX(G1506,F1507)</x:f>
        <x:v>193910.73054000002</x:v>
      </x:c>
      <x:c r="H1507" s="14" t="n">
        <x:f>F1507/G1507-1</x:f>
        <x:v>0</x:v>
      </x:c>
      <x:c r="I1507" s="14" t="n">
        <x:f>F1507/F1506-1</x:f>
        <x:v>0.005193540872777458</x:v>
      </x:c>
      <x:c r="J1507" s="12" t="n">
        <x:v>0</x:v>
      </x:c>
      <x:c r="K1507" s="12" t="n">
        <x:v>0</x:v>
      </x:c>
      <x:c r="L1507" s="12" t="n">
        <x:v>0</x:v>
      </x:c>
      <x:c r="M1507" s="2" t="str">
        <x:v>持有</x:v>
      </x:c>
    </x:row>
    <x:row r="1508" ht="23" customHeight="1">
      <x:c r="A1508" s="11" t="d">
        <x:v>2020-12-18T00:00:00.000Z</x:v>
      </x:c>
      <x:c r="B1508" s="12" t="n">
        <x:v>13746.57054</x:v>
      </x:c>
      <x:c r="C1508" s="13" t="n">
        <x:v>484</x:v>
      </x:c>
      <x:c r="D1508" s="12" t="n">
        <x:v>178683.12</x:v>
      </x:c>
      <x:c r="E1508" s="12" t="n">
        <x:v>764.72</x:v>
      </x:c>
      <x:c r="F1508" s="12" t="n">
        <x:f>SUM(B1508,D1508:E1508)</x:f>
        <x:v>193194.41054</x:v>
      </x:c>
      <x:c r="G1508" s="12" t="n">
        <x:f>MAX(G1507,F1508)</x:f>
        <x:v>193910.73054000002</x:v>
      </x:c>
      <x:c r="H1508" s="14" t="n">
        <x:f>F1508/G1508-1</x:f>
        <x:v>-0.003694070967631413</x:v>
      </x:c>
      <x:c r="I1508" s="14" t="n">
        <x:f>F1508/F1507-1</x:f>
        <x:v>-0.003694070967631413</x:v>
      </x:c>
      <x:c r="J1508" s="12" t="n">
        <x:v>764.72</x:v>
      </x:c>
      <x:c r="K1508" s="12" t="n">
        <x:v>0</x:v>
      </x:c>
      <x:c r="L1508" s="12" t="n">
        <x:v>0</x:v>
      </x:c>
      <x:c r="M1508" s="2" t="str">
        <x:v>持有</x:v>
      </x:c>
    </x:row>
    <x:row r="1509" ht="23" customHeight="1">
      <x:c r="A1509" s="11" t="d">
        <x:v>2020-12-21T00:00:00.000Z</x:v>
      </x:c>
      <x:c r="B1509" s="12" t="n">
        <x:v>13746.57054</x:v>
      </x:c>
      <x:c r="C1509" s="13" t="n">
        <x:v>484</x:v>
      </x:c>
      <x:c r="D1509" s="12" t="n">
        <x:v>178044.24000000002</x:v>
      </x:c>
      <x:c r="E1509" s="12" t="n">
        <x:v>764.72</x:v>
      </x:c>
      <x:c r="F1509" s="12" t="n">
        <x:f>SUM(B1509,D1509:E1509)</x:f>
        <x:v>192555.53054</x:v>
      </x:c>
      <x:c r="G1509" s="12" t="n">
        <x:f>MAX(G1508,F1509)</x:f>
        <x:v>193910.73054000002</x:v>
      </x:c>
      <x:c r="H1509" s="14" t="n">
        <x:f>F1509/G1509-1</x:f>
        <x:v>-0.006988782911735103</x:v>
      </x:c>
      <x:c r="I1509" s="14" t="n">
        <x:f>F1509/F1508-1</x:f>
        <x:v>-0.0033069279707123034</x:v>
      </x:c>
      <x:c r="J1509" s="12" t="n">
        <x:v>0</x:v>
      </x:c>
      <x:c r="K1509" s="12" t="n">
        <x:v>0</x:v>
      </x:c>
      <x:c r="L1509" s="12" t="n">
        <x:v>0</x:v>
      </x:c>
      <x:c r="M1509" s="2" t="str">
        <x:v>持有</x:v>
      </x:c>
    </x:row>
    <x:row r="1510" ht="23" customHeight="1">
      <x:c r="A1510" s="11" t="d">
        <x:v>2020-12-22T00:00:00.000Z</x:v>
      </x:c>
      <x:c r="B1510" s="12" t="n">
        <x:v>13746.57054</x:v>
      </x:c>
      <x:c r="C1510" s="13" t="n">
        <x:v>484</x:v>
      </x:c>
      <x:c r="D1510" s="12" t="n">
        <x:v>177744.16</x:v>
      </x:c>
      <x:c r="E1510" s="12" t="n">
        <x:v>764.72</x:v>
      </x:c>
      <x:c r="F1510" s="12" t="n">
        <x:f>SUM(B1510,D1510:E1510)</x:f>
        <x:v>192255.45054</x:v>
      </x:c>
      <x:c r="G1510" s="12" t="n">
        <x:f>MAX(G1509,F1510)</x:f>
        <x:v>193910.73054000002</x:v>
      </x:c>
      <x:c r="H1510" s="14" t="n">
        <x:f>F1510/G1510-1</x:f>
        <x:v>-0.00853629912790499</x:v>
      </x:c>
      <x:c r="I1510" s="14" t="n">
        <x:f>F1510/F1509-1</x:f>
        <x:v>-0.0015584075884939042</x:v>
      </x:c>
      <x:c r="J1510" s="12" t="n">
        <x:v>0</x:v>
      </x:c>
      <x:c r="K1510" s="12" t="n">
        <x:v>0</x:v>
      </x:c>
      <x:c r="L1510" s="12" t="n">
        <x:v>0</x:v>
      </x:c>
      <x:c r="M1510" s="2" t="str">
        <x:v>持有</x:v>
      </x:c>
    </x:row>
    <x:row r="1511" ht="23" customHeight="1">
      <x:c r="A1511" s="11" t="d">
        <x:v>2020-12-23T00:00:00.000Z</x:v>
      </x:c>
      <x:c r="B1511" s="12" t="n">
        <x:v>13746.57054</x:v>
      </x:c>
      <x:c r="C1511" s="13" t="n">
        <x:v>484</x:v>
      </x:c>
      <x:c r="D1511" s="12" t="n">
        <x:v>177903.88</x:v>
      </x:c>
      <x:c r="E1511" s="12" t="n">
        <x:v>764.72</x:v>
      </x:c>
      <x:c r="F1511" s="12" t="n">
        <x:f>SUM(B1511,D1511:E1511)</x:f>
        <x:v>192415.17054000002</x:v>
      </x:c>
      <x:c r="G1511" s="12" t="n">
        <x:f>MAX(G1510,F1511)</x:f>
        <x:v>193910.73054000002</x:v>
      </x:c>
      <x:c r="H1511" s="14" t="n">
        <x:f>F1511/G1511-1</x:f>
        <x:v>-0.007712621141878984</x:v>
      </x:c>
      <x:c r="I1511" s="14" t="n">
        <x:f>F1511/F1510-1</x:f>
        <x:v>0.0008307696845599732</x:v>
      </x:c>
      <x:c r="J1511" s="12" t="n">
        <x:v>0</x:v>
      </x:c>
      <x:c r="K1511" s="12" t="n">
        <x:v>0</x:v>
      </x:c>
      <x:c r="L1511" s="12" t="n">
        <x:v>0</x:v>
      </x:c>
      <x:c r="M1511" s="2" t="str">
        <x:v>持有</x:v>
      </x:c>
    </x:row>
    <x:row r="1512" ht="23" customHeight="1">
      <x:c r="A1512" s="11" t="d">
        <x:v>2020-12-24T00:00:00.000Z</x:v>
      </x:c>
      <x:c r="B1512" s="12" t="n">
        <x:v>13746.57054</x:v>
      </x:c>
      <x:c r="C1512" s="13" t="n">
        <x:v>484</x:v>
      </x:c>
      <x:c r="D1512" s="12" t="n">
        <x:v>178596</x:v>
      </x:c>
      <x:c r="E1512" s="12" t="n">
        <x:v>764.72</x:v>
      </x:c>
      <x:c r="F1512" s="12" t="n">
        <x:f>SUM(B1512,D1512:E1512)</x:f>
        <x:v>193107.29054000002</x:v>
      </x:c>
      <x:c r="G1512" s="12" t="n">
        <x:f>MAX(G1511,F1512)</x:f>
        <x:v>193910.73054000002</x:v>
      </x:c>
      <x:c r="H1512" s="14" t="n">
        <x:f>F1512/G1512-1</x:f>
        <x:v>-0.0041433498691000326</x:v>
      </x:c>
      <x:c r="I1512" s="14" t="n">
        <x:f>F1512/F1511-1</x:f>
        <x:v>0.0035970136765079985</x:v>
      </x:c>
      <x:c r="J1512" s="12" t="n">
        <x:v>0</x:v>
      </x:c>
      <x:c r="K1512" s="12" t="n">
        <x:v>0</x:v>
      </x:c>
      <x:c r="L1512" s="12" t="n">
        <x:v>0</x:v>
      </x:c>
      <x:c r="M1512" s="2" t="str">
        <x:v>持有</x:v>
      </x:c>
    </x:row>
    <x:row r="1513" ht="23" customHeight="1">
      <x:c r="A1513" s="11" t="d">
        <x:v>2020-12-28T00:00:00.000Z</x:v>
      </x:c>
      <x:c r="B1513" s="12" t="n">
        <x:v>13746.57054</x:v>
      </x:c>
      <x:c r="C1513" s="13" t="n">
        <x:v>484</x:v>
      </x:c>
      <x:c r="D1513" s="12" t="n">
        <x:v>180130.28</x:v>
      </x:c>
      <x:c r="E1513" s="12" t="n">
        <x:v>764.72</x:v>
      </x:c>
      <x:c r="F1513" s="12" t="n">
        <x:f>SUM(B1513,D1513:E1513)</x:f>
        <x:v>194641.57054</x:v>
      </x:c>
      <x:c r="G1513" s="12" t="n">
        <x:f>MAX(G1512,F1513)</x:f>
        <x:v>194641.57054</x:v>
      </x:c>
      <x:c r="H1513" s="14" t="n">
        <x:f>F1513/G1513-1</x:f>
        <x:v>0</x:v>
      </x:c>
      <x:c r="I1513" s="14" t="n">
        <x:f>F1513/F1512-1</x:f>
        <x:v>0.007945220481886173</x:v>
      </x:c>
      <x:c r="J1513" s="12" t="n">
        <x:v>0</x:v>
      </x:c>
      <x:c r="K1513" s="12" t="n">
        <x:v>0</x:v>
      </x:c>
      <x:c r="L1513" s="12" t="n">
        <x:v>0</x:v>
      </x:c>
      <x:c r="M1513" s="2" t="str">
        <x:v>持有</x:v>
      </x:c>
    </x:row>
    <x:row r="1514" ht="23" customHeight="1">
      <x:c r="A1514" s="11" t="d">
        <x:v>2020-12-29T00:00:00.000Z</x:v>
      </x:c>
      <x:c r="B1514" s="12" t="n">
        <x:v>13746.57054</x:v>
      </x:c>
      <x:c r="C1514" s="13" t="n">
        <x:v>484</x:v>
      </x:c>
      <x:c r="D1514" s="12" t="n">
        <x:v>179786.63999999998</x:v>
      </x:c>
      <x:c r="E1514" s="12" t="n">
        <x:v>764.72</x:v>
      </x:c>
      <x:c r="F1514" s="12" t="n">
        <x:f>SUM(B1514,D1514:E1514)</x:f>
        <x:v>194297.93053999997</x:v>
      </x:c>
      <x:c r="G1514" s="12" t="n">
        <x:f>MAX(G1513,F1514)</x:f>
        <x:v>194641.57054</x:v>
      </x:c>
      <x:c r="H1514" s="14" t="n">
        <x:f>F1514/G1514-1</x:f>
        <x:v>-0.0017655015783454298</x:v>
      </x:c>
      <x:c r="I1514" s="14" t="n">
        <x:f>F1514/F1513-1</x:f>
        <x:v>-0.0017655015783454298</x:v>
      </x:c>
      <x:c r="J1514" s="12" t="n">
        <x:v>0</x:v>
      </x:c>
      <x:c r="K1514" s="12" t="n">
        <x:v>0</x:v>
      </x:c>
      <x:c r="L1514" s="12" t="n">
        <x:v>0</x:v>
      </x:c>
      <x:c r="M1514" s="2" t="str">
        <x:v>持有</x:v>
      </x:c>
    </x:row>
    <x:row r="1515" ht="23" customHeight="1">
      <x:c r="A1515" s="11" t="d">
        <x:v>2020-12-30T00:00:00.000Z</x:v>
      </x:c>
      <x:c r="B1515" s="12" t="n">
        <x:v>13746.57054</x:v>
      </x:c>
      <x:c r="C1515" s="13" t="n">
        <x:v>484</x:v>
      </x:c>
      <x:c r="D1515" s="12" t="n">
        <x:v>180043.16</x:v>
      </x:c>
      <x:c r="E1515" s="12" t="n">
        <x:v>764.72</x:v>
      </x:c>
      <x:c r="F1515" s="12" t="n">
        <x:f>SUM(B1515,D1515:E1515)</x:f>
        <x:v>194554.45054</x:v>
      </x:c>
      <x:c r="G1515" s="12" t="n">
        <x:f>MAX(G1514,F1515)</x:f>
        <x:v>194641.57054</x:v>
      </x:c>
      <x:c r="H1515" s="14" t="n">
        <x:f>F1515/G1515-1</x:f>
        <x:v>-0.00044759194943966296</x:v>
      </x:c>
      <x:c r="I1515" s="14" t="n">
        <x:f>F1515/F1514-1</x:f>
        <x:v>0.0013202405156198527</x:v>
      </x:c>
      <x:c r="J1515" s="12" t="n">
        <x:v>0</x:v>
      </x:c>
      <x:c r="K1515" s="12" t="n">
        <x:v>0</x:v>
      </x:c>
      <x:c r="L1515" s="12" t="n">
        <x:v>0</x:v>
      </x:c>
      <x:c r="M1515" s="2" t="str">
        <x:v>持有</x:v>
      </x:c>
    </x:row>
    <x:row r="1516" ht="23" customHeight="1">
      <x:c r="A1516" s="11" t="d">
        <x:v>2020-12-31T00:00:00.000Z</x:v>
      </x:c>
      <x:c r="B1516" s="12" t="n">
        <x:v>13746.57054</x:v>
      </x:c>
      <x:c r="C1516" s="13" t="n">
        <x:v>484</x:v>
      </x:c>
      <x:c r="D1516" s="12" t="n">
        <x:v>180957.91999999998</x:v>
      </x:c>
      <x:c r="E1516" s="12" t="n">
        <x:v>764.72</x:v>
      </x:c>
      <x:c r="F1516" s="12" t="n">
        <x:f>SUM(B1516,D1516:E1516)</x:f>
        <x:v>195469.21054</x:v>
      </x:c>
      <x:c r="G1516" s="12" t="n">
        <x:f>MAX(G1515,F1516)</x:f>
        <x:v>195469.21054</x:v>
      </x:c>
      <x:c r="H1516" s="14" t="n">
        <x:f>F1516/G1516-1</x:f>
        <x:v>0</x:v>
      </x:c>
      <x:c r="I1516" s="14" t="n">
        <x:f>F1516/F1515-1</x:f>
        <x:v>0.00470181996588126</x:v>
      </x:c>
      <x:c r="J1516" s="12" t="n">
        <x:v>0</x:v>
      </x:c>
      <x:c r="K1516" s="12" t="n">
        <x:v>0</x:v>
      </x:c>
      <x:c r="L1516" s="12" t="n">
        <x:v>0</x:v>
      </x:c>
      <x:c r="M1516" s="2" t="str">
        <x:v>持有</x:v>
      </x:c>
    </x:row>
    <x:row r="1517" ht="23" customHeight="1">
      <x:c r="A1517" s="11" t="d">
        <x:v>2021-01-04T00:00:00.000Z</x:v>
      </x:c>
      <x:c r="B1517" s="12" t="n">
        <x:v>13746.57054</x:v>
      </x:c>
      <x:c r="C1517" s="13" t="n">
        <x:v>484</x:v>
      </x:c>
      <x:c r="D1517" s="12" t="n">
        <x:v>178494.36000000002</x:v>
      </x:c>
      <x:c r="E1517" s="12" t="n">
        <x:v>764.72</x:v>
      </x:c>
      <x:c r="F1517" s="12" t="n">
        <x:f>SUM(B1517,D1517:E1517)</x:f>
        <x:v>193005.65054</x:v>
      </x:c>
      <x:c r="G1517" s="12" t="n">
        <x:f>MAX(G1516,F1517)</x:f>
        <x:v>195469.21054</x:v>
      </x:c>
      <x:c r="H1517" s="14" t="n">
        <x:f>F1517/G1517-1</x:f>
        <x:v>-0.012603314829963241</x:v>
      </x:c>
      <x:c r="I1517" s="14" t="n">
        <x:f>F1517/F1516-1</x:f>
        <x:v>-0.012603314829963241</x:v>
      </x:c>
      <x:c r="J1517" s="12" t="n">
        <x:v>0</x:v>
      </x:c>
      <x:c r="K1517" s="12" t="n">
        <x:v>0</x:v>
      </x:c>
      <x:c r="L1517" s="12" t="n">
        <x:v>0</x:v>
      </x:c>
      <x:c r="M1517" s="2" t="str">
        <x:v>持有</x:v>
      </x:c>
    </x:row>
    <x:row r="1518" ht="23" customHeight="1">
      <x:c r="A1518" s="11" t="d">
        <x:v>2021-01-05T00:00:00.000Z</x:v>
      </x:c>
      <x:c r="B1518" s="12" t="n">
        <x:v>13746.57054</x:v>
      </x:c>
      <x:c r="C1518" s="13" t="n">
        <x:v>484</x:v>
      </x:c>
      <x:c r="D1518" s="12" t="n">
        <x:v>179723.72</x:v>
      </x:c>
      <x:c r="E1518" s="12" t="n">
        <x:v>764.72</x:v>
      </x:c>
      <x:c r="F1518" s="12" t="n">
        <x:f>SUM(B1518,D1518:E1518)</x:f>
        <x:v>194235.01054</x:v>
      </x:c>
      <x:c r="G1518" s="12" t="n">
        <x:f>MAX(G1517,F1518)</x:f>
        <x:v>195469.21054</x:v>
      </x:c>
      <x:c r="H1518" s="14" t="n">
        <x:f>F1518/G1518-1</x:f>
        <x:v>-0.006314037881415824</x:v>
      </x:c>
      <x:c r="I1518" s="14" t="n">
        <x:f>F1518/F1517-1</x:f>
        <x:v>0.006369554448589554</x:v>
      </x:c>
      <x:c r="J1518" s="12" t="n">
        <x:v>0</x:v>
      </x:c>
      <x:c r="K1518" s="12" t="n">
        <x:v>0</x:v>
      </x:c>
      <x:c r="L1518" s="12" t="n">
        <x:v>0</x:v>
      </x:c>
      <x:c r="M1518" s="2" t="str">
        <x:v>持有</x:v>
      </x:c>
    </x:row>
    <x:row r="1519" ht="23" customHeight="1">
      <x:c r="A1519" s="11" t="d">
        <x:v>2021-01-06T00:00:00.000Z</x:v>
      </x:c>
      <x:c r="B1519" s="12" t="n">
        <x:v>13746.57054</x:v>
      </x:c>
      <x:c r="C1519" s="13" t="n">
        <x:v>484</x:v>
      </x:c>
      <x:c r="D1519" s="12" t="n">
        <x:v>180798.2</x:v>
      </x:c>
      <x:c r="E1519" s="12" t="n">
        <x:v>764.72</x:v>
      </x:c>
      <x:c r="F1519" s="12" t="n">
        <x:f>SUM(B1519,D1519:E1519)</x:f>
        <x:v>195309.49054000003</x:v>
      </x:c>
      <x:c r="G1519" s="12" t="n">
        <x:f>MAX(G1518,F1519)</x:f>
        <x:v>195469.21054</x:v>
      </x:c>
      <x:c r="H1519" s="14" t="n">
        <x:f>F1519/G1519-1</x:f>
        <x:v>-0.0008171107846536296</x:v>
      </x:c>
      <x:c r="I1519" s="14" t="n">
        <x:f>F1519/F1518-1</x:f>
        <x:v>0.005531855441574862</x:v>
      </x:c>
      <x:c r="J1519" s="12" t="n">
        <x:v>0</x:v>
      </x:c>
      <x:c r="K1519" s="12" t="n">
        <x:v>0</x:v>
      </x:c>
      <x:c r="L1519" s="12" t="n">
        <x:v>0</x:v>
      </x:c>
      <x:c r="M1519" s="2" t="str">
        <x:v>持有</x:v>
      </x:c>
    </x:row>
    <x:row r="1520" ht="23" customHeight="1">
      <x:c r="A1520" s="11" t="d">
        <x:v>2021-01-07T00:00:00.000Z</x:v>
      </x:c>
      <x:c r="B1520" s="12" t="n">
        <x:v>13746.57054</x:v>
      </x:c>
      <x:c r="C1520" s="13" t="n">
        <x:v>484</x:v>
      </x:c>
      <x:c r="D1520" s="12" t="n">
        <x:v>183484.40000000002</x:v>
      </x:c>
      <x:c r="E1520" s="12" t="n">
        <x:v>764.72</x:v>
      </x:c>
      <x:c r="F1520" s="12" t="n">
        <x:f>SUM(B1520,D1520:E1520)</x:f>
        <x:v>197995.69054000004</x:v>
      </x:c>
      <x:c r="G1520" s="12" t="n">
        <x:f>MAX(G1519,F1520)</x:f>
        <x:v>197995.69054000004</x:v>
      </x:c>
      <x:c r="H1520" s="14" t="n">
        <x:f>F1520/G1520-1</x:f>
        <x:v>0</x:v>
      </x:c>
      <x:c r="I1520" s="14" t="n">
        <x:f>F1520/F1519-1</x:f>
        <x:v>0.013753555920775318</x:v>
      </x:c>
      <x:c r="J1520" s="12" t="n">
        <x:v>0</x:v>
      </x:c>
      <x:c r="K1520" s="12" t="n">
        <x:v>0</x:v>
      </x:c>
      <x:c r="L1520" s="12" t="n">
        <x:v>0</x:v>
      </x:c>
      <x:c r="M1520" s="2" t="str">
        <x:v>持有</x:v>
      </x:c>
    </x:row>
    <x:row r="1521" ht="23" customHeight="1">
      <x:c r="A1521" s="11" t="d">
        <x:v>2021-01-08T00:00:00.000Z</x:v>
      </x:c>
      <x:c r="B1521" s="12" t="n">
        <x:v>13746.57054</x:v>
      </x:c>
      <x:c r="C1521" s="13" t="n">
        <x:v>484</x:v>
      </x:c>
      <x:c r="D1521" s="12" t="n">
        <x:v>184529.84</x:v>
      </x:c>
      <x:c r="E1521" s="12" t="n">
        <x:v>764.72</x:v>
      </x:c>
      <x:c r="F1521" s="12" t="n">
        <x:f>SUM(B1521,D1521:E1521)</x:f>
        <x:v>199041.13053999998</x:v>
      </x:c>
      <x:c r="G1521" s="12" t="n">
        <x:f>MAX(G1520,F1521)</x:f>
        <x:v>199041.13053999998</x:v>
      </x:c>
      <x:c r="H1521" s="14" t="n">
        <x:f>F1521/G1521-1</x:f>
        <x:v>0</x:v>
      </x:c>
      <x:c r="I1521" s="14" t="n">
        <x:f>F1521/F1520-1</x:f>
        <x:v>0.00528011492143432</x:v>
      </x:c>
      <x:c r="J1521" s="12" t="n">
        <x:v>0</x:v>
      </x:c>
      <x:c r="K1521" s="12" t="n">
        <x:v>0</x:v>
      </x:c>
      <x:c r="L1521" s="12" t="n">
        <x:v>0</x:v>
      </x:c>
      <x:c r="M1521" s="2" t="str">
        <x:v>持有</x:v>
      </x:c>
    </x:row>
    <x:row r="1522" ht="23" customHeight="1">
      <x:c r="A1522" s="11" t="d">
        <x:v>2021-01-11T00:00:00.000Z</x:v>
      </x:c>
      <x:c r="B1522" s="12" t="n">
        <x:v>13746.57054</x:v>
      </x:c>
      <x:c r="C1522" s="13" t="n">
        <x:v>484</x:v>
      </x:c>
      <x:c r="D1522" s="12" t="n">
        <x:v>183285.96</x:v>
      </x:c>
      <x:c r="E1522" s="12" t="n">
        <x:v>764.72</x:v>
      </x:c>
      <x:c r="F1522" s="12" t="n">
        <x:f>SUM(B1522,D1522:E1522)</x:f>
        <x:v>197797.25053999998</x:v>
      </x:c>
      <x:c r="G1522" s="12" t="n">
        <x:f>MAX(G1521,F1522)</x:f>
        <x:v>199041.13053999998</x:v>
      </x:c>
      <x:c r="H1522" s="14" t="n">
        <x:f>F1522/G1522-1</x:f>
        <x:v>-0.006249361609961479</x:v>
      </x:c>
      <x:c r="I1522" s="14" t="n">
        <x:f>F1522/F1521-1</x:f>
        <x:v>-0.006249361609961479</x:v>
      </x:c>
      <x:c r="J1522" s="12" t="n">
        <x:v>0</x:v>
      </x:c>
      <x:c r="K1522" s="12" t="n">
        <x:v>0</x:v>
      </x:c>
      <x:c r="L1522" s="12" t="n">
        <x:v>0</x:v>
      </x:c>
      <x:c r="M1522" s="2" t="str">
        <x:v>持有</x:v>
      </x:c>
    </x:row>
    <x:row r="1523" ht="23" customHeight="1">
      <x:c r="A1523" s="11" t="d">
        <x:v>2021-01-12T00:00:00.000Z</x:v>
      </x:c>
      <x:c r="B1523" s="12" t="n">
        <x:v>13746.57054</x:v>
      </x:c>
      <x:c r="C1523" s="13" t="n">
        <x:v>484</x:v>
      </x:c>
      <x:c r="D1523" s="12" t="n">
        <x:v>183324.68</x:v>
      </x:c>
      <x:c r="E1523" s="12" t="n">
        <x:v>764.72</x:v>
      </x:c>
      <x:c r="F1523" s="12" t="n">
        <x:f>SUM(B1523,D1523:E1523)</x:f>
        <x:v>197835.97054</x:v>
      </x:c>
      <x:c r="G1523" s="12" t="n">
        <x:f>MAX(G1522,F1523)</x:f>
        <x:v>199041.13053999998</x:v>
      </x:c>
      <x:c r="H1523" s="14" t="n">
        <x:f>F1523/G1523-1</x:f>
        <x:v>-0.006054828952841929</x:v>
      </x:c>
      <x:c r="I1523" s="14" t="n">
        <x:f>F1523/F1522-1</x:f>
        <x:v>0.00019575600719590192</x:v>
      </x:c>
      <x:c r="J1523" s="12" t="n">
        <x:v>0</x:v>
      </x:c>
      <x:c r="K1523" s="12" t="n">
        <x:v>0</x:v>
      </x:c>
      <x:c r="L1523" s="12" t="n">
        <x:v>0</x:v>
      </x:c>
      <x:c r="M1523" s="2" t="str">
        <x:v>持有</x:v>
      </x:c>
    </x:row>
    <x:row r="1524" ht="23" customHeight="1">
      <x:c r="A1524" s="11" t="d">
        <x:v>2021-01-13T00:00:00.000Z</x:v>
      </x:c>
      <x:c r="B1524" s="12" t="n">
        <x:v>13746.57054</x:v>
      </x:c>
      <x:c r="C1524" s="13" t="n">
        <x:v>484</x:v>
      </x:c>
      <x:c r="D1524" s="12" t="n">
        <x:v>183818.36000000002</x:v>
      </x:c>
      <x:c r="E1524" s="12" t="n">
        <x:v>764.72</x:v>
      </x:c>
      <x:c r="F1524" s="12" t="n">
        <x:f>SUM(B1524,D1524:E1524)</x:f>
        <x:v>198329.65054</x:v>
      </x:c>
      <x:c r="G1524" s="12" t="n">
        <x:f>MAX(G1523,F1524)</x:f>
        <x:v>199041.13053999998</x:v>
      </x:c>
      <x:c r="H1524" s="14" t="n">
        <x:f>F1524/G1524-1</x:f>
        <x:v>-0.00357453757456927</x:v>
      </x:c>
      <x:c r="I1524" s="14" t="n">
        <x:f>F1524/F1523-1</x:f>
        <x:v>0.0024954006020869723</x:v>
      </x:c>
      <x:c r="J1524" s="12" t="n">
        <x:v>0</x:v>
      </x:c>
      <x:c r="K1524" s="12" t="n">
        <x:v>0</x:v>
      </x:c>
      <x:c r="L1524" s="12" t="n">
        <x:v>0</x:v>
      </x:c>
      <x:c r="M1524" s="2" t="str">
        <x:v>持有</x:v>
      </x:c>
    </x:row>
    <x:row r="1525" ht="23" customHeight="1">
      <x:c r="A1525" s="11" t="d">
        <x:v>2021-01-14T00:00:00.000Z</x:v>
      </x:c>
      <x:c r="B1525" s="12" t="n">
        <x:v>13746.57054</x:v>
      </x:c>
      <x:c r="C1525" s="13" t="n">
        <x:v>484</x:v>
      </x:c>
      <x:c r="D1525" s="12" t="n">
        <x:v>183174.63999999998</x:v>
      </x:c>
      <x:c r="E1525" s="12" t="n">
        <x:v>764.72</x:v>
      </x:c>
      <x:c r="F1525" s="12" t="n">
        <x:f>SUM(B1525,D1525:E1525)</x:f>
        <x:v>197685.93053999997</x:v>
      </x:c>
      <x:c r="G1525" s="12" t="n">
        <x:f>MAX(G1524,F1525)</x:f>
        <x:v>199041.13053999998</x:v>
      </x:c>
      <x:c r="H1525" s="14" t="n">
        <x:f>F1525/G1525-1</x:f>
        <x:v>-0.006808642999179826</x:v>
      </x:c>
      <x:c r="I1525" s="14" t="n">
        <x:f>F1525/F1524-1</x:f>
        <x:v>-0.003245707327408476</x:v>
      </x:c>
      <x:c r="J1525" s="12" t="n">
        <x:v>0</x:v>
      </x:c>
      <x:c r="K1525" s="12" t="n">
        <x:v>0</x:v>
      </x:c>
      <x:c r="L1525" s="12" t="n">
        <x:v>0</x:v>
      </x:c>
      <x:c r="M1525" s="2" t="str">
        <x:v>持有</x:v>
      </x:c>
    </x:row>
    <x:row r="1526" ht="23" customHeight="1">
      <x:c r="A1526" s="11" t="d">
        <x:v>2021-01-15T00:00:00.000Z</x:v>
      </x:c>
      <x:c r="B1526" s="12" t="n">
        <x:v>13746.57054</x:v>
      </x:c>
      <x:c r="C1526" s="13" t="n">
        <x:v>484</x:v>
      </x:c>
      <x:c r="D1526" s="12" t="n">
        <x:v>181838.8</x:v>
      </x:c>
      <x:c r="E1526" s="12" t="n">
        <x:v>764.72</x:v>
      </x:c>
      <x:c r="F1526" s="12" t="n">
        <x:f>SUM(B1526,D1526:E1526)</x:f>
        <x:v>196350.09054</x:v>
      </x:c>
      <x:c r="G1526" s="12" t="n">
        <x:f>MAX(G1525,F1526)</x:f>
        <x:v>199041.13053999998</x:v>
      </x:c>
      <x:c r="H1526" s="14" t="n">
        <x:f>F1526/G1526-1</x:f>
        <x:v>-0.013520019669799765</x:v>
      </x:c>
      <x:c r="I1526" s="14" t="n">
        <x:f>F1526/F1525-1</x:f>
        <x:v>-0.006757385294699381</x:v>
      </x:c>
      <x:c r="J1526" s="12" t="n">
        <x:v>0</x:v>
      </x:c>
      <x:c r="K1526" s="12" t="n">
        <x:v>0</x:v>
      </x:c>
      <x:c r="L1526" s="12" t="n">
        <x:v>0</x:v>
      </x:c>
      <x:c r="M1526" s="2" t="str">
        <x:v>持有</x:v>
      </x:c>
    </x:row>
    <x:row r="1527" ht="23" customHeight="1">
      <x:c r="A1527" s="11" t="d">
        <x:v>2021-01-19T00:00:00.000Z</x:v>
      </x:c>
      <x:c r="B1527" s="12" t="n">
        <x:v>13746.57054</x:v>
      </x:c>
      <x:c r="C1527" s="13" t="n">
        <x:v>484</x:v>
      </x:c>
      <x:c r="D1527" s="12" t="n">
        <x:v>183266.59999999998</x:v>
      </x:c>
      <x:c r="E1527" s="12" t="n">
        <x:v>764.72</x:v>
      </x:c>
      <x:c r="F1527" s="12" t="n">
        <x:f>SUM(B1527,D1527:E1527)</x:f>
        <x:v>197777.89054</x:v>
      </x:c>
      <x:c r="G1527" s="12" t="n">
        <x:f>MAX(G1526,F1527)</x:f>
        <x:v>199041.13053999998</x:v>
      </x:c>
      <x:c r="H1527" s="14" t="n">
        <x:f>F1527/G1527-1</x:f>
        <x:v>-0.006346627938521143</x:v>
      </x:c>
      <x:c r="I1527" s="14" t="n">
        <x:f>F1527/F1526-1</x:f>
        <x:v>0.007271705330378353</x:v>
      </x:c>
      <x:c r="J1527" s="12" t="n">
        <x:v>0</x:v>
      </x:c>
      <x:c r="K1527" s="12" t="n">
        <x:v>0</x:v>
      </x:c>
      <x:c r="L1527" s="12" t="n">
        <x:v>0</x:v>
      </x:c>
      <x:c r="M1527" s="2" t="str">
        <x:v>持有</x:v>
      </x:c>
    </x:row>
    <x:row r="1528" ht="23" customHeight="1">
      <x:c r="A1528" s="11" t="d">
        <x:v>2021-01-20T00:00:00.000Z</x:v>
      </x:c>
      <x:c r="B1528" s="12" t="n">
        <x:v>13746.57054</x:v>
      </x:c>
      <x:c r="C1528" s="13" t="n">
        <x:v>484</x:v>
      </x:c>
      <x:c r="D1528" s="12" t="n">
        <x:v>185802.75999999998</x:v>
      </x:c>
      <x:c r="E1528" s="12" t="n">
        <x:v>764.72</x:v>
      </x:c>
      <x:c r="F1528" s="12" t="n">
        <x:f>SUM(B1528,D1528:E1528)</x:f>
        <x:v>200314.05053999997</x:v>
      </x:c>
      <x:c r="G1528" s="12" t="n">
        <x:f>MAX(G1527,F1528)</x:f>
        <x:v>200314.05053999997</x:v>
      </x:c>
      <x:c r="H1528" s="14" t="n">
        <x:f>F1528/G1528-1</x:f>
        <x:v>0</x:v>
      </x:c>
      <x:c r="I1528" s="14" t="n">
        <x:f>F1528/F1527-1</x:f>
        <x:v>0.01282327358773716</x:v>
      </x:c>
      <x:c r="J1528" s="12" t="n">
        <x:v>0</x:v>
      </x:c>
      <x:c r="K1528" s="12" t="n">
        <x:v>0</x:v>
      </x:c>
      <x:c r="L1528" s="12" t="n">
        <x:v>0</x:v>
      </x:c>
      <x:c r="M1528" s="2" t="str">
        <x:v>持有</x:v>
      </x:c>
    </x:row>
    <x:row r="1529" ht="23" customHeight="1">
      <x:c r="A1529" s="11" t="d">
        <x:v>2021-01-21T00:00:00.000Z</x:v>
      </x:c>
      <x:c r="B1529" s="12" t="n">
        <x:v>13746.57054</x:v>
      </x:c>
      <x:c r="C1529" s="13" t="n">
        <x:v>484</x:v>
      </x:c>
      <x:c r="D1529" s="12" t="n">
        <x:v>185972.16</x:v>
      </x:c>
      <x:c r="E1529" s="12" t="n">
        <x:v>764.72</x:v>
      </x:c>
      <x:c r="F1529" s="12" t="n">
        <x:f>SUM(B1529,D1529:E1529)</x:f>
        <x:v>200483.45054</x:v>
      </x:c>
      <x:c r="G1529" s="12" t="n">
        <x:f>MAX(G1528,F1529)</x:f>
        <x:v>200483.45054</x:v>
      </x:c>
      <x:c r="H1529" s="14" t="n">
        <x:f>F1529/G1529-1</x:f>
        <x:v>0</x:v>
      </x:c>
      <x:c r="I1529" s="14" t="n">
        <x:f>F1529/F1528-1</x:f>
        <x:v>0.0008456720811313989</x:v>
      </x:c>
      <x:c r="J1529" s="12" t="n">
        <x:v>0</x:v>
      </x:c>
      <x:c r="K1529" s="12" t="n">
        <x:v>0</x:v>
      </x:c>
      <x:c r="L1529" s="12" t="n">
        <x:v>0</x:v>
      </x:c>
      <x:c r="M1529" s="2" t="str">
        <x:v>持有</x:v>
      </x:c>
    </x:row>
    <x:row r="1530" ht="23" customHeight="1">
      <x:c r="A1530" s="11" t="d">
        <x:v>2021-01-22T00:00:00.000Z</x:v>
      </x:c>
      <x:c r="B1530" s="12" t="n">
        <x:v>13746.57054</x:v>
      </x:c>
      <x:c r="C1530" s="13" t="n">
        <x:v>484</x:v>
      </x:c>
      <x:c r="D1530" s="12" t="n">
        <x:v>185313.91999999998</x:v>
      </x:c>
      <x:c r="E1530" s="12" t="n">
        <x:v>764.72</x:v>
      </x:c>
      <x:c r="F1530" s="12" t="n">
        <x:f>SUM(B1530,D1530:E1530)</x:f>
        <x:v>199825.21054</x:v>
      </x:c>
      <x:c r="G1530" s="12" t="n">
        <x:f>MAX(G1529,F1530)</x:f>
        <x:v>200483.45054</x:v>
      </x:c>
      <x:c r="H1530" s="14" t="n">
        <x:f>F1530/G1530-1</x:f>
        <x:v>-0.0032832635223856155</x:v>
      </x:c>
      <x:c r="I1530" s="14" t="n">
        <x:f>F1530/F1529-1</x:f>
        <x:v>-0.0032832635223856155</x:v>
      </x:c>
      <x:c r="J1530" s="12" t="n">
        <x:v>0</x:v>
      </x:c>
      <x:c r="K1530" s="12" t="n">
        <x:v>0</x:v>
      </x:c>
      <x:c r="L1530" s="12" t="n">
        <x:v>0</x:v>
      </x:c>
      <x:c r="M1530" s="2" t="str">
        <x:v>持有</x:v>
      </x:c>
    </x:row>
    <x:row r="1531" ht="23" customHeight="1">
      <x:c r="A1531" s="11" t="d">
        <x:v>2021-01-25T00:00:00.000Z</x:v>
      </x:c>
      <x:c r="B1531" s="12" t="n">
        <x:v>13746.57054</x:v>
      </x:c>
      <x:c r="C1531" s="13" t="n">
        <x:v>484</x:v>
      </x:c>
      <x:c r="D1531" s="12" t="n">
        <x:v>186044.75999999998</x:v>
      </x:c>
      <x:c r="E1531" s="12" t="n">
        <x:v>764.72</x:v>
      </x:c>
      <x:c r="F1531" s="12" t="n">
        <x:f>SUM(B1531,D1531:E1531)</x:f>
        <x:v>200556.05053999997</x:v>
      </x:c>
      <x:c r="G1531" s="12" t="n">
        <x:f>MAX(G1530,F1531)</x:f>
        <x:v>200556.05053999997</x:v>
      </x:c>
      <x:c r="H1531" s="14" t="n">
        <x:f>F1531/G1531-1</x:f>
        <x:v>0</x:v>
      </x:c>
      <x:c r="I1531" s="14" t="n">
        <x:f>F1531/F1530-1</x:f>
        <x:v>0.003657396371683941</x:v>
      </x:c>
      <x:c r="J1531" s="12" t="n">
        <x:v>0</x:v>
      </x:c>
      <x:c r="K1531" s="12" t="n">
        <x:v>0</x:v>
      </x:c>
      <x:c r="L1531" s="12" t="n">
        <x:v>0</x:v>
      </x:c>
      <x:c r="M1531" s="2" t="str">
        <x:v>持有</x:v>
      </x:c>
    </x:row>
    <x:row r="1532" ht="23" customHeight="1">
      <x:c r="A1532" s="11" t="d">
        <x:v>2021-01-26T00:00:00.000Z</x:v>
      </x:c>
      <x:c r="B1532" s="12" t="n">
        <x:v>13746.57054</x:v>
      </x:c>
      <x:c r="C1532" s="13" t="n">
        <x:v>484</x:v>
      </x:c>
      <x:c r="D1532" s="12" t="n">
        <x:v>185754.36000000002</x:v>
      </x:c>
      <x:c r="E1532" s="12" t="n">
        <x:v>764.72</x:v>
      </x:c>
      <x:c r="F1532" s="12" t="n">
        <x:f>SUM(B1532,D1532:E1532)</x:f>
        <x:v>200265.65054</x:v>
      </x:c>
      <x:c r="G1532" s="12" t="n">
        <x:f>MAX(G1531,F1532)</x:f>
        <x:v>200556.05053999997</x:v>
      </x:c>
      <x:c r="H1532" s="14" t="n">
        <x:f>F1532/G1532-1</x:f>
        <x:v>-0.0014479742656382522</x:v>
      </x:c>
      <x:c r="I1532" s="14" t="n">
        <x:f>F1532/F1531-1</x:f>
        <x:v>-0.0014479742656382522</x:v>
      </x:c>
      <x:c r="J1532" s="12" t="n">
        <x:v>0</x:v>
      </x:c>
      <x:c r="K1532" s="12" t="n">
        <x:v>0</x:v>
      </x:c>
      <x:c r="L1532" s="12" t="n">
        <x:v>0</x:v>
      </x:c>
      <x:c r="M1532" s="2" t="str">
        <x:v>持有</x:v>
      </x:c>
    </x:row>
    <x:row r="1533" ht="23" customHeight="1">
      <x:c r="A1533" s="11" t="d">
        <x:v>2021-01-27T00:00:00.000Z</x:v>
      </x:c>
      <x:c r="B1533" s="12" t="n">
        <x:v>13746.57054</x:v>
      </x:c>
      <x:c r="C1533" s="13" t="n">
        <x:v>484</x:v>
      </x:c>
      <x:c r="D1533" s="12" t="n">
        <x:v>181214.44</x:v>
      </x:c>
      <x:c r="E1533" s="12" t="n">
        <x:v>764.72</x:v>
      </x:c>
      <x:c r="F1533" s="12" t="n">
        <x:f>SUM(B1533,D1533:E1533)</x:f>
        <x:v>195725.73054000002</x:v>
      </x:c>
      <x:c r="G1533" s="12" t="n">
        <x:f>MAX(G1532,F1533)</x:f>
        <x:v>200556.05053999997</x:v>
      </x:c>
      <x:c r="H1533" s="14" t="n">
        <x:f>F1533/G1533-1</x:f>
        <x:v>-0.024084638618452225</x:v>
      </x:c>
      <x:c r="I1533" s="14" t="n">
        <x:f>F1533/F1532-1</x:f>
        <x:v>-0.02266948918977596</x:v>
      </x:c>
      <x:c r="J1533" s="12" t="n">
        <x:v>0</x:v>
      </x:c>
      <x:c r="K1533" s="12" t="n">
        <x:v>0</x:v>
      </x:c>
      <x:c r="L1533" s="12" t="n">
        <x:v>0</x:v>
      </x:c>
      <x:c r="M1533" s="2" t="str">
        <x:v>持有</x:v>
      </x:c>
    </x:row>
    <x:row r="1534" ht="23" customHeight="1">
      <x:c r="A1534" s="11" t="d">
        <x:v>2021-01-28T00:00:00.000Z</x:v>
      </x:c>
      <x:c r="B1534" s="12" t="n">
        <x:v>13746.57054</x:v>
      </x:c>
      <x:c r="C1534" s="13" t="n">
        <x:v>484</x:v>
      </x:c>
      <x:c r="D1534" s="12" t="n">
        <x:v>182772.91999999998</x:v>
      </x:c>
      <x:c r="E1534" s="12" t="n">
        <x:v>764.72</x:v>
      </x:c>
      <x:c r="F1534" s="12" t="n">
        <x:f>SUM(B1534,D1534:E1534)</x:f>
        <x:v>197284.21054</x:v>
      </x:c>
      <x:c r="G1534" s="12" t="n">
        <x:f>MAX(G1533,F1534)</x:f>
        <x:v>200556.05053999997</x:v>
      </x:c>
      <x:c r="H1534" s="14" t="n">
        <x:f>F1534/G1534-1</x:f>
        <x:v>-0.01631384339285946</x:v>
      </x:c>
      <x:c r="I1534" s="14" t="n">
        <x:f>F1534/F1533-1</x:f>
        <x:v>0.007962570867408258</x:v>
      </x:c>
      <x:c r="J1534" s="12" t="n">
        <x:v>0</x:v>
      </x:c>
      <x:c r="K1534" s="12" t="n">
        <x:v>0</x:v>
      </x:c>
      <x:c r="L1534" s="12" t="n">
        <x:v>0</x:v>
      </x:c>
      <x:c r="M1534" s="2" t="str">
        <x:v>持有</x:v>
      </x:c>
    </x:row>
    <x:row r="1535" ht="23" customHeight="1">
      <x:c r="A1535" s="11" t="d">
        <x:v>2021-01-29T00:00:00.000Z</x:v>
      </x:c>
      <x:c r="B1535" s="12" t="n">
        <x:v>14511.29054</x:v>
      </x:c>
      <x:c r="C1535" s="13" t="n">
        <x:v>484</x:v>
      </x:c>
      <x:c r="D1535" s="12" t="n">
        <x:v>179113.88</x:v>
      </x:c>
      <x:c r="E1535" s="12" t="n">
        <x:v>0</x:v>
      </x:c>
      <x:c r="F1535" s="12" t="n">
        <x:f>SUM(B1535,D1535:E1535)</x:f>
        <x:v>193625.17054</x:v>
      </x:c>
      <x:c r="G1535" s="12" t="n">
        <x:f>MAX(G1534,F1535)</x:f>
        <x:v>200556.05053999997</x:v>
      </x:c>
      <x:c r="H1535" s="14" t="n">
        <x:f>F1535/G1535-1</x:f>
        <x:v>-0.034558319139903704</x:v>
      </x:c>
      <x:c r="I1535" s="14" t="n">
        <x:f>F1535/F1534-1</x:f>
        <x:v>-0.018547049406460903</x:v>
      </x:c>
      <x:c r="J1535" s="12" t="n">
        <x:v>0</x:v>
      </x:c>
      <x:c r="K1535" s="12" t="n">
        <x:v>764.72</x:v>
      </x:c>
      <x:c r="L1535" s="12" t="n">
        <x:v>0</x:v>
      </x:c>
      <x:c r="M1535" s="2" t="str">
        <x:v>持有</x:v>
      </x:c>
    </x:row>
    <x:row r="1536" ht="23" customHeight="1">
      <x:c r="A1536" s="11" t="d">
        <x:v>2021-02-01T00:00:00.000Z</x:v>
      </x:c>
      <x:c r="B1536" s="12" t="n">
        <x:v>14511.29054</x:v>
      </x:c>
      <x:c r="C1536" s="13" t="n">
        <x:v>484</x:v>
      </x:c>
      <x:c r="D1536" s="12" t="n">
        <x:v>182095.32</x:v>
      </x:c>
      <x:c r="E1536" s="12" t="n">
        <x:v>0</x:v>
      </x:c>
      <x:c r="F1536" s="12" t="n">
        <x:f>SUM(B1536,D1536:E1536)</x:f>
        <x:v>196606.61054</x:v>
      </x:c>
      <x:c r="G1536" s="12" t="n">
        <x:f>MAX(G1535,F1536)</x:f>
        <x:v>200556.05053999997</x:v>
      </x:c>
      <x:c r="H1536" s="14" t="n">
        <x:f>F1536/G1536-1</x:f>
        <x:v>-0.019692450012682494</x:v>
      </x:c>
      <x:c r="I1536" s="14" t="n">
        <x:f>F1536/F1535-1</x:f>
        <x:v>0.015397998058233275</x:v>
      </x:c>
      <x:c r="J1536" s="12" t="n">
        <x:v>0</x:v>
      </x:c>
      <x:c r="K1536" s="12" t="n">
        <x:v>0</x:v>
      </x:c>
      <x:c r="L1536" s="12" t="n">
        <x:v>0</x:v>
      </x:c>
      <x:c r="M1536" s="2" t="str">
        <x:v>持有</x:v>
      </x:c>
    </x:row>
    <x:row r="1537" ht="23" customHeight="1">
      <x:c r="A1537" s="11" t="d">
        <x:v>2021-02-02T00:00:00.000Z</x:v>
      </x:c>
      <x:c r="B1537" s="12" t="n">
        <x:v>14511.29054</x:v>
      </x:c>
      <x:c r="C1537" s="13" t="n">
        <x:v>484</x:v>
      </x:c>
      <x:c r="D1537" s="12" t="n">
        <x:v>184670.2</x:v>
      </x:c>
      <x:c r="E1537" s="12" t="n">
        <x:v>0</x:v>
      </x:c>
      <x:c r="F1537" s="12" t="n">
        <x:f>SUM(B1537,D1537:E1537)</x:f>
        <x:v>199181.49054</x:v>
      </x:c>
      <x:c r="G1537" s="12" t="n">
        <x:f>MAX(G1536,F1537)</x:f>
        <x:v>200556.05053999997</x:v>
      </x:c>
      <x:c r="H1537" s="14" t="n">
        <x:f>F1537/G1537-1</x:f>
        <x:v>-0.006853744857355126</x:v>
      </x:c>
      <x:c r="I1537" s="14" t="n">
        <x:f>F1537/F1536-1</x:f>
        <x:v>0.013096609482905253</x:v>
      </x:c>
      <x:c r="J1537" s="12" t="n">
        <x:v>0</x:v>
      </x:c>
      <x:c r="K1537" s="12" t="n">
        <x:v>0</x:v>
      </x:c>
      <x:c r="L1537" s="12" t="n">
        <x:v>0</x:v>
      </x:c>
      <x:c r="M1537" s="2" t="str">
        <x:v>持有</x:v>
      </x:c>
    </x:row>
    <x:row r="1538" ht="23" customHeight="1">
      <x:c r="A1538" s="11" t="d">
        <x:v>2021-02-03T00:00:00.000Z</x:v>
      </x:c>
      <x:c r="B1538" s="12" t="n">
        <x:v>14511.29054</x:v>
      </x:c>
      <x:c r="C1538" s="13" t="n">
        <x:v>484</x:v>
      </x:c>
      <x:c r="D1538" s="12" t="n">
        <x:v>184815.40000000002</x:v>
      </x:c>
      <x:c r="E1538" s="12" t="n">
        <x:v>0</x:v>
      </x:c>
      <x:c r="F1538" s="12" t="n">
        <x:f>SUM(B1538,D1538:E1538)</x:f>
        <x:v>199326.69054</x:v>
      </x:c>
      <x:c r="G1538" s="12" t="n">
        <x:f>MAX(G1537,F1538)</x:f>
        <x:v>200556.05053999997</x:v>
      </x:c>
      <x:c r="H1538" s="14" t="n">
        <x:f>F1538/G1538-1</x:f>
        <x:v>-0.006129757724535834</x:v>
      </x:c>
      <x:c r="I1538" s="14" t="n">
        <x:f>F1538/F1537-1</x:f>
        <x:v>0.0007289833990415939</x:v>
      </x:c>
      <x:c r="J1538" s="12" t="n">
        <x:v>0</x:v>
      </x:c>
      <x:c r="K1538" s="12" t="n">
        <x:v>0</x:v>
      </x:c>
      <x:c r="L1538" s="12" t="n">
        <x:v>0</x:v>
      </x:c>
      <x:c r="M1538" s="2" t="str">
        <x:v>持有</x:v>
      </x:c>
    </x:row>
    <x:row r="1539" ht="23" customHeight="1">
      <x:c r="A1539" s="11" t="d">
        <x:v>2021-02-04T00:00:00.000Z</x:v>
      </x:c>
      <x:c r="B1539" s="12" t="n">
        <x:v>14511.29054</x:v>
      </x:c>
      <x:c r="C1539" s="13" t="n">
        <x:v>484</x:v>
      </x:c>
      <x:c r="D1539" s="12" t="n">
        <x:v>186915.96</x:v>
      </x:c>
      <x:c r="E1539" s="12" t="n">
        <x:v>0</x:v>
      </x:c>
      <x:c r="F1539" s="12" t="n">
        <x:f>SUM(B1539,D1539:E1539)</x:f>
        <x:v>201427.25053999998</x:v>
      </x:c>
      <x:c r="G1539" s="12" t="n">
        <x:f>MAX(G1538,F1539)</x:f>
        <x:v>201427.25053999998</x:v>
      </x:c>
      <x:c r="H1539" s="14" t="n">
        <x:f>F1539/G1539-1</x:f>
        <x:v>0</x:v>
      </x:c>
      <x:c r="I1539" s="14" t="n">
        <x:f>F1539/F1538-1</x:f>
        <x:v>0.010538277610034452</x:v>
      </x:c>
      <x:c r="J1539" s="12" t="n">
        <x:v>0</x:v>
      </x:c>
      <x:c r="K1539" s="12" t="n">
        <x:v>0</x:v>
      </x:c>
      <x:c r="L1539" s="12" t="n">
        <x:v>0</x:v>
      </x:c>
      <x:c r="M1539" s="2" t="str">
        <x:v>持有</x:v>
      </x:c>
    </x:row>
    <x:row r="1540" ht="23" customHeight="1">
      <x:c r="A1540" s="11" t="d">
        <x:v>2021-02-05T00:00:00.000Z</x:v>
      </x:c>
      <x:c r="B1540" s="12" t="n">
        <x:v>14511.29054</x:v>
      </x:c>
      <x:c r="C1540" s="13" t="n">
        <x:v>484</x:v>
      </x:c>
      <x:c r="D1540" s="12" t="n">
        <x:v>187651.63999999998</x:v>
      </x:c>
      <x:c r="E1540" s="12" t="n">
        <x:v>0</x:v>
      </x:c>
      <x:c r="F1540" s="12" t="n">
        <x:f>SUM(B1540,D1540:E1540)</x:f>
        <x:v>202162.93053999997</x:v>
      </x:c>
      <x:c r="G1540" s="12" t="n">
        <x:f>MAX(G1539,F1540)</x:f>
        <x:v>202162.93053999997</x:v>
      </x:c>
      <x:c r="H1540" s="14" t="n">
        <x:f>F1540/G1540-1</x:f>
        <x:v>0</x:v>
      </x:c>
      <x:c r="I1540" s="14" t="n">
        <x:f>F1540/F1539-1</x:f>
        <x:v>0.0036523360073064115</x:v>
      </x:c>
      <x:c r="J1540" s="12" t="n">
        <x:v>0</x:v>
      </x:c>
      <x:c r="K1540" s="12" t="n">
        <x:v>0</x:v>
      </x:c>
      <x:c r="L1540" s="12" t="n">
        <x:v>0</x:v>
      </x:c>
      <x:c r="M1540" s="2" t="str">
        <x:v>持有</x:v>
      </x:c>
    </x:row>
    <x:row r="1541" ht="23" customHeight="1">
      <x:c r="A1541" s="11" t="d">
        <x:v>2021-02-08T00:00:00.000Z</x:v>
      </x:c>
      <x:c r="B1541" s="12" t="n">
        <x:v>14511.29054</x:v>
      </x:c>
      <x:c r="C1541" s="13" t="n">
        <x:v>484</x:v>
      </x:c>
      <x:c r="D1541" s="12" t="n">
        <x:v>189006.84</x:v>
      </x:c>
      <x:c r="E1541" s="12" t="n">
        <x:v>0</x:v>
      </x:c>
      <x:c r="F1541" s="12" t="n">
        <x:f>SUM(B1541,D1541:E1541)</x:f>
        <x:v>203518.13053999998</x:v>
      </x:c>
      <x:c r="G1541" s="12" t="n">
        <x:f>MAX(G1540,F1541)</x:f>
        <x:v>203518.13053999998</x:v>
      </x:c>
      <x:c r="H1541" s="14" t="n">
        <x:f>F1541/G1541-1</x:f>
        <x:v>0</x:v>
      </x:c>
      <x:c r="I1541" s="14" t="n">
        <x:f>F1541/F1540-1</x:f>
        <x:v>0.006703503933090493</x:v>
      </x:c>
      <x:c r="J1541" s="12" t="n">
        <x:v>0</x:v>
      </x:c>
      <x:c r="K1541" s="12" t="n">
        <x:v>0</x:v>
      </x:c>
      <x:c r="L1541" s="12" t="n">
        <x:v>0</x:v>
      </x:c>
      <x:c r="M1541" s="2" t="str">
        <x:v>持有</x:v>
      </x:c>
    </x:row>
    <x:row r="1542" ht="23" customHeight="1">
      <x:c r="A1542" s="11" t="d">
        <x:v>2021-02-09T00:00:00.000Z</x:v>
      </x:c>
      <x:c r="B1542" s="12" t="n">
        <x:v>14511.29054</x:v>
      </x:c>
      <x:c r="C1542" s="13" t="n">
        <x:v>484</x:v>
      </x:c>
      <x:c r="D1542" s="12" t="n">
        <x:v>188881</x:v>
      </x:c>
      <x:c r="E1542" s="12" t="n">
        <x:v>0</x:v>
      </x:c>
      <x:c r="F1542" s="12" t="n">
        <x:f>SUM(B1542,D1542:E1542)</x:f>
        <x:v>203392.29054</x:v>
      </x:c>
      <x:c r="G1542" s="12" t="n">
        <x:f>MAX(G1541,F1542)</x:f>
        <x:v>203518.13053999998</x:v>
      </x:c>
      <x:c r="H1542" s="14" t="n">
        <x:f>F1542/G1542-1</x:f>
        <x:v>-0.0006183232897536417</x:v>
      </x:c>
      <x:c r="I1542" s="14" t="n">
        <x:f>F1542/F1541-1</x:f>
        <x:v>-0.0006183232897536417</x:v>
      </x:c>
      <x:c r="J1542" s="12" t="n">
        <x:v>0</x:v>
      </x:c>
      <x:c r="K1542" s="12" t="n">
        <x:v>0</x:v>
      </x:c>
      <x:c r="L1542" s="12" t="n">
        <x:v>0</x:v>
      </x:c>
      <x:c r="M1542" s="2" t="str">
        <x:v>持有</x:v>
      </x:c>
    </x:row>
    <x:row r="1543" ht="23" customHeight="1">
      <x:c r="A1543" s="11" t="d">
        <x:v>2021-02-10T00:00:00.000Z</x:v>
      </x:c>
      <x:c r="B1543" s="12" t="n">
        <x:v>14511.29054</x:v>
      </x:c>
      <x:c r="C1543" s="13" t="n">
        <x:v>484</x:v>
      </x:c>
      <x:c r="D1543" s="12" t="n">
        <x:v>188798.72</x:v>
      </x:c>
      <x:c r="E1543" s="12" t="n">
        <x:v>0</x:v>
      </x:c>
      <x:c r="F1543" s="12" t="n">
        <x:f>SUM(B1543,D1543:E1543)</x:f>
        <x:v>203310.01054</x:v>
      </x:c>
      <x:c r="G1543" s="12" t="n">
        <x:f>MAX(G1542,F1543)</x:f>
        <x:v>203518.13053999998</x:v>
      </x:c>
      <x:c r="H1543" s="14" t="n">
        <x:f>F1543/G1543-1</x:f>
        <x:v>-0.001022611594592493</x:v>
      </x:c>
      <x:c r="I1543" s="14" t="n">
        <x:f>F1543/F1542-1</x:f>
        <x:v>-0.0004045384403781327</x:v>
      </x:c>
      <x:c r="J1543" s="12" t="n">
        <x:v>0</x:v>
      </x:c>
      <x:c r="K1543" s="12" t="n">
        <x:v>0</x:v>
      </x:c>
      <x:c r="L1543" s="12" t="n">
        <x:v>0</x:v>
      </x:c>
      <x:c r="M1543" s="2" t="str">
        <x:v>持有</x:v>
      </x:c>
    </x:row>
    <x:row r="1544" ht="23" customHeight="1">
      <x:c r="A1544" s="11" t="d">
        <x:v>2021-02-11T00:00:00.000Z</x:v>
      </x:c>
      <x:c r="B1544" s="12" t="n">
        <x:v>14511.29054</x:v>
      </x:c>
      <x:c r="C1544" s="13" t="n">
        <x:v>484</x:v>
      </x:c>
      <x:c r="D1544" s="12" t="n">
        <x:v>189103.63999999998</x:v>
      </x:c>
      <x:c r="E1544" s="12" t="n">
        <x:v>0</x:v>
      </x:c>
      <x:c r="F1544" s="12" t="n">
        <x:f>SUM(B1544,D1544:E1544)</x:f>
        <x:v>203614.93053999997</x:v>
      </x:c>
      <x:c r="G1544" s="12" t="n">
        <x:f>MAX(G1543,F1544)</x:f>
        <x:v>203614.93053999997</x:v>
      </x:c>
      <x:c r="H1544" s="14" t="n">
        <x:f>F1544/G1544-1</x:f>
        <x:v>0</x:v>
      </x:c>
      <x:c r="I1544" s="14" t="n">
        <x:f>F1544/F1543-1</x:f>
        <x:v>0.0014997785853736456</x:v>
      </x:c>
      <x:c r="J1544" s="12" t="n">
        <x:v>0</x:v>
      </x:c>
      <x:c r="K1544" s="12" t="n">
        <x:v>0</x:v>
      </x:c>
      <x:c r="L1544" s="12" t="n">
        <x:v>0</x:v>
      </x:c>
      <x:c r="M1544" s="2" t="str">
        <x:v>持有</x:v>
      </x:c>
    </x:row>
    <x:row r="1545" ht="23" customHeight="1">
      <x:c r="A1545" s="11" t="d">
        <x:v>2021-02-12T00:00:00.000Z</x:v>
      </x:c>
      <x:c r="B1545" s="12" t="n">
        <x:v>14511.29054</x:v>
      </x:c>
      <x:c r="C1545" s="13" t="n">
        <x:v>484</x:v>
      </x:c>
      <x:c r="D1545" s="12" t="n">
        <x:v>190037.75999999998</x:v>
      </x:c>
      <x:c r="E1545" s="12" t="n">
        <x:v>0</x:v>
      </x:c>
      <x:c r="F1545" s="12" t="n">
        <x:f>SUM(B1545,D1545:E1545)</x:f>
        <x:v>204549.05053999997</x:v>
      </x:c>
      <x:c r="G1545" s="12" t="n">
        <x:f>MAX(G1544,F1545)</x:f>
        <x:v>204549.05053999997</x:v>
      </x:c>
      <x:c r="H1545" s="14" t="n">
        <x:f>F1545/G1545-1</x:f>
        <x:v>0</x:v>
      </x:c>
      <x:c r="I1545" s="14" t="n">
        <x:f>F1545/F1544-1</x:f>
        <x:v>0.004587679290131819</x:v>
      </x:c>
      <x:c r="J1545" s="12" t="n">
        <x:v>0</x:v>
      </x:c>
      <x:c r="K1545" s="12" t="n">
        <x:v>0</x:v>
      </x:c>
      <x:c r="L1545" s="12" t="n">
        <x:v>0</x:v>
      </x:c>
      <x:c r="M1545" s="2" t="str">
        <x:v>持有</x:v>
      </x:c>
    </x:row>
    <x:row r="1546" ht="23" customHeight="1">
      <x:c r="A1546" s="11" t="d">
        <x:v>2021-02-16T00:00:00.000Z</x:v>
      </x:c>
      <x:c r="B1546" s="12" t="n">
        <x:v>14511.29054</x:v>
      </x:c>
      <x:c r="C1546" s="13" t="n">
        <x:v>484</x:v>
      </x:c>
      <x:c r="D1546" s="12" t="n">
        <x:v>189873.2</x:v>
      </x:c>
      <x:c r="E1546" s="12" t="n">
        <x:v>0</x:v>
      </x:c>
      <x:c r="F1546" s="12" t="n">
        <x:f>SUM(B1546,D1546:E1546)</x:f>
        <x:v>204384.49054</x:v>
      </x:c>
      <x:c r="G1546" s="12" t="n">
        <x:f>MAX(G1545,F1546)</x:f>
        <x:v>204549.05053999997</x:v>
      </x:c>
      <x:c r="H1546" s="14" t="n">
        <x:f>F1546/G1546-1</x:f>
        <x:v>-0.0008045014120844352</x:v>
      </x:c>
      <x:c r="I1546" s="14" t="n">
        <x:f>F1546/F1545-1</x:f>
        <x:v>-0.0008045014120844352</x:v>
      </x:c>
      <x:c r="J1546" s="12" t="n">
        <x:v>0</x:v>
      </x:c>
      <x:c r="K1546" s="12" t="n">
        <x:v>0</x:v>
      </x:c>
      <x:c r="L1546" s="12" t="n">
        <x:v>0</x:v>
      </x:c>
      <x:c r="M1546" s="2" t="str">
        <x:v>持有</x:v>
      </x:c>
    </x:row>
    <x:row r="1547" ht="23" customHeight="1">
      <x:c r="A1547" s="11" t="d">
        <x:v>2021-02-17T00:00:00.000Z</x:v>
      </x:c>
      <x:c r="B1547" s="12" t="n">
        <x:v>14511.29054</x:v>
      </x:c>
      <x:c r="C1547" s="13" t="n">
        <x:v>484</x:v>
      </x:c>
      <x:c r="D1547" s="12" t="n">
        <x:v>189916.75999999998</x:v>
      </x:c>
      <x:c r="E1547" s="12" t="n">
        <x:v>0</x:v>
      </x:c>
      <x:c r="F1547" s="12" t="n">
        <x:f>SUM(B1547,D1547:E1547)</x:f>
        <x:v>204428.05053999997</x:v>
      </x:c>
      <x:c r="G1547" s="12" t="n">
        <x:f>MAX(G1546,F1547)</x:f>
        <x:v>204549.05053999997</x:v>
      </x:c>
      <x:c r="H1547" s="14" t="n">
        <x:f>F1547/G1547-1</x:f>
        <x:v>-0.0005915451559446172</x:v>
      </x:c>
      <x:c r="I1547" s="14" t="n">
        <x:f>F1547/F1546-1</x:f>
        <x:v>0.00021312771768977612</x:v>
      </x:c>
      <x:c r="J1547" s="12" t="n">
        <x:v>0</x:v>
      </x:c>
      <x:c r="K1547" s="12" t="n">
        <x:v>0</x:v>
      </x:c>
      <x:c r="L1547" s="12" t="n">
        <x:v>0</x:v>
      </x:c>
      <x:c r="M1547" s="2" t="str">
        <x:v>持有</x:v>
      </x:c>
    </x:row>
    <x:row r="1548" ht="23" customHeight="1">
      <x:c r="A1548" s="11" t="d">
        <x:v>2021-02-18T00:00:00.000Z</x:v>
      </x:c>
      <x:c r="B1548" s="12" t="n">
        <x:v>14511.29054</x:v>
      </x:c>
      <x:c r="C1548" s="13" t="n">
        <x:v>484</x:v>
      </x:c>
      <x:c r="D1548" s="12" t="n">
        <x:v>189108.48</x:v>
      </x:c>
      <x:c r="E1548" s="12" t="n">
        <x:v>0</x:v>
      </x:c>
      <x:c r="F1548" s="12" t="n">
        <x:f>SUM(B1548,D1548:E1548)</x:f>
        <x:v>203619.77054</x:v>
      </x:c>
      <x:c r="G1548" s="12" t="n">
        <x:f>MAX(G1547,F1548)</x:f>
        <x:v>204549.05053999997</x:v>
      </x:c>
      <x:c r="H1548" s="14" t="n">
        <x:f>F1548/G1548-1</x:f>
        <x:v>-0.0045430667976542605</x:v>
      </x:c>
      <x:c r="I1548" s="14" t="n">
        <x:f>F1548/F1547-1</x:f>
        <x:v>-0.003953860528752684</x:v>
      </x:c>
      <x:c r="J1548" s="12" t="n">
        <x:v>0</x:v>
      </x:c>
      <x:c r="K1548" s="12" t="n">
        <x:v>0</x:v>
      </x:c>
      <x:c r="L1548" s="12" t="n">
        <x:v>0</x:v>
      </x:c>
      <x:c r="M1548" s="2" t="str">
        <x:v>持有</x:v>
      </x:c>
    </x:row>
    <x:row r="1549" ht="23" customHeight="1">
      <x:c r="A1549" s="11" t="d">
        <x:v>2021-02-19T00:00:00.000Z</x:v>
      </x:c>
      <x:c r="B1549" s="12" t="n">
        <x:v>14511.29054</x:v>
      </x:c>
      <x:c r="C1549" s="13" t="n">
        <x:v>484</x:v>
      </x:c>
      <x:c r="D1549" s="12" t="n">
        <x:v>188774.52</x:v>
      </x:c>
      <x:c r="E1549" s="12" t="n">
        <x:v>0</x:v>
      </x:c>
      <x:c r="F1549" s="12" t="n">
        <x:f>SUM(B1549,D1549:E1549)</x:f>
        <x:v>203285.81053999998</x:v>
      </x:c>
      <x:c r="G1549" s="12" t="n">
        <x:f>MAX(G1548,F1549)</x:f>
        <x:v>204549.05053999997</x:v>
      </x:c>
      <x:c r="H1549" s="14" t="n">
        <x:f>F1549/G1549-1</x:f>
        <x:v>-0.006175731428061382</x:v>
      </x:c>
      <x:c r="I1549" s="14" t="n">
        <x:f>F1549/F1548-1</x:f>
        <x:v>-0.0016401157859787796</x:v>
      </x:c>
      <x:c r="J1549" s="12" t="n">
        <x:v>0</x:v>
      </x:c>
      <x:c r="K1549" s="12" t="n">
        <x:v>0</x:v>
      </x:c>
      <x:c r="L1549" s="12" t="n">
        <x:v>0</x:v>
      </x:c>
      <x:c r="M1549" s="2" t="str">
        <x:v>持有</x:v>
      </x:c>
    </x:row>
    <x:row r="1550" ht="23" customHeight="1">
      <x:c r="A1550" s="11" t="d">
        <x:v>2021-02-22T00:00:00.000Z</x:v>
      </x:c>
      <x:c r="B1550" s="12" t="n">
        <x:v>14511.29054</x:v>
      </x:c>
      <x:c r="C1550" s="13" t="n">
        <x:v>484</x:v>
      </x:c>
      <x:c r="D1550" s="12" t="n">
        <x:v>187322.52</x:v>
      </x:c>
      <x:c r="E1550" s="12" t="n">
        <x:v>0</x:v>
      </x:c>
      <x:c r="F1550" s="12" t="n">
        <x:f>SUM(B1550,D1550:E1550)</x:f>
        <x:v>201833.81053999998</x:v>
      </x:c>
      <x:c r="G1550" s="12" t="n">
        <x:f>MAX(G1549,F1550)</x:f>
        <x:v>204549.05053999997</x:v>
      </x:c>
      <x:c r="H1550" s="14" t="n">
        <x:f>F1550/G1550-1</x:f>
        <x:v>-0.013274273299396344</x:v>
      </x:c>
      <x:c r="I1550" s="14" t="n">
        <x:f>F1550/F1549-1</x:f>
        <x:v>-0.007142652977809805</x:v>
      </x:c>
      <x:c r="J1550" s="12" t="n">
        <x:v>0</x:v>
      </x:c>
      <x:c r="K1550" s="12" t="n">
        <x:v>0</x:v>
      </x:c>
      <x:c r="L1550" s="12" t="n">
        <x:v>0</x:v>
      </x:c>
      <x:c r="M1550" s="2" t="str">
        <x:v>持有</x:v>
      </x:c>
    </x:row>
    <x:row r="1551" ht="23" customHeight="1">
      <x:c r="A1551" s="11" t="d">
        <x:v>2021-02-23T00:00:00.000Z</x:v>
      </x:c>
      <x:c r="B1551" s="12" t="n">
        <x:v>14511.29054</x:v>
      </x:c>
      <x:c r="C1551" s="13" t="n">
        <x:v>484</x:v>
      </x:c>
      <x:c r="D1551" s="12" t="n">
        <x:v>187550</x:v>
      </x:c>
      <x:c r="E1551" s="12" t="n">
        <x:v>0</x:v>
      </x:c>
      <x:c r="F1551" s="12" t="n">
        <x:f>SUM(B1551,D1551:E1551)</x:f>
        <x:v>202061.29054</x:v>
      </x:c>
      <x:c r="G1551" s="12" t="n">
        <x:f>MAX(G1550,F1551)</x:f>
        <x:v>204549.05053999997</x:v>
      </x:c>
      <x:c r="H1551" s="14" t="n">
        <x:f>F1551/G1551-1</x:f>
        <x:v>-0.01216216840622042</x:v>
      </x:c>
      <x:c r="I1551" s="14" t="n">
        <x:f>F1551/F1550-1</x:f>
        <x:v>0.001127065873608668</x:v>
      </x:c>
      <x:c r="J1551" s="12" t="n">
        <x:v>0</x:v>
      </x:c>
      <x:c r="K1551" s="12" t="n">
        <x:v>0</x:v>
      </x:c>
      <x:c r="L1551" s="12" t="n">
        <x:v>0</x:v>
      </x:c>
      <x:c r="M1551" s="2" t="str">
        <x:v>持有</x:v>
      </x:c>
    </x:row>
    <x:row r="1552" ht="23" customHeight="1">
      <x:c r="A1552" s="11" t="d">
        <x:v>2021-02-24T00:00:00.000Z</x:v>
      </x:c>
      <x:c r="B1552" s="12" t="n">
        <x:v>14511.29054</x:v>
      </x:c>
      <x:c r="C1552" s="13" t="n">
        <x:v>484</x:v>
      </x:c>
      <x:c r="D1552" s="12" t="n">
        <x:v>189616.68</x:v>
      </x:c>
      <x:c r="E1552" s="12" t="n">
        <x:v>0</x:v>
      </x:c>
      <x:c r="F1552" s="12" t="n">
        <x:f>SUM(B1552,D1552:E1552)</x:f>
        <x:v>204127.97053999998</x:v>
      </x:c>
      <x:c r="G1552" s="12" t="n">
        <x:f>MAX(G1551,F1552)</x:f>
        <x:v>204549.05053999997</x:v>
      </x:c>
      <x:c r="H1552" s="14" t="n">
        <x:f>F1552/G1552-1</x:f>
        <x:v>-0.0020585771426870902</x:v>
      </x:c>
      <x:c r="I1552" s="14" t="n">
        <x:f>F1552/F1551-1</x:f>
        <x:v>0.010227985748665125</x:v>
      </x:c>
      <x:c r="J1552" s="12" t="n">
        <x:v>0</x:v>
      </x:c>
      <x:c r="K1552" s="12" t="n">
        <x:v>0</x:v>
      </x:c>
      <x:c r="L1552" s="12" t="n">
        <x:v>0</x:v>
      </x:c>
      <x:c r="M1552" s="2" t="str">
        <x:v>持有</x:v>
      </x:c>
    </x:row>
    <x:row r="1553" ht="23" customHeight="1">
      <x:c r="A1553" s="11" t="d">
        <x:v>2021-02-25T00:00:00.000Z</x:v>
      </x:c>
      <x:c r="B1553" s="12" t="n">
        <x:v>14511.29054</x:v>
      </x:c>
      <x:c r="C1553" s="13" t="n">
        <x:v>484</x:v>
      </x:c>
      <x:c r="D1553" s="12" t="n">
        <x:v>185047.72</x:v>
      </x:c>
      <x:c r="E1553" s="12" t="n">
        <x:v>0</x:v>
      </x:c>
      <x:c r="F1553" s="12" t="n">
        <x:f>SUM(B1553,D1553:E1553)</x:f>
        <x:v>199559.01054</x:v>
      </x:c>
      <x:c r="G1553" s="12" t="n">
        <x:f>MAX(G1552,F1553)</x:f>
        <x:v>204549.05053999997</x:v>
      </x:c>
      <x:c r="H1553" s="14" t="n">
        <x:f>F1553/G1553-1</x:f>
        <x:v>-0.02439532223115437</x:v>
      </x:c>
      <x:c r="I1553" s="14" t="n">
        <x:f>F1553/F1552-1</x:f>
        <x:v>-0.022382821853924595</x:v>
      </x:c>
      <x:c r="J1553" s="12" t="n">
        <x:v>0</x:v>
      </x:c>
      <x:c r="K1553" s="12" t="n">
        <x:v>0</x:v>
      </x:c>
      <x:c r="L1553" s="12" t="n">
        <x:v>0</x:v>
      </x:c>
      <x:c r="M1553" s="2" t="str">
        <x:v>持有</x:v>
      </x:c>
    </x:row>
    <x:row r="1554" ht="23" customHeight="1">
      <x:c r="A1554" s="11" t="d">
        <x:v>2021-02-26T00:00:00.000Z</x:v>
      </x:c>
      <x:c r="B1554" s="12" t="n">
        <x:v>14511.29054</x:v>
      </x:c>
      <x:c r="C1554" s="13" t="n">
        <x:v>484</x:v>
      </x:c>
      <x:c r="D1554" s="12" t="n">
        <x:v>184094.24000000002</x:v>
      </x:c>
      <x:c r="E1554" s="12" t="n">
        <x:v>0</x:v>
      </x:c>
      <x:c r="F1554" s="12" t="n">
        <x:f>SUM(B1554,D1554:E1554)</x:f>
        <x:v>198605.53054</x:v>
      </x:c>
      <x:c r="G1554" s="12" t="n">
        <x:f>MAX(G1553,F1554)</x:f>
        <x:v>204549.05053999997</x:v>
      </x:c>
      <x:c r="H1554" s="14" t="n">
        <x:f>F1554/G1554-1</x:f>
        <x:v>-0.029056698059997554</x:v>
      </x:c>
      <x:c r="I1554" s="14" t="n">
        <x:f>F1554/F1553-1</x:f>
        <x:v>-0.004777935095087393</x:v>
      </x:c>
      <x:c r="J1554" s="12" t="n">
        <x:v>0</x:v>
      </x:c>
      <x:c r="K1554" s="12" t="n">
        <x:v>0</x:v>
      </x:c>
      <x:c r="L1554" s="12" t="n">
        <x:v>0</x:v>
      </x:c>
      <x:c r="M1554" s="2" t="str">
        <x:v>持有</x:v>
      </x:c>
    </x:row>
    <x:row r="1555" ht="23" customHeight="1">
      <x:c r="A1555" s="11" t="d">
        <x:v>2021-03-01T00:00:00.000Z</x:v>
      </x:c>
      <x:c r="B1555" s="12" t="n">
        <x:v>14511.29054</x:v>
      </x:c>
      <x:c r="C1555" s="13" t="n">
        <x:v>484</x:v>
      </x:c>
      <x:c r="D1555" s="12" t="n">
        <x:v>188556.72</x:v>
      </x:c>
      <x:c r="E1555" s="12" t="n">
        <x:v>0</x:v>
      </x:c>
      <x:c r="F1555" s="12" t="n">
        <x:f>SUM(B1555,D1555:E1555)</x:f>
        <x:v>203068.01054</x:v>
      </x:c>
      <x:c r="G1555" s="12" t="n">
        <x:f>MAX(G1554,F1555)</x:f>
        <x:v>204549.05053999997</x:v>
      </x:c>
      <x:c r="H1555" s="14" t="n">
        <x:f>F1555/G1555-1</x:f>
        <x:v>-0.007240512708761582</x:v>
      </x:c>
      <x:c r="I1555" s="14" t="n">
        <x:f>F1555/F1554-1</x:f>
        <x:v>0.02246906210449784</x:v>
      </x:c>
      <x:c r="J1555" s="12" t="n">
        <x:v>0</x:v>
      </x:c>
      <x:c r="K1555" s="12" t="n">
        <x:v>0</x:v>
      </x:c>
      <x:c r="L1555" s="12" t="n">
        <x:v>0</x:v>
      </x:c>
      <x:c r="M1555" s="2" t="str">
        <x:v>持有</x:v>
      </x:c>
    </x:row>
    <x:row r="1556" ht="23" customHeight="1">
      <x:c r="A1556" s="11" t="d">
        <x:v>2021-03-02T00:00:00.000Z</x:v>
      </x:c>
      <x:c r="B1556" s="12" t="n">
        <x:v>14511.29054</x:v>
      </x:c>
      <x:c r="C1556" s="13" t="n">
        <x:v>484</x:v>
      </x:c>
      <x:c r="D1556" s="12" t="n">
        <x:v>187085.36000000002</x:v>
      </x:c>
      <x:c r="E1556" s="12" t="n">
        <x:v>0</x:v>
      </x:c>
      <x:c r="F1556" s="12" t="n">
        <x:f>SUM(B1556,D1556:E1556)</x:f>
        <x:v>201596.65054</x:v>
      </x:c>
      <x:c r="G1556" s="12" t="n">
        <x:f>MAX(G1555,F1556)</x:f>
        <x:v>204549.05053999997</x:v>
      </x:c>
      <x:c r="H1556" s="14" t="n">
        <x:f>F1556/G1556-1</x:f>
        <x:v>-0.01443370180504755</x:v>
      </x:c>
      <x:c r="I1556" s="14" t="n">
        <x:f>F1556/F1555-1</x:f>
        <x:v>-0.007245651326800995</x:v>
      </x:c>
      <x:c r="J1556" s="12" t="n">
        <x:v>0</x:v>
      </x:c>
      <x:c r="K1556" s="12" t="n">
        <x:v>0</x:v>
      </x:c>
      <x:c r="L1556" s="12" t="n">
        <x:v>0</x:v>
      </x:c>
      <x:c r="M1556" s="2" t="str">
        <x:v>持有</x:v>
      </x:c>
    </x:row>
    <x:row r="1557" ht="23" customHeight="1">
      <x:c r="A1557" s="11" t="d">
        <x:v>2021-03-03T00:00:00.000Z</x:v>
      </x:c>
      <x:c r="B1557" s="12" t="n">
        <x:v>14511.29054</x:v>
      </x:c>
      <x:c r="C1557" s="13" t="n">
        <x:v>484</x:v>
      </x:c>
      <x:c r="D1557" s="12" t="n">
        <x:v>184607.28</x:v>
      </x:c>
      <x:c r="E1557" s="12" t="n">
        <x:v>0</x:v>
      </x:c>
      <x:c r="F1557" s="12" t="n">
        <x:f>SUM(B1557,D1557:E1557)</x:f>
        <x:v>199118.57054</x:v>
      </x:c>
      <x:c r="G1557" s="12" t="n">
        <x:f>MAX(G1556,F1557)</x:f>
        <x:v>204549.05053999997</x:v>
      </x:c>
      <x:c r="H1557" s="14" t="n">
        <x:f>F1557/G1557-1</x:f>
        <x:v>-0.02654854659879269</x:v>
      </x:c>
      <x:c r="I1557" s="14" t="n">
        <x:f>F1557/F1556-1</x:f>
        <x:v>-0.012292267720531047</x:v>
      </x:c>
      <x:c r="J1557" s="12" t="n">
        <x:v>0</x:v>
      </x:c>
      <x:c r="K1557" s="12" t="n">
        <x:v>0</x:v>
      </x:c>
      <x:c r="L1557" s="12" t="n">
        <x:v>0</x:v>
      </x:c>
      <x:c r="M1557" s="2" t="str">
        <x:v>持有</x:v>
      </x:c>
    </x:row>
    <x:row r="1558" ht="23" customHeight="1">
      <x:c r="A1558" s="11" t="d">
        <x:v>2021-03-04T00:00:00.000Z</x:v>
      </x:c>
      <x:c r="B1558" s="12" t="n">
        <x:v>14511.29054</x:v>
      </x:c>
      <x:c r="C1558" s="13" t="n">
        <x:v>484</x:v>
      </x:c>
      <x:c r="D1558" s="12" t="n">
        <x:v>182322.8</x:v>
      </x:c>
      <x:c r="E1558" s="12" t="n">
        <x:v>0</x:v>
      </x:c>
      <x:c r="F1558" s="12" t="n">
        <x:f>SUM(B1558,D1558:E1558)</x:f>
        <x:v>196834.09053999998</x:v>
      </x:c>
      <x:c r="G1558" s="12" t="n">
        <x:f>MAX(G1557,F1558)</x:f>
        <x:v>204549.05053999997</x:v>
      </x:c>
      <x:c r="H1558" s="14" t="n">
        <x:f>F1558/G1558-1</x:f>
        <x:v>-0.03771691914302633</x:v>
      </x:c>
      <x:c r="I1558" s="14" t="n">
        <x:f>F1558/F1557-1</x:f>
        <x:v>-0.011472963038076323</x:v>
      </x:c>
      <x:c r="J1558" s="12" t="n">
        <x:v>0</x:v>
      </x:c>
      <x:c r="K1558" s="12" t="n">
        <x:v>0</x:v>
      </x:c>
      <x:c r="L1558" s="12" t="n">
        <x:v>0</x:v>
      </x:c>
      <x:c r="M1558" s="2" t="str">
        <x:v>持有</x:v>
      </x:c>
    </x:row>
    <x:row r="1559" ht="23" customHeight="1">
      <x:c r="A1559" s="11" t="d">
        <x:v>2021-03-05T00:00:00.000Z</x:v>
      </x:c>
      <x:c r="B1559" s="12" t="n">
        <x:v>14511.29054</x:v>
      </x:c>
      <x:c r="C1559" s="13" t="n">
        <x:v>484</x:v>
      </x:c>
      <x:c r="D1559" s="12" t="n">
        <x:v>185676.91999999998</x:v>
      </x:c>
      <x:c r="E1559" s="12" t="n">
        <x:v>0</x:v>
      </x:c>
      <x:c r="F1559" s="12" t="n">
        <x:f>SUM(B1559,D1559:E1559)</x:f>
        <x:v>200188.21053999997</x:v>
      </x:c>
      <x:c r="G1559" s="12" t="n">
        <x:f>MAX(G1558,F1559)</x:f>
        <x:v>204549.05053999997</x:v>
      </x:c>
      <x:c r="H1559" s="14" t="n">
        <x:f>F1559/G1559-1</x:f>
        <x:v>-0.021319287420242583</x:v>
      </x:c>
      <x:c r="I1559" s="14" t="n">
        <x:f>F1559/F1558-1</x:f>
        <x:v>0.017040340881999683</x:v>
      </x:c>
      <x:c r="J1559" s="12" t="n">
        <x:v>0</x:v>
      </x:c>
      <x:c r="K1559" s="12" t="n">
        <x:v>0</x:v>
      </x:c>
      <x:c r="L1559" s="12" t="n">
        <x:v>0</x:v>
      </x:c>
      <x:c r="M1559" s="2" t="str">
        <x:v>持有</x:v>
      </x:c>
    </x:row>
    <x:row r="1560" ht="23" customHeight="1">
      <x:c r="A1560" s="11" t="d">
        <x:v>2021-03-08T00:00:00.000Z</x:v>
      </x:c>
      <x:c r="B1560" s="12" t="n">
        <x:v>14511.29054</x:v>
      </x:c>
      <x:c r="C1560" s="13" t="n">
        <x:v>484</x:v>
      </x:c>
      <x:c r="D1560" s="12" t="n">
        <x:v>184752.48</x:v>
      </x:c>
      <x:c r="E1560" s="12" t="n">
        <x:v>0</x:v>
      </x:c>
      <x:c r="F1560" s="12" t="n">
        <x:f>SUM(B1560,D1560:E1560)</x:f>
        <x:v>199263.77054</x:v>
      </x:c>
      <x:c r="G1560" s="12" t="n">
        <x:f>MAX(G1559,F1560)</x:f>
        <x:v>204549.05053999997</x:v>
      </x:c>
      <x:c r="H1560" s="14" t="n">
        <x:f>F1560/G1560-1</x:f>
        <x:v>-0.025838692411659148</x:v>
      </x:c>
      <x:c r="I1560" s="14" t="n">
        <x:f>F1560/F1559-1</x:f>
        <x:v>-0.004617854355690287</x:v>
      </x:c>
      <x:c r="J1560" s="12" t="n">
        <x:v>0</x:v>
      </x:c>
      <x:c r="K1560" s="12" t="n">
        <x:v>0</x:v>
      </x:c>
      <x:c r="L1560" s="12" t="n">
        <x:v>0</x:v>
      </x:c>
      <x:c r="M1560" s="2" t="str">
        <x:v>持有</x:v>
      </x:c>
    </x:row>
    <x:row r="1561" ht="23" customHeight="1">
      <x:c r="A1561" s="11" t="d">
        <x:v>2021-03-09T00:00:00.000Z</x:v>
      </x:c>
      <x:c r="B1561" s="12" t="n">
        <x:v>14511.29054</x:v>
      </x:c>
      <x:c r="C1561" s="13" t="n">
        <x:v>484</x:v>
      </x:c>
      <x:c r="D1561" s="12" t="n">
        <x:v>187390.28</x:v>
      </x:c>
      <x:c r="E1561" s="12" t="n">
        <x:v>0</x:v>
      </x:c>
      <x:c r="F1561" s="12" t="n">
        <x:f>SUM(B1561,D1561:E1561)</x:f>
        <x:v>201901.57054</x:v>
      </x:c>
      <x:c r="G1561" s="12" t="n">
        <x:f>MAX(G1560,F1561)</x:f>
        <x:v>204549.05053999997</x:v>
      </x:c>
      <x:c r="H1561" s="14" t="n">
        <x:f>F1561/G1561-1</x:f>
        <x:v>-0.01294300801206727</x:v>
      </x:c>
      <x:c r="I1561" s="14" t="n">
        <x:f>F1561/F1560-1</x:f>
        <x:v>0.013237730034173278</x:v>
      </x:c>
      <x:c r="J1561" s="12" t="n">
        <x:v>0</x:v>
      </x:c>
      <x:c r="K1561" s="12" t="n">
        <x:v>0</x:v>
      </x:c>
      <x:c r="L1561" s="12" t="n">
        <x:v>0</x:v>
      </x:c>
      <x:c r="M1561" s="2" t="str">
        <x:v>持有</x:v>
      </x:c>
    </x:row>
    <x:row r="1562" ht="23" customHeight="1">
      <x:c r="A1562" s="11" t="d">
        <x:v>2021-03-10T00:00:00.000Z</x:v>
      </x:c>
      <x:c r="B1562" s="12" t="n">
        <x:v>14511.29054</x:v>
      </x:c>
      <x:c r="C1562" s="13" t="n">
        <x:v>484</x:v>
      </x:c>
      <x:c r="D1562" s="12" t="n">
        <x:v>188556.72</x:v>
      </x:c>
      <x:c r="E1562" s="12" t="n">
        <x:v>0</x:v>
      </x:c>
      <x:c r="F1562" s="12" t="n">
        <x:f>SUM(B1562,D1562:E1562)</x:f>
        <x:v>203068.01054</x:v>
      </x:c>
      <x:c r="G1562" s="12" t="n">
        <x:f>MAX(G1561,F1562)</x:f>
        <x:v>204549.05053999997</x:v>
      </x:c>
      <x:c r="H1562" s="14" t="n">
        <x:f>F1562/G1562-1</x:f>
        <x:v>-0.007240512708761582</x:v>
      </x:c>
      <x:c r="I1562" s="14" t="n">
        <x:f>F1562/F1561-1</x:f>
        <x:v>0.005777270562483894</x:v>
      </x:c>
      <x:c r="J1562" s="12" t="n">
        <x:v>0</x:v>
      </x:c>
      <x:c r="K1562" s="12" t="n">
        <x:v>0</x:v>
      </x:c>
      <x:c r="L1562" s="12" t="n">
        <x:v>0</x:v>
      </x:c>
      <x:c r="M1562" s="2" t="str">
        <x:v>持有</x:v>
      </x:c>
    </x:row>
    <x:row r="1563" ht="23" customHeight="1">
      <x:c r="A1563" s="11" t="d">
        <x:v>2021-03-11T00:00:00.000Z</x:v>
      </x:c>
      <x:c r="B1563" s="12" t="n">
        <x:v>14511.29054</x:v>
      </x:c>
      <x:c r="C1563" s="13" t="n">
        <x:v>484</x:v>
      </x:c>
      <x:c r="D1563" s="12" t="n">
        <x:v>190468.52</x:v>
      </x:c>
      <x:c r="E1563" s="12" t="n">
        <x:v>0</x:v>
      </x:c>
      <x:c r="F1563" s="12" t="n">
        <x:f>SUM(B1563,D1563:E1563)</x:f>
        <x:v>204979.81053999998</x:v>
      </x:c>
      <x:c r="G1563" s="12" t="n">
        <x:f>MAX(G1562,F1563)</x:f>
        <x:v>204979.81053999998</x:v>
      </x:c>
      <x:c r="H1563" s="14" t="n">
        <x:f>F1563/G1563-1</x:f>
        <x:v>0</x:v>
      </x:c>
      <x:c r="I1563" s="14" t="n">
        <x:f>F1563/F1562-1</x:f>
        <x:v>0.00941457984896843</x:v>
      </x:c>
      <x:c r="J1563" s="12" t="n">
        <x:v>0</x:v>
      </x:c>
      <x:c r="K1563" s="12" t="n">
        <x:v>0</x:v>
      </x:c>
      <x:c r="L1563" s="12" t="n">
        <x:v>0</x:v>
      </x:c>
      <x:c r="M1563" s="2" t="str">
        <x:v>持有</x:v>
      </x:c>
    </x:row>
    <x:row r="1564" ht="23" customHeight="1">
      <x:c r="A1564" s="11" t="d">
        <x:v>2021-03-12T00:00:00.000Z</x:v>
      </x:c>
      <x:c r="B1564" s="12" t="n">
        <x:v>14511.29054</x:v>
      </x:c>
      <x:c r="C1564" s="13" t="n">
        <x:v>484</x:v>
      </x:c>
      <x:c r="D1564" s="12" t="n">
        <x:v>190725.04</x:v>
      </x:c>
      <x:c r="E1564" s="12" t="n">
        <x:v>0</x:v>
      </x:c>
      <x:c r="F1564" s="12" t="n">
        <x:f>SUM(B1564,D1564:E1564)</x:f>
        <x:v>205236.33054</x:v>
      </x:c>
      <x:c r="G1564" s="12" t="n">
        <x:f>MAX(G1563,F1564)</x:f>
        <x:v>205236.33054</x:v>
      </x:c>
      <x:c r="H1564" s="14" t="n">
        <x:f>F1564/G1564-1</x:f>
        <x:v>0</x:v>
      </x:c>
      <x:c r="I1564" s="14" t="n">
        <x:f>F1564/F1563-1</x:f>
        <x:v>0.0012514403214844982</x:v>
      </x:c>
      <x:c r="J1564" s="12" t="n">
        <x:v>0</x:v>
      </x:c>
      <x:c r="K1564" s="12" t="n">
        <x:v>0</x:v>
      </x:c>
      <x:c r="L1564" s="12" t="n">
        <x:v>0</x:v>
      </x:c>
      <x:c r="M1564" s="2" t="str">
        <x:v>持有</x:v>
      </x:c>
    </x:row>
    <x:row r="1565" ht="23" customHeight="1">
      <x:c r="A1565" s="11" t="d">
        <x:v>2021-03-15T00:00:00.000Z</x:v>
      </x:c>
      <x:c r="B1565" s="12" t="n">
        <x:v>14511.29054</x:v>
      </x:c>
      <x:c r="C1565" s="13" t="n">
        <x:v>484</x:v>
      </x:c>
      <x:c r="D1565" s="12" t="n">
        <x:v>191862.44</x:v>
      </x:c>
      <x:c r="E1565" s="12" t="n">
        <x:v>0</x:v>
      </x:c>
      <x:c r="F1565" s="12" t="n">
        <x:f>SUM(B1565,D1565:E1565)</x:f>
        <x:v>206373.73054</x:v>
      </x:c>
      <x:c r="G1565" s="12" t="n">
        <x:f>MAX(G1564,F1565)</x:f>
        <x:v>206373.73054</x:v>
      </x:c>
      <x:c r="H1565" s="14" t="n">
        <x:f>F1565/G1565-1</x:f>
        <x:v>0</x:v>
      </x:c>
      <x:c r="I1565" s="14" t="n">
        <x:f>F1565/F1564-1</x:f>
        <x:v>0.005541903799426651</x:v>
      </x:c>
      <x:c r="J1565" s="12" t="n">
        <x:v>0</x:v>
      </x:c>
      <x:c r="K1565" s="12" t="n">
        <x:v>0</x:v>
      </x:c>
      <x:c r="L1565" s="12" t="n">
        <x:v>0</x:v>
      </x:c>
      <x:c r="M1565" s="2" t="str">
        <x:v>持有</x:v>
      </x:c>
    </x:row>
    <x:row r="1566" ht="23" customHeight="1">
      <x:c r="A1566" s="11" t="d">
        <x:v>2021-03-16T00:00:00.000Z</x:v>
      </x:c>
      <x:c r="B1566" s="12" t="n">
        <x:v>14511.29054</x:v>
      </x:c>
      <x:c r="C1566" s="13" t="n">
        <x:v>484</x:v>
      </x:c>
      <x:c r="D1566" s="12" t="n">
        <x:v>191620.44</x:v>
      </x:c>
      <x:c r="E1566" s="12" t="n">
        <x:v>0</x:v>
      </x:c>
      <x:c r="F1566" s="12" t="n">
        <x:f>SUM(B1566,D1566:E1566)</x:f>
        <x:v>206131.73054</x:v>
      </x:c>
      <x:c r="G1566" s="12" t="n">
        <x:f>MAX(G1565,F1566)</x:f>
        <x:v>206373.73054</x:v>
      </x:c>
      <x:c r="H1566" s="14" t="n">
        <x:f>F1566/G1566-1</x:f>
        <x:v>-0.0011726298660531542</x:v>
      </x:c>
      <x:c r="I1566" s="14" t="n">
        <x:f>F1566/F1565-1</x:f>
        <x:v>-0.0011726298660531542</x:v>
      </x:c>
      <x:c r="J1566" s="12" t="n">
        <x:v>0</x:v>
      </x:c>
      <x:c r="K1566" s="12" t="n">
        <x:v>0</x:v>
      </x:c>
      <x:c r="L1566" s="12" t="n">
        <x:v>0</x:v>
      </x:c>
      <x:c r="M1566" s="2" t="str">
        <x:v>持有</x:v>
      </x:c>
    </x:row>
    <x:row r="1567" ht="23" customHeight="1">
      <x:c r="A1567" s="11" t="d">
        <x:v>2021-03-17T00:00:00.000Z</x:v>
      </x:c>
      <x:c r="B1567" s="12" t="n">
        <x:v>14511.29054</x:v>
      </x:c>
      <x:c r="C1567" s="13" t="n">
        <x:v>484</x:v>
      </x:c>
      <x:c r="D1567" s="12" t="n">
        <x:v>192273.84</x:v>
      </x:c>
      <x:c r="E1567" s="12" t="n">
        <x:v>0</x:v>
      </x:c>
      <x:c r="F1567" s="12" t="n">
        <x:f>SUM(B1567,D1567:E1567)</x:f>
        <x:v>206785.13053999998</x:v>
      </x:c>
      <x:c r="G1567" s="12" t="n">
        <x:f>MAX(G1566,F1567)</x:f>
        <x:v>206785.13053999998</x:v>
      </x:c>
      <x:c r="H1567" s="14" t="n">
        <x:f>F1567/G1567-1</x:f>
        <x:v>0</x:v>
      </x:c>
      <x:c r="I1567" s="14" t="n">
        <x:f>F1567/F1566-1</x:f>
        <x:v>0.003169817661202723</x:v>
      </x:c>
      <x:c r="J1567" s="12" t="n">
        <x:v>0</x:v>
      </x:c>
      <x:c r="K1567" s="12" t="n">
        <x:v>0</x:v>
      </x:c>
      <x:c r="L1567" s="12" t="n">
        <x:v>0</x:v>
      </x:c>
      <x:c r="M1567" s="2" t="str">
        <x:v>持有</x:v>
      </x:c>
    </x:row>
    <x:row r="1568" ht="23" customHeight="1">
      <x:c r="A1568" s="11" t="d">
        <x:v>2021-03-18T00:00:00.000Z</x:v>
      </x:c>
      <x:c r="B1568" s="12" t="n">
        <x:v>14511.29054</x:v>
      </x:c>
      <x:c r="C1568" s="13" t="n">
        <x:v>484</x:v>
      </x:c>
      <x:c r="D1568" s="12" t="n">
        <x:v>189476.32</x:v>
      </x:c>
      <x:c r="E1568" s="12" t="n">
        <x:v>0</x:v>
      </x:c>
      <x:c r="F1568" s="12" t="n">
        <x:f>SUM(B1568,D1568:E1568)</x:f>
        <x:v>203987.61054</x:v>
      </x:c>
      <x:c r="G1568" s="12" t="n">
        <x:f>MAX(G1567,F1568)</x:f>
        <x:v>206785.13053999998</x:v>
      </x:c>
      <x:c r="H1568" s="14" t="n">
        <x:f>F1568/G1568-1</x:f>
        <x:v>-0.013528632318457912</x:v>
      </x:c>
      <x:c r="I1568" s="14" t="n">
        <x:f>F1568/F1567-1</x:f>
        <x:v>-0.013528632318457912</x:v>
      </x:c>
      <x:c r="J1568" s="12" t="n">
        <x:v>0</x:v>
      </x:c>
      <x:c r="K1568" s="12" t="n">
        <x:v>0</x:v>
      </x:c>
      <x:c r="L1568" s="12" t="n">
        <x:v>0</x:v>
      </x:c>
      <x:c r="M1568" s="2" t="str">
        <x:v>持有</x:v>
      </x:c>
    </x:row>
    <x:row r="1569" ht="23" customHeight="1">
      <x:c r="A1569" s="11" t="d">
        <x:v>2021-03-19T00:00:00.000Z</x:v>
      </x:c>
      <x:c r="B1569" s="12" t="n">
        <x:v>14511.29054</x:v>
      </x:c>
      <x:c r="C1569" s="13" t="n">
        <x:v>484</x:v>
      </x:c>
      <x:c r="D1569" s="12" t="n">
        <x:v>188508.32</x:v>
      </x:c>
      <x:c r="E1569" s="12" t="n">
        <x:v>618.449392</x:v>
      </x:c>
      <x:c r="F1569" s="12" t="n">
        <x:f>SUM(B1569,D1569:E1569)</x:f>
        <x:v>203638.059932</x:v>
      </x:c>
      <x:c r="G1569" s="12" t="n">
        <x:f>MAX(G1568,F1569)</x:f>
        <x:v>206785.13053999998</x:v>
      </x:c>
      <x:c r="H1569" s="14" t="n">
        <x:f>F1569/G1569-1</x:f>
        <x:v>-0.015219037267243052</x:v>
      </x:c>
      <x:c r="I1569" s="14" t="n">
        <x:f>F1569/F1568-1</x:f>
        <x:v>-0.0017135874432503417</x:v>
      </x:c>
      <x:c r="J1569" s="12" t="n">
        <x:v>618.449392</x:v>
      </x:c>
      <x:c r="K1569" s="12" t="n">
        <x:v>0</x:v>
      </x:c>
      <x:c r="L1569" s="12" t="n">
        <x:v>0</x:v>
      </x:c>
      <x:c r="M1569" s="2" t="str">
        <x:v>持有</x:v>
      </x:c>
    </x:row>
    <x:row r="1570" ht="23" customHeight="1">
      <x:c r="A1570" s="11" t="d">
        <x:v>2021-03-22T00:00:00.000Z</x:v>
      </x:c>
      <x:c r="B1570" s="12" t="n">
        <x:v>14511.29054</x:v>
      </x:c>
      <x:c r="C1570" s="13" t="n">
        <x:v>484</x:v>
      </x:c>
      <x:c r="D1570" s="12" t="n">
        <x:v>190013.56</x:v>
      </x:c>
      <x:c r="E1570" s="12" t="n">
        <x:v>618.449392</x:v>
      </x:c>
      <x:c r="F1570" s="12" t="n">
        <x:f>SUM(B1570,D1570:E1570)</x:f>
        <x:v>205143.299932</x:v>
      </x:c>
      <x:c r="G1570" s="12" t="n">
        <x:f>MAX(G1569,F1570)</x:f>
        <x:v>206785.13053999998</x:v>
      </x:c>
      <x:c r="H1570" s="14" t="n">
        <x:f>F1570/G1570-1</x:f>
        <x:v>-0.007939790466135133</x:v>
      </x:c>
      <x:c r="I1570" s="14" t="n">
        <x:f>F1570/F1569-1</x:f>
        <x:v>0.007391741998046042</x:v>
      </x:c>
      <x:c r="J1570" s="12" t="n">
        <x:v>0</x:v>
      </x:c>
      <x:c r="K1570" s="12" t="n">
        <x:v>0</x:v>
      </x:c>
      <x:c r="L1570" s="12" t="n">
        <x:v>0</x:v>
      </x:c>
      <x:c r="M1570" s="2" t="str">
        <x:v>持有</x:v>
      </x:c>
    </x:row>
    <x:row r="1571" ht="23" customHeight="1">
      <x:c r="A1571" s="11" t="d">
        <x:v>2021-03-23T00:00:00.000Z</x:v>
      </x:c>
      <x:c r="B1571" s="12" t="n">
        <x:v>14511.29054</x:v>
      </x:c>
      <x:c r="C1571" s="13" t="n">
        <x:v>484</x:v>
      </x:c>
      <x:c r="D1571" s="12" t="n">
        <x:v>188518</x:v>
      </x:c>
      <x:c r="E1571" s="12" t="n">
        <x:v>618.449392</x:v>
      </x:c>
      <x:c r="F1571" s="12" t="n">
        <x:f>SUM(B1571,D1571:E1571)</x:f>
        <x:v>203647.739932</x:v>
      </x:c>
      <x:c r="G1571" s="12" t="n">
        <x:f>MAX(G1570,F1571)</x:f>
        <x:v>206785.13053999998</x:v>
      </x:c>
      <x:c r="H1571" s="14" t="n">
        <x:f>F1571/G1571-1</x:f>
        <x:v>-0.015172225390708616</x:v>
      </x:c>
      <x:c r="I1571" s="14" t="n">
        <x:f>F1571/F1570-1</x:f>
        <x:v>-0.00729031852610218</x:v>
      </x:c>
      <x:c r="J1571" s="12" t="n">
        <x:v>0</x:v>
      </x:c>
      <x:c r="K1571" s="12" t="n">
        <x:v>0</x:v>
      </x:c>
      <x:c r="L1571" s="12" t="n">
        <x:v>0</x:v>
      </x:c>
      <x:c r="M1571" s="2" t="str">
        <x:v>持有</x:v>
      </x:c>
    </x:row>
    <x:row r="1572" ht="23" customHeight="1">
      <x:c r="A1572" s="11" t="d">
        <x:v>2021-03-24T00:00:00.000Z</x:v>
      </x:c>
      <x:c r="B1572" s="12" t="n">
        <x:v>14511.29054</x:v>
      </x:c>
      <x:c r="C1572" s="13" t="n">
        <x:v>484</x:v>
      </x:c>
      <x:c r="D1572" s="12" t="n">
        <x:v>187559.68</x:v>
      </x:c>
      <x:c r="E1572" s="12" t="n">
        <x:v>618.449392</x:v>
      </x:c>
      <x:c r="F1572" s="12" t="n">
        <x:f>SUM(B1572,D1572:E1572)</x:f>
        <x:v>202689.419932</x:v>
      </x:c>
      <x:c r="G1572" s="12" t="n">
        <x:f>MAX(G1571,F1572)</x:f>
        <x:v>206785.13053999998</x:v>
      </x:c>
      <x:c r="H1572" s="14" t="n">
        <x:f>F1572/G1572-1</x:f>
        <x:v>-0.019806601167619897</x:v>
      </x:c>
      <x:c r="I1572" s="14" t="n">
        <x:f>F1572/F1571-1</x:f>
        <x:v>-0.004705772822816479</x:v>
      </x:c>
      <x:c r="J1572" s="12" t="n">
        <x:v>0</x:v>
      </x:c>
      <x:c r="K1572" s="12" t="n">
        <x:v>0</x:v>
      </x:c>
      <x:c r="L1572" s="12" t="n">
        <x:v>0</x:v>
      </x:c>
      <x:c r="M1572" s="2" t="str">
        <x:v>持有</x:v>
      </x:c>
    </x:row>
    <x:row r="1573" ht="23" customHeight="1">
      <x:c r="A1573" s="11" t="d">
        <x:v>2021-03-25T00:00:00.000Z</x:v>
      </x:c>
      <x:c r="B1573" s="12" t="n">
        <x:v>14511.29054</x:v>
      </x:c>
      <x:c r="C1573" s="13" t="n">
        <x:v>484</x:v>
      </x:c>
      <x:c r="D1573" s="12" t="n">
        <x:v>188614.8</x:v>
      </x:c>
      <x:c r="E1573" s="12" t="n">
        <x:v>618.449392</x:v>
      </x:c>
      <x:c r="F1573" s="12" t="n">
        <x:f>SUM(B1573,D1573:E1573)</x:f>
        <x:v>203744.53993199999</x:v>
      </x:c>
      <x:c r="G1573" s="12" t="n">
        <x:f>MAX(G1572,F1573)</x:f>
        <x:v>206785.13053999998</x:v>
      </x:c>
      <x:c r="H1573" s="14" t="n">
        <x:f>F1573/G1573-1</x:f>
        <x:v>-0.014704106625364144</x:v>
      </x:c>
      <x:c r="I1573" s="14" t="n">
        <x:f>F1573/F1572-1</x:f>
        <x:v>0.005205599780955472</x:v>
      </x:c>
      <x:c r="J1573" s="12" t="n">
        <x:v>0</x:v>
      </x:c>
      <x:c r="K1573" s="12" t="n">
        <x:v>0</x:v>
      </x:c>
      <x:c r="L1573" s="12" t="n">
        <x:v>0</x:v>
      </x:c>
      <x:c r="M1573" s="2" t="str">
        <x:v>持有</x:v>
      </x:c>
    </x:row>
    <x:row r="1574" ht="23" customHeight="1">
      <x:c r="A1574" s="11" t="d">
        <x:v>2021-03-26T00:00:00.000Z</x:v>
      </x:c>
      <x:c r="B1574" s="12" t="n">
        <x:v>14511.29054</x:v>
      </x:c>
      <x:c r="C1574" s="13" t="n">
        <x:v>484</x:v>
      </x:c>
      <x:c r="D1574" s="12" t="n">
        <x:v>191654.32</x:v>
      </x:c>
      <x:c r="E1574" s="12" t="n">
        <x:v>618.449392</x:v>
      </x:c>
      <x:c r="F1574" s="12" t="n">
        <x:f>SUM(B1574,D1574:E1574)</x:f>
        <x:v>206784.059932</x:v>
      </x:c>
      <x:c r="G1574" s="12" t="n">
        <x:f>MAX(G1573,F1574)</x:f>
        <x:v>206785.13053999998</x:v>
      </x:c>
      <x:c r="H1574" s="14" t="n">
        <x:f>F1574/G1574-1</x:f>
        <x:v>-0.000005177393544664177</x:v>
      </x:c>
      <x:c r="I1574" s="14" t="n">
        <x:f>F1574/F1573-1</x:f>
        <x:v>0.014918289349076463</x:v>
      </x:c>
      <x:c r="J1574" s="12" t="n">
        <x:v>0</x:v>
      </x:c>
      <x:c r="K1574" s="12" t="n">
        <x:v>0</x:v>
      </x:c>
      <x:c r="L1574" s="12" t="n">
        <x:v>0</x:v>
      </x:c>
      <x:c r="M1574" s="2" t="str">
        <x:v>持有</x:v>
      </x:c>
    </x:row>
    <x:row r="1575" ht="23" customHeight="1">
      <x:c r="A1575" s="11" t="d">
        <x:v>2021-03-29T00:00:00.000Z</x:v>
      </x:c>
      <x:c r="B1575" s="12" t="n">
        <x:v>14511.29054</x:v>
      </x:c>
      <x:c r="C1575" s="13" t="n">
        <x:v>484</x:v>
      </x:c>
      <x:c r="D1575" s="12" t="n">
        <x:v>191557.52</x:v>
      </x:c>
      <x:c r="E1575" s="12" t="n">
        <x:v>618.449392</x:v>
      </x:c>
      <x:c r="F1575" s="12" t="n">
        <x:f>SUM(B1575,D1575:E1575)</x:f>
        <x:v>206687.259932</x:v>
      </x:c>
      <x:c r="G1575" s="12" t="n">
        <x:f>MAX(G1574,F1575)</x:f>
        <x:v>206785.13053999998</x:v>
      </x:c>
      <x:c r="H1575" s="14" t="n">
        <x:f>F1575/G1575-1</x:f>
        <x:v>-0.00047329615888924703</x:v>
      </x:c>
      <x:c r="I1575" s="14" t="n">
        <x:f>F1575/F1574-1</x:f>
        <x:v>-0.0004681211889923098</x:v>
      </x:c>
      <x:c r="J1575" s="12" t="n">
        <x:v>0</x:v>
      </x:c>
      <x:c r="K1575" s="12" t="n">
        <x:v>0</x:v>
      </x:c>
      <x:c r="L1575" s="12" t="n">
        <x:v>0</x:v>
      </x:c>
      <x:c r="M1575" s="2" t="str">
        <x:v>持有</x:v>
      </x:c>
    </x:row>
    <x:row r="1576" ht="23" customHeight="1">
      <x:c r="A1576" s="11" t="d">
        <x:v>2021-03-30T00:00:00.000Z</x:v>
      </x:c>
      <x:c r="B1576" s="12" t="n">
        <x:v>14511.29054</x:v>
      </x:c>
      <x:c r="C1576" s="13" t="n">
        <x:v>484</x:v>
      </x:c>
      <x:c r="D1576" s="12" t="n">
        <x:v>191049.32</x:v>
      </x:c>
      <x:c r="E1576" s="12" t="n">
        <x:v>618.449392</x:v>
      </x:c>
      <x:c r="F1576" s="12" t="n">
        <x:f>SUM(B1576,D1576:E1576)</x:f>
        <x:v>206179.059932</x:v>
      </x:c>
      <x:c r="G1576" s="12" t="n">
        <x:f>MAX(G1575,F1576)</x:f>
        <x:v>206785.13053999998</x:v>
      </x:c>
      <x:c r="H1576" s="14" t="n">
        <x:f>F1576/G1576-1</x:f>
        <x:v>-0.0029309196769481405</x:v>
      </x:c>
      <x:c r="I1576" s="14" t="n">
        <x:f>F1576/F1575-1</x:f>
        <x:v>-0.002458787252621053</x:v>
      </x:c>
      <x:c r="J1576" s="12" t="n">
        <x:v>0</x:v>
      </x:c>
      <x:c r="K1576" s="12" t="n">
        <x:v>0</x:v>
      </x:c>
      <x:c r="L1576" s="12" t="n">
        <x:v>0</x:v>
      </x:c>
      <x:c r="M1576" s="2" t="str">
        <x:v>持有</x:v>
      </x:c>
    </x:row>
    <x:row r="1577" ht="23" customHeight="1">
      <x:c r="A1577" s="11" t="d">
        <x:v>2021-03-31T00:00:00.000Z</x:v>
      </x:c>
      <x:c r="B1577" s="12" t="n">
        <x:v>14511.29054</x:v>
      </x:c>
      <x:c r="C1577" s="13" t="n">
        <x:v>484</x:v>
      </x:c>
      <x:c r="D1577" s="12" t="n">
        <x:v>191823.72</x:v>
      </x:c>
      <x:c r="E1577" s="12" t="n">
        <x:v>618.449392</x:v>
      </x:c>
      <x:c r="F1577" s="12" t="n">
        <x:f>SUM(B1577,D1577:E1577)</x:f>
        <x:v>206953.459932</x:v>
      </x:c>
      <x:c r="G1577" s="12" t="n">
        <x:f>MAX(G1576,F1577)</x:f>
        <x:v>206953.459932</x:v>
      </x:c>
      <x:c r="H1577" s="14" t="n">
        <x:f>F1577/G1577-1</x:f>
        <x:v>0</x:v>
      </x:c>
      <x:c r="I1577" s="14" t="n">
        <x:f>F1577/F1576-1</x:f>
        <x:v>0.0037559585355340097</x:v>
      </x:c>
      <x:c r="J1577" s="12" t="n">
        <x:v>0</x:v>
      </x:c>
      <x:c r="K1577" s="12" t="n">
        <x:v>0</x:v>
      </x:c>
      <x:c r="L1577" s="12" t="n">
        <x:v>0</x:v>
      </x:c>
      <x:c r="M1577" s="2" t="str">
        <x:v>持有</x:v>
      </x:c>
    </x:row>
    <x:row r="1578" ht="23" customHeight="1">
      <x:c r="A1578" s="11" t="d">
        <x:v>2021-04-01T00:00:00.000Z</x:v>
      </x:c>
      <x:c r="B1578" s="12" t="n">
        <x:v>14511.29054</x:v>
      </x:c>
      <x:c r="C1578" s="13" t="n">
        <x:v>484</x:v>
      </x:c>
      <x:c r="D1578" s="12" t="n">
        <x:v>193895.24000000002</x:v>
      </x:c>
      <x:c r="E1578" s="12" t="n">
        <x:v>618.449392</x:v>
      </x:c>
      <x:c r="F1578" s="12" t="n">
        <x:f>SUM(B1578,D1578:E1578)</x:f>
        <x:v>209024.97993200002</x:v>
      </x:c>
      <x:c r="G1578" s="12" t="n">
        <x:f>MAX(G1577,F1578)</x:f>
        <x:v>209024.97993200002</x:v>
      </x:c>
      <x:c r="H1578" s="14" t="n">
        <x:f>F1578/G1578-1</x:f>
        <x:v>0</x:v>
      </x:c>
      <x:c r="I1578" s="14" t="n">
        <x:f>F1578/F1577-1</x:f>
        <x:v>0.010009593464543443</x:v>
      </x:c>
      <x:c r="J1578" s="12" t="n">
        <x:v>0</x:v>
      </x:c>
      <x:c r="K1578" s="12" t="n">
        <x:v>0</x:v>
      </x:c>
      <x:c r="L1578" s="12" t="n">
        <x:v>0</x:v>
      </x:c>
      <x:c r="M1578" s="2" t="str">
        <x:v>持有</x:v>
      </x:c>
    </x:row>
    <x:row r="1579" ht="23" customHeight="1">
      <x:c r="A1579" s="11" t="d">
        <x:v>2021-04-05T00:00:00.000Z</x:v>
      </x:c>
      <x:c r="B1579" s="12" t="n">
        <x:v>14511.29054</x:v>
      </x:c>
      <x:c r="C1579" s="13" t="n">
        <x:v>484</x:v>
      </x:c>
      <x:c r="D1579" s="12" t="n">
        <x:v>196678.24000000002</x:v>
      </x:c>
      <x:c r="E1579" s="12" t="n">
        <x:v>618.449392</x:v>
      </x:c>
      <x:c r="F1579" s="12" t="n">
        <x:f>SUM(B1579,D1579:E1579)</x:f>
        <x:v>211807.97993200002</x:v>
      </x:c>
      <x:c r="G1579" s="12" t="n">
        <x:f>MAX(G1578,F1579)</x:f>
        <x:v>211807.97993200002</x:v>
      </x:c>
      <x:c r="H1579" s="14" t="n">
        <x:f>F1579/G1579-1</x:f>
        <x:v>0</x:v>
      </x:c>
      <x:c r="I1579" s="14" t="n">
        <x:f>F1579/F1578-1</x:f>
        <x:v>0.013314198144668499</x:v>
      </x:c>
      <x:c r="J1579" s="12" t="n">
        <x:v>0</x:v>
      </x:c>
      <x:c r="K1579" s="12" t="n">
        <x:v>0</x:v>
      </x:c>
      <x:c r="L1579" s="12" t="n">
        <x:v>0</x:v>
      </x:c>
      <x:c r="M1579" s="2" t="str">
        <x:v>持有</x:v>
      </x:c>
    </x:row>
    <x:row r="1580" ht="23" customHeight="1">
      <x:c r="A1580" s="11" t="d">
        <x:v>2021-04-06T00:00:00.000Z</x:v>
      </x:c>
      <x:c r="B1580" s="12" t="n">
        <x:v>14511.29054</x:v>
      </x:c>
      <x:c r="C1580" s="13" t="n">
        <x:v>484</x:v>
      </x:c>
      <x:c r="D1580" s="12" t="n">
        <x:v>196562.08000000002</x:v>
      </x:c>
      <x:c r="E1580" s="12" t="n">
        <x:v>618.449392</x:v>
      </x:c>
      <x:c r="F1580" s="12" t="n">
        <x:f>SUM(B1580,D1580:E1580)</x:f>
        <x:v>211691.819932</x:v>
      </x:c>
      <x:c r="G1580" s="12" t="n">
        <x:f>MAX(G1579,F1580)</x:f>
        <x:v>211807.97993200002</x:v>
      </x:c>
      <x:c r="H1580" s="14" t="n">
        <x:f>F1580/G1580-1</x:f>
        <x:v>-0.0005484212636241992</x:v>
      </x:c>
      <x:c r="I1580" s="14" t="n">
        <x:f>F1580/F1579-1</x:f>
        <x:v>-0.0005484212636241992</x:v>
      </x:c>
      <x:c r="J1580" s="12" t="n">
        <x:v>0</x:v>
      </x:c>
      <x:c r="K1580" s="12" t="n">
        <x:v>0</x:v>
      </x:c>
      <x:c r="L1580" s="12" t="n">
        <x:v>0</x:v>
      </x:c>
      <x:c r="M1580" s="2" t="str">
        <x:v>持有</x:v>
      </x:c>
    </x:row>
    <x:row r="1581" ht="23" customHeight="1">
      <x:c r="A1581" s="11" t="d">
        <x:v>2021-04-07T00:00:00.000Z</x:v>
      </x:c>
      <x:c r="B1581" s="12" t="n">
        <x:v>14511.29054</x:v>
      </x:c>
      <x:c r="C1581" s="13" t="n">
        <x:v>484</x:v>
      </x:c>
      <x:c r="D1581" s="12" t="n">
        <x:v>196789.56</x:v>
      </x:c>
      <x:c r="E1581" s="12" t="n">
        <x:v>618.449392</x:v>
      </x:c>
      <x:c r="F1581" s="12" t="n">
        <x:f>SUM(B1581,D1581:E1581)</x:f>
        <x:v>211919.299932</x:v>
      </x:c>
      <x:c r="G1581" s="12" t="n">
        <x:f>MAX(G1580,F1581)</x:f>
        <x:v>211919.299932</x:v>
      </x:c>
      <x:c r="H1581" s="14" t="n">
        <x:f>F1581/G1581-1</x:f>
        <x:v>0</x:v>
      </x:c>
      <x:c r="I1581" s="14" t="n">
        <x:f>F1581/F1580-1</x:f>
        <x:v>0.0010745809643142312</x:v>
      </x:c>
      <x:c r="J1581" s="12" t="n">
        <x:v>0</x:v>
      </x:c>
      <x:c r="K1581" s="12" t="n">
        <x:v>0</x:v>
      </x:c>
      <x:c r="L1581" s="12" t="n">
        <x:v>0</x:v>
      </x:c>
      <x:c r="M1581" s="2" t="str">
        <x:v>持有</x:v>
      </x:c>
    </x:row>
    <x:row r="1582" ht="23" customHeight="1">
      <x:c r="A1582" s="11" t="d">
        <x:v>2021-04-08T00:00:00.000Z</x:v>
      </x:c>
      <x:c r="B1582" s="12" t="n">
        <x:v>14511.29054</x:v>
      </x:c>
      <x:c r="C1582" s="13" t="n">
        <x:v>484</x:v>
      </x:c>
      <x:c r="D1582" s="12" t="n">
        <x:v>197723.68</x:v>
      </x:c>
      <x:c r="E1582" s="12" t="n">
        <x:v>618.449392</x:v>
      </x:c>
      <x:c r="F1582" s="12" t="n">
        <x:f>SUM(B1582,D1582:E1582)</x:f>
        <x:v>212853.419932</x:v>
      </x:c>
      <x:c r="G1582" s="12" t="n">
        <x:f>MAX(G1581,F1582)</x:f>
        <x:v>212853.419932</x:v>
      </x:c>
      <x:c r="H1582" s="14" t="n">
        <x:f>F1582/G1582-1</x:f>
        <x:v>0</x:v>
      </x:c>
      <x:c r="I1582" s="14" t="n">
        <x:f>F1582/F1581-1</x:f>
        <x:v>0.004407904331034107</x:v>
      </x:c>
      <x:c r="J1582" s="12" t="n">
        <x:v>0</x:v>
      </x:c>
      <x:c r="K1582" s="12" t="n">
        <x:v>0</x:v>
      </x:c>
      <x:c r="L1582" s="12" t="n">
        <x:v>0</x:v>
      </x:c>
      <x:c r="M1582" s="2" t="str">
        <x:v>持有</x:v>
      </x:c>
    </x:row>
    <x:row r="1583" ht="23" customHeight="1">
      <x:c r="A1583" s="11" t="d">
        <x:v>2021-04-09T00:00:00.000Z</x:v>
      </x:c>
      <x:c r="B1583" s="12" t="n">
        <x:v>14511.29054</x:v>
      </x:c>
      <x:c r="C1583" s="13" t="n">
        <x:v>484</x:v>
      </x:c>
      <x:c r="D1583" s="12" t="n">
        <x:v>199161.16</x:v>
      </x:c>
      <x:c r="E1583" s="12" t="n">
        <x:v>618.449392</x:v>
      </x:c>
      <x:c r="F1583" s="12" t="n">
        <x:f>SUM(B1583,D1583:E1583)</x:f>
        <x:v>214290.899932</x:v>
      </x:c>
      <x:c r="G1583" s="12" t="n">
        <x:f>MAX(G1582,F1583)</x:f>
        <x:v>214290.899932</x:v>
      </x:c>
      <x:c r="H1583" s="14" t="n">
        <x:f>F1583/G1583-1</x:f>
        <x:v>0</x:v>
      </x:c>
      <x:c r="I1583" s="14" t="n">
        <x:f>F1583/F1582-1</x:f>
        <x:v>0.006753379863284614</x:v>
      </x:c>
      <x:c r="J1583" s="12" t="n">
        <x:v>0</x:v>
      </x:c>
      <x:c r="K1583" s="12" t="n">
        <x:v>0</x:v>
      </x:c>
      <x:c r="L1583" s="12" t="n">
        <x:v>0</x:v>
      </x:c>
      <x:c r="M1583" s="2" t="str">
        <x:v>持有</x:v>
      </x:c>
    </x:row>
    <x:row r="1584" ht="23" customHeight="1">
      <x:c r="A1584" s="11" t="d">
        <x:v>2021-04-12T00:00:00.000Z</x:v>
      </x:c>
      <x:c r="B1584" s="12" t="n">
        <x:v>14511.29054</x:v>
      </x:c>
      <x:c r="C1584" s="13" t="n">
        <x:v>484</x:v>
      </x:c>
      <x:c r="D1584" s="12" t="n">
        <x:v>199233.75999999998</x:v>
      </x:c>
      <x:c r="E1584" s="12" t="n">
        <x:v>618.449392</x:v>
      </x:c>
      <x:c r="F1584" s="12" t="n">
        <x:f>SUM(B1584,D1584:E1584)</x:f>
        <x:v>214363.49993199998</x:v>
      </x:c>
      <x:c r="G1584" s="12" t="n">
        <x:f>MAX(G1583,F1584)</x:f>
        <x:v>214363.49993199998</x:v>
      </x:c>
      <x:c r="H1584" s="14" t="n">
        <x:f>F1584/G1584-1</x:f>
        <x:v>0</x:v>
      </x:c>
      <x:c r="I1584" s="14" t="n">
        <x:f>F1584/F1583-1</x:f>
        <x:v>0.00033879180134577247</x:v>
      </x:c>
      <x:c r="J1584" s="12" t="n">
        <x:v>0</x:v>
      </x:c>
      <x:c r="K1584" s="12" t="n">
        <x:v>0</x:v>
      </x:c>
      <x:c r="L1584" s="12" t="n">
        <x:v>0</x:v>
      </x:c>
      <x:c r="M1584" s="2" t="str">
        <x:v>持有</x:v>
      </x:c>
    </x:row>
    <x:row r="1585" ht="23" customHeight="1">
      <x:c r="A1585" s="11" t="d">
        <x:v>2021-04-13T00:00:00.000Z</x:v>
      </x:c>
      <x:c r="B1585" s="12" t="n">
        <x:v>14511.29054</x:v>
      </x:c>
      <x:c r="C1585" s="13" t="n">
        <x:v>484</x:v>
      </x:c>
      <x:c r="D1585" s="12" t="n">
        <x:v>199824.24000000002</x:v>
      </x:c>
      <x:c r="E1585" s="12" t="n">
        <x:v>618.449392</x:v>
      </x:c>
      <x:c r="F1585" s="12" t="n">
        <x:f>SUM(B1585,D1585:E1585)</x:f>
        <x:v>214953.97993200002</x:v>
      </x:c>
      <x:c r="G1585" s="12" t="n">
        <x:f>MAX(G1584,F1585)</x:f>
        <x:v>214953.97993200002</x:v>
      </x:c>
      <x:c r="H1585" s="14" t="n">
        <x:f>F1585/G1585-1</x:f>
        <x:v>0</x:v>
      </x:c>
      <x:c r="I1585" s="14" t="n">
        <x:f>F1585/F1584-1</x:f>
        <x:v>0.002754573424054607</x:v>
      </x:c>
      <x:c r="J1585" s="12" t="n">
        <x:v>0</x:v>
      </x:c>
      <x:c r="K1585" s="12" t="n">
        <x:v>0</x:v>
      </x:c>
      <x:c r="L1585" s="12" t="n">
        <x:v>0</x:v>
      </x:c>
      <x:c r="M1585" s="2" t="str">
        <x:v>持有</x:v>
      </x:c>
    </x:row>
    <x:row r="1586" ht="23" customHeight="1">
      <x:c r="A1586" s="11" t="d">
        <x:v>2021-04-14T00:00:00.000Z</x:v>
      </x:c>
      <x:c r="B1586" s="12" t="n">
        <x:v>14511.29054</x:v>
      </x:c>
      <x:c r="C1586" s="13" t="n">
        <x:v>484</x:v>
      </x:c>
      <x:c r="D1586" s="12" t="n">
        <x:v>199141.8</x:v>
      </x:c>
      <x:c r="E1586" s="12" t="n">
        <x:v>618.449392</x:v>
      </x:c>
      <x:c r="F1586" s="12" t="n">
        <x:f>SUM(B1586,D1586:E1586)</x:f>
        <x:v>214271.53993199999</x:v>
      </x:c>
      <x:c r="G1586" s="12" t="n">
        <x:f>MAX(G1585,F1586)</x:f>
        <x:v>214953.97993200002</x:v>
      </x:c>
      <x:c r="H1586" s="14" t="n">
        <x:f>F1586/G1586-1</x:f>
        <x:v>-0.0031748190948402977</x:v>
      </x:c>
      <x:c r="I1586" s="14" t="n">
        <x:f>F1586/F1585-1</x:f>
        <x:v>-0.0031748190948402977</x:v>
      </x:c>
      <x:c r="J1586" s="12" t="n">
        <x:v>0</x:v>
      </x:c>
      <x:c r="K1586" s="12" t="n">
        <x:v>0</x:v>
      </x:c>
      <x:c r="L1586" s="12" t="n">
        <x:v>0</x:v>
      </x:c>
      <x:c r="M1586" s="2" t="str">
        <x:v>持有</x:v>
      </x:c>
    </x:row>
    <x:row r="1587" ht="23" customHeight="1">
      <x:c r="A1587" s="11" t="d">
        <x:v>2021-04-15T00:00:00.000Z</x:v>
      </x:c>
      <x:c r="B1587" s="12" t="n">
        <x:v>14511.29054</x:v>
      </x:c>
      <x:c r="C1587" s="13" t="n">
        <x:v>484</x:v>
      </x:c>
      <x:c r="D1587" s="12" t="n">
        <x:v>201281.08000000002</x:v>
      </x:c>
      <x:c r="E1587" s="12" t="n">
        <x:v>618.449392</x:v>
      </x:c>
      <x:c r="F1587" s="12" t="n">
        <x:f>SUM(B1587,D1587:E1587)</x:f>
        <x:v>216410.819932</x:v>
      </x:c>
      <x:c r="G1587" s="12" t="n">
        <x:f>MAX(G1586,F1587)</x:f>
        <x:v>216410.819932</x:v>
      </x:c>
      <x:c r="H1587" s="14" t="n">
        <x:f>F1587/G1587-1</x:f>
        <x:v>0</x:v>
      </x:c>
      <x:c r="I1587" s="14" t="n">
        <x:f>F1587/F1586-1</x:f>
        <x:v>0.009983967075977151</x:v>
      </x:c>
      <x:c r="J1587" s="12" t="n">
        <x:v>0</x:v>
      </x:c>
      <x:c r="K1587" s="12" t="n">
        <x:v>0</x:v>
      </x:c>
      <x:c r="L1587" s="12" t="n">
        <x:v>0</x:v>
      </x:c>
      <x:c r="M1587" s="2" t="str">
        <x:v>持有</x:v>
      </x:c>
    </x:row>
    <x:row r="1588" ht="23" customHeight="1">
      <x:c r="A1588" s="11" t="d">
        <x:v>2021-04-16T00:00:00.000Z</x:v>
      </x:c>
      <x:c r="B1588" s="12" t="n">
        <x:v>14511.29054</x:v>
      </x:c>
      <x:c r="C1588" s="13" t="n">
        <x:v>484</x:v>
      </x:c>
      <x:c r="D1588" s="12" t="n">
        <x:v>201953.84</x:v>
      </x:c>
      <x:c r="E1588" s="12" t="n">
        <x:v>618.449392</x:v>
      </x:c>
      <x:c r="F1588" s="12" t="n">
        <x:f>SUM(B1588,D1588:E1588)</x:f>
        <x:v>217083.579932</x:v>
      </x:c>
      <x:c r="G1588" s="12" t="n">
        <x:f>MAX(G1587,F1588)</x:f>
        <x:v>217083.579932</x:v>
      </x:c>
      <x:c r="H1588" s="14" t="n">
        <x:f>F1588/G1588-1</x:f>
        <x:v>0</x:v>
      </x:c>
      <x:c r="I1588" s="14" t="n">
        <x:f>F1588/F1587-1</x:f>
        <x:v>0.0031087170235359896</x:v>
      </x:c>
      <x:c r="J1588" s="12" t="n">
        <x:v>0</x:v>
      </x:c>
      <x:c r="K1588" s="12" t="n">
        <x:v>0</x:v>
      </x:c>
      <x:c r="L1588" s="12" t="n">
        <x:v>0</x:v>
      </x:c>
      <x:c r="M1588" s="2" t="str">
        <x:v>持有</x:v>
      </x:c>
    </x:row>
    <x:row r="1589" ht="23" customHeight="1">
      <x:c r="A1589" s="11" t="d">
        <x:v>2021-04-19T00:00:00.000Z</x:v>
      </x:c>
      <x:c r="B1589" s="12" t="n">
        <x:v>14511.29054</x:v>
      </x:c>
      <x:c r="C1589" s="13" t="n">
        <x:v>484</x:v>
      </x:c>
      <x:c r="D1589" s="12" t="n">
        <x:v>200961.63999999998</x:v>
      </x:c>
      <x:c r="E1589" s="12" t="n">
        <x:v>618.449392</x:v>
      </x:c>
      <x:c r="F1589" s="12" t="n">
        <x:f>SUM(B1589,D1589:E1589)</x:f>
        <x:v>216091.37993199998</x:v>
      </x:c>
      <x:c r="G1589" s="12" t="n">
        <x:f>MAX(G1588,F1589)</x:f>
        <x:v>217083.579932</x:v>
      </x:c>
      <x:c r="H1589" s="14" t="n">
        <x:f>F1589/G1589-1</x:f>
        <x:v>-0.00457058981757541</x:v>
      </x:c>
      <x:c r="I1589" s="14" t="n">
        <x:f>F1589/F1588-1</x:f>
        <x:v>-0.00457058981757541</x:v>
      </x:c>
      <x:c r="J1589" s="12" t="n">
        <x:v>0</x:v>
      </x:c>
      <x:c r="K1589" s="12" t="n">
        <x:v>0</x:v>
      </x:c>
      <x:c r="L1589" s="12" t="n">
        <x:v>0</x:v>
      </x:c>
      <x:c r="M1589" s="2" t="str">
        <x:v>持有</x:v>
      </x:c>
    </x:row>
    <x:row r="1590" ht="23" customHeight="1">
      <x:c r="A1590" s="11" t="d">
        <x:v>2021-04-20T00:00:00.000Z</x:v>
      </x:c>
      <x:c r="B1590" s="12" t="n">
        <x:v>14511.29054</x:v>
      </x:c>
      <x:c r="C1590" s="13" t="n">
        <x:v>484</x:v>
      </x:c>
      <x:c r="D1590" s="12" t="n">
        <x:v>199490.28</x:v>
      </x:c>
      <x:c r="E1590" s="12" t="n">
        <x:v>618.449392</x:v>
      </x:c>
      <x:c r="F1590" s="12" t="n">
        <x:f>SUM(B1590,D1590:E1590)</x:f>
        <x:v>214620.019932</x:v>
      </x:c>
      <x:c r="G1590" s="12" t="n">
        <x:f>MAX(G1589,F1590)</x:f>
        <x:v>217083.579932</x:v>
      </x:c>
      <x:c r="H1590" s="14" t="n">
        <x:f>F1590/G1590-1</x:f>
        <x:v>-0.011348440083638223</x:v>
      </x:c>
      <x:c r="I1590" s="14" t="n">
        <x:f>F1590/F1589-1</x:f>
        <x:v>-0.006808971280867326</x:v>
      </x:c>
      <x:c r="J1590" s="12" t="n">
        <x:v>0</x:v>
      </x:c>
      <x:c r="K1590" s="12" t="n">
        <x:v>0</x:v>
      </x:c>
      <x:c r="L1590" s="12" t="n">
        <x:v>0</x:v>
      </x:c>
      <x:c r="M1590" s="2" t="str">
        <x:v>持有</x:v>
      </x:c>
    </x:row>
    <x:row r="1591" ht="23" customHeight="1">
      <x:c r="A1591" s="11" t="d">
        <x:v>2021-04-21T00:00:00.000Z</x:v>
      </x:c>
      <x:c r="B1591" s="12" t="n">
        <x:v>14511.29054</x:v>
      </x:c>
      <x:c r="C1591" s="13" t="n">
        <x:v>484</x:v>
      </x:c>
      <x:c r="D1591" s="12" t="n">
        <x:v>201377.88</x:v>
      </x:c>
      <x:c r="E1591" s="12" t="n">
        <x:v>618.449392</x:v>
      </x:c>
      <x:c r="F1591" s="12" t="n">
        <x:f>SUM(B1591,D1591:E1591)</x:f>
        <x:v>216507.619932</x:v>
      </x:c>
      <x:c r="G1591" s="12" t="n">
        <x:f>MAX(G1590,F1591)</x:f>
        <x:v>217083.579932</x:v>
      </x:c>
      <x:c r="H1591" s="14" t="n">
        <x:f>F1591/G1591-1</x:f>
        <x:v>-0.0026531716502021796</x:v>
      </x:c>
      <x:c r="I1591" s="14" t="n">
        <x:f>F1591/F1590-1</x:f>
        <x:v>0.008795078858897076</x:v>
      </x:c>
      <x:c r="J1591" s="12" t="n">
        <x:v>0</x:v>
      </x:c>
      <x:c r="K1591" s="12" t="n">
        <x:v>0</x:v>
      </x:c>
      <x:c r="L1591" s="12" t="n">
        <x:v>0</x:v>
      </x:c>
      <x:c r="M1591" s="2" t="str">
        <x:v>持有</x:v>
      </x:c>
    </x:row>
    <x:row r="1592" ht="23" customHeight="1">
      <x:c r="A1592" s="11" t="d">
        <x:v>2021-04-22T00:00:00.000Z</x:v>
      </x:c>
      <x:c r="B1592" s="12" t="n">
        <x:v>14511.29054</x:v>
      </x:c>
      <x:c r="C1592" s="13" t="n">
        <x:v>484</x:v>
      </x:c>
      <x:c r="D1592" s="12" t="n">
        <x:v>199538.68</x:v>
      </x:c>
      <x:c r="E1592" s="12" t="n">
        <x:v>618.449392</x:v>
      </x:c>
      <x:c r="F1592" s="12" t="n">
        <x:f>SUM(B1592,D1592:E1592)</x:f>
        <x:v>214668.419932</x:v>
      </x:c>
      <x:c r="G1592" s="12" t="n">
        <x:f>MAX(G1591,F1592)</x:f>
        <x:v>217083.579932</x:v>
      </x:c>
      <x:c r="H1592" s="14" t="n">
        <x:f>F1592/G1592-1</x:f>
        <x:v>-0.011125484482780945</x:v>
      </x:c>
      <x:c r="I1592" s="14" t="n">
        <x:f>F1592/F1591-1</x:f>
        <x:v>-0.00849485113077153</x:v>
      </x:c>
      <x:c r="J1592" s="12" t="n">
        <x:v>0</x:v>
      </x:c>
      <x:c r="K1592" s="12" t="n">
        <x:v>0</x:v>
      </x:c>
      <x:c r="L1592" s="12" t="n">
        <x:v>0</x:v>
      </x:c>
      <x:c r="M1592" s="2" t="str">
        <x:v>持有</x:v>
      </x:c>
    </x:row>
    <x:row r="1593" ht="23" customHeight="1">
      <x:c r="A1593" s="11" t="d">
        <x:v>2021-04-23T00:00:00.000Z</x:v>
      </x:c>
      <x:c r="B1593" s="12" t="n">
        <x:v>14511.29054</x:v>
      </x:c>
      <x:c r="C1593" s="13" t="n">
        <x:v>484</x:v>
      </x:c>
      <x:c r="D1593" s="12" t="n">
        <x:v>201702.16</x:v>
      </x:c>
      <x:c r="E1593" s="12" t="n">
        <x:v>618.449392</x:v>
      </x:c>
      <x:c r="F1593" s="12" t="n">
        <x:f>SUM(B1593,D1593:E1593)</x:f>
        <x:v>216831.899932</x:v>
      </x:c>
      <x:c r="G1593" s="12" t="n">
        <x:f>MAX(G1592,F1593)</x:f>
        <x:v>217083.579932</x:v>
      </x:c>
      <x:c r="H1593" s="14" t="n">
        <x:f>F1593/G1593-1</x:f>
        <x:v>-0.0011593691244581317</x:v>
      </x:c>
      <x:c r="I1593" s="14" t="n">
        <x:f>F1593/F1592-1</x:f>
        <x:v>0.010078240668493832</x:v>
      </x:c>
      <x:c r="J1593" s="12" t="n">
        <x:v>0</x:v>
      </x:c>
      <x:c r="K1593" s="12" t="n">
        <x:v>0</x:v>
      </x:c>
      <x:c r="L1593" s="12" t="n">
        <x:v>0</x:v>
      </x:c>
      <x:c r="M1593" s="2" t="str">
        <x:v>持有</x:v>
      </x:c>
    </x:row>
    <x:row r="1594" ht="23" customHeight="1">
      <x:c r="A1594" s="11" t="d">
        <x:v>2021-04-26T00:00:00.000Z</x:v>
      </x:c>
      <x:c r="B1594" s="12" t="n">
        <x:v>14511.29054</x:v>
      </x:c>
      <x:c r="C1594" s="13" t="n">
        <x:v>484</x:v>
      </x:c>
      <x:c r="D1594" s="12" t="n">
        <x:v>202123.24000000002</x:v>
      </x:c>
      <x:c r="E1594" s="12" t="n">
        <x:v>618.449392</x:v>
      </x:c>
      <x:c r="F1594" s="12" t="n">
        <x:f>SUM(B1594,D1594:E1594)</x:f>
        <x:v>217252.97993200002</x:v>
      </x:c>
      <x:c r="G1594" s="12" t="n">
        <x:f>MAX(G1593,F1594)</x:f>
        <x:v>217252.97993200002</x:v>
      </x:c>
      <x:c r="H1594" s="14" t="n">
        <x:f>F1594/G1594-1</x:f>
        <x:v>0</x:v>
      </x:c>
      <x:c r="I1594" s="14" t="n">
        <x:f>F1594/F1593-1</x:f>
        <x:v>0.0019419651819316819</x:v>
      </x:c>
      <x:c r="J1594" s="12" t="n">
        <x:v>0</x:v>
      </x:c>
      <x:c r="K1594" s="12" t="n">
        <x:v>0</x:v>
      </x:c>
      <x:c r="L1594" s="12" t="n">
        <x:v>0</x:v>
      </x:c>
      <x:c r="M1594" s="2" t="str">
        <x:v>持有</x:v>
      </x:c>
    </x:row>
    <x:row r="1595" ht="23" customHeight="1">
      <x:c r="A1595" s="11" t="d">
        <x:v>2021-04-27T00:00:00.000Z</x:v>
      </x:c>
      <x:c r="B1595" s="12" t="n">
        <x:v>14511.29054</x:v>
      </x:c>
      <x:c r="C1595" s="13" t="n">
        <x:v>484</x:v>
      </x:c>
      <x:c r="D1595" s="12" t="n">
        <x:v>202079.68</x:v>
      </x:c>
      <x:c r="E1595" s="12" t="n">
        <x:v>618.449392</x:v>
      </x:c>
      <x:c r="F1595" s="12" t="n">
        <x:f>SUM(B1595,D1595:E1595)</x:f>
        <x:v>217209.419932</x:v>
      </x:c>
      <x:c r="G1595" s="12" t="n">
        <x:f>MAX(G1594,F1595)</x:f>
        <x:v>217252.97993200002</x:v>
      </x:c>
      <x:c r="H1595" s="14" t="n">
        <x:f>F1595/G1595-1</x:f>
        <x:v>-0.00020050357888601322</x:v>
      </x:c>
      <x:c r="I1595" s="14" t="n">
        <x:f>F1595/F1594-1</x:f>
        <x:v>-0.00020050357888601322</x:v>
      </x:c>
      <x:c r="J1595" s="12" t="n">
        <x:v>0</x:v>
      </x:c>
      <x:c r="K1595" s="12" t="n">
        <x:v>0</x:v>
      </x:c>
      <x:c r="L1595" s="12" t="n">
        <x:v>0</x:v>
      </x:c>
      <x:c r="M1595" s="2" t="str">
        <x:v>持有</x:v>
      </x:c>
    </x:row>
    <x:row r="1596" ht="23" customHeight="1">
      <x:c r="A1596" s="11" t="d">
        <x:v>2021-04-28T00:00:00.000Z</x:v>
      </x:c>
      <x:c r="B1596" s="12" t="n">
        <x:v>14511.29054</x:v>
      </x:c>
      <x:c r="C1596" s="13" t="n">
        <x:v>484</x:v>
      </x:c>
      <x:c r="D1596" s="12" t="n">
        <x:v>202021.59999999998</x:v>
      </x:c>
      <x:c r="E1596" s="12" t="n">
        <x:v>618.449392</x:v>
      </x:c>
      <x:c r="F1596" s="12" t="n">
        <x:f>SUM(B1596,D1596:E1596)</x:f>
        <x:v>217151.33993199997</x:v>
      </x:c>
      <x:c r="G1596" s="12" t="n">
        <x:f>MAX(G1595,F1596)</x:f>
        <x:v>217252.97993200002</x:v>
      </x:c>
      <x:c r="H1596" s="14" t="n">
        <x:f>F1596/G1596-1</x:f>
        <x:v>-0.0004678416840673272</x:v>
      </x:c>
      <x:c r="I1596" s="14" t="n">
        <x:f>F1596/F1595-1</x:f>
        <x:v>-0.0002673917181778007</x:v>
      </x:c>
      <x:c r="J1596" s="12" t="n">
        <x:v>0</x:v>
      </x:c>
      <x:c r="K1596" s="12" t="n">
        <x:v>0</x:v>
      </x:c>
      <x:c r="L1596" s="12" t="n">
        <x:v>0</x:v>
      </x:c>
      <x:c r="M1596" s="2" t="str">
        <x:v>持有</x:v>
      </x:c>
    </x:row>
    <x:row r="1597" ht="23" customHeight="1">
      <x:c r="A1597" s="11" t="d">
        <x:v>2021-04-29T00:00:00.000Z</x:v>
      </x:c>
      <x:c r="B1597" s="12" t="n">
        <x:v>14511.29054</x:v>
      </x:c>
      <x:c r="C1597" s="13" t="n">
        <x:v>484</x:v>
      </x:c>
      <x:c r="D1597" s="12" t="n">
        <x:v>203309.04</x:v>
      </x:c>
      <x:c r="E1597" s="12" t="n">
        <x:v>618.449392</x:v>
      </x:c>
      <x:c r="F1597" s="12" t="n">
        <x:f>SUM(B1597,D1597:E1597)</x:f>
        <x:v>218438.779932</x:v>
      </x:c>
      <x:c r="G1597" s="12" t="n">
        <x:f>MAX(G1596,F1597)</x:f>
        <x:v>218438.779932</x:v>
      </x:c>
      <x:c r="H1597" s="14" t="n">
        <x:f>F1597/G1597-1</x:f>
        <x:v>0</x:v>
      </x:c>
      <x:c r="I1597" s="14" t="n">
        <x:f>F1597/F1596-1</x:f>
        <x:v>0.005928768389839023</x:v>
      </x:c>
      <x:c r="J1597" s="12" t="n">
        <x:v>0</x:v>
      </x:c>
      <x:c r="K1597" s="12" t="n">
        <x:v>0</x:v>
      </x:c>
      <x:c r="L1597" s="12" t="n">
        <x:v>0</x:v>
      </x:c>
      <x:c r="M1597" s="2" t="str">
        <x:v>持有</x:v>
      </x:c>
    </x:row>
    <x:row r="1598" ht="23" customHeight="1">
      <x:c r="A1598" s="11" t="d">
        <x:v>2021-04-30T00:00:00.000Z</x:v>
      </x:c>
      <x:c r="B1598" s="12" t="n">
        <x:v>15129.739932</x:v>
      </x:c>
      <x:c r="C1598" s="13" t="n">
        <x:v>484</x:v>
      </x:c>
      <x:c r="D1598" s="12" t="n">
        <x:v>201973.2</x:v>
      </x:c>
      <x:c r="E1598" s="12" t="n">
        <x:v>0</x:v>
      </x:c>
      <x:c r="F1598" s="12" t="n">
        <x:f>SUM(B1598,D1598:E1598)</x:f>
        <x:v>217102.939932</x:v>
      </x:c>
      <x:c r="G1598" s="12" t="n">
        <x:f>MAX(G1597,F1598)</x:f>
        <x:v>218438.779932</x:v>
      </x:c>
      <x:c r="H1598" s="14" t="n">
        <x:f>F1598/G1598-1</x:f>
        <x:v>-0.006115397643293163</x:v>
      </x:c>
      <x:c r="I1598" s="14" t="n">
        <x:f>F1598/F1597-1</x:f>
        <x:v>-0.006115397643293163</x:v>
      </x:c>
      <x:c r="J1598" s="12" t="n">
        <x:v>0</x:v>
      </x:c>
      <x:c r="K1598" s="12" t="n">
        <x:v>618.449392</x:v>
      </x:c>
      <x:c r="L1598" s="12" t="n">
        <x:v>0</x:v>
      </x:c>
      <x:c r="M1598" s="2" t="str">
        <x:v>持有</x:v>
      </x:c>
    </x:row>
    <x:row r="1599" ht="23" customHeight="1">
      <x:c r="A1599" s="11" t="d">
        <x:v>2021-05-03T00:00:00.000Z</x:v>
      </x:c>
      <x:c r="B1599" s="12" t="n">
        <x:v>15129.739932</x:v>
      </x:c>
      <x:c r="C1599" s="13" t="n">
        <x:v>484</x:v>
      </x:c>
      <x:c r="D1599" s="12" t="n">
        <x:v>202408.8</x:v>
      </x:c>
      <x:c r="E1599" s="12" t="n">
        <x:v>0</x:v>
      </x:c>
      <x:c r="F1599" s="12" t="n">
        <x:f>SUM(B1599,D1599:E1599)</x:f>
        <x:v>217538.53993199999</x:v>
      </x:c>
      <x:c r="G1599" s="12" t="n">
        <x:f>MAX(G1598,F1599)</x:f>
        <x:v>218438.779932</x:v>
      </x:c>
      <x:c r="H1599" s="14" t="n">
        <x:f>F1599/G1599-1</x:f>
        <x:v>-0.004121246237871579</x:v>
      </x:c>
      <x:c r="I1599" s="14" t="n">
        <x:f>F1599/F1598-1</x:f>
        <x:v>0.002006421470553965</x:v>
      </x:c>
      <x:c r="J1599" s="12" t="n">
        <x:v>0</x:v>
      </x:c>
      <x:c r="K1599" s="12" t="n">
        <x:v>0</x:v>
      </x:c>
      <x:c r="L1599" s="12" t="n">
        <x:v>0</x:v>
      </x:c>
      <x:c r="M1599" s="2" t="str">
        <x:v>持有</x:v>
      </x:c>
    </x:row>
    <x:row r="1600" ht="23" customHeight="1">
      <x:c r="A1600" s="11" t="d">
        <x:v>2021-05-04T00:00:00.000Z</x:v>
      </x:c>
      <x:c r="B1600" s="12" t="n">
        <x:v>15129.739932</x:v>
      </x:c>
      <x:c r="C1600" s="13" t="n">
        <x:v>484</x:v>
      </x:c>
      <x:c r="D1600" s="12" t="n">
        <x:v>201160.08000000002</x:v>
      </x:c>
      <x:c r="E1600" s="12" t="n">
        <x:v>0</x:v>
      </x:c>
      <x:c r="F1600" s="12" t="n">
        <x:f>SUM(B1600,D1600:E1600)</x:f>
        <x:v>216289.819932</x:v>
      </x:c>
      <x:c r="G1600" s="12" t="n">
        <x:f>MAX(G1599,F1600)</x:f>
        <x:v>218438.779932</x:v>
      </x:c>
      <x:c r="H1600" s="14" t="n">
        <x:f>F1600/G1600-1</x:f>
        <x:v>-0.009837813600080403</x:v>
      </x:c>
      <x:c r="I1600" s="14" t="n">
        <x:f>F1600/F1599-1</x:f>
        <x:v>-0.005740224239761393</x:v>
      </x:c>
      <x:c r="J1600" s="12" t="n">
        <x:v>0</x:v>
      </x:c>
      <x:c r="K1600" s="12" t="n">
        <x:v>0</x:v>
      </x:c>
      <x:c r="L1600" s="12" t="n">
        <x:v>0</x:v>
      </x:c>
      <x:c r="M1600" s="2" t="str">
        <x:v>持有</x:v>
      </x:c>
    </x:row>
    <x:row r="1601" ht="23" customHeight="1">
      <x:c r="A1601" s="11" t="d">
        <x:v>2021-05-05T00:00:00.000Z</x:v>
      </x:c>
      <x:c r="B1601" s="12" t="n">
        <x:v>15129.739932</x:v>
      </x:c>
      <x:c r="C1601" s="13" t="n">
        <x:v>484</x:v>
      </x:c>
      <x:c r="D1601" s="12" t="n">
        <x:v>201223</x:v>
      </x:c>
      <x:c r="E1601" s="12" t="n">
        <x:v>0</x:v>
      </x:c>
      <x:c r="F1601" s="12" t="n">
        <x:f>SUM(B1601,D1601:E1601)</x:f>
        <x:v>216352.739932</x:v>
      </x:c>
      <x:c r="G1601" s="12" t="n">
        <x:f>MAX(G1600,F1601)</x:f>
        <x:v>218438.779932</x:v>
      </x:c>
      <x:c r="H1601" s="14" t="n">
        <x:f>F1601/G1601-1</x:f>
        <x:v>-0.009549769508186201</x:v>
      </x:c>
      <x:c r="I1601" s="14" t="n">
        <x:f>F1601/F1600-1</x:f>
        <x:v>0.0002909059706082129</x:v>
      </x:c>
      <x:c r="J1601" s="12" t="n">
        <x:v>0</x:v>
      </x:c>
      <x:c r="K1601" s="12" t="n">
        <x:v>0</x:v>
      </x:c>
      <x:c r="L1601" s="12" t="n">
        <x:v>0</x:v>
      </x:c>
      <x:c r="M1601" s="2" t="str">
        <x:v>持有</x:v>
      </x:c>
    </x:row>
    <x:row r="1602" ht="23" customHeight="1">
      <x:c r="A1602" s="11" t="d">
        <x:v>2021-05-06T00:00:00.000Z</x:v>
      </x:c>
      <x:c r="B1602" s="12" t="n">
        <x:v>15129.739932</x:v>
      </x:c>
      <x:c r="C1602" s="13" t="n">
        <x:v>484</x:v>
      </x:c>
      <x:c r="D1602" s="12" t="n">
        <x:v>202829.88</x:v>
      </x:c>
      <x:c r="E1602" s="12" t="n">
        <x:v>0</x:v>
      </x:c>
      <x:c r="F1602" s="12" t="n">
        <x:f>SUM(B1602,D1602:E1602)</x:f>
        <x:v>217959.619932</x:v>
      </x:c>
      <x:c r="G1602" s="12" t="n">
        <x:f>MAX(G1601,F1602)</x:f>
        <x:v>218438.779932</x:v>
      </x:c>
      <x:c r="H1602" s="14" t="n">
        <x:f>F1602/G1602-1</x:f>
        <x:v>-0.002193566545963921</x:v>
      </x:c>
      <x:c r="I1602" s="14" t="n">
        <x:f>F1602/F1601-1</x:f>
        <x:v>0.007427130345125432</x:v>
      </x:c>
      <x:c r="J1602" s="12" t="n">
        <x:v>0</x:v>
      </x:c>
      <x:c r="K1602" s="12" t="n">
        <x:v>0</x:v>
      </x:c>
      <x:c r="L1602" s="12" t="n">
        <x:v>0</x:v>
      </x:c>
      <x:c r="M1602" s="2" t="str">
        <x:v>持有</x:v>
      </x:c>
    </x:row>
    <x:row r="1603" ht="23" customHeight="1">
      <x:c r="A1603" s="11" t="d">
        <x:v>2021-05-07T00:00:00.000Z</x:v>
      </x:c>
      <x:c r="B1603" s="12" t="n">
        <x:v>15129.739932</x:v>
      </x:c>
      <x:c r="C1603" s="13" t="n">
        <x:v>484</x:v>
      </x:c>
      <x:c r="D1603" s="12" t="n">
        <x:v>204306.08000000002</x:v>
      </x:c>
      <x:c r="E1603" s="12" t="n">
        <x:v>0</x:v>
      </x:c>
      <x:c r="F1603" s="12" t="n">
        <x:f>SUM(B1603,D1603:E1603)</x:f>
        <x:v>219435.819932</x:v>
      </x:c>
      <x:c r="G1603" s="12" t="n">
        <x:f>MAX(G1602,F1603)</x:f>
        <x:v>219435.819932</x:v>
      </x:c>
      <x:c r="H1603" s="14" t="n">
        <x:f>F1603/G1603-1</x:f>
        <x:v>0</x:v>
      </x:c>
      <x:c r="I1603" s="14" t="n">
        <x:f>F1603/F1602-1</x:f>
        <x:v>0.006772814159157425</x:v>
      </x:c>
      <x:c r="J1603" s="12" t="n">
        <x:v>0</x:v>
      </x:c>
      <x:c r="K1603" s="12" t="n">
        <x:v>0</x:v>
      </x:c>
      <x:c r="L1603" s="12" t="n">
        <x:v>0</x:v>
      </x:c>
      <x:c r="M1603" s="2" t="str">
        <x:v>持有</x:v>
      </x:c>
    </x:row>
    <x:row r="1604" ht="23" customHeight="1">
      <x:c r="A1604" s="11" t="d">
        <x:v>2021-05-10T00:00:00.000Z</x:v>
      </x:c>
      <x:c r="B1604" s="12" t="n">
        <x:v>15129.739932</x:v>
      </x:c>
      <x:c r="C1604" s="13" t="n">
        <x:v>484</x:v>
      </x:c>
      <x:c r="D1604" s="12" t="n">
        <x:v>202282.96</x:v>
      </x:c>
      <x:c r="E1604" s="12" t="n">
        <x:v>0</x:v>
      </x:c>
      <x:c r="F1604" s="12" t="n">
        <x:f>SUM(B1604,D1604:E1604)</x:f>
        <x:v>217412.699932</x:v>
      </x:c>
      <x:c r="G1604" s="12" t="n">
        <x:f>MAX(G1603,F1604)</x:f>
        <x:v>219435.819932</x:v>
      </x:c>
      <x:c r="H1604" s="14" t="n">
        <x:f>F1604/G1604-1</x:f>
        <x:v>-0.009219643359169694</x:v>
      </x:c>
      <x:c r="I1604" s="14" t="n">
        <x:f>F1604/F1603-1</x:f>
        <x:v>-0.009219643359169694</x:v>
      </x:c>
      <x:c r="J1604" s="12" t="n">
        <x:v>0</x:v>
      </x:c>
      <x:c r="K1604" s="12" t="n">
        <x:v>0</x:v>
      </x:c>
      <x:c r="L1604" s="12" t="n">
        <x:v>0</x:v>
      </x:c>
      <x:c r="M1604" s="2" t="str">
        <x:v>持有</x:v>
      </x:c>
    </x:row>
    <x:row r="1605" ht="23" customHeight="1">
      <x:c r="A1605" s="11" t="d">
        <x:v>2021-05-11T00:00:00.000Z</x:v>
      </x:c>
      <x:c r="B1605" s="12" t="n">
        <x:v>15129.739932</x:v>
      </x:c>
      <x:c r="C1605" s="13" t="n">
        <x:v>484</x:v>
      </x:c>
      <x:c r="D1605" s="12" t="n">
        <x:v>200477.63999999998</x:v>
      </x:c>
      <x:c r="E1605" s="12" t="n">
        <x:v>0</x:v>
      </x:c>
      <x:c r="F1605" s="12" t="n">
        <x:f>SUM(B1605,D1605:E1605)</x:f>
        <x:v>215607.37993199998</x:v>
      </x:c>
      <x:c r="G1605" s="12" t="n">
        <x:f>MAX(G1604,F1605)</x:f>
        <x:v>219435.819932</x:v>
      </x:c>
      <x:c r="H1605" s="14" t="n">
        <x:f>F1605/G1605-1</x:f>
        <x:v>-0.017446741380629738</x:v>
      </x:c>
      <x:c r="I1605" s="14" t="n">
        <x:f>F1605/F1604-1</x:f>
        <x:v>-0.008303654756896206</x:v>
      </x:c>
      <x:c r="J1605" s="12" t="n">
        <x:v>0</x:v>
      </x:c>
      <x:c r="K1605" s="12" t="n">
        <x:v>0</x:v>
      </x:c>
      <x:c r="L1605" s="12" t="n">
        <x:v>0</x:v>
      </x:c>
      <x:c r="M1605" s="2" t="str">
        <x:v>持有</x:v>
      </x:c>
    </x:row>
    <x:row r="1606" ht="23" customHeight="1">
      <x:c r="A1606" s="11" t="d">
        <x:v>2021-05-12T00:00:00.000Z</x:v>
      </x:c>
      <x:c r="B1606" s="12" t="n">
        <x:v>15129.739932</x:v>
      </x:c>
      <x:c r="C1606" s="13" t="n">
        <x:v>484</x:v>
      </x:c>
      <x:c r="D1606" s="12" t="n">
        <x:v>196218.44</x:v>
      </x:c>
      <x:c r="E1606" s="12" t="n">
        <x:v>0</x:v>
      </x:c>
      <x:c r="F1606" s="12" t="n">
        <x:f>SUM(B1606,D1606:E1606)</x:f>
        <x:v>211348.179932</x:v>
      </x:c>
      <x:c r="G1606" s="12" t="n">
        <x:f>MAX(G1605,F1606)</x:f>
        <x:v>219435.819932</x:v>
      </x:c>
      <x:c r="H1606" s="14" t="n">
        <x:f>F1606/G1606-1</x:f>
        <x:v>-0.03685651687361824</x:v>
      </x:c>
      <x:c r="I1606" s="14" t="n">
        <x:f>F1606/F1605-1</x:f>
        <x:v>-0.019754425851950308</x:v>
      </x:c>
      <x:c r="J1606" s="12" t="n">
        <x:v>0</x:v>
      </x:c>
      <x:c r="K1606" s="12" t="n">
        <x:v>0</x:v>
      </x:c>
      <x:c r="L1606" s="12" t="n">
        <x:v>0</x:v>
      </x:c>
      <x:c r="M1606" s="2" t="str">
        <x:v>持有</x:v>
      </x:c>
    </x:row>
    <x:row r="1607" ht="23" customHeight="1">
      <x:c r="A1607" s="11" t="d">
        <x:v>2021-05-13T00:00:00.000Z</x:v>
      </x:c>
      <x:c r="B1607" s="12" t="n">
        <x:v>15129.739932</x:v>
      </x:c>
      <x:c r="C1607" s="13" t="n">
        <x:v>484</x:v>
      </x:c>
      <x:c r="D1607" s="12" t="n">
        <x:v>198575.52</x:v>
      </x:c>
      <x:c r="E1607" s="12" t="n">
        <x:v>0</x:v>
      </x:c>
      <x:c r="F1607" s="12" t="n">
        <x:f>SUM(B1607,D1607:E1607)</x:f>
        <x:v>213705.259932</x:v>
      </x:c>
      <x:c r="G1607" s="12" t="n">
        <x:f>MAX(G1606,F1607)</x:f>
        <x:v>219435.819932</x:v>
      </x:c>
      <x:c r="H1607" s="14" t="n">
        <x:f>F1607/G1607-1</x:f>
        <x:v>-0.026114970663293935</x:v>
      </x:c>
      <x:c r="I1607" s="14" t="n">
        <x:f>F1607/F1606-1</x:f>
        <x:v>0.011152591901942843</x:v>
      </x:c>
      <x:c r="J1607" s="12" t="n">
        <x:v>0</x:v>
      </x:c>
      <x:c r="K1607" s="12" t="n">
        <x:v>0</x:v>
      </x:c>
      <x:c r="L1607" s="12" t="n">
        <x:v>0</x:v>
      </x:c>
      <x:c r="M1607" s="2" t="str">
        <x:v>持有</x:v>
      </x:c>
    </x:row>
    <x:row r="1608" ht="23" customHeight="1">
      <x:c r="A1608" s="11" t="d">
        <x:v>2021-05-14T00:00:00.000Z</x:v>
      </x:c>
      <x:c r="B1608" s="12" t="n">
        <x:v>15129.739932</x:v>
      </x:c>
      <x:c r="C1608" s="13" t="n">
        <x:v>484</x:v>
      </x:c>
      <x:c r="D1608" s="12" t="n">
        <x:v>201624.72</x:v>
      </x:c>
      <x:c r="E1608" s="12" t="n">
        <x:v>0</x:v>
      </x:c>
      <x:c r="F1608" s="12" t="n">
        <x:f>SUM(B1608,D1608:E1608)</x:f>
        <x:v>216754.459932</x:v>
      </x:c>
      <x:c r="G1608" s="12" t="n">
        <x:f>MAX(G1607,F1608)</x:f>
        <x:v>219435.819932</x:v>
      </x:c>
      <x:c r="H1608" s="14" t="n">
        <x:f>F1608/G1608-1</x:f>
        <x:v>-0.012219335935358844</x:v>
      </x:c>
      <x:c r="I1608" s="14" t="n">
        <x:f>F1608/F1607-1</x:f>
        <x:v>0.014268249648933473</x:v>
      </x:c>
      <x:c r="J1608" s="12" t="n">
        <x:v>0</x:v>
      </x:c>
      <x:c r="K1608" s="12" t="n">
        <x:v>0</x:v>
      </x:c>
      <x:c r="L1608" s="12" t="n">
        <x:v>0</x:v>
      </x:c>
      <x:c r="M1608" s="2" t="str">
        <x:v>持有</x:v>
      </x:c>
    </x:row>
    <x:row r="1609" ht="23" customHeight="1">
      <x:c r="A1609" s="11" t="d">
        <x:v>2021-05-17T00:00:00.000Z</x:v>
      </x:c>
      <x:c r="B1609" s="12" t="n">
        <x:v>15129.739932</x:v>
      </x:c>
      <x:c r="C1609" s="13" t="n">
        <x:v>484</x:v>
      </x:c>
      <x:c r="D1609" s="12" t="n">
        <x:v>201111.68</x:v>
      </x:c>
      <x:c r="E1609" s="12" t="n">
        <x:v>0</x:v>
      </x:c>
      <x:c r="F1609" s="12" t="n">
        <x:f>SUM(B1609,D1609:E1609)</x:f>
        <x:v>216241.419932</x:v>
      </x:c>
      <x:c r="G1609" s="12" t="n">
        <x:f>MAX(G1608,F1609)</x:f>
        <x:v>219435.819932</x:v>
      </x:c>
      <x:c r="H1609" s="14" t="n">
        <x:f>F1609/G1609-1</x:f>
        <x:v>-0.014557331619741598</x:v>
      </x:c>
      <x:c r="I1609" s="14" t="n">
        <x:f>F1609/F1608-1</x:f>
        <x:v>-0.0023669178487074616</x:v>
      </x:c>
      <x:c r="J1609" s="12" t="n">
        <x:v>0</x:v>
      </x:c>
      <x:c r="K1609" s="12" t="n">
        <x:v>0</x:v>
      </x:c>
      <x:c r="L1609" s="12" t="n">
        <x:v>0</x:v>
      </x:c>
      <x:c r="M1609" s="2" t="str">
        <x:v>持有</x:v>
      </x:c>
    </x:row>
    <x:row r="1610" ht="23" customHeight="1">
      <x:c r="A1610" s="11" t="d">
        <x:v>2021-05-18T00:00:00.000Z</x:v>
      </x:c>
      <x:c r="B1610" s="12" t="n">
        <x:v>15129.739932</x:v>
      </x:c>
      <x:c r="C1610" s="13" t="n">
        <x:v>484</x:v>
      </x:c>
      <x:c r="D1610" s="12" t="n">
        <x:v>199378.96</x:v>
      </x:c>
      <x:c r="E1610" s="12" t="n">
        <x:v>0</x:v>
      </x:c>
      <x:c r="F1610" s="12" t="n">
        <x:f>SUM(B1610,D1610:E1610)</x:f>
        <x:v>214508.699932</x:v>
      </x:c>
      <x:c r="G1610" s="12" t="n">
        <x:f>MAX(G1609,F1610)</x:f>
        <x:v>219435.819932</x:v>
      </x:c>
      <x:c r="H1610" s="14" t="n">
        <x:f>F1610/G1610-1</x:f>
        <x:v>-0.022453581195298278</x:v>
      </x:c>
      <x:c r="I1610" s="14" t="n">
        <x:f>F1610/F1609-1</x:f>
        <x:v>-0.00801289595927035</x:v>
      </x:c>
      <x:c r="J1610" s="12" t="n">
        <x:v>0</x:v>
      </x:c>
      <x:c r="K1610" s="12" t="n">
        <x:v>0</x:v>
      </x:c>
      <x:c r="L1610" s="12" t="n">
        <x:v>0</x:v>
      </x:c>
      <x:c r="M1610" s="2" t="str">
        <x:v>持有</x:v>
      </x:c>
    </x:row>
    <x:row r="1611" ht="23" customHeight="1">
      <x:c r="A1611" s="11" t="d">
        <x:v>2021-05-19T00:00:00.000Z</x:v>
      </x:c>
      <x:c r="B1611" s="12" t="n">
        <x:v>15129.739932</x:v>
      </x:c>
      <x:c r="C1611" s="13" t="n">
        <x:v>484</x:v>
      </x:c>
      <x:c r="D1611" s="12" t="n">
        <x:v>198856.24000000002</x:v>
      </x:c>
      <x:c r="E1611" s="12" t="n">
        <x:v>0</x:v>
      </x:c>
      <x:c r="F1611" s="12" t="n">
        <x:f>SUM(B1611,D1611:E1611)</x:f>
        <x:v>213985.97993200002</x:v>
      </x:c>
      <x:c r="G1611" s="12" t="n">
        <x:f>MAX(G1610,F1611)</x:f>
        <x:v>219435.819932</x:v>
      </x:c>
      <x:c r="H1611" s="14" t="n">
        <x:f>F1611/G1611-1</x:f>
        <x:v>-0.024835690005801325</x:v>
      </x:c>
      <x:c r="I1611" s="14" t="n">
        <x:f>F1611/F1610-1</x:f>
        <x:v>-0.0024368242414675167</x:v>
      </x:c>
      <x:c r="J1611" s="12" t="n">
        <x:v>0</x:v>
      </x:c>
      <x:c r="K1611" s="12" t="n">
        <x:v>0</x:v>
      </x:c>
      <x:c r="L1611" s="12" t="n">
        <x:v>0</x:v>
      </x:c>
      <x:c r="M1611" s="2" t="str">
        <x:v>持有</x:v>
      </x:c>
    </x:row>
    <x:row r="1612" ht="23" customHeight="1">
      <x:c r="A1612" s="11" t="d">
        <x:v>2021-05-20T00:00:00.000Z</x:v>
      </x:c>
      <x:c r="B1612" s="12" t="n">
        <x:v>15129.739932</x:v>
      </x:c>
      <x:c r="C1612" s="13" t="n">
        <x:v>484</x:v>
      </x:c>
      <x:c r="D1612" s="12" t="n">
        <x:v>200995.52</x:v>
      </x:c>
      <x:c r="E1612" s="12" t="n">
        <x:v>0</x:v>
      </x:c>
      <x:c r="F1612" s="12" t="n">
        <x:f>SUM(B1612,D1612:E1612)</x:f>
        <x:v>216125.259932</x:v>
      </x:c>
      <x:c r="G1612" s="12" t="n">
        <x:f>MAX(G1611,F1612)</x:f>
        <x:v>219435.819932</x:v>
      </x:c>
      <x:c r="H1612" s="14" t="n">
        <x:f>F1612/G1612-1</x:f>
        <x:v>-0.015086689133186781</x:v>
      </x:c>
      <x:c r="I1612" s="14" t="n">
        <x:f>F1612/F1611-1</x:f>
        <x:v>0.009997290479870635</x:v>
      </x:c>
      <x:c r="J1612" s="12" t="n">
        <x:v>0</x:v>
      </x:c>
      <x:c r="K1612" s="12" t="n">
        <x:v>0</x:v>
      </x:c>
      <x:c r="L1612" s="12" t="n">
        <x:v>0</x:v>
      </x:c>
      <x:c r="M1612" s="2" t="str">
        <x:v>持有</x:v>
      </x:c>
    </x:row>
    <x:row r="1613" ht="23" customHeight="1">
      <x:c r="A1613" s="11" t="d">
        <x:v>2021-05-21T00:00:00.000Z</x:v>
      </x:c>
      <x:c r="B1613" s="12" t="n">
        <x:v>15129.739932</x:v>
      </x:c>
      <x:c r="C1613" s="13" t="n">
        <x:v>484</x:v>
      </x:c>
      <x:c r="D1613" s="12" t="n">
        <x:v>200830.96</x:v>
      </x:c>
      <x:c r="E1613" s="12" t="n">
        <x:v>0</x:v>
      </x:c>
      <x:c r="F1613" s="12" t="n">
        <x:f>SUM(B1613,D1613:E1613)</x:f>
        <x:v>215960.699932</x:v>
      </x:c>
      <x:c r="G1613" s="12" t="n">
        <x:f>MAX(G1612,F1613)</x:f>
        <x:v>219435.819932</x:v>
      </x:c>
      <x:c r="H1613" s="14" t="n">
        <x:f>F1613/G1613-1</x:f>
        <x:v>-0.015836612277233986</x:v>
      </x:c>
      <x:c r="I1613" s="14" t="n">
        <x:f>F1613/F1612-1</x:f>
        <x:v>-0.0007614103046158505</x:v>
      </x:c>
      <x:c r="J1613" s="12" t="n">
        <x:v>0</x:v>
      </x:c>
      <x:c r="K1613" s="12" t="n">
        <x:v>0</x:v>
      </x:c>
      <x:c r="L1613" s="12" t="n">
        <x:v>0</x:v>
      </x:c>
      <x:c r="M1613" s="2" t="str">
        <x:v>持有</x:v>
      </x:c>
    </x:row>
    <x:row r="1614" ht="23" customHeight="1">
      <x:c r="A1614" s="11" t="d">
        <x:v>2021-05-24T00:00:00.000Z</x:v>
      </x:c>
      <x:c r="B1614" s="12" t="n">
        <x:v>15129.739932</x:v>
      </x:c>
      <x:c r="C1614" s="13" t="n">
        <x:v>484</x:v>
      </x:c>
      <x:c r="D1614" s="12" t="n">
        <x:v>202878.28</x:v>
      </x:c>
      <x:c r="E1614" s="12" t="n">
        <x:v>0</x:v>
      </x:c>
      <x:c r="F1614" s="12" t="n">
        <x:f>SUM(B1614,D1614:E1614)</x:f>
        <x:v>218008.019932</x:v>
      </x:c>
      <x:c r="G1614" s="12" t="n">
        <x:f>MAX(G1613,F1614)</x:f>
        <x:v>219435.819932</x:v>
      </x:c>
      <x:c r="H1614" s="14" t="n">
        <x:f>F1614/G1614-1</x:f>
        <x:v>-0.006506686102763282</x:v>
      </x:c>
      <x:c r="I1614" s="14" t="n">
        <x:f>F1614/F1613-1</x:f>
        <x:v>0.009480058180236783</x:v>
      </x:c>
      <x:c r="J1614" s="12" t="n">
        <x:v>0</x:v>
      </x:c>
      <x:c r="K1614" s="12" t="n">
        <x:v>0</x:v>
      </x:c>
      <x:c r="L1614" s="12" t="n">
        <x:v>0</x:v>
      </x:c>
      <x:c r="M1614" s="2" t="str">
        <x:v>持有</x:v>
      </x:c>
    </x:row>
    <x:row r="1615" ht="23" customHeight="1">
      <x:c r="A1615" s="11" t="d">
        <x:v>2021-05-25T00:00:00.000Z</x:v>
      </x:c>
      <x:c r="B1615" s="12" t="n">
        <x:v>15129.739932</x:v>
      </x:c>
      <x:c r="C1615" s="13" t="n">
        <x:v>484</x:v>
      </x:c>
      <x:c r="D1615" s="12" t="n">
        <x:v>202428.16</x:v>
      </x:c>
      <x:c r="E1615" s="12" t="n">
        <x:v>0</x:v>
      </x:c>
      <x:c r="F1615" s="12" t="n">
        <x:f>SUM(B1615,D1615:E1615)</x:f>
        <x:v>217557.899932</x:v>
      </x:c>
      <x:c r="G1615" s="12" t="n">
        <x:f>MAX(G1614,F1615)</x:f>
        <x:v>219435.819932</x:v>
      </x:c>
      <x:c r="H1615" s="14" t="n">
        <x:f>F1615/G1615-1</x:f>
        <x:v>-0.008557946467363187</x:v>
      </x:c>
      <x:c r="I1615" s="14" t="n">
        <x:f>F1615/F1614-1</x:f>
        <x:v>-0.002064694684812074</x:v>
      </x:c>
      <x:c r="J1615" s="12" t="n">
        <x:v>0</x:v>
      </x:c>
      <x:c r="K1615" s="12" t="n">
        <x:v>0</x:v>
      </x:c>
      <x:c r="L1615" s="12" t="n">
        <x:v>0</x:v>
      </x:c>
      <x:c r="M1615" s="2" t="str">
        <x:v>持有</x:v>
      </x:c>
    </x:row>
    <x:row r="1616" ht="23" customHeight="1">
      <x:c r="A1616" s="11" t="d">
        <x:v>2021-05-26T00:00:00.000Z</x:v>
      </x:c>
      <x:c r="B1616" s="12" t="n">
        <x:v>15129.739932</x:v>
      </x:c>
      <x:c r="C1616" s="13" t="n">
        <x:v>484</x:v>
      </x:c>
      <x:c r="D1616" s="12" t="n">
        <x:v>202829.88</x:v>
      </x:c>
      <x:c r="E1616" s="12" t="n">
        <x:v>0</x:v>
      </x:c>
      <x:c r="F1616" s="12" t="n">
        <x:f>SUM(B1616,D1616:E1616)</x:f>
        <x:v>217959.619932</x:v>
      </x:c>
      <x:c r="G1616" s="12" t="n">
        <x:f>MAX(G1615,F1616)</x:f>
        <x:v>219435.819932</x:v>
      </x:c>
      <x:c r="H1616" s="14" t="n">
        <x:f>F1616/G1616-1</x:f>
        <x:v>-0.006727251733365414</x:v>
      </x:c>
      <x:c r="I1616" s="14" t="n">
        <x:f>F1616/F1615-1</x:f>
        <x:v>0.0018464969561002853</x:v>
      </x:c>
      <x:c r="J1616" s="12" t="n">
        <x:v>0</x:v>
      </x:c>
      <x:c r="K1616" s="12" t="n">
        <x:v>0</x:v>
      </x:c>
      <x:c r="L1616" s="12" t="n">
        <x:v>0</x:v>
      </x:c>
      <x:c r="M1616" s="2" t="str">
        <x:v>持有</x:v>
      </x:c>
    </x:row>
    <x:row r="1617" ht="23" customHeight="1">
      <x:c r="A1617" s="11" t="d">
        <x:v>2021-05-27T00:00:00.000Z</x:v>
      </x:c>
      <x:c r="B1617" s="12" t="n">
        <x:v>15129.739932</x:v>
      </x:c>
      <x:c r="C1617" s="13" t="n">
        <x:v>484</x:v>
      </x:c>
      <x:c r="D1617" s="12" t="n">
        <x:v>202936.36000000002</x:v>
      </x:c>
      <x:c r="E1617" s="12" t="n">
        <x:v>0</x:v>
      </x:c>
      <x:c r="F1617" s="12" t="n">
        <x:f>SUM(B1617,D1617:E1617)</x:f>
        <x:v>218066.099932</x:v>
      </x:c>
      <x:c r="G1617" s="12" t="n">
        <x:f>MAX(G1616,F1617)</x:f>
        <x:v>219435.819932</x:v>
      </x:c>
      <x:c r="H1617" s="14" t="n">
        <x:f>F1617/G1617-1</x:f>
        <x:v>-0.0062420073460406345</x:v>
      </x:c>
      <x:c r="I1617" s="14" t="n">
        <x:f>F1617/F1616-1</x:f>
        <x:v>0.0004885308573818747</x:v>
      </x:c>
      <x:c r="J1617" s="12" t="n">
        <x:v>0</x:v>
      </x:c>
      <x:c r="K1617" s="12" t="n">
        <x:v>0</x:v>
      </x:c>
      <x:c r="L1617" s="12" t="n">
        <x:v>0</x:v>
      </x:c>
      <x:c r="M1617" s="2" t="str">
        <x:v>持有</x:v>
      </x:c>
    </x:row>
    <x:row r="1618" ht="23" customHeight="1">
      <x:c r="A1618" s="11" t="d">
        <x:v>2021-05-28T00:00:00.000Z</x:v>
      </x:c>
      <x:c r="B1618" s="12" t="n">
        <x:v>15129.739932</x:v>
      </x:c>
      <x:c r="C1618" s="13" t="n">
        <x:v>484</x:v>
      </x:c>
      <x:c r="D1618" s="12" t="n">
        <x:v>203299.36000000002</x:v>
      </x:c>
      <x:c r="E1618" s="12" t="n">
        <x:v>0</x:v>
      </x:c>
      <x:c r="F1618" s="12" t="n">
        <x:f>SUM(B1618,D1618:E1618)</x:f>
        <x:v>218429.099932</x:v>
      </x:c>
      <x:c r="G1618" s="12" t="n">
        <x:f>MAX(G1617,F1618)</x:f>
        <x:v>219435.819932</x:v>
      </x:c>
      <x:c r="H1618" s="14" t="n">
        <x:f>F1618/G1618-1</x:f>
        <x:v>-0.004587765116524589</x:v>
      </x:c>
      <x:c r="I1618" s="14" t="n">
        <x:f>F1618/F1617-1</x:f>
        <x:v>0.0016646328801825927</x:v>
      </x:c>
      <x:c r="J1618" s="12" t="n">
        <x:v>0</x:v>
      </x:c>
      <x:c r="K1618" s="12" t="n">
        <x:v>0</x:v>
      </x:c>
      <x:c r="L1618" s="12" t="n">
        <x:v>0</x:v>
      </x:c>
      <x:c r="M1618" s="2" t="str">
        <x:v>持有</x:v>
      </x:c>
    </x:row>
    <x:row r="1619" ht="23" customHeight="1">
      <x:c r="A1619" s="11" t="d">
        <x:v>2021-06-01T00:00:00.000Z</x:v>
      </x:c>
      <x:c r="B1619" s="12" t="n">
        <x:v>15129.739932</x:v>
      </x:c>
      <x:c r="C1619" s="13" t="n">
        <x:v>484</x:v>
      </x:c>
      <x:c r="D1619" s="12" t="n">
        <x:v>203120.28</x:v>
      </x:c>
      <x:c r="E1619" s="12" t="n">
        <x:v>0</x:v>
      </x:c>
      <x:c r="F1619" s="12" t="n">
        <x:f>SUM(B1619,D1619:E1619)</x:f>
        <x:v>218250.019932</x:v>
      </x:c>
      <x:c r="G1619" s="12" t="n">
        <x:f>MAX(G1618,F1619)</x:f>
        <x:v>219435.819932</x:v>
      </x:c>
      <x:c r="H1619" s="14" t="n">
        <x:f>F1619/G1619-1</x:f>
        <x:v>-0.005403857949752622</x:v>
      </x:c>
      <x:c r="I1619" s="14" t="n">
        <x:f>F1619/F1618-1</x:f>
        <x:v>-0.0008198541314127228</x:v>
      </x:c>
      <x:c r="J1619" s="12" t="n">
        <x:v>0</x:v>
      </x:c>
      <x:c r="K1619" s="12" t="n">
        <x:v>0</x:v>
      </x:c>
      <x:c r="L1619" s="12" t="n">
        <x:v>0</x:v>
      </x:c>
      <x:c r="M1619" s="2" t="str">
        <x:v>持有</x:v>
      </x:c>
    </x:row>
    <x:row r="1620" ht="23" customHeight="1">
      <x:c r="A1620" s="11" t="d">
        <x:v>2021-06-02T00:00:00.000Z</x:v>
      </x:c>
      <x:c r="B1620" s="12" t="n">
        <x:v>15129.739932</x:v>
      </x:c>
      <x:c r="C1620" s="13" t="n">
        <x:v>484</x:v>
      </x:c>
      <x:c r="D1620" s="12" t="n">
        <x:v>203439.72</x:v>
      </x:c>
      <x:c r="E1620" s="12" t="n">
        <x:v>0</x:v>
      </x:c>
      <x:c r="F1620" s="12" t="n">
        <x:f>SUM(B1620,D1620:E1620)</x:f>
        <x:v>218569.459932</x:v>
      </x:c>
      <x:c r="G1620" s="12" t="n">
        <x:f>MAX(G1619,F1620)</x:f>
        <x:v>219435.819932</x:v>
      </x:c>
      <x:c r="H1620" s="14" t="n">
        <x:f>F1620/G1620-1</x:f>
        <x:v>-0.003948124787778395</x:v>
      </x:c>
      <x:c r="I1620" s="14" t="n">
        <x:f>F1620/F1619-1</x:f>
        <x:v>0.0014636424780145596</x:v>
      </x:c>
      <x:c r="J1620" s="12" t="n">
        <x:v>0</x:v>
      </x:c>
      <x:c r="K1620" s="12" t="n">
        <x:v>0</x:v>
      </x:c>
      <x:c r="L1620" s="12" t="n">
        <x:v>0</x:v>
      </x:c>
      <x:c r="M1620" s="2" t="str">
        <x:v>持有</x:v>
      </x:c>
    </x:row>
    <x:row r="1621" ht="23" customHeight="1">
      <x:c r="A1621" s="11" t="d">
        <x:v>2021-06-03T00:00:00.000Z</x:v>
      </x:c>
      <x:c r="B1621" s="12" t="n">
        <x:v>15129.739932</x:v>
      </x:c>
      <x:c r="C1621" s="13" t="n">
        <x:v>484</x:v>
      </x:c>
      <x:c r="D1621" s="12" t="n">
        <x:v>202684.68</x:v>
      </x:c>
      <x:c r="E1621" s="12" t="n">
        <x:v>0</x:v>
      </x:c>
      <x:c r="F1621" s="12" t="n">
        <x:f>SUM(B1621,D1621:E1621)</x:f>
        <x:v>217814.419932</x:v>
      </x:c>
      <x:c r="G1621" s="12" t="n">
        <x:f>MAX(G1620,F1621)</x:f>
        <x:v>219435.819932</x:v>
      </x:c>
      <x:c r="H1621" s="14" t="n">
        <x:f>F1621/G1621-1</x:f>
        <x:v>-0.0073889486251719205</x:v>
      </x:c>
      <x:c r="I1621" s="14" t="n">
        <x:f>F1621/F1620-1</x:f>
        <x:v>-0.0034544624863643847</x:v>
      </x:c>
      <x:c r="J1621" s="12" t="n">
        <x:v>0</x:v>
      </x:c>
      <x:c r="K1621" s="12" t="n">
        <x:v>0</x:v>
      </x:c>
      <x:c r="L1621" s="12" t="n">
        <x:v>0</x:v>
      </x:c>
      <x:c r="M1621" s="2" t="str">
        <x:v>持有</x:v>
      </x:c>
    </x:row>
    <x:row r="1622" ht="23" customHeight="1">
      <x:c r="A1622" s="11" t="d">
        <x:v>2021-06-04T00:00:00.000Z</x:v>
      </x:c>
      <x:c r="B1622" s="12" t="n">
        <x:v>15129.739932</x:v>
      </x:c>
      <x:c r="C1622" s="13" t="n">
        <x:v>484</x:v>
      </x:c>
      <x:c r="D1622" s="12" t="n">
        <x:v>204538.40000000002</x:v>
      </x:c>
      <x:c r="E1622" s="12" t="n">
        <x:v>0</x:v>
      </x:c>
      <x:c r="F1622" s="12" t="n">
        <x:f>SUM(B1622,D1622:E1622)</x:f>
        <x:v>219668.13993200002</x:v>
      </x:c>
      <x:c r="G1622" s="12" t="n">
        <x:f>MAX(G1621,F1622)</x:f>
        <x:v>219668.13993200002</x:v>
      </x:c>
      <x:c r="H1622" s="14" t="n">
        <x:f>F1622/G1622-1</x:f>
        <x:v>0</x:v>
      </x:c>
      <x:c r="I1622" s="14" t="n">
        <x:f>F1622/F1621-1</x:f>
        <x:v>0.008510547651430667</x:v>
      </x:c>
      <x:c r="J1622" s="12" t="n">
        <x:v>0</x:v>
      </x:c>
      <x:c r="K1622" s="12" t="n">
        <x:v>0</x:v>
      </x:c>
      <x:c r="L1622" s="12" t="n">
        <x:v>0</x:v>
      </x:c>
      <x:c r="M1622" s="2" t="str">
        <x:v>持有</x:v>
      </x:c>
    </x:row>
    <x:row r="1623" ht="23" customHeight="1">
      <x:c r="A1623" s="11" t="d">
        <x:v>2021-06-07T00:00:00.000Z</x:v>
      </x:c>
      <x:c r="B1623" s="12" t="n">
        <x:v>15129.739932</x:v>
      </x:c>
      <x:c r="C1623" s="13" t="n">
        <x:v>484</x:v>
      </x:c>
      <x:c r="D1623" s="12" t="n">
        <x:v>204339.96</x:v>
      </x:c>
      <x:c r="E1623" s="12" t="n">
        <x:v>0</x:v>
      </x:c>
      <x:c r="F1623" s="12" t="n">
        <x:f>SUM(B1623,D1623:E1623)</x:f>
        <x:v>219469.699932</x:v>
      </x:c>
      <x:c r="G1623" s="12" t="n">
        <x:f>MAX(G1622,F1623)</x:f>
        <x:v>219668.13993200002</x:v>
      </x:c>
      <x:c r="H1623" s="14" t="n">
        <x:f>F1623/G1623-1</x:f>
        <x:v>-0.0009033626818230056</x:v>
      </x:c>
      <x:c r="I1623" s="14" t="n">
        <x:f>F1623/F1622-1</x:f>
        <x:v>-0.0009033626818230056</x:v>
      </x:c>
      <x:c r="J1623" s="12" t="n">
        <x:v>0</x:v>
      </x:c>
      <x:c r="K1623" s="12" t="n">
        <x:v>0</x:v>
      </x:c>
      <x:c r="L1623" s="12" t="n">
        <x:v>0</x:v>
      </x:c>
      <x:c r="M1623" s="2" t="str">
        <x:v>持有</x:v>
      </x:c>
    </x:row>
    <x:row r="1624" ht="23" customHeight="1">
      <x:c r="A1624" s="11" t="d">
        <x:v>2021-06-08T00:00:00.000Z</x:v>
      </x:c>
      <x:c r="B1624" s="12" t="n">
        <x:v>15129.739932</x:v>
      </x:c>
      <x:c r="C1624" s="13" t="n">
        <x:v>484</x:v>
      </x:c>
      <x:c r="D1624" s="12" t="n">
        <x:v>204383.52</x:v>
      </x:c>
      <x:c r="E1624" s="12" t="n">
        <x:v>0</x:v>
      </x:c>
      <x:c r="F1624" s="12" t="n">
        <x:f>SUM(B1624,D1624:E1624)</x:f>
        <x:v>219513.259932</x:v>
      </x:c>
      <x:c r="G1624" s="12" t="n">
        <x:f>MAX(G1623,F1624)</x:f>
        <x:v>219668.13993200002</x:v>
      </x:c>
      <x:c r="H1624" s="14" t="n">
        <x:f>F1624/G1624-1</x:f>
        <x:v>-0.0007050635565447605</x:v>
      </x:c>
      <x:c r="I1624" s="14" t="n">
        <x:f>F1624/F1623-1</x:f>
        <x:v>0.00019847842327891385</x:v>
      </x:c>
      <x:c r="J1624" s="12" t="n">
        <x:v>0</x:v>
      </x:c>
      <x:c r="K1624" s="12" t="n">
        <x:v>0</x:v>
      </x:c>
      <x:c r="L1624" s="12" t="n">
        <x:v>0</x:v>
      </x:c>
      <x:c r="M1624" s="2" t="str">
        <x:v>持有</x:v>
      </x:c>
    </x:row>
    <x:row r="1625" ht="23" customHeight="1">
      <x:c r="A1625" s="11" t="d">
        <x:v>2021-06-09T00:00:00.000Z</x:v>
      </x:c>
      <x:c r="B1625" s="12" t="n">
        <x:v>15129.739932</x:v>
      </x:c>
      <x:c r="C1625" s="13" t="n">
        <x:v>484</x:v>
      </x:c>
      <x:c r="D1625" s="12" t="n">
        <x:v>204078.59999999998</x:v>
      </x:c>
      <x:c r="E1625" s="12" t="n">
        <x:v>0</x:v>
      </x:c>
      <x:c r="F1625" s="12" t="n">
        <x:f>SUM(B1625,D1625:E1625)</x:f>
        <x:v>219208.33993199997</x:v>
      </x:c>
      <x:c r="G1625" s="12" t="n">
        <x:f>MAX(G1624,F1625)</x:f>
        <x:v>219668.13993200002</x:v>
      </x:c>
      <x:c r="H1625" s="14" t="n">
        <x:f>F1625/G1625-1</x:f>
        <x:v>-0.0020931574334921432</x:v>
      </x:c>
      <x:c r="I1625" s="14" t="n">
        <x:f>F1625/F1624-1</x:f>
        <x:v>-0.001389073261881646</x:v>
      </x:c>
      <x:c r="J1625" s="12" t="n">
        <x:v>0</x:v>
      </x:c>
      <x:c r="K1625" s="12" t="n">
        <x:v>0</x:v>
      </x:c>
      <x:c r="L1625" s="12" t="n">
        <x:v>0</x:v>
      </x:c>
      <x:c r="M1625" s="2" t="str">
        <x:v>持有</x:v>
      </x:c>
    </x:row>
    <x:row r="1626" ht="23" customHeight="1">
      <x:c r="A1626" s="11" t="d">
        <x:v>2021-06-10T00:00:00.000Z</x:v>
      </x:c>
      <x:c r="B1626" s="12" t="n">
        <x:v>15129.739932</x:v>
      </x:c>
      <x:c r="C1626" s="13" t="n">
        <x:v>484</x:v>
      </x:c>
      <x:c r="D1626" s="12" t="n">
        <x:v>205027.24000000002</x:v>
      </x:c>
      <x:c r="E1626" s="12" t="n">
        <x:v>0</x:v>
      </x:c>
      <x:c r="F1626" s="12" t="n">
        <x:f>SUM(B1626,D1626:E1626)</x:f>
        <x:v>220156.97993200002</x:v>
      </x:c>
      <x:c r="G1626" s="12" t="n">
        <x:f>MAX(G1625,F1626)</x:f>
        <x:v>220156.97993200002</x:v>
      </x:c>
      <x:c r="H1626" s="14" t="n">
        <x:f>F1626/G1626-1</x:f>
        <x:v>0</x:v>
      </x:c>
      <x:c r="I1626" s="14" t="n">
        <x:f>F1626/F1625-1</x:f>
        <x:v>0.004327572574539529</x:v>
      </x:c>
      <x:c r="J1626" s="12" t="n">
        <x:v>0</x:v>
      </x:c>
      <x:c r="K1626" s="12" t="n">
        <x:v>0</x:v>
      </x:c>
      <x:c r="L1626" s="12" t="n">
        <x:v>0</x:v>
      </x:c>
      <x:c r="M1626" s="2" t="str">
        <x:v>持有</x:v>
      </x:c>
    </x:row>
    <x:row r="1627" ht="23" customHeight="1">
      <x:c r="A1627" s="11" t="d">
        <x:v>2021-06-11T00:00:00.000Z</x:v>
      </x:c>
      <x:c r="B1627" s="12" t="n">
        <x:v>15129.739932</x:v>
      </x:c>
      <x:c r="C1627" s="13" t="n">
        <x:v>484</x:v>
      </x:c>
      <x:c r="D1627" s="12" t="n">
        <x:v>205366.04</x:v>
      </x:c>
      <x:c r="E1627" s="12" t="n">
        <x:v>0</x:v>
      </x:c>
      <x:c r="F1627" s="12" t="n">
        <x:f>SUM(B1627,D1627:E1627)</x:f>
        <x:v>220495.779932</x:v>
      </x:c>
      <x:c r="G1627" s="12" t="n">
        <x:f>MAX(G1626,F1627)</x:f>
        <x:v>220495.779932</x:v>
      </x:c>
      <x:c r="H1627" s="14" t="n">
        <x:f>F1627/G1627-1</x:f>
        <x:v>0</x:v>
      </x:c>
      <x:c r="I1627" s="14" t="n">
        <x:f>F1627/F1626-1</x:f>
        <x:v>0.0015389019240026336</x:v>
      </x:c>
      <x:c r="J1627" s="12" t="n">
        <x:v>0</x:v>
      </x:c>
      <x:c r="K1627" s="12" t="n">
        <x:v>0</x:v>
      </x:c>
      <x:c r="L1627" s="12" t="n">
        <x:v>0</x:v>
      </x:c>
      <x:c r="M1627" s="2" t="str">
        <x:v>持有</x:v>
      </x:c>
    </x:row>
    <x:row r="1628" ht="23" customHeight="1">
      <x:c r="A1628" s="11" t="d">
        <x:v>2021-06-14T00:00:00.000Z</x:v>
      </x:c>
      <x:c r="B1628" s="12" t="n">
        <x:v>15129.739932</x:v>
      </x:c>
      <x:c r="C1628" s="13" t="n">
        <x:v>484</x:v>
      </x:c>
      <x:c r="D1628" s="12" t="n">
        <x:v>205825.84</x:v>
      </x:c>
      <x:c r="E1628" s="12" t="n">
        <x:v>0</x:v>
      </x:c>
      <x:c r="F1628" s="12" t="n">
        <x:f>SUM(B1628,D1628:E1628)</x:f>
        <x:v>220955.579932</x:v>
      </x:c>
      <x:c r="G1628" s="12" t="n">
        <x:f>MAX(G1627,F1628)</x:f>
        <x:v>220955.579932</x:v>
      </x:c>
      <x:c r="H1628" s="14" t="n">
        <x:f>F1628/G1628-1</x:f>
        <x:v>0</x:v>
      </x:c>
      <x:c r="I1628" s="14" t="n">
        <x:f>F1628/F1627-1</x:f>
        <x:v>0.0020853006807739494</x:v>
      </x:c>
      <x:c r="J1628" s="12" t="n">
        <x:v>0</x:v>
      </x:c>
      <x:c r="K1628" s="12" t="n">
        <x:v>0</x:v>
      </x:c>
      <x:c r="L1628" s="12" t="n">
        <x:v>0</x:v>
      </x:c>
      <x:c r="M1628" s="2" t="str">
        <x:v>持有</x:v>
      </x:c>
    </x:row>
    <x:row r="1629" ht="23" customHeight="1">
      <x:c r="A1629" s="11" t="d">
        <x:v>2021-06-15T00:00:00.000Z</x:v>
      </x:c>
      <x:c r="B1629" s="12" t="n">
        <x:v>15129.739932</x:v>
      </x:c>
      <x:c r="C1629" s="13" t="n">
        <x:v>484</x:v>
      </x:c>
      <x:c r="D1629" s="12" t="n">
        <x:v>205448.32</x:v>
      </x:c>
      <x:c r="E1629" s="12" t="n">
        <x:v>0</x:v>
      </x:c>
      <x:c r="F1629" s="12" t="n">
        <x:f>SUM(B1629,D1629:E1629)</x:f>
        <x:v>220578.059932</x:v>
      </x:c>
      <x:c r="G1629" s="12" t="n">
        <x:f>MAX(G1628,F1629)</x:f>
        <x:v>220955.579932</x:v>
      </x:c>
      <x:c r="H1629" s="14" t="n">
        <x:f>F1629/G1629-1</x:f>
        <x:v>-0.0017085787112331996</x:v>
      </x:c>
      <x:c r="I1629" s="14" t="n">
        <x:f>F1629/F1628-1</x:f>
        <x:v>-0.0017085787112331996</x:v>
      </x:c>
      <x:c r="J1629" s="12" t="n">
        <x:v>0</x:v>
      </x:c>
      <x:c r="K1629" s="12" t="n">
        <x:v>0</x:v>
      </x:c>
      <x:c r="L1629" s="12" t="n">
        <x:v>0</x:v>
      </x:c>
      <x:c r="M1629" s="2" t="str">
        <x:v>持有</x:v>
      </x:c>
    </x:row>
    <x:row r="1630" ht="23" customHeight="1">
      <x:c r="A1630" s="11" t="d">
        <x:v>2021-06-16T00:00:00.000Z</x:v>
      </x:c>
      <x:c r="B1630" s="12" t="n">
        <x:v>15129.739932</x:v>
      </x:c>
      <x:c r="C1630" s="13" t="n">
        <x:v>484</x:v>
      </x:c>
      <x:c r="D1630" s="12" t="n">
        <x:v>204301.24000000002</x:v>
      </x:c>
      <x:c r="E1630" s="12" t="n">
        <x:v>0</x:v>
      </x:c>
      <x:c r="F1630" s="12" t="n">
        <x:f>SUM(B1630,D1630:E1630)</x:f>
        <x:v>219430.97993200002</x:v>
      </x:c>
      <x:c r="G1630" s="12" t="n">
        <x:f>MAX(G1629,F1630)</x:f>
        <x:v>220955.579932</x:v>
      </x:c>
      <x:c r="H1630" s="14" t="n">
        <x:f>F1630/G1630-1</x:f>
        <x:v>-0.006900029410749298</x:v>
      </x:c>
      <x:c r="I1630" s="14" t="n">
        <x:f>F1630/F1629-1</x:f>
        <x:v>-0.005200335882696638</x:v>
      </x:c>
      <x:c r="J1630" s="12" t="n">
        <x:v>0</x:v>
      </x:c>
      <x:c r="K1630" s="12" t="n">
        <x:v>0</x:v>
      </x:c>
      <x:c r="L1630" s="12" t="n">
        <x:v>0</x:v>
      </x:c>
      <x:c r="M1630" s="2" t="str">
        <x:v>持有</x:v>
      </x:c>
    </x:row>
    <x:row r="1631" ht="23" customHeight="1">
      <x:c r="A1631" s="11" t="d">
        <x:v>2021-06-17T00:00:00.000Z</x:v>
      </x:c>
      <x:c r="B1631" s="12" t="n">
        <x:v>15129.739932</x:v>
      </x:c>
      <x:c r="C1631" s="13" t="n">
        <x:v>484</x:v>
      </x:c>
      <x:c r="D1631" s="12" t="n">
        <x:v>204233.48</x:v>
      </x:c>
      <x:c r="E1631" s="12" t="n">
        <x:v>0</x:v>
      </x:c>
      <x:c r="F1631" s="12" t="n">
        <x:f>SUM(B1631,D1631:E1631)</x:f>
        <x:v>219363.219932</x:v>
      </x:c>
      <x:c r="G1631" s="12" t="n">
        <x:f>MAX(G1630,F1631)</x:f>
        <x:v>220955.579932</x:v>
      </x:c>
      <x:c r="H1631" s="14" t="n">
        <x:f>F1631/G1631-1</x:f>
        <x:v>-0.007206697384560479</x:v>
      </x:c>
      <x:c r="I1631" s="14" t="n">
        <x:f>F1631/F1630-1</x:f>
        <x:v>-0.0003087986938808962</x:v>
      </x:c>
      <x:c r="J1631" s="12" t="n">
        <x:v>0</x:v>
      </x:c>
      <x:c r="K1631" s="12" t="n">
        <x:v>0</x:v>
      </x:c>
      <x:c r="L1631" s="12" t="n">
        <x:v>0</x:v>
      </x:c>
      <x:c r="M1631" s="2" t="str">
        <x:v>持有</x:v>
      </x:c>
    </x:row>
    <x:row r="1632" ht="23" customHeight="1">
      <x:c r="A1632" s="11" t="d">
        <x:v>2021-06-18T00:00:00.000Z</x:v>
      </x:c>
      <x:c r="B1632" s="12" t="n">
        <x:v>15129.739932</x:v>
      </x:c>
      <x:c r="C1632" s="13" t="n">
        <x:v>484</x:v>
      </x:c>
      <x:c r="D1632" s="12" t="n">
        <x:v>200821.28</x:v>
      </x:c>
      <x:c r="E1632" s="12" t="n">
        <x:v>665.9235</x:v>
      </x:c>
      <x:c r="F1632" s="12" t="n">
        <x:f>SUM(B1632,D1632:E1632)</x:f>
        <x:v>216616.943432</x:v>
      </x:c>
      <x:c r="G1632" s="12" t="n">
        <x:f>MAX(G1631,F1632)</x:f>
        <x:v>220955.579932</x:v>
      </x:c>
      <x:c r="H1632" s="14" t="n">
        <x:f>F1632/G1632-1</x:f>
        <x:v>-0.01963578607670935</x:v>
      </x:c>
      <x:c r="I1632" s="14" t="n">
        <x:f>F1632/F1631-1</x:f>
        <x:v>-0.012519311582184667</x:v>
      </x:c>
      <x:c r="J1632" s="12" t="n">
        <x:v>665.9235</x:v>
      </x:c>
      <x:c r="K1632" s="12" t="n">
        <x:v>0</x:v>
      </x:c>
      <x:c r="L1632" s="12" t="n">
        <x:v>0</x:v>
      </x:c>
      <x:c r="M1632" s="2" t="str">
        <x:v>持有</x:v>
      </x:c>
    </x:row>
    <x:row r="1633" ht="23" customHeight="1">
      <x:c r="A1633" s="11" t="d">
        <x:v>2021-06-21T00:00:00.000Z</x:v>
      </x:c>
      <x:c r="B1633" s="12" t="n">
        <x:v>15129.739932</x:v>
      </x:c>
      <x:c r="C1633" s="13" t="n">
        <x:v>484</x:v>
      </x:c>
      <x:c r="D1633" s="12" t="n">
        <x:v>203696.24000000002</x:v>
      </x:c>
      <x:c r="E1633" s="12" t="n">
        <x:v>665.9235</x:v>
      </x:c>
      <x:c r="F1633" s="12" t="n">
        <x:f>SUM(B1633,D1633:E1633)</x:f>
        <x:v>219491.90343200002</x:v>
      </x:c>
      <x:c r="G1633" s="12" t="n">
        <x:f>MAX(G1632,F1633)</x:f>
        <x:v>220955.579932</x:v>
      </x:c>
      <x:c r="H1633" s="14" t="n">
        <x:f>F1633/G1633-1</x:f>
        <x:v>-0.0066243020450103</x:v>
      </x:c>
      <x:c r="I1633" s="14" t="n">
        <x:f>F1633/F1632-1</x:f>
        <x:v>0.013272091990821133</x:v>
      </x:c>
      <x:c r="J1633" s="12" t="n">
        <x:v>0</x:v>
      </x:c>
      <x:c r="K1633" s="12" t="n">
        <x:v>0</x:v>
      </x:c>
      <x:c r="L1633" s="12" t="n">
        <x:v>0</x:v>
      </x:c>
      <x:c r="M1633" s="2" t="str">
        <x:v>持有</x:v>
      </x:c>
    </x:row>
    <x:row r="1634" ht="23" customHeight="1">
      <x:c r="A1634" s="11" t="d">
        <x:v>2021-06-22T00:00:00.000Z</x:v>
      </x:c>
      <x:c r="B1634" s="12" t="n">
        <x:v>15129.739932</x:v>
      </x:c>
      <x:c r="C1634" s="13" t="n">
        <x:v>484</x:v>
      </x:c>
      <x:c r="D1634" s="12" t="n">
        <x:v>204785.24000000002</x:v>
      </x:c>
      <x:c r="E1634" s="12" t="n">
        <x:v>665.9235</x:v>
      </x:c>
      <x:c r="F1634" s="12" t="n">
        <x:f>SUM(B1634,D1634:E1634)</x:f>
        <x:v>220580.90343200002</x:v>
      </x:c>
      <x:c r="G1634" s="12" t="n">
        <x:f>MAX(G1633,F1634)</x:f>
        <x:v>220955.579932</x:v>
      </x:c>
      <x:c r="H1634" s="14" t="n">
        <x:f>F1634/G1634-1</x:f>
        <x:v>-0.0016957096087606427</x:v>
      </x:c>
      <x:c r="I1634" s="14" t="n">
        <x:f>F1634/F1633-1</x:f>
        <x:v>0.00496145863684383</x:v>
      </x:c>
      <x:c r="J1634" s="12" t="n">
        <x:v>0</x:v>
      </x:c>
      <x:c r="K1634" s="12" t="n">
        <x:v>0</x:v>
      </x:c>
      <x:c r="L1634" s="12" t="n">
        <x:v>0</x:v>
      </x:c>
      <x:c r="M1634" s="2" t="str">
        <x:v>持有</x:v>
      </x:c>
    </x:row>
    <x:row r="1635" ht="23" customHeight="1">
      <x:c r="A1635" s="11" t="d">
        <x:v>2021-06-23T00:00:00.000Z</x:v>
      </x:c>
      <x:c r="B1635" s="12" t="n">
        <x:v>15129.739932</x:v>
      </x:c>
      <x:c r="C1635" s="13" t="n">
        <x:v>484</x:v>
      </x:c>
      <x:c r="D1635" s="12" t="n">
        <x:v>204538.40000000002</x:v>
      </x:c>
      <x:c r="E1635" s="12" t="n">
        <x:v>665.9235</x:v>
      </x:c>
      <x:c r="F1635" s="12" t="n">
        <x:f>SUM(B1635,D1635:E1635)</x:f>
        <x:v>220334.06343200002</x:v>
      </x:c>
      <x:c r="G1635" s="12" t="n">
        <x:f>MAX(G1634,F1635)</x:f>
        <x:v>220955.579932</x:v>
      </x:c>
      <x:c r="H1635" s="14" t="n">
        <x:f>F1635/G1635-1</x:f>
        <x:v>-0.0028128572276439057</x:v>
      </x:c>
      <x:c r="I1635" s="14" t="n">
        <x:f>F1635/F1634-1</x:f>
        <x:v>-0.001119045194572288</x:v>
      </x:c>
      <x:c r="J1635" s="12" t="n">
        <x:v>0</x:v>
      </x:c>
      <x:c r="K1635" s="12" t="n">
        <x:v>0</x:v>
      </x:c>
      <x:c r="L1635" s="12" t="n">
        <x:v>0</x:v>
      </x:c>
      <x:c r="M1635" s="2" t="str">
        <x:v>持有</x:v>
      </x:c>
    </x:row>
    <x:row r="1636" ht="23" customHeight="1">
      <x:c r="A1636" s="11" t="d">
        <x:v>2021-06-24T00:00:00.000Z</x:v>
      </x:c>
      <x:c r="B1636" s="12" t="n">
        <x:v>15129.739932</x:v>
      </x:c>
      <x:c r="C1636" s="13" t="n">
        <x:v>484</x:v>
      </x:c>
      <x:c r="D1636" s="12" t="n">
        <x:v>205748.40000000002</x:v>
      </x:c>
      <x:c r="E1636" s="12" t="n">
        <x:v>665.9235</x:v>
      </x:c>
      <x:c r="F1636" s="12" t="n">
        <x:f>SUM(B1636,D1636:E1636)</x:f>
        <x:v>221544.06343200002</x:v>
      </x:c>
      <x:c r="G1636" s="12" t="n">
        <x:f>MAX(G1635,F1636)</x:f>
        <x:v>221544.06343200002</x:v>
      </x:c>
      <x:c r="H1636" s="14" t="n">
        <x:f>F1636/G1636-1</x:f>
        <x:v>0</x:v>
      </x:c>
      <x:c r="I1636" s="14" t="n">
        <x:f>F1636/F1635-1</x:f>
        <x:v>0.005491661076606258</x:v>
      </x:c>
      <x:c r="J1636" s="12" t="n">
        <x:v>0</x:v>
      </x:c>
      <x:c r="K1636" s="12" t="n">
        <x:v>0</x:v>
      </x:c>
      <x:c r="L1636" s="12" t="n">
        <x:v>0</x:v>
      </x:c>
      <x:c r="M1636" s="2" t="str">
        <x:v>持有</x:v>
      </x:c>
    </x:row>
    <x:row r="1637" ht="23" customHeight="1">
      <x:c r="A1637" s="11" t="d">
        <x:v>2021-06-25T00:00:00.000Z</x:v>
      </x:c>
      <x:c r="B1637" s="12" t="n">
        <x:v>15129.739932</x:v>
      </x:c>
      <x:c r="C1637" s="13" t="n">
        <x:v>484</x:v>
      </x:c>
      <x:c r="D1637" s="12" t="n">
        <x:v>206479.24000000002</x:v>
      </x:c>
      <x:c r="E1637" s="12" t="n">
        <x:v>665.9235</x:v>
      </x:c>
      <x:c r="F1637" s="12" t="n">
        <x:f>SUM(B1637,D1637:E1637)</x:f>
        <x:v>222274.90343200002</x:v>
      </x:c>
      <x:c r="G1637" s="12" t="n">
        <x:f>MAX(G1636,F1637)</x:f>
        <x:v>222274.90343200002</x:v>
      </x:c>
      <x:c r="H1637" s="14" t="n">
        <x:f>F1637/G1637-1</x:f>
        <x:v>0</x:v>
      </x:c>
      <x:c r="I1637" s="14" t="n">
        <x:f>F1637/F1636-1</x:f>
        <x:v>0.0032988471398345265</x:v>
      </x:c>
      <x:c r="J1637" s="12" t="n">
        <x:v>0</x:v>
      </x:c>
      <x:c r="K1637" s="12" t="n">
        <x:v>0</x:v>
      </x:c>
      <x:c r="L1637" s="12" t="n">
        <x:v>0</x:v>
      </x:c>
      <x:c r="M1637" s="2" t="str">
        <x:v>持有</x:v>
      </x:c>
    </x:row>
    <x:row r="1638" ht="23" customHeight="1">
      <x:c r="A1638" s="11" t="d">
        <x:v>2021-06-28T00:00:00.000Z</x:v>
      </x:c>
      <x:c r="B1638" s="12" t="n">
        <x:v>15129.739932</x:v>
      </x:c>
      <x:c r="C1638" s="13" t="n">
        <x:v>484</x:v>
      </x:c>
      <x:c r="D1638" s="12" t="n">
        <x:v>206895.48</x:v>
      </x:c>
      <x:c r="E1638" s="12" t="n">
        <x:v>665.9235</x:v>
      </x:c>
      <x:c r="F1638" s="12" t="n">
        <x:f>SUM(B1638,D1638:E1638)</x:f>
        <x:v>222691.143432</x:v>
      </x:c>
      <x:c r="G1638" s="12" t="n">
        <x:f>MAX(G1637,F1638)</x:f>
        <x:v>222691.143432</x:v>
      </x:c>
      <x:c r="H1638" s="14" t="n">
        <x:f>F1638/G1638-1</x:f>
        <x:v>0</x:v>
      </x:c>
      <x:c r="I1638" s="14" t="n">
        <x:f>F1638/F1637-1</x:f>
        <x:v>0.0018726360627003835</x:v>
      </x:c>
      <x:c r="J1638" s="12" t="n">
        <x:v>0</x:v>
      </x:c>
      <x:c r="K1638" s="12" t="n">
        <x:v>0</x:v>
      </x:c>
      <x:c r="L1638" s="12" t="n">
        <x:v>0</x:v>
      </x:c>
      <x:c r="M1638" s="2" t="str">
        <x:v>持有</x:v>
      </x:c>
    </x:row>
    <x:row r="1639" ht="23" customHeight="1">
      <x:c r="A1639" s="11" t="d">
        <x:v>2021-06-29T00:00:00.000Z</x:v>
      </x:c>
      <x:c r="B1639" s="12" t="n">
        <x:v>15129.739932</x:v>
      </x:c>
      <x:c r="C1639" s="13" t="n">
        <x:v>484</x:v>
      </x:c>
      <x:c r="D1639" s="12" t="n">
        <x:v>207006.8</x:v>
      </x:c>
      <x:c r="E1639" s="12" t="n">
        <x:v>665.9235</x:v>
      </x:c>
      <x:c r="F1639" s="12" t="n">
        <x:f>SUM(B1639,D1639:E1639)</x:f>
        <x:v>222802.463432</x:v>
      </x:c>
      <x:c r="G1639" s="12" t="n">
        <x:f>MAX(G1638,F1639)</x:f>
        <x:v>222802.463432</x:v>
      </x:c>
      <x:c r="H1639" s="14" t="n">
        <x:f>F1639/G1639-1</x:f>
        <x:v>0</x:v>
      </x:c>
      <x:c r="I1639" s="14" t="n">
        <x:f>F1639/F1638-1</x:f>
        <x:v>0.0004998851695867668</x:v>
      </x:c>
      <x:c r="J1639" s="12" t="n">
        <x:v>0</x:v>
      </x:c>
      <x:c r="K1639" s="12" t="n">
        <x:v>0</x:v>
      </x:c>
      <x:c r="L1639" s="12" t="n">
        <x:v>0</x:v>
      </x:c>
      <x:c r="M1639" s="2" t="str">
        <x:v>持有</x:v>
      </x:c>
    </x:row>
    <x:row r="1640" ht="23" customHeight="1">
      <x:c r="A1640" s="11" t="d">
        <x:v>2021-06-30T00:00:00.000Z</x:v>
      </x:c>
      <x:c r="B1640" s="12" t="n">
        <x:v>15129.739932</x:v>
      </x:c>
      <x:c r="C1640" s="13" t="n">
        <x:v>484</x:v>
      </x:c>
      <x:c r="D1640" s="12" t="n">
        <x:v>207181.04</x:v>
      </x:c>
      <x:c r="E1640" s="12" t="n">
        <x:v>665.9235</x:v>
      </x:c>
      <x:c r="F1640" s="12" t="n">
        <x:f>SUM(B1640,D1640:E1640)</x:f>
        <x:v>222976.703432</x:v>
      </x:c>
      <x:c r="G1640" s="12" t="n">
        <x:f>MAX(G1639,F1640)</x:f>
        <x:v>222976.703432</x:v>
      </x:c>
      <x:c r="H1640" s="14" t="n">
        <x:f>F1640/G1640-1</x:f>
        <x:v>0</x:v>
      </x:c>
      <x:c r="I1640" s="14" t="n">
        <x:f>F1640/F1639-1</x:f>
        <x:v>0.0007820380318783737</x:v>
      </x:c>
      <x:c r="J1640" s="12" t="n">
        <x:v>0</x:v>
      </x:c>
      <x:c r="K1640" s="12" t="n">
        <x:v>0</x:v>
      </x:c>
      <x:c r="L1640" s="12" t="n">
        <x:v>0</x:v>
      </x:c>
      <x:c r="M1640" s="2" t="str">
        <x:v>持有</x:v>
      </x:c>
    </x:row>
    <x:row r="1641" ht="23" customHeight="1">
      <x:c r="A1641" s="11" t="d">
        <x:v>2021-07-01T00:00:00.000Z</x:v>
      </x:c>
      <x:c r="B1641" s="12" t="n">
        <x:v>15129.739932</x:v>
      </x:c>
      <x:c r="C1641" s="13" t="n">
        <x:v>484</x:v>
      </x:c>
      <x:c r="D1641" s="12" t="n">
        <x:v>208328.12</x:v>
      </x:c>
      <x:c r="E1641" s="12" t="n">
        <x:v>665.9235</x:v>
      </x:c>
      <x:c r="F1641" s="12" t="n">
        <x:f>SUM(B1641,D1641:E1641)</x:f>
        <x:v>224123.783432</x:v>
      </x:c>
      <x:c r="G1641" s="12" t="n">
        <x:f>MAX(G1640,F1641)</x:f>
        <x:v>224123.783432</x:v>
      </x:c>
      <x:c r="H1641" s="14" t="n">
        <x:f>F1641/G1641-1</x:f>
        <x:v>0</x:v>
      </x:c>
      <x:c r="I1641" s="14" t="n">
        <x:f>F1641/F1640-1</x:f>
        <x:v>0.005144393931493463</x:v>
      </x:c>
      <x:c r="J1641" s="12" t="n">
        <x:v>0</x:v>
      </x:c>
      <x:c r="K1641" s="12" t="n">
        <x:v>0</x:v>
      </x:c>
      <x:c r="L1641" s="12" t="n">
        <x:v>0</x:v>
      </x:c>
      <x:c r="M1641" s="2" t="str">
        <x:v>持有</x:v>
      </x:c>
    </x:row>
    <x:row r="1642" ht="23" customHeight="1">
      <x:c r="A1642" s="11" t="d">
        <x:v>2021-07-02T00:00:00.000Z</x:v>
      </x:c>
      <x:c r="B1642" s="12" t="n">
        <x:v>15129.739932</x:v>
      </x:c>
      <x:c r="C1642" s="13" t="n">
        <x:v>484</x:v>
      </x:c>
      <x:c r="D1642" s="12" t="n">
        <x:v>209920.48</x:v>
      </x:c>
      <x:c r="E1642" s="12" t="n">
        <x:v>665.9235</x:v>
      </x:c>
      <x:c r="F1642" s="12" t="n">
        <x:f>SUM(B1642,D1642:E1642)</x:f>
        <x:v>225716.143432</x:v>
      </x:c>
      <x:c r="G1642" s="12" t="n">
        <x:f>MAX(G1641,F1642)</x:f>
        <x:v>225716.143432</x:v>
      </x:c>
      <x:c r="H1642" s="14" t="n">
        <x:f>F1642/G1642-1</x:f>
        <x:v>0</x:v>
      </x:c>
      <x:c r="I1642" s="14" t="n">
        <x:f>F1642/F1641-1</x:f>
        <x:v>0.007104823841612262</x:v>
      </x:c>
      <x:c r="J1642" s="12" t="n">
        <x:v>0</x:v>
      </x:c>
      <x:c r="K1642" s="12" t="n">
        <x:v>0</x:v>
      </x:c>
      <x:c r="L1642" s="12" t="n">
        <x:v>0</x:v>
      </x:c>
      <x:c r="M1642" s="2" t="str">
        <x:v>持有</x:v>
      </x:c>
    </x:row>
    <x:row r="1643" ht="23" customHeight="1">
      <x:c r="A1643" s="11" t="d">
        <x:v>2021-07-06T00:00:00.000Z</x:v>
      </x:c>
      <x:c r="B1643" s="12" t="n">
        <x:v>15129.739932</x:v>
      </x:c>
      <x:c r="C1643" s="13" t="n">
        <x:v>484</x:v>
      </x:c>
      <x:c r="D1643" s="12" t="n">
        <x:v>209538.12</x:v>
      </x:c>
      <x:c r="E1643" s="12" t="n">
        <x:v>665.9235</x:v>
      </x:c>
      <x:c r="F1643" s="12" t="n">
        <x:f>SUM(B1643,D1643:E1643)</x:f>
        <x:v>225333.783432</x:v>
      </x:c>
      <x:c r="G1643" s="12" t="n">
        <x:f>MAX(G1642,F1643)</x:f>
        <x:v>225716.143432</x:v>
      </x:c>
      <x:c r="H1643" s="14" t="n">
        <x:f>F1643/G1643-1</x:f>
        <x:v>-0.0016939860578257804</x:v>
      </x:c>
      <x:c r="I1643" s="14" t="n">
        <x:f>F1643/F1642-1</x:f>
        <x:v>-0.0016939860578257804</x:v>
      </x:c>
      <x:c r="J1643" s="12" t="n">
        <x:v>0</x:v>
      </x:c>
      <x:c r="K1643" s="12" t="n">
        <x:v>0</x:v>
      </x:c>
      <x:c r="L1643" s="12" t="n">
        <x:v>0</x:v>
      </x:c>
      <x:c r="M1643" s="2" t="str">
        <x:v>持有</x:v>
      </x:c>
    </x:row>
    <x:row r="1644" ht="23" customHeight="1">
      <x:c r="A1644" s="11" t="d">
        <x:v>2021-07-07T00:00:00.000Z</x:v>
      </x:c>
      <x:c r="B1644" s="12" t="n">
        <x:v>15129.739932</x:v>
      </x:c>
      <x:c r="C1644" s="13" t="n">
        <x:v>484</x:v>
      </x:c>
      <x:c r="D1644" s="12" t="n">
        <x:v>210278.63999999998</x:v>
      </x:c>
      <x:c r="E1644" s="12" t="n">
        <x:v>665.9235</x:v>
      </x:c>
      <x:c r="F1644" s="12" t="n">
        <x:f>SUM(B1644,D1644:E1644)</x:f>
        <x:v>226074.303432</x:v>
      </x:c>
      <x:c r="G1644" s="12" t="n">
        <x:f>MAX(G1643,F1644)</x:f>
        <x:v>226074.303432</x:v>
      </x:c>
      <x:c r="H1644" s="14" t="n">
        <x:f>F1644/G1644-1</x:f>
        <x:v>0</x:v>
      </x:c>
      <x:c r="I1644" s="14" t="n">
        <x:f>F1644/F1643-1</x:f>
        <x:v>0.003286324796581086</x:v>
      </x:c>
      <x:c r="J1644" s="12" t="n">
        <x:v>0</x:v>
      </x:c>
      <x:c r="K1644" s="12" t="n">
        <x:v>0</x:v>
      </x:c>
      <x:c r="L1644" s="12" t="n">
        <x:v>0</x:v>
      </x:c>
      <x:c r="M1644" s="2" t="str">
        <x:v>持有</x:v>
      </x:c>
    </x:row>
    <x:row r="1645" ht="23" customHeight="1">
      <x:c r="A1645" s="11" t="d">
        <x:v>2021-07-08T00:00:00.000Z</x:v>
      </x:c>
      <x:c r="B1645" s="12" t="n">
        <x:v>15129.739932</x:v>
      </x:c>
      <x:c r="C1645" s="13" t="n">
        <x:v>484</x:v>
      </x:c>
      <x:c r="D1645" s="12" t="n">
        <x:v>208565.28</x:v>
      </x:c>
      <x:c r="E1645" s="12" t="n">
        <x:v>665.9235</x:v>
      </x:c>
      <x:c r="F1645" s="12" t="n">
        <x:f>SUM(B1645,D1645:E1645)</x:f>
        <x:v>224360.943432</x:v>
      </x:c>
      <x:c r="G1645" s="12" t="n">
        <x:f>MAX(G1644,F1645)</x:f>
        <x:v>226074.303432</x:v>
      </x:c>
      <x:c r="H1645" s="14" t="n">
        <x:f>F1645/G1645-1</x:f>
        <x:v>-0.007578747225977178</x:v>
      </x:c>
      <x:c r="I1645" s="14" t="n">
        <x:f>F1645/F1644-1</x:f>
        <x:v>-0.007578747225977178</x:v>
      </x:c>
      <x:c r="J1645" s="12" t="n">
        <x:v>0</x:v>
      </x:c>
      <x:c r="K1645" s="12" t="n">
        <x:v>0</x:v>
      </x:c>
      <x:c r="L1645" s="12" t="n">
        <x:v>0</x:v>
      </x:c>
      <x:c r="M1645" s="2" t="str">
        <x:v>持有</x:v>
      </x:c>
    </x:row>
    <x:row r="1646" ht="23" customHeight="1">
      <x:c r="A1646" s="11" t="d">
        <x:v>2021-07-09T00:00:00.000Z</x:v>
      </x:c>
      <x:c r="B1646" s="12" t="n">
        <x:v>15129.739932</x:v>
      </x:c>
      <x:c r="C1646" s="13" t="n">
        <x:v>484</x:v>
      </x:c>
      <x:c r="D1646" s="12" t="n">
        <x:v>210791.68</x:v>
      </x:c>
      <x:c r="E1646" s="12" t="n">
        <x:v>665.9235</x:v>
      </x:c>
      <x:c r="F1646" s="12" t="n">
        <x:f>SUM(B1646,D1646:E1646)</x:f>
        <x:v>226587.343432</x:v>
      </x:c>
      <x:c r="G1646" s="12" t="n">
        <x:f>MAX(G1645,F1646)</x:f>
        <x:v>226587.343432</x:v>
      </x:c>
      <x:c r="H1646" s="14" t="n">
        <x:f>F1646/G1646-1</x:f>
        <x:v>0</x:v>
      </x:c>
      <x:c r="I1646" s="14" t="n">
        <x:f>F1646/F1645-1</x:f>
        <x:v>0.009923295765935203</x:v>
      </x:c>
      <x:c r="J1646" s="12" t="n">
        <x:v>0</x:v>
      </x:c>
      <x:c r="K1646" s="12" t="n">
        <x:v>0</x:v>
      </x:c>
      <x:c r="L1646" s="12" t="n">
        <x:v>0</x:v>
      </x:c>
      <x:c r="M1646" s="2" t="str">
        <x:v>持有</x:v>
      </x:c>
    </x:row>
    <x:row r="1647" ht="23" customHeight="1">
      <x:c r="A1647" s="11" t="d">
        <x:v>2021-07-12T00:00:00.000Z</x:v>
      </x:c>
      <x:c r="B1647" s="12" t="n">
        <x:v>15129.739932</x:v>
      </x:c>
      <x:c r="C1647" s="13" t="n">
        <x:v>484</x:v>
      </x:c>
      <x:c r="D1647" s="12" t="n">
        <x:v>211546.72</x:v>
      </x:c>
      <x:c r="E1647" s="12" t="n">
        <x:v>665.9235</x:v>
      </x:c>
      <x:c r="F1647" s="12" t="n">
        <x:f>SUM(B1647,D1647:E1647)</x:f>
        <x:v>227342.383432</x:v>
      </x:c>
      <x:c r="G1647" s="12" t="n">
        <x:f>MAX(G1646,F1647)</x:f>
        <x:v>227342.383432</x:v>
      </x:c>
      <x:c r="H1647" s="14" t="n">
        <x:f>F1647/G1647-1</x:f>
        <x:v>0</x:v>
      </x:c>
      <x:c r="I1647" s="14" t="n">
        <x:f>F1647/F1646-1</x:f>
        <x:v>0.0033322249538028093</x:v>
      </x:c>
      <x:c r="J1647" s="12" t="n">
        <x:v>0</x:v>
      </x:c>
      <x:c r="K1647" s="12" t="n">
        <x:v>0</x:v>
      </x:c>
      <x:c r="L1647" s="12" t="n">
        <x:v>0</x:v>
      </x:c>
      <x:c r="M1647" s="2" t="str">
        <x:v>持有</x:v>
      </x:c>
    </x:row>
    <x:row r="1648" ht="23" customHeight="1">
      <x:c r="A1648" s="11" t="d">
        <x:v>2021-07-13T00:00:00.000Z</x:v>
      </x:c>
      <x:c r="B1648" s="12" t="n">
        <x:v>15129.739932</x:v>
      </x:c>
      <x:c r="C1648" s="13" t="n">
        <x:v>484</x:v>
      </x:c>
      <x:c r="D1648" s="12" t="n">
        <x:v>210825.56</x:v>
      </x:c>
      <x:c r="E1648" s="12" t="n">
        <x:v>665.9235</x:v>
      </x:c>
      <x:c r="F1648" s="12" t="n">
        <x:f>SUM(B1648,D1648:E1648)</x:f>
        <x:v>226621.223432</x:v>
      </x:c>
      <x:c r="G1648" s="12" t="n">
        <x:f>MAX(G1647,F1648)</x:f>
        <x:v>227342.383432</x:v>
      </x:c>
      <x:c r="H1648" s="14" t="n">
        <x:f>F1648/G1648-1</x:f>
        <x:v>-0.0031721317825266215</x:v>
      </x:c>
      <x:c r="I1648" s="14" t="n">
        <x:f>F1648/F1647-1</x:f>
        <x:v>-0.0031721317825266215</x:v>
      </x:c>
      <x:c r="J1648" s="12" t="n">
        <x:v>0</x:v>
      </x:c>
      <x:c r="K1648" s="12" t="n">
        <x:v>0</x:v>
      </x:c>
      <x:c r="L1648" s="12" t="n">
        <x:v>0</x:v>
      </x:c>
      <x:c r="M1648" s="2" t="str">
        <x:v>持有</x:v>
      </x:c>
    </x:row>
    <x:row r="1649" ht="23" customHeight="1">
      <x:c r="A1649" s="11" t="d">
        <x:v>2021-07-14T00:00:00.000Z</x:v>
      </x:c>
      <x:c r="B1649" s="12" t="n">
        <x:v>15129.739932</x:v>
      </x:c>
      <x:c r="C1649" s="13" t="n">
        <x:v>484</x:v>
      </x:c>
      <x:c r="D1649" s="12" t="n">
        <x:v>211140.16</x:v>
      </x:c>
      <x:c r="E1649" s="12" t="n">
        <x:v>665.9235</x:v>
      </x:c>
      <x:c r="F1649" s="12" t="n">
        <x:f>SUM(B1649,D1649:E1649)</x:f>
        <x:v>226935.823432</x:v>
      </x:c>
      <x:c r="G1649" s="12" t="n">
        <x:f>MAX(G1648,F1649)</x:f>
        <x:v>227342.383432</x:v>
      </x:c>
      <x:c r="H1649" s="14" t="n">
        <x:f>F1649/G1649-1</x:f>
        <x:v>-0.0017883159042432206</x:v>
      </x:c>
      <x:c r="I1649" s="14" t="n">
        <x:f>F1649/F1648-1</x:f>
        <x:v>0.001388219493459797</x:v>
      </x:c>
      <x:c r="J1649" s="12" t="n">
        <x:v>0</x:v>
      </x:c>
      <x:c r="K1649" s="12" t="n">
        <x:v>0</x:v>
      </x:c>
      <x:c r="L1649" s="12" t="n">
        <x:v>0</x:v>
      </x:c>
      <x:c r="M1649" s="2" t="str">
        <x:v>持有</x:v>
      </x:c>
    </x:row>
    <x:row r="1650" ht="23" customHeight="1">
      <x:c r="A1650" s="11" t="d">
        <x:v>2021-07-15T00:00:00.000Z</x:v>
      </x:c>
      <x:c r="B1650" s="12" t="n">
        <x:v>15129.739932</x:v>
      </x:c>
      <x:c r="C1650" s="13" t="n">
        <x:v>484</x:v>
      </x:c>
      <x:c r="D1650" s="12" t="n">
        <x:v>210419</x:v>
      </x:c>
      <x:c r="E1650" s="12" t="n">
        <x:v>665.9235</x:v>
      </x:c>
      <x:c r="F1650" s="12" t="n">
        <x:f>SUM(B1650,D1650:E1650)</x:f>
        <x:v>226214.663432</x:v>
      </x:c>
      <x:c r="G1650" s="12" t="n">
        <x:f>MAX(G1649,F1650)</x:f>
        <x:v>227342.383432</x:v>
      </x:c>
      <x:c r="H1650" s="14" t="n">
        <x:f>F1650/G1650-1</x:f>
        <x:v>-0.004960447686769842</x:v>
      </x:c>
      <x:c r="I1650" s="14" t="n">
        <x:f>F1650/F1649-1</x:f>
        <x:v>-0.0031778147191295902</x:v>
      </x:c>
      <x:c r="J1650" s="12" t="n">
        <x:v>0</x:v>
      </x:c>
      <x:c r="K1650" s="12" t="n">
        <x:v>0</x:v>
      </x:c>
      <x:c r="L1650" s="12" t="n">
        <x:v>0</x:v>
      </x:c>
      <x:c r="M1650" s="2" t="str">
        <x:v>持有</x:v>
      </x:c>
    </x:row>
    <x:row r="1651" ht="23" customHeight="1">
      <x:c r="A1651" s="11" t="d">
        <x:v>2021-07-16T00:00:00.000Z</x:v>
      </x:c>
      <x:c r="B1651" s="12" t="n">
        <x:v>15129.739932</x:v>
      </x:c>
      <x:c r="C1651" s="13" t="n">
        <x:v>484</x:v>
      </x:c>
      <x:c r="D1651" s="12" t="n">
        <x:v>208768.56</x:v>
      </x:c>
      <x:c r="E1651" s="12" t="n">
        <x:v>665.9235</x:v>
      </x:c>
      <x:c r="F1651" s="12" t="n">
        <x:f>SUM(B1651,D1651:E1651)</x:f>
        <x:v>224564.223432</x:v>
      </x:c>
      <x:c r="G1651" s="12" t="n">
        <x:f>MAX(G1650,F1651)</x:f>
        <x:v>227342.383432</x:v>
      </x:c>
      <x:c r="H1651" s="14" t="n">
        <x:f>F1651/G1651-1</x:f>
        <x:v>-0.012220158678995174</x:v>
      </x:c>
      <x:c r="I1651" s="14" t="n">
        <x:f>F1651/F1650-1</x:f>
        <x:v>-0.00729590193208729</x:v>
      </x:c>
      <x:c r="J1651" s="12" t="n">
        <x:v>0</x:v>
      </x:c>
      <x:c r="K1651" s="12" t="n">
        <x:v>0</x:v>
      </x:c>
      <x:c r="L1651" s="12" t="n">
        <x:v>0</x:v>
      </x:c>
      <x:c r="M1651" s="2" t="str">
        <x:v>持有</x:v>
      </x:c>
    </x:row>
    <x:row r="1652" ht="23" customHeight="1">
      <x:c r="A1652" s="11" t="d">
        <x:v>2021-07-19T00:00:00.000Z</x:v>
      </x:c>
      <x:c r="B1652" s="12" t="n">
        <x:v>15129.739932</x:v>
      </x:c>
      <x:c r="C1652" s="13" t="n">
        <x:v>484</x:v>
      </x:c>
      <x:c r="D1652" s="12" t="n">
        <x:v>205685.48</x:v>
      </x:c>
      <x:c r="E1652" s="12" t="n">
        <x:v>665.9235</x:v>
      </x:c>
      <x:c r="F1652" s="12" t="n">
        <x:f>SUM(B1652,D1652:E1652)</x:f>
        <x:v>221481.143432</x:v>
      </x:c>
      <x:c r="G1652" s="12" t="n">
        <x:f>MAX(G1651,F1652)</x:f>
        <x:v>227342.383432</x:v>
      </x:c>
      <x:c r="H1652" s="14" t="n">
        <x:f>F1652/G1652-1</x:f>
        <x:v>-0.02578155428617268</x:v>
      </x:c>
      <x:c r="I1652" s="14" t="n">
        <x:f>F1652/F1651-1</x:f>
        <x:v>-0.013729168221373267</x:v>
      </x:c>
      <x:c r="J1652" s="12" t="n">
        <x:v>0</x:v>
      </x:c>
      <x:c r="K1652" s="12" t="n">
        <x:v>0</x:v>
      </x:c>
      <x:c r="L1652" s="12" t="n">
        <x:v>0</x:v>
      </x:c>
      <x:c r="M1652" s="2" t="str">
        <x:v>持有</x:v>
      </x:c>
    </x:row>
    <x:row r="1653" ht="23" customHeight="1">
      <x:c r="A1653" s="11" t="d">
        <x:v>2021-07-20T00:00:00.000Z</x:v>
      </x:c>
      <x:c r="B1653" s="12" t="n">
        <x:v>15129.739932</x:v>
      </x:c>
      <x:c r="C1653" s="13" t="n">
        <x:v>484</x:v>
      </x:c>
      <x:c r="D1653" s="12" t="n">
        <x:v>208633.04</x:v>
      </x:c>
      <x:c r="E1653" s="12" t="n">
        <x:v>665.9235</x:v>
      </x:c>
      <x:c r="F1653" s="12" t="n">
        <x:f>SUM(B1653,D1653:E1653)</x:f>
        <x:v>224428.703432</x:v>
      </x:c>
      <x:c r="G1653" s="12" t="n">
        <x:f>MAX(G1652,F1653)</x:f>
        <x:v>227342.383432</x:v>
      </x:c>
      <x:c r="H1653" s="14" t="n">
        <x:f>F1653/G1653-1</x:f>
        <x:v>-0.012816263980409581</x:v>
      </x:c>
      <x:c r="I1653" s="14" t="n">
        <x:f>F1653/F1652-1</x:f>
        <x:v>0.013308401583654206</x:v>
      </x:c>
      <x:c r="J1653" s="12" t="n">
        <x:v>0</x:v>
      </x:c>
      <x:c r="K1653" s="12" t="n">
        <x:v>0</x:v>
      </x:c>
      <x:c r="L1653" s="12" t="n">
        <x:v>0</x:v>
      </x:c>
      <x:c r="M1653" s="2" t="str">
        <x:v>持有</x:v>
      </x:c>
    </x:row>
    <x:row r="1654" ht="23" customHeight="1">
      <x:c r="A1654" s="11" t="d">
        <x:v>2021-07-21T00:00:00.000Z</x:v>
      </x:c>
      <x:c r="B1654" s="12" t="n">
        <x:v>15129.739932</x:v>
      </x:c>
      <x:c r="C1654" s="13" t="n">
        <x:v>484</x:v>
      </x:c>
      <x:c r="D1654" s="12" t="n">
        <x:v>210322.2</x:v>
      </x:c>
      <x:c r="E1654" s="12" t="n">
        <x:v>665.9235</x:v>
      </x:c>
      <x:c r="F1654" s="12" t="n">
        <x:f>SUM(B1654,D1654:E1654)</x:f>
        <x:v>226117.863432</x:v>
      </x:c>
      <x:c r="G1654" s="12" t="n">
        <x:f>MAX(G1653,F1654)</x:f>
        <x:v>227342.383432</x:v>
      </x:c>
      <x:c r="H1654" s="14" t="n">
        <x:f>F1654/G1654-1</x:f>
        <x:v>-0.005386237187780085</x:v>
      </x:c>
      <x:c r="I1654" s="14" t="n">
        <x:f>F1654/F1653-1</x:f>
        <x:v>0.007526488252924457</x:v>
      </x:c>
      <x:c r="J1654" s="12" t="n">
        <x:v>0</x:v>
      </x:c>
      <x:c r="K1654" s="12" t="n">
        <x:v>0</x:v>
      </x:c>
      <x:c r="L1654" s="12" t="n">
        <x:v>0</x:v>
      </x:c>
      <x:c r="M1654" s="2" t="str">
        <x:v>持有</x:v>
      </x:c>
    </x:row>
    <x:row r="1655" ht="23" customHeight="1">
      <x:c r="A1655" s="11" t="d">
        <x:v>2021-07-22T00:00:00.000Z</x:v>
      </x:c>
      <x:c r="B1655" s="12" t="n">
        <x:v>15129.739932</x:v>
      </x:c>
      <x:c r="C1655" s="13" t="n">
        <x:v>484</x:v>
      </x:c>
      <x:c r="D1655" s="12" t="n">
        <x:v>210762.63999999998</x:v>
      </x:c>
      <x:c r="E1655" s="12" t="n">
        <x:v>665.9235</x:v>
      </x:c>
      <x:c r="F1655" s="12" t="n">
        <x:f>SUM(B1655,D1655:E1655)</x:f>
        <x:v>226558.303432</x:v>
      </x:c>
      <x:c r="G1655" s="12" t="n">
        <x:f>MAX(G1654,F1655)</x:f>
        <x:v>227342.383432</x:v>
      </x:c>
      <x:c r="H1655" s="14" t="n">
        <x:f>F1655/G1655-1</x:f>
        <x:v>-0.003448894958183346</x:v>
      </x:c>
      <x:c r="I1655" s="14" t="n">
        <x:f>F1655/F1654-1</x:f>
        <x:v>0.0019478337240366184</x:v>
      </x:c>
      <x:c r="J1655" s="12" t="n">
        <x:v>0</x:v>
      </x:c>
      <x:c r="K1655" s="12" t="n">
        <x:v>0</x:v>
      </x:c>
      <x:c r="L1655" s="12" t="n">
        <x:v>0</x:v>
      </x:c>
      <x:c r="M1655" s="2" t="str">
        <x:v>持有</x:v>
      </x:c>
    </x:row>
    <x:row r="1656" ht="23" customHeight="1">
      <x:c r="A1656" s="11" t="d">
        <x:v>2021-07-23T00:00:00.000Z</x:v>
      </x:c>
      <x:c r="B1656" s="12" t="n">
        <x:v>15129.739932</x:v>
      </x:c>
      <x:c r="C1656" s="13" t="n">
        <x:v>484</x:v>
      </x:c>
      <x:c r="D1656" s="12" t="n">
        <x:v>212930.96</x:v>
      </x:c>
      <x:c r="E1656" s="12" t="n">
        <x:v>665.9235</x:v>
      </x:c>
      <x:c r="F1656" s="12" t="n">
        <x:f>SUM(B1656,D1656:E1656)</x:f>
        <x:v>228726.623432</x:v>
      </x:c>
      <x:c r="G1656" s="12" t="n">
        <x:f>MAX(G1655,F1656)</x:f>
        <x:v>228726.623432</x:v>
      </x:c>
      <x:c r="H1656" s="14" t="n">
        <x:f>F1656/G1656-1</x:f>
        <x:v>0</x:v>
      </x:c>
      <x:c r="I1656" s="14" t="n">
        <x:f>F1656/F1655-1</x:f>
        <x:v>0.009570693137940234</x:v>
      </x:c>
      <x:c r="J1656" s="12" t="n">
        <x:v>0</x:v>
      </x:c>
      <x:c r="K1656" s="12" t="n">
        <x:v>0</x:v>
      </x:c>
      <x:c r="L1656" s="12" t="n">
        <x:v>0</x:v>
      </x:c>
      <x:c r="M1656" s="2" t="str">
        <x:v>持有</x:v>
      </x:c>
    </x:row>
    <x:row r="1657" ht="23" customHeight="1">
      <x:c r="A1657" s="11" t="d">
        <x:v>2021-07-26T00:00:00.000Z</x:v>
      </x:c>
      <x:c r="B1657" s="12" t="n">
        <x:v>15129.739932</x:v>
      </x:c>
      <x:c r="C1657" s="13" t="n">
        <x:v>484</x:v>
      </x:c>
      <x:c r="D1657" s="12" t="n">
        <x:v>213453.68</x:v>
      </x:c>
      <x:c r="E1657" s="12" t="n">
        <x:v>665.9235</x:v>
      </x:c>
      <x:c r="F1657" s="12" t="n">
        <x:f>SUM(B1657,D1657:E1657)</x:f>
        <x:v>229249.343432</x:v>
      </x:c>
      <x:c r="G1657" s="12" t="n">
        <x:f>MAX(G1656,F1657)</x:f>
        <x:v>229249.343432</x:v>
      </x:c>
      <x:c r="H1657" s="14" t="n">
        <x:f>F1657/G1657-1</x:f>
        <x:v>0</x:v>
      </x:c>
      <x:c r="I1657" s="14" t="n">
        <x:f>F1657/F1656-1</x:f>
        <x:v>0.002285348299890355</x:v>
      </x:c>
      <x:c r="J1657" s="12" t="n">
        <x:v>0</x:v>
      </x:c>
      <x:c r="K1657" s="12" t="n">
        <x:v>0</x:v>
      </x:c>
      <x:c r="L1657" s="12" t="n">
        <x:v>0</x:v>
      </x:c>
      <x:c r="M1657" s="2" t="str">
        <x:v>持有</x:v>
      </x:c>
    </x:row>
    <x:row r="1658" ht="23" customHeight="1">
      <x:c r="A1658" s="11" t="d">
        <x:v>2021-07-27T00:00:00.000Z</x:v>
      </x:c>
      <x:c r="B1658" s="12" t="n">
        <x:v>15129.739932</x:v>
      </x:c>
      <x:c r="C1658" s="13" t="n">
        <x:v>484</x:v>
      </x:c>
      <x:c r="D1658" s="12" t="n">
        <x:v>212480.84</x:v>
      </x:c>
      <x:c r="E1658" s="12" t="n">
        <x:v>665.9235</x:v>
      </x:c>
      <x:c r="F1658" s="12" t="n">
        <x:f>SUM(B1658,D1658:E1658)</x:f>
        <x:v>228276.503432</x:v>
      </x:c>
      <x:c r="G1658" s="12" t="n">
        <x:f>MAX(G1657,F1658)</x:f>
        <x:v>229249.343432</x:v>
      </x:c>
      <x:c r="H1658" s="14" t="n">
        <x:f>F1658/G1658-1</x:f>
        <x:v>-0.0042435890346991245</x:v>
      </x:c>
      <x:c r="I1658" s="14" t="n">
        <x:f>F1658/F1657-1</x:f>
        <x:v>-0.0042435890346991245</x:v>
      </x:c>
      <x:c r="J1658" s="12" t="n">
        <x:v>0</x:v>
      </x:c>
      <x:c r="K1658" s="12" t="n">
        <x:v>0</x:v>
      </x:c>
      <x:c r="L1658" s="12" t="n">
        <x:v>0</x:v>
      </x:c>
      <x:c r="M1658" s="2" t="str">
        <x:v>持有</x:v>
      </x:c>
    </x:row>
    <x:row r="1659" ht="23" customHeight="1">
      <x:c r="A1659" s="11" t="d">
        <x:v>2021-07-28T00:00:00.000Z</x:v>
      </x:c>
      <x:c r="B1659" s="12" t="n">
        <x:v>15129.739932</x:v>
      </x:c>
      <x:c r="C1659" s="13" t="n">
        <x:v>484</x:v>
      </x:c>
      <x:c r="D1659" s="12" t="n">
        <x:v>212393.72</x:v>
      </x:c>
      <x:c r="E1659" s="12" t="n">
        <x:v>665.9235</x:v>
      </x:c>
      <x:c r="F1659" s="12" t="n">
        <x:f>SUM(B1659,D1659:E1659)</x:f>
        <x:v>228189.383432</x:v>
      </x:c>
      <x:c r="G1659" s="12" t="n">
        <x:f>MAX(G1658,F1659)</x:f>
        <x:v>229249.343432</x:v>
      </x:c>
      <x:c r="H1659" s="14" t="n">
        <x:f>F1659/G1659-1</x:f>
        <x:v>-0.004623611933328831</x:v>
      </x:c>
      <x:c r="I1659" s="14" t="n">
        <x:f>F1659/F1658-1</x:f>
        <x:v>-0.000381642432270457</x:v>
      </x:c>
      <x:c r="J1659" s="12" t="n">
        <x:v>0</x:v>
      </x:c>
      <x:c r="K1659" s="12" t="n">
        <x:v>0</x:v>
      </x:c>
      <x:c r="L1659" s="12" t="n">
        <x:v>0</x:v>
      </x:c>
      <x:c r="M1659" s="2" t="str">
        <x:v>持有</x:v>
      </x:c>
    </x:row>
    <x:row r="1660" ht="23" customHeight="1">
      <x:c r="A1660" s="11" t="d">
        <x:v>2021-07-29T00:00:00.000Z</x:v>
      </x:c>
      <x:c r="B1660" s="12" t="n">
        <x:v>15129.739932</x:v>
      </x:c>
      <x:c r="C1660" s="13" t="n">
        <x:v>484</x:v>
      </x:c>
      <x:c r="D1660" s="12" t="n">
        <x:v>213274.59999999998</x:v>
      </x:c>
      <x:c r="E1660" s="12" t="n">
        <x:v>665.9235</x:v>
      </x:c>
      <x:c r="F1660" s="12" t="n">
        <x:f>SUM(B1660,D1660:E1660)</x:f>
        <x:v>229070.26343199998</x:v>
      </x:c>
      <x:c r="G1660" s="12" t="n">
        <x:f>MAX(G1659,F1660)</x:f>
        <x:v>229249.343432</x:v>
      </x:c>
      <x:c r="H1660" s="14" t="n">
        <x:f>F1660/G1660-1</x:f>
        <x:v>-0.0007811581805168277</x:v>
      </x:c>
      <x:c r="I1660" s="14" t="n">
        <x:f>F1660/F1659-1</x:f>
        <x:v>0.003860302292558071</x:v>
      </x:c>
      <x:c r="J1660" s="12" t="n">
        <x:v>0</x:v>
      </x:c>
      <x:c r="K1660" s="12" t="n">
        <x:v>0</x:v>
      </x:c>
      <x:c r="L1660" s="12" t="n">
        <x:v>0</x:v>
      </x:c>
      <x:c r="M1660" s="2" t="str">
        <x:v>持有</x:v>
      </x:c>
    </x:row>
    <x:row r="1661" ht="23" customHeight="1">
      <x:c r="A1661" s="11" t="d">
        <x:v>2021-07-30T00:00:00.000Z</x:v>
      </x:c>
      <x:c r="B1661" s="12" t="n">
        <x:v>15795.663432</x:v>
      </x:c>
      <x:c r="C1661" s="13" t="n">
        <x:v>484</x:v>
      </x:c>
      <x:c r="D1661" s="12" t="n">
        <x:v>212238.84</x:v>
      </x:c>
      <x:c r="E1661" s="12" t="n">
        <x:v>0</x:v>
      </x:c>
      <x:c r="F1661" s="12" t="n">
        <x:f>SUM(B1661,D1661:E1661)</x:f>
        <x:v>228034.503432</x:v>
      </x:c>
      <x:c r="G1661" s="12" t="n">
        <x:f>MAX(G1660,F1661)</x:f>
        <x:v>229249.343432</x:v>
      </x:c>
      <x:c r="H1661" s="14" t="n">
        <x:f>F1661/G1661-1</x:f>
        <x:v>-0.0052992081975595795</x:v>
      </x:c>
      <x:c r="I1661" s="14" t="n">
        <x:f>F1661/F1660-1</x:f>
        <x:v>-0.004521582087879561</x:v>
      </x:c>
      <x:c r="J1661" s="12" t="n">
        <x:v>0</x:v>
      </x:c>
      <x:c r="K1661" s="12" t="n">
        <x:v>665.9235</x:v>
      </x:c>
      <x:c r="L1661" s="12" t="n">
        <x:v>0</x:v>
      </x:c>
      <x:c r="M1661" s="2" t="str">
        <x:v>持有</x:v>
      </x:c>
    </x:row>
    <x:row r="1662" ht="23" customHeight="1">
      <x:c r="A1662" s="11" t="d">
        <x:v>2021-08-02T00:00:00.000Z</x:v>
      </x:c>
      <x:c r="B1662" s="12" t="n">
        <x:v>15795.663432</x:v>
      </x:c>
      <x:c r="C1662" s="13" t="n">
        <x:v>484</x:v>
      </x:c>
      <x:c r="D1662" s="12" t="n">
        <x:v>211793.56</x:v>
      </x:c>
      <x:c r="E1662" s="12" t="n">
        <x:v>0</x:v>
      </x:c>
      <x:c r="F1662" s="12" t="n">
        <x:f>SUM(B1662,D1662:E1662)</x:f>
        <x:v>227589.223432</x:v>
      </x:c>
      <x:c r="G1662" s="12" t="n">
        <x:f>MAX(G1661,F1662)</x:f>
        <x:v>229249.343432</x:v>
      </x:c>
      <x:c r="H1662" s="14" t="n">
        <x:f>F1662/G1662-1</x:f>
        <x:v>-0.00724154745722283</x:v>
      </x:c>
      <x:c r="I1662" s="14" t="n">
        <x:f>F1662/F1661-1</x:f>
        <x:v>-0.0019526869543792236</x:v>
      </x:c>
      <x:c r="J1662" s="12" t="n">
        <x:v>0</x:v>
      </x:c>
      <x:c r="K1662" s="12" t="n">
        <x:v>0</x:v>
      </x:c>
      <x:c r="L1662" s="12" t="n">
        <x:v>0</x:v>
      </x:c>
      <x:c r="M1662" s="2" t="str">
        <x:v>持有</x:v>
      </x:c>
    </x:row>
    <x:row r="1663" ht="23" customHeight="1">
      <x:c r="A1663" s="11" t="d">
        <x:v>2021-08-03T00:00:00.000Z</x:v>
      </x:c>
      <x:c r="B1663" s="12" t="n">
        <x:v>15795.663432</x:v>
      </x:c>
      <x:c r="C1663" s="13" t="n">
        <x:v>484</x:v>
      </x:c>
      <x:c r="D1663" s="12" t="n">
        <x:v>213516.59999999998</x:v>
      </x:c>
      <x:c r="E1663" s="12" t="n">
        <x:v>0</x:v>
      </x:c>
      <x:c r="F1663" s="12" t="n">
        <x:f>SUM(B1663,D1663:E1663)</x:f>
        <x:v>229312.26343199998</x:v>
      </x:c>
      <x:c r="G1663" s="12" t="n">
        <x:f>MAX(G1662,F1663)</x:f>
        <x:v>229312.26343199998</x:v>
      </x:c>
      <x:c r="H1663" s="14" t="n">
        <x:f>F1663/G1663-1</x:f>
        <x:v>0</x:v>
      </x:c>
      <x:c r="I1663" s="14" t="n">
        <x:f>F1663/F1662-1</x:f>
        <x:v>0.007570832985924758</x:v>
      </x:c>
      <x:c r="J1663" s="12" t="n">
        <x:v>0</x:v>
      </x:c>
      <x:c r="K1663" s="12" t="n">
        <x:v>0</x:v>
      </x:c>
      <x:c r="L1663" s="12" t="n">
        <x:v>0</x:v>
      </x:c>
      <x:c r="M1663" s="2" t="str">
        <x:v>持有</x:v>
      </x:c>
    </x:row>
    <x:row r="1664" ht="23" customHeight="1">
      <x:c r="A1664" s="11" t="d">
        <x:v>2021-08-04T00:00:00.000Z</x:v>
      </x:c>
      <x:c r="B1664" s="12" t="n">
        <x:v>15795.663432</x:v>
      </x:c>
      <x:c r="C1664" s="13" t="n">
        <x:v>484</x:v>
      </x:c>
      <x:c r="D1664" s="12" t="n">
        <x:v>212466.32</x:v>
      </x:c>
      <x:c r="E1664" s="12" t="n">
        <x:v>0</x:v>
      </x:c>
      <x:c r="F1664" s="12" t="n">
        <x:f>SUM(B1664,D1664:E1664)</x:f>
        <x:v>228261.983432</x:v>
      </x:c>
      <x:c r="G1664" s="12" t="n">
        <x:f>MAX(G1663,F1664)</x:f>
        <x:v>229312.26343199998</x:v>
      </x:c>
      <x:c r="H1664" s="14" t="n">
        <x:f>F1664/G1664-1</x:f>
        <x:v>-0.004580130099807844</x:v>
      </x:c>
      <x:c r="I1664" s="14" t="n">
        <x:f>F1664/F1663-1</x:f>
        <x:v>-0.004580130099807844</x:v>
      </x:c>
      <x:c r="J1664" s="12" t="n">
        <x:v>0</x:v>
      </x:c>
      <x:c r="K1664" s="12" t="n">
        <x:v>0</x:v>
      </x:c>
      <x:c r="L1664" s="12" t="n">
        <x:v>0</x:v>
      </x:c>
      <x:c r="M1664" s="2" t="str">
        <x:v>持有</x:v>
      </x:c>
    </x:row>
    <x:row r="1665" ht="23" customHeight="1">
      <x:c r="A1665" s="11" t="d">
        <x:v>2021-08-05T00:00:00.000Z</x:v>
      </x:c>
      <x:c r="B1665" s="12" t="n">
        <x:v>15795.663432</x:v>
      </x:c>
      <x:c r="C1665" s="13" t="n">
        <x:v>484</x:v>
      </x:c>
      <x:c r="D1665" s="12" t="n">
        <x:v>213811.84</x:v>
      </x:c>
      <x:c r="E1665" s="12" t="n">
        <x:v>0</x:v>
      </x:c>
      <x:c r="F1665" s="12" t="n">
        <x:f>SUM(B1665,D1665:E1665)</x:f>
        <x:v>229607.503432</x:v>
      </x:c>
      <x:c r="G1665" s="12" t="n">
        <x:f>MAX(G1664,F1665)</x:f>
        <x:v>229607.503432</x:v>
      </x:c>
      <x:c r="H1665" s="14" t="n">
        <x:f>F1665/G1665-1</x:f>
        <x:v>0</x:v>
      </x:c>
      <x:c r="I1665" s="14" t="n">
        <x:f>F1665/F1664-1</x:f>
        <x:v>0.005894630283017843</x:v>
      </x:c>
      <x:c r="J1665" s="12" t="n">
        <x:v>0</x:v>
      </x:c>
      <x:c r="K1665" s="12" t="n">
        <x:v>0</x:v>
      </x:c>
      <x:c r="L1665" s="12" t="n">
        <x:v>0</x:v>
      </x:c>
      <x:c r="M1665" s="2" t="str">
        <x:v>持有</x:v>
      </x:c>
    </x:row>
    <x:row r="1666" ht="23" customHeight="1">
      <x:c r="A1666" s="11" t="d">
        <x:v>2021-08-06T00:00:00.000Z</x:v>
      </x:c>
      <x:c r="B1666" s="12" t="n">
        <x:v>15795.663432</x:v>
      </x:c>
      <x:c r="C1666" s="13" t="n">
        <x:v>484</x:v>
      </x:c>
      <x:c r="D1666" s="12" t="n">
        <x:v>214165.16</x:v>
      </x:c>
      <x:c r="E1666" s="12" t="n">
        <x:v>0</x:v>
      </x:c>
      <x:c r="F1666" s="12" t="n">
        <x:f>SUM(B1666,D1666:E1666)</x:f>
        <x:v>229960.823432</x:v>
      </x:c>
      <x:c r="G1666" s="12" t="n">
        <x:f>MAX(G1665,F1666)</x:f>
        <x:v>229960.823432</x:v>
      </x:c>
      <x:c r="H1666" s="14" t="n">
        <x:f>F1666/G1666-1</x:f>
        <x:v>0</x:v>
      </x:c>
      <x:c r="I1666" s="14" t="n">
        <x:f>F1666/F1665-1</x:f>
        <x:v>0.001538799885538733</x:v>
      </x:c>
      <x:c r="J1666" s="12" t="n">
        <x:v>0</x:v>
      </x:c>
      <x:c r="K1666" s="12" t="n">
        <x:v>0</x:v>
      </x:c>
      <x:c r="L1666" s="12" t="n">
        <x:v>0</x:v>
      </x:c>
      <x:c r="M1666" s="2" t="str">
        <x:v>持有</x:v>
      </x:c>
    </x:row>
    <x:row r="1667" ht="23" customHeight="1">
      <x:c r="A1667" s="11" t="d">
        <x:v>2021-08-09T00:00:00.000Z</x:v>
      </x:c>
      <x:c r="B1667" s="12" t="n">
        <x:v>15795.663432</x:v>
      </x:c>
      <x:c r="C1667" s="13" t="n">
        <x:v>484</x:v>
      </x:c>
      <x:c r="D1667" s="12" t="n">
        <x:v>213990.91999999998</x:v>
      </x:c>
      <x:c r="E1667" s="12" t="n">
        <x:v>0</x:v>
      </x:c>
      <x:c r="F1667" s="12" t="n">
        <x:f>SUM(B1667,D1667:E1667)</x:f>
        <x:v>229786.58343199998</x:v>
      </x:c>
      <x:c r="G1667" s="12" t="n">
        <x:f>MAX(G1666,F1667)</x:f>
        <x:v>229960.823432</x:v>
      </x:c>
      <x:c r="H1667" s="14" t="n">
        <x:f>F1667/G1667-1</x:f>
        <x:v>-0.0007576942776582607</x:v>
      </x:c>
      <x:c r="I1667" s="14" t="n">
        <x:f>F1667/F1666-1</x:f>
        <x:v>-0.0007576942776582607</x:v>
      </x:c>
      <x:c r="J1667" s="12" t="n">
        <x:v>0</x:v>
      </x:c>
      <x:c r="K1667" s="12" t="n">
        <x:v>0</x:v>
      </x:c>
      <x:c r="L1667" s="12" t="n">
        <x:v>0</x:v>
      </x:c>
      <x:c r="M1667" s="2" t="str">
        <x:v>持有</x:v>
      </x:c>
    </x:row>
    <x:row r="1668" ht="23" customHeight="1">
      <x:c r="A1668" s="11" t="d">
        <x:v>2021-08-10T00:00:00.000Z</x:v>
      </x:c>
      <x:c r="B1668" s="12" t="n">
        <x:v>15795.663432</x:v>
      </x:c>
      <x:c r="C1668" s="13" t="n">
        <x:v>484</x:v>
      </x:c>
      <x:c r="D1668" s="12" t="n">
        <x:v>214257.12</x:v>
      </x:c>
      <x:c r="E1668" s="12" t="n">
        <x:v>0</x:v>
      </x:c>
      <x:c r="F1668" s="12" t="n">
        <x:f>SUM(B1668,D1668:E1668)</x:f>
        <x:v>230052.783432</x:v>
      </x:c>
      <x:c r="G1668" s="12" t="n">
        <x:f>MAX(G1667,F1668)</x:f>
        <x:v>230052.783432</x:v>
      </x:c>
      <x:c r="H1668" s="14" t="n">
        <x:f>F1668/G1668-1</x:f>
        <x:v>0</x:v>
      </x:c>
      <x:c r="I1668" s="14" t="n">
        <x:f>F1668/F1667-1</x:f>
        <x:v>0.001158466242998868</x:v>
      </x:c>
      <x:c r="J1668" s="12" t="n">
        <x:v>0</x:v>
      </x:c>
      <x:c r="K1668" s="12" t="n">
        <x:v>0</x:v>
      </x:c>
      <x:c r="L1668" s="12" t="n">
        <x:v>0</x:v>
      </x:c>
      <x:c r="M1668" s="2" t="str">
        <x:v>持有</x:v>
      </x:c>
    </x:row>
    <x:row r="1669" ht="23" customHeight="1">
      <x:c r="A1669" s="11" t="d">
        <x:v>2021-08-11T00:00:00.000Z</x:v>
      </x:c>
      <x:c r="B1669" s="12" t="n">
        <x:v>15795.663432</x:v>
      </x:c>
      <x:c r="C1669" s="13" t="n">
        <x:v>484</x:v>
      </x:c>
      <x:c r="D1669" s="12" t="n">
        <x:v>214789.52</x:v>
      </x:c>
      <x:c r="E1669" s="12" t="n">
        <x:v>0</x:v>
      </x:c>
      <x:c r="F1669" s="12" t="n">
        <x:f>SUM(B1669,D1669:E1669)</x:f>
        <x:v>230585.183432</x:v>
      </x:c>
      <x:c r="G1669" s="12" t="n">
        <x:f>MAX(G1668,F1669)</x:f>
        <x:v>230585.183432</x:v>
      </x:c>
      <x:c r="H1669" s="14" t="n">
        <x:f>F1669/G1669-1</x:f>
        <x:v>0</x:v>
      </x:c>
      <x:c r="I1669" s="14" t="n">
        <x:f>F1669/F1668-1</x:f>
        <x:v>0.00231425150375264</x:v>
      </x:c>
      <x:c r="J1669" s="12" t="n">
        <x:v>0</x:v>
      </x:c>
      <x:c r="K1669" s="12" t="n">
        <x:v>0</x:v>
      </x:c>
      <x:c r="L1669" s="12" t="n">
        <x:v>0</x:v>
      </x:c>
      <x:c r="M1669" s="2" t="str">
        <x:v>持有</x:v>
      </x:c>
    </x:row>
    <x:row r="1670" ht="23" customHeight="1">
      <x:c r="A1670" s="11" t="d">
        <x:v>2021-08-12T00:00:00.000Z</x:v>
      </x:c>
      <x:c r="B1670" s="12" t="n">
        <x:v>15795.663432</x:v>
      </x:c>
      <x:c r="C1670" s="13" t="n">
        <x:v>484</x:v>
      </x:c>
      <x:c r="D1670" s="12" t="n">
        <x:v>215433.24000000002</x:v>
      </x:c>
      <x:c r="E1670" s="12" t="n">
        <x:v>0</x:v>
      </x:c>
      <x:c r="F1670" s="12" t="n">
        <x:f>SUM(B1670,D1670:E1670)</x:f>
        <x:v>231228.90343200002</x:v>
      </x:c>
      <x:c r="G1670" s="12" t="n">
        <x:f>MAX(G1669,F1670)</x:f>
        <x:v>231228.90343200002</x:v>
      </x:c>
      <x:c r="H1670" s="14" t="n">
        <x:f>F1670/G1670-1</x:f>
        <x:v>0</x:v>
      </x:c>
      <x:c r="I1670" s="14" t="n">
        <x:f>F1670/F1669-1</x:f>
        <x:v>0.0027916798053500003</x:v>
      </x:c>
      <x:c r="J1670" s="12" t="n">
        <x:v>0</x:v>
      </x:c>
      <x:c r="K1670" s="12" t="n">
        <x:v>0</x:v>
      </x:c>
      <x:c r="L1670" s="12" t="n">
        <x:v>0</x:v>
      </x:c>
      <x:c r="M1670" s="2" t="str">
        <x:v>持有</x:v>
      </x:c>
    </x:row>
    <x:row r="1671" ht="23" customHeight="1">
      <x:c r="A1671" s="11" t="d">
        <x:v>2021-08-13T00:00:00.000Z</x:v>
      </x:c>
      <x:c r="B1671" s="12" t="n">
        <x:v>15795.663432</x:v>
      </x:c>
      <x:c r="C1671" s="13" t="n">
        <x:v>484</x:v>
      </x:c>
      <x:c r="D1671" s="12" t="n">
        <x:v>215825.28</x:v>
      </x:c>
      <x:c r="E1671" s="12" t="n">
        <x:v>0</x:v>
      </x:c>
      <x:c r="F1671" s="12" t="n">
        <x:f>SUM(B1671,D1671:E1671)</x:f>
        <x:v>231620.943432</x:v>
      </x:c>
      <x:c r="G1671" s="12" t="n">
        <x:f>MAX(G1670,F1671)</x:f>
        <x:v>231620.943432</x:v>
      </x:c>
      <x:c r="H1671" s="14" t="n">
        <x:f>F1671/G1671-1</x:f>
        <x:v>0</x:v>
      </x:c>
      <x:c r="I1671" s="14" t="n">
        <x:f>F1671/F1670-1</x:f>
        <x:v>0.0016954627824685709</x:v>
      </x:c>
      <x:c r="J1671" s="12" t="n">
        <x:v>0</x:v>
      </x:c>
      <x:c r="K1671" s="12" t="n">
        <x:v>0</x:v>
      </x:c>
      <x:c r="L1671" s="12" t="n">
        <x:v>0</x:v>
      </x:c>
      <x:c r="M1671" s="2" t="str">
        <x:v>持有</x:v>
      </x:c>
    </x:row>
    <x:row r="1672" ht="23" customHeight="1">
      <x:c r="A1672" s="11" t="d">
        <x:v>2021-08-16T00:00:00.000Z</x:v>
      </x:c>
      <x:c r="B1672" s="12" t="n">
        <x:v>15795.663432</x:v>
      </x:c>
      <x:c r="C1672" s="13" t="n">
        <x:v>484</x:v>
      </x:c>
      <x:c r="D1672" s="12" t="n">
        <x:v>216333.48</x:v>
      </x:c>
      <x:c r="E1672" s="12" t="n">
        <x:v>0</x:v>
      </x:c>
      <x:c r="F1672" s="12" t="n">
        <x:f>SUM(B1672,D1672:E1672)</x:f>
        <x:v>232129.143432</x:v>
      </x:c>
      <x:c r="G1672" s="12" t="n">
        <x:f>MAX(G1671,F1672)</x:f>
        <x:v>232129.143432</x:v>
      </x:c>
      <x:c r="H1672" s="14" t="n">
        <x:f>F1672/G1672-1</x:f>
        <x:v>0</x:v>
      </x:c>
      <x:c r="I1672" s="14" t="n">
        <x:f>F1672/F1671-1</x:f>
        <x:v>0.0021941021069591393</x:v>
      </x:c>
      <x:c r="J1672" s="12" t="n">
        <x:v>0</x:v>
      </x:c>
      <x:c r="K1672" s="12" t="n">
        <x:v>0</x:v>
      </x:c>
      <x:c r="L1672" s="12" t="n">
        <x:v>0</x:v>
      </x:c>
      <x:c r="M1672" s="2" t="str">
        <x:v>持有</x:v>
      </x:c>
    </x:row>
    <x:row r="1673" ht="23" customHeight="1">
      <x:c r="A1673" s="11" t="d">
        <x:v>2021-08-17T00:00:00.000Z</x:v>
      </x:c>
      <x:c r="B1673" s="12" t="n">
        <x:v>15795.663432</x:v>
      </x:c>
      <x:c r="C1673" s="13" t="n">
        <x:v>484</x:v>
      </x:c>
      <x:c r="D1673" s="12" t="n">
        <x:v>214915.36000000002</x:v>
      </x:c>
      <x:c r="E1673" s="12" t="n">
        <x:v>0</x:v>
      </x:c>
      <x:c r="F1673" s="12" t="n">
        <x:f>SUM(B1673,D1673:E1673)</x:f>
        <x:v>230711.02343200002</x:v>
      </x:c>
      <x:c r="G1673" s="12" t="n">
        <x:f>MAX(G1672,F1673)</x:f>
        <x:v>232129.143432</x:v>
      </x:c>
      <x:c r="H1673" s="14" t="n">
        <x:f>F1673/G1673-1</x:f>
        <x:v>-0.006109185512138904</x:v>
      </x:c>
      <x:c r="I1673" s="14" t="n">
        <x:f>F1673/F1672-1</x:f>
        <x:v>-0.006109185512138904</x:v>
      </x:c>
      <x:c r="J1673" s="12" t="n">
        <x:v>0</x:v>
      </x:c>
      <x:c r="K1673" s="12" t="n">
        <x:v>0</x:v>
      </x:c>
      <x:c r="L1673" s="12" t="n">
        <x:v>0</x:v>
      </x:c>
      <x:c r="M1673" s="2" t="str">
        <x:v>持有</x:v>
      </x:c>
    </x:row>
    <x:row r="1674" ht="23" customHeight="1">
      <x:c r="A1674" s="11" t="d">
        <x:v>2021-08-18T00:00:00.000Z</x:v>
      </x:c>
      <x:c r="B1674" s="12" t="n">
        <x:v>15795.663432</x:v>
      </x:c>
      <x:c r="C1674" s="13" t="n">
        <x:v>484</x:v>
      </x:c>
      <x:c r="D1674" s="12" t="n">
        <x:v>212563.12</x:v>
      </x:c>
      <x:c r="E1674" s="12" t="n">
        <x:v>0</x:v>
      </x:c>
      <x:c r="F1674" s="12" t="n">
        <x:f>SUM(B1674,D1674:E1674)</x:f>
        <x:v>228358.783432</x:v>
      </x:c>
      <x:c r="G1674" s="12" t="n">
        <x:f>MAX(G1673,F1674)</x:f>
        <x:v>232129.143432</x:v>
      </x:c>
      <x:c r="H1674" s="14" t="n">
        <x:f>F1674/G1674-1</x:f>
        <x:v>-0.016242510286540113</x:v>
      </x:c>
      <x:c r="I1674" s="14" t="n">
        <x:f>F1674/F1673-1</x:f>
        <x:v>-0.010195611657426107</x:v>
      </x:c>
      <x:c r="J1674" s="12" t="n">
        <x:v>0</x:v>
      </x:c>
      <x:c r="K1674" s="12" t="n">
        <x:v>0</x:v>
      </x:c>
      <x:c r="L1674" s="12" t="n">
        <x:v>0</x:v>
      </x:c>
      <x:c r="M1674" s="2" t="str">
        <x:v>持有</x:v>
      </x:c>
    </x:row>
    <x:row r="1675" ht="23" customHeight="1">
      <x:c r="A1675" s="11" t="d">
        <x:v>2021-08-19T00:00:00.000Z</x:v>
      </x:c>
      <x:c r="B1675" s="12" t="n">
        <x:v>15795.663432</x:v>
      </x:c>
      <x:c r="C1675" s="13" t="n">
        <x:v>484</x:v>
      </x:c>
      <x:c r="D1675" s="12" t="n">
        <x:v>212892.24000000002</x:v>
      </x:c>
      <x:c r="E1675" s="12" t="n">
        <x:v>0</x:v>
      </x:c>
      <x:c r="F1675" s="12" t="n">
        <x:f>SUM(B1675,D1675:E1675)</x:f>
        <x:v>228687.90343200002</x:v>
      </x:c>
      <x:c r="G1675" s="12" t="n">
        <x:f>MAX(G1674,F1675)</x:f>
        <x:v>232129.143432</x:v>
      </x:c>
      <x:c r="H1675" s="14" t="n">
        <x:f>F1675/G1675-1</x:f>
        <x:v>-0.014824678836623861</x:v>
      </x:c>
      <x:c r="I1675" s="14" t="n">
        <x:f>F1675/F1674-1</x:f>
        <x:v>0.001441240818740086</x:v>
      </x:c>
      <x:c r="J1675" s="12" t="n">
        <x:v>0</x:v>
      </x:c>
      <x:c r="K1675" s="12" t="n">
        <x:v>0</x:v>
      </x:c>
      <x:c r="L1675" s="12" t="n">
        <x:v>0</x:v>
      </x:c>
      <x:c r="M1675" s="2" t="str">
        <x:v>持有</x:v>
      </x:c>
    </x:row>
    <x:row r="1676" ht="23" customHeight="1">
      <x:c r="A1676" s="11" t="d">
        <x:v>2021-08-20T00:00:00.000Z</x:v>
      </x:c>
      <x:c r="B1676" s="12" t="n">
        <x:v>15795.663432</x:v>
      </x:c>
      <x:c r="C1676" s="13" t="n">
        <x:v>484</x:v>
      </x:c>
      <x:c r="D1676" s="12" t="n">
        <x:v>214586.24000000002</x:v>
      </x:c>
      <x:c r="E1676" s="12" t="n">
        <x:v>0</x:v>
      </x:c>
      <x:c r="F1676" s="12" t="n">
        <x:f>SUM(B1676,D1676:E1676)</x:f>
        <x:v>230381.90343200002</x:v>
      </x:c>
      <x:c r="G1676" s="12" t="n">
        <x:f>MAX(G1675,F1676)</x:f>
        <x:v>232129.143432</x:v>
      </x:c>
      <x:c r="H1676" s="14" t="n">
        <x:f>F1676/G1676-1</x:f>
        <x:v>-0.007527016962055155</x:v>
      </x:c>
      <x:c r="I1676" s="14" t="n">
        <x:f>F1676/F1675-1</x:f>
        <x:v>0.00740747531713537</x:v>
      </x:c>
      <x:c r="J1676" s="12" t="n">
        <x:v>0</x:v>
      </x:c>
      <x:c r="K1676" s="12" t="n">
        <x:v>0</x:v>
      </x:c>
      <x:c r="L1676" s="12" t="n">
        <x:v>0</x:v>
      </x:c>
      <x:c r="M1676" s="2" t="str">
        <x:v>持有</x:v>
      </x:c>
    </x:row>
    <x:row r="1677" ht="23" customHeight="1">
      <x:c r="A1677" s="11" t="d">
        <x:v>2021-08-23T00:00:00.000Z</x:v>
      </x:c>
      <x:c r="B1677" s="12" t="n">
        <x:v>15795.663432</x:v>
      </x:c>
      <x:c r="C1677" s="13" t="n">
        <x:v>484</x:v>
      </x:c>
      <x:c r="D1677" s="12" t="n">
        <x:v>216473.84</x:v>
      </x:c>
      <x:c r="E1677" s="12" t="n">
        <x:v>0</x:v>
      </x:c>
      <x:c r="F1677" s="12" t="n">
        <x:f>SUM(B1677,D1677:E1677)</x:f>
        <x:v>232269.503432</x:v>
      </x:c>
      <x:c r="G1677" s="12" t="n">
        <x:f>MAX(G1676,F1677)</x:f>
        <x:v>232269.503432</x:v>
      </x:c>
      <x:c r="H1677" s="14" t="n">
        <x:f>F1677/G1677-1</x:f>
        <x:v>0</x:v>
      </x:c>
      <x:c r="I1677" s="14" t="n">
        <x:f>F1677/F1676-1</x:f>
        <x:v>0.008193351873043708</x:v>
      </x:c>
      <x:c r="J1677" s="12" t="n">
        <x:v>0</x:v>
      </x:c>
      <x:c r="K1677" s="12" t="n">
        <x:v>0</x:v>
      </x:c>
      <x:c r="L1677" s="12" t="n">
        <x:v>0</x:v>
      </x:c>
      <x:c r="M1677" s="2" t="str">
        <x:v>持有</x:v>
      </x:c>
    </x:row>
    <x:row r="1678" ht="23" customHeight="1">
      <x:c r="A1678" s="11" t="d">
        <x:v>2021-08-24T00:00:00.000Z</x:v>
      </x:c>
      <x:c r="B1678" s="12" t="n">
        <x:v>15795.663432</x:v>
      </x:c>
      <x:c r="C1678" s="13" t="n">
        <x:v>484</x:v>
      </x:c>
      <x:c r="D1678" s="12" t="n">
        <x:v>216817.48</x:v>
      </x:c>
      <x:c r="E1678" s="12" t="n">
        <x:v>0</x:v>
      </x:c>
      <x:c r="F1678" s="12" t="n">
        <x:f>SUM(B1678,D1678:E1678)</x:f>
        <x:v>232613.143432</x:v>
      </x:c>
      <x:c r="G1678" s="12" t="n">
        <x:f>MAX(G1677,F1678)</x:f>
        <x:v>232613.143432</x:v>
      </x:c>
      <x:c r="H1678" s="14" t="n">
        <x:f>F1678/G1678-1</x:f>
        <x:v>0</x:v>
      </x:c>
      <x:c r="I1678" s="14" t="n">
        <x:f>F1678/F1677-1</x:f>
        <x:v>0.0014794882450015479</x:v>
      </x:c>
      <x:c r="J1678" s="12" t="n">
        <x:v>0</x:v>
      </x:c>
      <x:c r="K1678" s="12" t="n">
        <x:v>0</x:v>
      </x:c>
      <x:c r="L1678" s="12" t="n">
        <x:v>0</x:v>
      </x:c>
      <x:c r="M1678" s="2" t="str">
        <x:v>持有</x:v>
      </x:c>
    </x:row>
    <x:row r="1679" ht="23" customHeight="1">
      <x:c r="A1679" s="11" t="d">
        <x:v>2021-08-25T00:00:00.000Z</x:v>
      </x:c>
      <x:c r="B1679" s="12" t="n">
        <x:v>15795.663432</x:v>
      </x:c>
      <x:c r="C1679" s="13" t="n">
        <x:v>484</x:v>
      </x:c>
      <x:c r="D1679" s="12" t="n">
        <x:v>217272.44</x:v>
      </x:c>
      <x:c r="E1679" s="12" t="n">
        <x:v>0</x:v>
      </x:c>
      <x:c r="F1679" s="12" t="n">
        <x:f>SUM(B1679,D1679:E1679)</x:f>
        <x:v>233068.103432</x:v>
      </x:c>
      <x:c r="G1679" s="12" t="n">
        <x:f>MAX(G1678,F1679)</x:f>
        <x:v>233068.103432</x:v>
      </x:c>
      <x:c r="H1679" s="14" t="n">
        <x:f>F1679/G1679-1</x:f>
        <x:v>0</x:v>
      </x:c>
      <x:c r="I1679" s="14" t="n">
        <x:f>F1679/F1678-1</x:f>
        <x:v>0.00195586540505599</x:v>
      </x:c>
      <x:c r="J1679" s="12" t="n">
        <x:v>0</x:v>
      </x:c>
      <x:c r="K1679" s="12" t="n">
        <x:v>0</x:v>
      </x:c>
      <x:c r="L1679" s="12" t="n">
        <x:v>0</x:v>
      </x:c>
      <x:c r="M1679" s="2" t="str">
        <x:v>持有</x:v>
      </x:c>
    </x:row>
    <x:row r="1680" ht="23" customHeight="1">
      <x:c r="A1680" s="11" t="d">
        <x:v>2021-08-26T00:00:00.000Z</x:v>
      </x:c>
      <x:c r="B1680" s="12" t="n">
        <x:v>15795.663432</x:v>
      </x:c>
      <x:c r="C1680" s="13" t="n">
        <x:v>484</x:v>
      </x:c>
      <x:c r="D1680" s="12" t="n">
        <x:v>215989.84</x:v>
      </x:c>
      <x:c r="E1680" s="12" t="n">
        <x:v>0</x:v>
      </x:c>
      <x:c r="F1680" s="12" t="n">
        <x:f>SUM(B1680,D1680:E1680)</x:f>
        <x:v>231785.503432</x:v>
      </x:c>
      <x:c r="G1680" s="12" t="n">
        <x:f>MAX(G1679,F1680)</x:f>
        <x:v>233068.103432</x:v>
      </x:c>
      <x:c r="H1680" s="14" t="n">
        <x:f>F1680/G1680-1</x:f>
        <x:v>-0.0055031125285412985</x:v>
      </x:c>
      <x:c r="I1680" s="14" t="n">
        <x:f>F1680/F1679-1</x:f>
        <x:v>-0.0055031125285412985</x:v>
      </x:c>
      <x:c r="J1680" s="12" t="n">
        <x:v>0</x:v>
      </x:c>
      <x:c r="K1680" s="12" t="n">
        <x:v>0</x:v>
      </x:c>
      <x:c r="L1680" s="12" t="n">
        <x:v>0</x:v>
      </x:c>
      <x:c r="M1680" s="2" t="str">
        <x:v>持有</x:v>
      </x:c>
    </x:row>
    <x:row r="1681" ht="23" customHeight="1">
      <x:c r="A1681" s="11" t="d">
        <x:v>2021-08-27T00:00:00.000Z</x:v>
      </x:c>
      <x:c r="B1681" s="12" t="n">
        <x:v>15795.663432</x:v>
      </x:c>
      <x:c r="C1681" s="13" t="n">
        <x:v>484</x:v>
      </x:c>
      <x:c r="D1681" s="12" t="n">
        <x:v>217921</x:v>
      </x:c>
      <x:c r="E1681" s="12" t="n">
        <x:v>0</x:v>
      </x:c>
      <x:c r="F1681" s="12" t="n">
        <x:f>SUM(B1681,D1681:E1681)</x:f>
        <x:v>233716.663432</x:v>
      </x:c>
      <x:c r="G1681" s="12" t="n">
        <x:f>MAX(G1680,F1681)</x:f>
        <x:v>233716.663432</x:v>
      </x:c>
      <x:c r="H1681" s="14" t="n">
        <x:f>F1681/G1681-1</x:f>
        <x:v>0</x:v>
      </x:c>
      <x:c r="I1681" s="14" t="n">
        <x:f>F1681/F1680-1</x:f>
        <x:v>0.008331668596205155</x:v>
      </x:c>
      <x:c r="J1681" s="12" t="n">
        <x:v>0</x:v>
      </x:c>
      <x:c r="K1681" s="12" t="n">
        <x:v>0</x:v>
      </x:c>
      <x:c r="L1681" s="12" t="n">
        <x:v>0</x:v>
      </x:c>
      <x:c r="M1681" s="2" t="str">
        <x:v>持有</x:v>
      </x:c>
    </x:row>
    <x:row r="1682" ht="23" customHeight="1">
      <x:c r="A1682" s="11" t="d">
        <x:v>2021-08-30T00:00:00.000Z</x:v>
      </x:c>
      <x:c r="B1682" s="12" t="n">
        <x:v>15795.663432</x:v>
      </x:c>
      <x:c r="C1682" s="13" t="n">
        <x:v>484</x:v>
      </x:c>
      <x:c r="D1682" s="12" t="n">
        <x:v>218879.32</x:v>
      </x:c>
      <x:c r="E1682" s="12" t="n">
        <x:v>0</x:v>
      </x:c>
      <x:c r="F1682" s="12" t="n">
        <x:f>SUM(B1682,D1682:E1682)</x:f>
        <x:v>234674.983432</x:v>
      </x:c>
      <x:c r="G1682" s="12" t="n">
        <x:f>MAX(G1681,F1682)</x:f>
        <x:v>234674.983432</x:v>
      </x:c>
      <x:c r="H1682" s="14" t="n">
        <x:f>F1682/G1682-1</x:f>
        <x:v>0</x:v>
      </x:c>
      <x:c r="I1682" s="14" t="n">
        <x:f>F1682/F1681-1</x:f>
        <x:v>0.004100349482692556</x:v>
      </x:c>
      <x:c r="J1682" s="12" t="n">
        <x:v>0</x:v>
      </x:c>
      <x:c r="K1682" s="12" t="n">
        <x:v>0</x:v>
      </x:c>
      <x:c r="L1682" s="12" t="n">
        <x:v>0</x:v>
      </x:c>
      <x:c r="M1682" s="2" t="str">
        <x:v>持有</x:v>
      </x:c>
    </x:row>
    <x:row r="1683" ht="23" customHeight="1">
      <x:c r="A1683" s="11" t="d">
        <x:v>2021-08-31T00:00:00.000Z</x:v>
      </x:c>
      <x:c r="B1683" s="12" t="n">
        <x:v>15795.663432</x:v>
      </x:c>
      <x:c r="C1683" s="13" t="n">
        <x:v>484</x:v>
      </x:c>
      <x:c r="D1683" s="12" t="n">
        <x:v>218555.04</x:v>
      </x:c>
      <x:c r="E1683" s="12" t="n">
        <x:v>0</x:v>
      </x:c>
      <x:c r="F1683" s="12" t="n">
        <x:f>SUM(B1683,D1683:E1683)</x:f>
        <x:v>234350.703432</x:v>
      </x:c>
      <x:c r="G1683" s="12" t="n">
        <x:f>MAX(G1682,F1683)</x:f>
        <x:v>234674.983432</x:v>
      </x:c>
      <x:c r="H1683" s="14" t="n">
        <x:f>F1683/G1683-1</x:f>
        <x:v>-0.001381826027033517</x:v>
      </x:c>
      <x:c r="I1683" s="14" t="n">
        <x:f>F1683/F1682-1</x:f>
        <x:v>-0.001381826027033517</x:v>
      </x:c>
      <x:c r="J1683" s="12" t="n">
        <x:v>0</x:v>
      </x:c>
      <x:c r="K1683" s="12" t="n">
        <x:v>0</x:v>
      </x:c>
      <x:c r="L1683" s="12" t="n">
        <x:v>0</x:v>
      </x:c>
      <x:c r="M1683" s="2" t="str">
        <x:v>持有</x:v>
      </x:c>
    </x:row>
    <x:row r="1684" ht="23" customHeight="1">
      <x:c r="A1684" s="11" t="d">
        <x:v>2021-09-01T00:00:00.000Z</x:v>
      </x:c>
      <x:c r="B1684" s="12" t="n">
        <x:v>15795.663432</x:v>
      </x:c>
      <x:c r="C1684" s="13" t="n">
        <x:v>484</x:v>
      </x:c>
      <x:c r="D1684" s="12" t="n">
        <x:v>218671.2</x:v>
      </x:c>
      <x:c r="E1684" s="12" t="n">
        <x:v>0</x:v>
      </x:c>
      <x:c r="F1684" s="12" t="n">
        <x:f>SUM(B1684,D1684:E1684)</x:f>
        <x:v>234466.863432</x:v>
      </x:c>
      <x:c r="G1684" s="12" t="n">
        <x:f>MAX(G1683,F1684)</x:f>
        <x:v>234674.983432</x:v>
      </x:c>
      <x:c r="H1684" s="14" t="n">
        <x:f>F1684/G1684-1</x:f>
        <x:v>-0.00088684356958868</x:v>
      </x:c>
      <x:c r="I1684" s="14" t="n">
        <x:f>F1684/F1683-1</x:f>
        <x:v>0.0004956673835361247</x:v>
      </x:c>
      <x:c r="J1684" s="12" t="n">
        <x:v>0</x:v>
      </x:c>
      <x:c r="K1684" s="12" t="n">
        <x:v>0</x:v>
      </x:c>
      <x:c r="L1684" s="12" t="n">
        <x:v>0</x:v>
      </x:c>
      <x:c r="M1684" s="2" t="str">
        <x:v>持有</x:v>
      </x:c>
    </x:row>
    <x:row r="1685" ht="23" customHeight="1">
      <x:c r="A1685" s="11" t="d">
        <x:v>2021-09-02T00:00:00.000Z</x:v>
      </x:c>
      <x:c r="B1685" s="12" t="n">
        <x:v>15795.663432</x:v>
      </x:c>
      <x:c r="C1685" s="13" t="n">
        <x:v>484</x:v>
      </x:c>
      <x:c r="D1685" s="12" t="n">
        <x:v>219343.96</x:v>
      </x:c>
      <x:c r="E1685" s="12" t="n">
        <x:v>0</x:v>
      </x:c>
      <x:c r="F1685" s="12" t="n">
        <x:f>SUM(B1685,D1685:E1685)</x:f>
        <x:v>235139.623432</x:v>
      </x:c>
      <x:c r="G1685" s="12" t="n">
        <x:f>MAX(G1684,F1685)</x:f>
        <x:v>235139.623432</x:v>
      </x:c>
      <x:c r="H1685" s="14" t="n">
        <x:f>F1685/G1685-1</x:f>
        <x:v>0</x:v>
      </x:c>
      <x:c r="I1685" s="14" t="n">
        <x:f>F1685/F1684-1</x:f>
        <x:v>0.0028693180356169634</x:v>
      </x:c>
      <x:c r="J1685" s="12" t="n">
        <x:v>0</x:v>
      </x:c>
      <x:c r="K1685" s="12" t="n">
        <x:v>0</x:v>
      </x:c>
      <x:c r="L1685" s="12" t="n">
        <x:v>0</x:v>
      </x:c>
      <x:c r="M1685" s="2" t="str">
        <x:v>持有</x:v>
      </x:c>
    </x:row>
    <x:row r="1686" ht="23" customHeight="1">
      <x:c r="A1686" s="11" t="d">
        <x:v>2021-09-03T00:00:00.000Z</x:v>
      </x:c>
      <x:c r="B1686" s="12" t="n">
        <x:v>15795.663432</x:v>
      </x:c>
      <x:c r="C1686" s="13" t="n">
        <x:v>484</x:v>
      </x:c>
      <x:c r="D1686" s="12" t="n">
        <x:v>219290.72</x:v>
      </x:c>
      <x:c r="E1686" s="12" t="n">
        <x:v>0</x:v>
      </x:c>
      <x:c r="F1686" s="12" t="n">
        <x:f>SUM(B1686,D1686:E1686)</x:f>
        <x:v>235086.383432</x:v>
      </x:c>
      <x:c r="G1686" s="12" t="n">
        <x:f>MAX(G1685,F1686)</x:f>
        <x:v>235139.623432</x:v>
      </x:c>
      <x:c r="H1686" s="14" t="n">
        <x:f>F1686/G1686-1</x:f>
        <x:v>-0.00022641866659023346</x:v>
      </x:c>
      <x:c r="I1686" s="14" t="n">
        <x:f>F1686/F1685-1</x:f>
        <x:v>-0.00022641866659023346</x:v>
      </x:c>
      <x:c r="J1686" s="12" t="n">
        <x:v>0</x:v>
      </x:c>
      <x:c r="K1686" s="12" t="n">
        <x:v>0</x:v>
      </x:c>
      <x:c r="L1686" s="12" t="n">
        <x:v>0</x:v>
      </x:c>
      <x:c r="M1686" s="2" t="str">
        <x:v>持有</x:v>
      </x:c>
    </x:row>
    <x:row r="1687" ht="23" customHeight="1">
      <x:c r="A1687" s="11" t="d">
        <x:v>2021-09-07T00:00:00.000Z</x:v>
      </x:c>
      <x:c r="B1687" s="12" t="n">
        <x:v>15795.663432</x:v>
      </x:c>
      <x:c r="C1687" s="13" t="n">
        <x:v>484</x:v>
      </x:c>
      <x:c r="D1687" s="12" t="n">
        <x:v>218506.63999999998</x:v>
      </x:c>
      <x:c r="E1687" s="12" t="n">
        <x:v>0</x:v>
      </x:c>
      <x:c r="F1687" s="12" t="n">
        <x:f>SUM(B1687,D1687:E1687)</x:f>
        <x:v>234302.303432</x:v>
      </x:c>
      <x:c r="G1687" s="12" t="n">
        <x:f>MAX(G1686,F1687)</x:f>
        <x:v>235139.623432</x:v>
      </x:c>
      <x:c r="H1687" s="14" t="n">
        <x:f>F1687/G1687-1</x:f>
        <x:v>-0.0035609481200098436</x:v>
      </x:c>
      <x:c r="I1687" s="14" t="n">
        <x:f>F1687/F1686-1</x:f>
        <x:v>-0.0033352846241169187</x:v>
      </x:c>
      <x:c r="J1687" s="12" t="n">
        <x:v>0</x:v>
      </x:c>
      <x:c r="K1687" s="12" t="n">
        <x:v>0</x:v>
      </x:c>
      <x:c r="L1687" s="12" t="n">
        <x:v>0</x:v>
      </x:c>
      <x:c r="M1687" s="2" t="str">
        <x:v>持有</x:v>
      </x:c>
    </x:row>
    <x:row r="1688" ht="23" customHeight="1">
      <x:c r="A1688" s="11" t="d">
        <x:v>2021-09-08T00:00:00.000Z</x:v>
      </x:c>
      <x:c r="B1688" s="12" t="n">
        <x:v>15795.663432</x:v>
      </x:c>
      <x:c r="C1688" s="13" t="n">
        <x:v>484</x:v>
      </x:c>
      <x:c r="D1688" s="12" t="n">
        <x:v>218240.44</x:v>
      </x:c>
      <x:c r="E1688" s="12" t="n">
        <x:v>0</x:v>
      </x:c>
      <x:c r="F1688" s="12" t="n">
        <x:f>SUM(B1688,D1688:E1688)</x:f>
        <x:v>234036.103432</x:v>
      </x:c>
      <x:c r="G1688" s="12" t="n">
        <x:f>MAX(G1687,F1688)</x:f>
        <x:v>235139.623432</x:v>
      </x:c>
      <x:c r="H1688" s="14" t="n">
        <x:f>F1688/G1688-1</x:f>
        <x:v>-0.0046930414529609</x:v>
      </x:c>
      <x:c r="I1688" s="14" t="n">
        <x:f>F1688/F1687-1</x:f>
        <x:v>-0.001136139065219366</x:v>
      </x:c>
      <x:c r="J1688" s="12" t="n">
        <x:v>0</x:v>
      </x:c>
      <x:c r="K1688" s="12" t="n">
        <x:v>0</x:v>
      </x:c>
      <x:c r="L1688" s="12" t="n">
        <x:v>0</x:v>
      </x:c>
      <x:c r="M1688" s="2" t="str">
        <x:v>持有</x:v>
      </x:c>
    </x:row>
    <x:row r="1689" ht="23" customHeight="1">
      <x:c r="A1689" s="11" t="d">
        <x:v>2021-09-09T00:00:00.000Z</x:v>
      </x:c>
      <x:c r="B1689" s="12" t="n">
        <x:v>15795.663432</x:v>
      </x:c>
      <x:c r="C1689" s="13" t="n">
        <x:v>484</x:v>
      </x:c>
      <x:c r="D1689" s="12" t="n">
        <x:v>217306.32</x:v>
      </x:c>
      <x:c r="E1689" s="12" t="n">
        <x:v>0</x:v>
      </x:c>
      <x:c r="F1689" s="12" t="n">
        <x:f>SUM(B1689,D1689:E1689)</x:f>
        <x:v>233101.983432</x:v>
      </x:c>
      <x:c r="G1689" s="12" t="n">
        <x:f>MAX(G1688,F1689)</x:f>
        <x:v>235139.623432</x:v>
      </x:c>
      <x:c r="H1689" s="14" t="n">
        <x:f>F1689/G1689-1</x:f>
        <x:v>-0.008665659875861986</x:v>
      </x:c>
      <x:c r="I1689" s="14" t="n">
        <x:f>F1689/F1688-1</x:f>
        <x:v>-0.003991349993875626</x:v>
      </x:c>
      <x:c r="J1689" s="12" t="n">
        <x:v>0</x:v>
      </x:c>
      <x:c r="K1689" s="12" t="n">
        <x:v>0</x:v>
      </x:c>
      <x:c r="L1689" s="12" t="n">
        <x:v>0</x:v>
      </x:c>
      <x:c r="M1689" s="2" t="str">
        <x:v>持有</x:v>
      </x:c>
    </x:row>
    <x:row r="1690" ht="23" customHeight="1">
      <x:c r="A1690" s="11" t="d">
        <x:v>2021-09-10T00:00:00.000Z</x:v>
      </x:c>
      <x:c r="B1690" s="12" t="n">
        <x:v>15795.663432</x:v>
      </x:c>
      <x:c r="C1690" s="13" t="n">
        <x:v>484</x:v>
      </x:c>
      <x:c r="D1690" s="12" t="n">
        <x:v>215592.96</x:v>
      </x:c>
      <x:c r="E1690" s="12" t="n">
        <x:v>0</x:v>
      </x:c>
      <x:c r="F1690" s="12" t="n">
        <x:f>SUM(B1690,D1690:E1690)</x:f>
        <x:v>231388.623432</x:v>
      </x:c>
      <x:c r="G1690" s="12" t="n">
        <x:f>MAX(G1689,F1690)</x:f>
        <x:v>235139.623432</x:v>
      </x:c>
      <x:c r="H1690" s="14" t="n">
        <x:f>F1690/G1690-1</x:f>
        <x:v>-0.015952224237038237</x:v>
      </x:c>
      <x:c r="I1690" s="14" t="n">
        <x:f>F1690/F1689-1</x:f>
        <x:v>-0.007350259207467569</x:v>
      </x:c>
      <x:c r="J1690" s="12" t="n">
        <x:v>0</x:v>
      </x:c>
      <x:c r="K1690" s="12" t="n">
        <x:v>0</x:v>
      </x:c>
      <x:c r="L1690" s="12" t="n">
        <x:v>0</x:v>
      </x:c>
      <x:c r="M1690" s="2" t="str">
        <x:v>持有</x:v>
      </x:c>
    </x:row>
    <x:row r="1691" ht="23" customHeight="1">
      <x:c r="A1691" s="11" t="d">
        <x:v>2021-09-13T00:00:00.000Z</x:v>
      </x:c>
      <x:c r="B1691" s="12" t="n">
        <x:v>15795.663432</x:v>
      </x:c>
      <x:c r="C1691" s="13" t="n">
        <x:v>484</x:v>
      </x:c>
      <x:c r="D1691" s="12" t="n">
        <x:v>216144.72</x:v>
      </x:c>
      <x:c r="E1691" s="12" t="n">
        <x:v>0</x:v>
      </x:c>
      <x:c r="F1691" s="12" t="n">
        <x:f>SUM(B1691,D1691:E1691)</x:f>
        <x:v>231940.383432</x:v>
      </x:c>
      <x:c r="G1691" s="12" t="n">
        <x:f>MAX(G1690,F1691)</x:f>
        <x:v>235139.623432</x:v>
      </x:c>
      <x:c r="H1691" s="14" t="n">
        <x:f>F1691/G1691-1</x:f>
        <x:v>-0.013605703510557787</x:v>
      </x:c>
      <x:c r="I1691" s="14" t="n">
        <x:f>F1691/F1690-1</x:f>
        <x:v>0.0023845597584539746</x:v>
      </x:c>
      <x:c r="J1691" s="12" t="n">
        <x:v>0</x:v>
      </x:c>
      <x:c r="K1691" s="12" t="n">
        <x:v>0</x:v>
      </x:c>
      <x:c r="L1691" s="12" t="n">
        <x:v>0</x:v>
      </x:c>
      <x:c r="M1691" s="2" t="str">
        <x:v>持有</x:v>
      </x:c>
    </x:row>
    <x:row r="1692" ht="23" customHeight="1">
      <x:c r="A1692" s="11" t="d">
        <x:v>2021-09-14T00:00:00.000Z</x:v>
      </x:c>
      <x:c r="B1692" s="12" t="n">
        <x:v>15795.663432</x:v>
      </x:c>
      <x:c r="C1692" s="13" t="n">
        <x:v>484</x:v>
      </x:c>
      <x:c r="D1692" s="12" t="n">
        <x:v>214978.28</x:v>
      </x:c>
      <x:c r="E1692" s="12" t="n">
        <x:v>0</x:v>
      </x:c>
      <x:c r="F1692" s="12" t="n">
        <x:f>SUM(B1692,D1692:E1692)</x:f>
        <x:v>230773.943432</x:v>
      </x:c>
      <x:c r="G1692" s="12" t="n">
        <x:f>MAX(G1691,F1692)</x:f>
        <x:v>235139.623432</x:v>
      </x:c>
      <x:c r="H1692" s="14" t="n">
        <x:f>F1692/G1692-1</x:f>
        <x:v>-0.018566330660398034</x:v>
      </x:c>
      <x:c r="I1692" s="14" t="n">
        <x:f>F1692/F1691-1</x:f>
        <x:v>-0.005029050925674516</x:v>
      </x:c>
      <x:c r="J1692" s="12" t="n">
        <x:v>0</x:v>
      </x:c>
      <x:c r="K1692" s="12" t="n">
        <x:v>0</x:v>
      </x:c>
      <x:c r="L1692" s="12" t="n">
        <x:v>0</x:v>
      </x:c>
      <x:c r="M1692" s="2" t="str">
        <x:v>持有</x:v>
      </x:c>
    </x:row>
    <x:row r="1693" ht="23" customHeight="1">
      <x:c r="A1693" s="11" t="d">
        <x:v>2021-09-15T00:00:00.000Z</x:v>
      </x:c>
      <x:c r="B1693" s="12" t="n">
        <x:v>15795.663432</x:v>
      </x:c>
      <x:c r="C1693" s="13" t="n">
        <x:v>484</x:v>
      </x:c>
      <x:c r="D1693" s="12" t="n">
        <x:v>216773.91999999998</x:v>
      </x:c>
      <x:c r="E1693" s="12" t="n">
        <x:v>0</x:v>
      </x:c>
      <x:c r="F1693" s="12" t="n">
        <x:f>SUM(B1693,D1693:E1693)</x:f>
        <x:v>232569.58343199998</x:v>
      </x:c>
      <x:c r="G1693" s="12" t="n">
        <x:f>MAX(G1692,F1693)</x:f>
        <x:v>235139.623432</x:v>
      </x:c>
      <x:c r="H1693" s="14" t="n">
        <x:f>F1693/G1693-1</x:f>
        <x:v>-0.010929846541764321</x:v>
      </x:c>
      <x:c r="I1693" s="14" t="n">
        <x:f>F1693/F1692-1</x:f>
        <x:v>0.007780947767740853</x:v>
      </x:c>
      <x:c r="J1693" s="12" t="n">
        <x:v>0</x:v>
      </x:c>
      <x:c r="K1693" s="12" t="n">
        <x:v>0</x:v>
      </x:c>
      <x:c r="L1693" s="12" t="n">
        <x:v>0</x:v>
      </x:c>
      <x:c r="M1693" s="2" t="str">
        <x:v>持有</x:v>
      </x:c>
    </x:row>
    <x:row r="1694" ht="23" customHeight="1">
      <x:c r="A1694" s="11" t="d">
        <x:v>2021-09-16T00:00:00.000Z</x:v>
      </x:c>
      <x:c r="B1694" s="12" t="n">
        <x:v>15795.663432</x:v>
      </x:c>
      <x:c r="C1694" s="13" t="n">
        <x:v>484</x:v>
      </x:c>
      <x:c r="D1694" s="12" t="n">
        <x:v>216430.28</x:v>
      </x:c>
      <x:c r="E1694" s="12" t="n">
        <x:v>0</x:v>
      </x:c>
      <x:c r="F1694" s="12" t="n">
        <x:f>SUM(B1694,D1694:E1694)</x:f>
        <x:v>232225.943432</x:v>
      </x:c>
      <x:c r="G1694" s="12" t="n">
        <x:f>MAX(G1693,F1694)</x:f>
        <x:v>235139.623432</x:v>
      </x:c>
      <x:c r="H1694" s="14" t="n">
        <x:f>F1694/G1694-1</x:f>
        <x:v>-0.012391276117028394</x:v>
      </x:c>
      <x:c r="I1694" s="14" t="n">
        <x:f>F1694/F1693-1</x:f>
        <x:v>-0.0014775792901587925</x:v>
      </x:c>
      <x:c r="J1694" s="12" t="n">
        <x:v>0</x:v>
      </x:c>
      <x:c r="K1694" s="12" t="n">
        <x:v>0</x:v>
      </x:c>
      <x:c r="L1694" s="12" t="n">
        <x:v>0</x:v>
      </x:c>
      <x:c r="M1694" s="2" t="str">
        <x:v>持有</x:v>
      </x:c>
    </x:row>
    <x:row r="1695" ht="23" customHeight="1">
      <x:c r="A1695" s="11" t="d">
        <x:v>2021-09-17T00:00:00.000Z</x:v>
      </x:c>
      <x:c r="B1695" s="12" t="n">
        <x:v>15795.663432</x:v>
      </x:c>
      <x:c r="C1695" s="13" t="n">
        <x:v>484</x:v>
      </x:c>
      <x:c r="D1695" s="12" t="n">
        <x:v>213637.59999999998</x:v>
      </x:c>
      <x:c r="E1695" s="12" t="n">
        <x:v>691.208628</x:v>
      </x:c>
      <x:c r="F1695" s="12" t="n">
        <x:f>SUM(B1695,D1695:E1695)</x:f>
        <x:v>230124.47205999997</x:v>
      </x:c>
      <x:c r="G1695" s="12" t="n">
        <x:f>MAX(G1694,F1695)</x:f>
        <x:v>235139.623432</x:v>
      </x:c>
      <x:c r="H1695" s="14" t="n">
        <x:f>F1695/G1695-1</x:f>
        <x:v>-0.02132839756567162</x:v>
      </x:c>
      <x:c r="I1695" s="14" t="n">
        <x:f>F1695/F1694-1</x:f>
        <x:v>-0.009049253244245659</x:v>
      </x:c>
      <x:c r="J1695" s="12" t="n">
        <x:v>691.208628</x:v>
      </x:c>
      <x:c r="K1695" s="12" t="n">
        <x:v>0</x:v>
      </x:c>
      <x:c r="L1695" s="12" t="n">
        <x:v>0</x:v>
      </x:c>
      <x:c r="M1695" s="2" t="str">
        <x:v>持有</x:v>
      </x:c>
    </x:row>
    <x:row r="1696" ht="23" customHeight="1">
      <x:c r="A1696" s="11" t="d">
        <x:v>2021-09-20T00:00:00.000Z</x:v>
      </x:c>
      <x:c r="B1696" s="12" t="n">
        <x:v>15795.663432</x:v>
      </x:c>
      <x:c r="C1696" s="13" t="n">
        <x:v>484</x:v>
      </x:c>
      <x:c r="D1696" s="12" t="n">
        <x:v>210075.36000000002</x:v>
      </x:c>
      <x:c r="E1696" s="12" t="n">
        <x:v>691.208628</x:v>
      </x:c>
      <x:c r="F1696" s="12" t="n">
        <x:f>SUM(B1696,D1696:E1696)</x:f>
        <x:v>226562.23206</x:v>
      </x:c>
      <x:c r="G1696" s="12" t="n">
        <x:f>MAX(G1695,F1696)</x:f>
        <x:v>235139.623432</x:v>
      </x:c>
      <x:c r="H1696" s="14" t="n">
        <x:f>F1696/G1696-1</x:f>
        <x:v>-0.036477864712071706</x:v>
      </x:c>
      <x:c r="I1696" s="14" t="n">
        <x:f>F1696/F1695-1</x:f>
        <x:v>-0.015479622693370887</x:v>
      </x:c>
      <x:c r="J1696" s="12" t="n">
        <x:v>0</x:v>
      </x:c>
      <x:c r="K1696" s="12" t="n">
        <x:v>0</x:v>
      </x:c>
      <x:c r="L1696" s="12" t="n">
        <x:v>0</x:v>
      </x:c>
      <x:c r="M1696" s="2" t="str">
        <x:v>持有</x:v>
      </x:c>
    </x:row>
    <x:row r="1697" ht="23" customHeight="1">
      <x:c r="A1697" s="11" t="d">
        <x:v>2021-09-21T00:00:00.000Z</x:v>
      </x:c>
      <x:c r="B1697" s="12" t="n">
        <x:v>15795.663432</x:v>
      </x:c>
      <x:c r="C1697" s="13" t="n">
        <x:v>484</x:v>
      </x:c>
      <x:c r="D1697" s="12" t="n">
        <x:v>209876.91999999998</x:v>
      </x:c>
      <x:c r="E1697" s="12" t="n">
        <x:v>691.208628</x:v>
      </x:c>
      <x:c r="F1697" s="12" t="n">
        <x:f>SUM(B1697,D1697:E1697)</x:f>
        <x:v>226363.79205999998</x:v>
      </x:c>
      <x:c r="G1697" s="12" t="n">
        <x:f>MAX(G1696,F1697)</x:f>
        <x:v>235139.623432</x:v>
      </x:c>
      <x:c r="H1697" s="14" t="n">
        <x:f>F1697/G1697-1</x:f>
        <x:v>-0.03732178883299908</x:v>
      </x:c>
      <x:c r="I1697" s="14" t="n">
        <x:f>F1697/F1696-1</x:f>
        <x:v>-0.0008758741392849156</x:v>
      </x:c>
      <x:c r="J1697" s="12" t="n">
        <x:v>0</x:v>
      </x:c>
      <x:c r="K1697" s="12" t="n">
        <x:v>0</x:v>
      </x:c>
      <x:c r="L1697" s="12" t="n">
        <x:v>0</x:v>
      </x:c>
      <x:c r="M1697" s="2" t="str">
        <x:v>持有</x:v>
      </x:c>
    </x:row>
    <x:row r="1698" ht="23" customHeight="1">
      <x:c r="A1698" s="11" t="d">
        <x:v>2021-09-22T00:00:00.000Z</x:v>
      </x:c>
      <x:c r="B1698" s="12" t="n">
        <x:v>15795.663432</x:v>
      </x:c>
      <x:c r="C1698" s="13" t="n">
        <x:v>484</x:v>
      </x:c>
      <x:c r="D1698" s="12" t="n">
        <x:v>211924.24000000002</x:v>
      </x:c>
      <x:c r="E1698" s="12" t="n">
        <x:v>691.208628</x:v>
      </x:c>
      <x:c r="F1698" s="12" t="n">
        <x:f>SUM(B1698,D1698:E1698)</x:f>
        <x:v>228411.11206</x:v>
      </x:c>
      <x:c r="G1698" s="12" t="n">
        <x:f>MAX(G1697,F1698)</x:f>
        <x:v>235139.623432</x:v>
      </x:c>
      <x:c r="H1698" s="14" t="n">
        <x:f>F1698/G1698-1</x:f>
        <x:v>-0.02861496192684765</x:v>
      </x:c>
      <x:c r="I1698" s="14" t="n">
        <x:f>F1698/F1697-1</x:f>
        <x:v>0.00904437932130664</x:v>
      </x:c>
      <x:c r="J1698" s="12" t="n">
        <x:v>0</x:v>
      </x:c>
      <x:c r="K1698" s="12" t="n">
        <x:v>0</x:v>
      </x:c>
      <x:c r="L1698" s="12" t="n">
        <x:v>0</x:v>
      </x:c>
      <x:c r="M1698" s="2" t="str">
        <x:v>持有</x:v>
      </x:c>
    </x:row>
    <x:row r="1699" ht="23" customHeight="1">
      <x:c r="A1699" s="11" t="d">
        <x:v>2021-09-23T00:00:00.000Z</x:v>
      </x:c>
      <x:c r="B1699" s="12" t="n">
        <x:v>15795.663432</x:v>
      </x:c>
      <x:c r="C1699" s="13" t="n">
        <x:v>484</x:v>
      </x:c>
      <x:c r="D1699" s="12" t="n">
        <x:v>214499.12</x:v>
      </x:c>
      <x:c r="E1699" s="12" t="n">
        <x:v>691.208628</x:v>
      </x:c>
      <x:c r="F1699" s="12" t="n">
        <x:f>SUM(B1699,D1699:E1699)</x:f>
        <x:v>230985.99206</x:v>
      </x:c>
      <x:c r="G1699" s="12" t="n">
        <x:f>MAX(G1698,F1699)</x:f>
        <x:v>235139.623432</x:v>
      </x:c>
      <x:c r="H1699" s="14" t="n">
        <x:f>F1699/G1699-1</x:f>
        <x:v>-0.017664531869938882</x:v>
      </x:c>
      <x:c r="I1699" s="14" t="n">
        <x:f>F1699/F1698-1</x:f>
        <x:v>0.011273006714855427</x:v>
      </x:c>
      <x:c r="J1699" s="12" t="n">
        <x:v>0</x:v>
      </x:c>
      <x:c r="K1699" s="12" t="n">
        <x:v>0</x:v>
      </x:c>
      <x:c r="L1699" s="12" t="n">
        <x:v>0</x:v>
      </x:c>
      <x:c r="M1699" s="2" t="str">
        <x:v>持有</x:v>
      </x:c>
    </x:row>
    <x:row r="1700" ht="23" customHeight="1">
      <x:c r="A1700" s="11" t="d">
        <x:v>2021-09-24T00:00:00.000Z</x:v>
      </x:c>
      <x:c r="B1700" s="12" t="n">
        <x:v>15795.663432</x:v>
      </x:c>
      <x:c r="C1700" s="13" t="n">
        <x:v>484</x:v>
      </x:c>
      <x:c r="D1700" s="12" t="n">
        <x:v>214852.44</x:v>
      </x:c>
      <x:c r="E1700" s="12" t="n">
        <x:v>691.208628</x:v>
      </x:c>
      <x:c r="F1700" s="12" t="n">
        <x:f>SUM(B1700,D1700:E1700)</x:f>
        <x:v>231339.31206</x:v>
      </x:c>
      <x:c r="G1700" s="12" t="n">
        <x:f>MAX(G1699,F1700)</x:f>
        <x:v>235139.623432</x:v>
      </x:c>
      <x:c r="H1700" s="14" t="n">
        <x:f>F1700/G1700-1</x:f>
        <x:v>-0.016161935264385585</x:v>
      </x:c>
      <x:c r="I1700" s="14" t="n">
        <x:f>F1700/F1699-1</x:f>
        <x:v>0.001529616566134484</x:v>
      </x:c>
      <x:c r="J1700" s="12" t="n">
        <x:v>0</x:v>
      </x:c>
      <x:c r="K1700" s="12" t="n">
        <x:v>0</x:v>
      </x:c>
      <x:c r="L1700" s="12" t="n">
        <x:v>0</x:v>
      </x:c>
      <x:c r="M1700" s="2" t="str">
        <x:v>持有</x:v>
      </x:c>
    </x:row>
    <x:row r="1701" ht="23" customHeight="1">
      <x:c r="A1701" s="11" t="d">
        <x:v>2021-09-27T00:00:00.000Z</x:v>
      </x:c>
      <x:c r="B1701" s="12" t="n">
        <x:v>15795.663432</x:v>
      </x:c>
      <x:c r="C1701" s="13" t="n">
        <x:v>484</x:v>
      </x:c>
      <x:c r="D1701" s="12" t="n">
        <x:v>214237.75999999998</x:v>
      </x:c>
      <x:c r="E1701" s="12" t="n">
        <x:v>691.208628</x:v>
      </x:c>
      <x:c r="F1701" s="12" t="n">
        <x:f>SUM(B1701,D1701:E1701)</x:f>
        <x:v>230724.63205999997</x:v>
      </x:c>
      <x:c r="G1701" s="12" t="n">
        <x:f>MAX(G1700,F1701)</x:f>
        <x:v>235139.623432</x:v>
      </x:c>
      <x:c r="H1701" s="14" t="n">
        <x:f>F1701/G1701-1</x:f>
        <x:v>-0.018776041687745493</x:v>
      </x:c>
      <x:c r="I1701" s="14" t="n">
        <x:f>F1701/F1700-1</x:f>
        <x:v>-0.0026570494851329007</x:v>
      </x:c>
      <x:c r="J1701" s="12" t="n">
        <x:v>0</x:v>
      </x:c>
      <x:c r="K1701" s="12" t="n">
        <x:v>0</x:v>
      </x:c>
      <x:c r="L1701" s="12" t="n">
        <x:v>0</x:v>
      </x:c>
      <x:c r="M1701" s="2" t="str">
        <x:v>持有</x:v>
      </x:c>
    </x:row>
    <x:row r="1702" ht="23" customHeight="1">
      <x:c r="A1702" s="11" t="d">
        <x:v>2021-09-28T00:00:00.000Z</x:v>
      </x:c>
      <x:c r="B1702" s="12" t="n">
        <x:v>15795.663432</x:v>
      </x:c>
      <x:c r="C1702" s="13" t="n">
        <x:v>484</x:v>
      </x:c>
      <x:c r="D1702" s="12" t="n">
        <x:v>209920.48</x:v>
      </x:c>
      <x:c r="E1702" s="12" t="n">
        <x:v>691.208628</x:v>
      </x:c>
      <x:c r="F1702" s="12" t="n">
        <x:f>SUM(B1702,D1702:E1702)</x:f>
        <x:v>226407.35206</x:v>
      </x:c>
      <x:c r="G1702" s="12" t="n">
        <x:f>MAX(G1701,F1702)</x:f>
        <x:v>235139.623432</x:v>
      </x:c>
      <x:c r="H1702" s="14" t="n">
        <x:f>F1702/G1702-1</x:f>
        <x:v>-0.03713653719669785</x:v>
      </x:c>
      <x:c r="I1702" s="14" t="n">
        <x:f>F1702/F1701-1</x:f>
        <x:v>-0.018711829601606</x:v>
      </x:c>
      <x:c r="J1702" s="12" t="n">
        <x:v>0</x:v>
      </x:c>
      <x:c r="K1702" s="12" t="n">
        <x:v>0</x:v>
      </x:c>
      <x:c r="L1702" s="12" t="n">
        <x:v>0</x:v>
      </x:c>
      <x:c r="M1702" s="2" t="str">
        <x:v>持有</x:v>
      </x:c>
    </x:row>
    <x:row r="1703" ht="23" customHeight="1">
      <x:c r="A1703" s="11" t="d">
        <x:v>2021-09-29T00:00:00.000Z</x:v>
      </x:c>
      <x:c r="B1703" s="12" t="n">
        <x:v>15795.663432</x:v>
      </x:c>
      <x:c r="C1703" s="13" t="n">
        <x:v>484</x:v>
      </x:c>
      <x:c r="D1703" s="12" t="n">
        <x:v>210273.8</x:v>
      </x:c>
      <x:c r="E1703" s="12" t="n">
        <x:v>691.208628</x:v>
      </x:c>
      <x:c r="F1703" s="12" t="n">
        <x:f>SUM(B1703,D1703:E1703)</x:f>
        <x:v>226760.67205999998</x:v>
      </x:c>
      <x:c r="G1703" s="12" t="n">
        <x:f>MAX(G1702,F1703)</x:f>
        <x:v>235139.623432</x:v>
      </x:c>
      <x:c r="H1703" s="14" t="n">
        <x:f>F1703/G1703-1</x:f>
        <x:v>-0.035633940591144664</x:v>
      </x:c>
      <x:c r="I1703" s="14" t="n">
        <x:f>F1703/F1702-1</x:f>
        <x:v>0.0015605500297815045</x:v>
      </x:c>
      <x:c r="J1703" s="12" t="n">
        <x:v>0</x:v>
      </x:c>
      <x:c r="K1703" s="12" t="n">
        <x:v>0</x:v>
      </x:c>
      <x:c r="L1703" s="12" t="n">
        <x:v>0</x:v>
      </x:c>
      <x:c r="M1703" s="2" t="str">
        <x:v>持有</x:v>
      </x:c>
    </x:row>
    <x:row r="1704" ht="23" customHeight="1">
      <x:c r="A1704" s="11" t="d">
        <x:v>2021-09-30T00:00:00.000Z</x:v>
      </x:c>
      <x:c r="B1704" s="12" t="n">
        <x:v>15795.663432</x:v>
      </x:c>
      <x:c r="C1704" s="13" t="n">
        <x:v>484</x:v>
      </x:c>
      <x:c r="D1704" s="12" t="n">
        <x:v>207703.75999999998</x:v>
      </x:c>
      <x:c r="E1704" s="12" t="n">
        <x:v>691.208628</x:v>
      </x:c>
      <x:c r="F1704" s="12" t="n">
        <x:f>SUM(B1704,D1704:E1704)</x:f>
        <x:v>224190.63205999997</x:v>
      </x:c>
      <x:c r="G1704" s="12" t="n">
        <x:f>MAX(G1703,F1704)</x:f>
        <x:v>235139.623432</x:v>
      </x:c>
      <x:c r="H1704" s="14" t="n">
        <x:f>F1704/G1704-1</x:f>
        <x:v>-0.046563787132908985</x:v>
      </x:c>
      <x:c r="I1704" s="14" t="n">
        <x:f>F1704/F1703-1</x:f>
        <x:v>-0.011333711338269437</x:v>
      </x:c>
      <x:c r="J1704" s="12" t="n">
        <x:v>0</x:v>
      </x:c>
      <x:c r="K1704" s="12" t="n">
        <x:v>0</x:v>
      </x:c>
      <x:c r="L1704" s="12" t="n">
        <x:v>0</x:v>
      </x:c>
      <x:c r="M1704" s="2" t="str">
        <x:v>持有</x:v>
      </x:c>
    </x:row>
    <x:row r="1705" ht="23" customHeight="1">
      <x:c r="A1705" s="11" t="d">
        <x:v>2021-10-01T00:00:00.000Z</x:v>
      </x:c>
      <x:c r="B1705" s="12" t="n">
        <x:v>15795.663432</x:v>
      </x:c>
      <x:c r="C1705" s="13" t="n">
        <x:v>484</x:v>
      </x:c>
      <x:c r="D1705" s="12" t="n">
        <x:v>210172.16</x:v>
      </x:c>
      <x:c r="E1705" s="12" t="n">
        <x:v>691.208628</x:v>
      </x:c>
      <x:c r="F1705" s="12" t="n">
        <x:f>SUM(B1705,D1705:E1705)</x:f>
        <x:v>226659.03206</x:v>
      </x:c>
      <x:c r="G1705" s="12" t="n">
        <x:f>MAX(G1704,F1705)</x:f>
        <x:v>235139.623432</x:v>
      </x:c>
      <x:c r="H1705" s="14" t="n">
        <x:f>F1705/G1705-1</x:f>
        <x:v>-0.03606619440918046</x:v>
      </x:c>
      <x:c r="I1705" s="14" t="n">
        <x:f>F1705/F1704-1</x:f>
        <x:v>0.011010272718885883</x:v>
      </x:c>
      <x:c r="J1705" s="12" t="n">
        <x:v>0</x:v>
      </x:c>
      <x:c r="K1705" s="12" t="n">
        <x:v>0</x:v>
      </x:c>
      <x:c r="L1705" s="12" t="n">
        <x:v>0</x:v>
      </x:c>
      <x:c r="M1705" s="2" t="str">
        <x:v>持有</x:v>
      </x:c>
    </x:row>
    <x:row r="1706" ht="23" customHeight="1">
      <x:c r="A1706" s="11" t="d">
        <x:v>2021-10-04T00:00:00.000Z</x:v>
      </x:c>
      <x:c r="B1706" s="12" t="n">
        <x:v>15795.663432</x:v>
      </x:c>
      <x:c r="C1706" s="13" t="n">
        <x:v>484</x:v>
      </x:c>
      <x:c r="D1706" s="12" t="n">
        <x:v>207461.75999999998</x:v>
      </x:c>
      <x:c r="E1706" s="12" t="n">
        <x:v>691.208628</x:v>
      </x:c>
      <x:c r="F1706" s="12" t="n">
        <x:f>SUM(B1706,D1706:E1706)</x:f>
        <x:v>223948.63205999997</x:v>
      </x:c>
      <x:c r="G1706" s="12" t="n">
        <x:f>MAX(G1705,F1706)</x:f>
        <x:v>235139.623432</x:v>
      </x:c>
      <x:c r="H1706" s="14" t="n">
        <x:f>F1706/G1706-1</x:f>
        <x:v>-0.04759296289013726</x:v>
      </x:c>
      <x:c r="I1706" s="14" t="n">
        <x:f>F1706/F1705-1</x:f>
        <x:v>-0.011958049830913198</x:v>
      </x:c>
      <x:c r="J1706" s="12" t="n">
        <x:v>0</x:v>
      </x:c>
      <x:c r="K1706" s="12" t="n">
        <x:v>0</x:v>
      </x:c>
      <x:c r="L1706" s="12" t="n">
        <x:v>0</x:v>
      </x:c>
      <x:c r="M1706" s="2" t="str">
        <x:v>持有</x:v>
      </x:c>
    </x:row>
    <x:row r="1707" ht="23" customHeight="1">
      <x:c r="A1707" s="11" t="d">
        <x:v>2021-10-05T00:00:00.000Z</x:v>
      </x:c>
      <x:c r="B1707" s="12" t="n">
        <x:v>15795.663432</x:v>
      </x:c>
      <x:c r="C1707" s="13" t="n">
        <x:v>484</x:v>
      </x:c>
      <x:c r="D1707" s="12" t="n">
        <x:v>209620.40000000002</x:v>
      </x:c>
      <x:c r="E1707" s="12" t="n">
        <x:v>691.208628</x:v>
      </x:c>
      <x:c r="F1707" s="12" t="n">
        <x:f>SUM(B1707,D1707:E1707)</x:f>
        <x:v>226107.27206000002</x:v>
      </x:c>
      <x:c r="G1707" s="12" t="n">
        <x:f>MAX(G1706,F1707)</x:f>
        <x:v>235139.623432</x:v>
      </x:c>
      <x:c r="H1707" s="14" t="n">
        <x:f>F1707/G1707-1</x:f>
        <x:v>-0.0384127151356608</x:v>
      </x:c>
      <x:c r="I1707" s="14" t="n">
        <x:f>F1707/F1706-1</x:f>
        <x:v>0.009638996140068912</x:v>
      </x:c>
      <x:c r="J1707" s="12" t="n">
        <x:v>0</x:v>
      </x:c>
      <x:c r="K1707" s="12" t="n">
        <x:v>0</x:v>
      </x:c>
      <x:c r="L1707" s="12" t="n">
        <x:v>0</x:v>
      </x:c>
      <x:c r="M1707" s="2" t="str">
        <x:v>持有</x:v>
      </x:c>
    </x:row>
    <x:row r="1708" ht="23" customHeight="1">
      <x:c r="A1708" s="11" t="d">
        <x:v>2021-10-06T00:00:00.000Z</x:v>
      </x:c>
      <x:c r="B1708" s="12" t="n">
        <x:v>15795.663432</x:v>
      </x:c>
      <x:c r="C1708" s="13" t="n">
        <x:v>484</x:v>
      </x:c>
      <x:c r="D1708" s="12" t="n">
        <x:v>210491.59999999998</x:v>
      </x:c>
      <x:c r="E1708" s="12" t="n">
        <x:v>691.208628</x:v>
      </x:c>
      <x:c r="F1708" s="12" t="n">
        <x:f>SUM(B1708,D1708:E1708)</x:f>
        <x:v>226978.47205999997</x:v>
      </x:c>
      <x:c r="G1708" s="12" t="n">
        <x:f>MAX(G1707,F1708)</x:f>
        <x:v>235139.623432</x:v>
      </x:c>
      <x:c r="H1708" s="14" t="n">
        <x:f>F1708/G1708-1</x:f>
        <x:v>-0.034707682409639284</x:v>
      </x:c>
      <x:c r="I1708" s="14" t="n">
        <x:f>F1708/F1707-1</x:f>
        <x:v>0.0038530383921875355</x:v>
      </x:c>
      <x:c r="J1708" s="12" t="n">
        <x:v>0</x:v>
      </x:c>
      <x:c r="K1708" s="12" t="n">
        <x:v>0</x:v>
      </x:c>
      <x:c r="L1708" s="12" t="n">
        <x:v>0</x:v>
      </x:c>
      <x:c r="M1708" s="2" t="str">
        <x:v>持有</x:v>
      </x:c>
    </x:row>
    <x:row r="1709" ht="23" customHeight="1">
      <x:c r="A1709" s="11" t="d">
        <x:v>2021-10-07T00:00:00.000Z</x:v>
      </x:c>
      <x:c r="B1709" s="12" t="n">
        <x:v>15795.663432</x:v>
      </x:c>
      <x:c r="C1709" s="13" t="n">
        <x:v>484</x:v>
      </x:c>
      <x:c r="D1709" s="12" t="n">
        <x:v>212311.44</x:v>
      </x:c>
      <x:c r="E1709" s="12" t="n">
        <x:v>691.208628</x:v>
      </x:c>
      <x:c r="F1709" s="12" t="n">
        <x:f>SUM(B1709,D1709:E1709)</x:f>
        <x:v>228798.31206</x:v>
      </x:c>
      <x:c r="G1709" s="12" t="n">
        <x:f>MAX(G1708,F1709)</x:f>
        <x:v>235139.623432</x:v>
      </x:c>
      <x:c r="H1709" s="14" t="n">
        <x:f>F1709/G1709-1</x:f>
        <x:v>-0.026968280715282456</x:v>
      </x:c>
      <x:c r="I1709" s="14" t="n">
        <x:f>F1709/F1708-1</x:f>
        <x:v>0.008017676669878071</x:v>
      </x:c>
      <x:c r="J1709" s="12" t="n">
        <x:v>0</x:v>
      </x:c>
      <x:c r="K1709" s="12" t="n">
        <x:v>0</x:v>
      </x:c>
      <x:c r="L1709" s="12" t="n">
        <x:v>0</x:v>
      </x:c>
      <x:c r="M1709" s="2" t="str">
        <x:v>持有</x:v>
      </x:c>
    </x:row>
    <x:row r="1710" ht="23" customHeight="1">
      <x:c r="A1710" s="11" t="d">
        <x:v>2021-10-08T00:00:00.000Z</x:v>
      </x:c>
      <x:c r="B1710" s="12" t="n">
        <x:v>15795.663432</x:v>
      </x:c>
      <x:c r="C1710" s="13" t="n">
        <x:v>484</x:v>
      </x:c>
      <x:c r="D1710" s="12" t="n">
        <x:v>211924.24000000002</x:v>
      </x:c>
      <x:c r="E1710" s="12" t="n">
        <x:v>691.208628</x:v>
      </x:c>
      <x:c r="F1710" s="12" t="n">
        <x:f>SUM(B1710,D1710:E1710)</x:f>
        <x:v>228411.11206</x:v>
      </x:c>
      <x:c r="G1710" s="12" t="n">
        <x:f>MAX(G1709,F1710)</x:f>
        <x:v>235139.623432</x:v>
      </x:c>
      <x:c r="H1710" s="14" t="n">
        <x:f>F1710/G1710-1</x:f>
        <x:v>-0.02861496192684765</x:v>
      </x:c>
      <x:c r="I1710" s="14" t="n">
        <x:f>F1710/F1709-1</x:f>
        <x:v>-0.0016923201771630314</x:v>
      </x:c>
      <x:c r="J1710" s="12" t="n">
        <x:v>0</x:v>
      </x:c>
      <x:c r="K1710" s="12" t="n">
        <x:v>0</x:v>
      </x:c>
      <x:c r="L1710" s="12" t="n">
        <x:v>0</x:v>
      </x:c>
      <x:c r="M1710" s="2" t="str">
        <x:v>持有</x:v>
      </x:c>
    </x:row>
    <x:row r="1711" ht="23" customHeight="1">
      <x:c r="A1711" s="11" t="d">
        <x:v>2021-10-11T00:00:00.000Z</x:v>
      </x:c>
      <x:c r="B1711" s="12" t="n">
        <x:v>15795.663432</x:v>
      </x:c>
      <x:c r="C1711" s="13" t="n">
        <x:v>484</x:v>
      </x:c>
      <x:c r="D1711" s="12" t="n">
        <x:v>210389.96</x:v>
      </x:c>
      <x:c r="E1711" s="12" t="n">
        <x:v>691.208628</x:v>
      </x:c>
      <x:c r="F1711" s="12" t="n">
        <x:f>SUM(B1711,D1711:E1711)</x:f>
        <x:v>226876.83206</x:v>
      </x:c>
      <x:c r="G1711" s="12" t="n">
        <x:f>MAX(G1710,F1711)</x:f>
        <x:v>235139.623432</x:v>
      </x:c>
      <x:c r="H1711" s="14" t="n">
        <x:f>F1711/G1711-1</x:f>
        <x:v>-0.035139936227675084</x:v>
      </x:c>
      <x:c r="I1711" s="14" t="n">
        <x:f>F1711/F1710-1</x:f>
        <x:v>-0.006717186331972269</x:v>
      </x:c>
      <x:c r="J1711" s="12" t="n">
        <x:v>0</x:v>
      </x:c>
      <x:c r="K1711" s="12" t="n">
        <x:v>0</x:v>
      </x:c>
      <x:c r="L1711" s="12" t="n">
        <x:v>0</x:v>
      </x:c>
      <x:c r="M1711" s="2" t="str">
        <x:v>持有</x:v>
      </x:c>
    </x:row>
    <x:row r="1712" ht="23" customHeight="1">
      <x:c r="A1712" s="11" t="d">
        <x:v>2021-10-12T00:00:00.000Z</x:v>
      </x:c>
      <x:c r="B1712" s="12" t="n">
        <x:v>15795.663432</x:v>
      </x:c>
      <x:c r="C1712" s="13" t="n">
        <x:v>484</x:v>
      </x:c>
      <x:c r="D1712" s="12" t="n">
        <x:v>209872.08000000002</x:v>
      </x:c>
      <x:c r="E1712" s="12" t="n">
        <x:v>691.208628</x:v>
      </x:c>
      <x:c r="F1712" s="12" t="n">
        <x:f>SUM(B1712,D1712:E1712)</x:f>
        <x:v>226358.95206</x:v>
      </x:c>
      <x:c r="G1712" s="12" t="n">
        <x:f>MAX(G1711,F1712)</x:f>
        <x:v>235139.623432</x:v>
      </x:c>
      <x:c r="H1712" s="14" t="n">
        <x:f>F1712/G1712-1</x:f>
        <x:v>-0.037342372348143416</x:v>
      </x:c>
      <x:c r="I1712" s="14" t="n">
        <x:f>F1712/F1711-1</x:f>
        <x:v>-0.0022826482338356158</x:v>
      </x:c>
      <x:c r="J1712" s="12" t="n">
        <x:v>0</x:v>
      </x:c>
      <x:c r="K1712" s="12" t="n">
        <x:v>0</x:v>
      </x:c>
      <x:c r="L1712" s="12" t="n">
        <x:v>0</x:v>
      </x:c>
      <x:c r="M1712" s="2" t="str">
        <x:v>持有</x:v>
      </x:c>
    </x:row>
    <x:row r="1713" ht="23" customHeight="1">
      <x:c r="A1713" s="11" t="d">
        <x:v>2021-10-13T00:00:00.000Z</x:v>
      </x:c>
      <x:c r="B1713" s="12" t="n">
        <x:v>15795.663432</x:v>
      </x:c>
      <x:c r="C1713" s="13" t="n">
        <x:v>484</x:v>
      </x:c>
      <x:c r="D1713" s="12" t="n">
        <x:v>210627.12</x:v>
      </x:c>
      <x:c r="E1713" s="12" t="n">
        <x:v>691.208628</x:v>
      </x:c>
      <x:c r="F1713" s="12" t="n">
        <x:f>SUM(B1713,D1713:E1713)</x:f>
        <x:v>227113.99206</x:v>
      </x:c>
      <x:c r="G1713" s="12" t="n">
        <x:f>MAX(G1712,F1713)</x:f>
        <x:v>235139.623432</x:v>
      </x:c>
      <x:c r="H1713" s="14" t="n">
        <x:f>F1713/G1713-1</x:f>
        <x:v>-0.03413134398559137</x:v>
      </x:c>
      <x:c r="I1713" s="14" t="n">
        <x:f>F1713/F1712-1</x:f>
        <x:v>0.003335587097963888</x:v>
      </x:c>
      <x:c r="J1713" s="12" t="n">
        <x:v>0</x:v>
      </x:c>
      <x:c r="K1713" s="12" t="n">
        <x:v>0</x:v>
      </x:c>
      <x:c r="L1713" s="12" t="n">
        <x:v>0</x:v>
      </x:c>
      <x:c r="M1713" s="2" t="str">
        <x:v>持有</x:v>
      </x:c>
    </x:row>
    <x:row r="1714" ht="23" customHeight="1">
      <x:c r="A1714" s="11" t="d">
        <x:v>2021-10-14T00:00:00.000Z</x:v>
      </x:c>
      <x:c r="B1714" s="12" t="n">
        <x:v>15795.663432</x:v>
      </x:c>
      <x:c r="C1714" s="13" t="n">
        <x:v>484</x:v>
      </x:c>
      <x:c r="D1714" s="12" t="n">
        <x:v>214170</x:v>
      </x:c>
      <x:c r="E1714" s="12" t="n">
        <x:v>691.208628</x:v>
      </x:c>
      <x:c r="F1714" s="12" t="n">
        <x:f>SUM(B1714,D1714:E1714)</x:f>
        <x:v>230656.87206</x:v>
      </x:c>
      <x:c r="G1714" s="12" t="n">
        <x:f>MAX(G1713,F1714)</x:f>
        <x:v>235139.623432</x:v>
      </x:c>
      <x:c r="H1714" s="14" t="n">
        <x:f>F1714/G1714-1</x:f>
        <x:v>-0.019064210899769396</x:v>
      </x:c>
      <x:c r="I1714" s="14" t="n">
        <x:f>F1714/F1713-1</x:f>
        <x:v>0.015599567282776894</x:v>
      </x:c>
      <x:c r="J1714" s="12" t="n">
        <x:v>0</x:v>
      </x:c>
      <x:c r="K1714" s="12" t="n">
        <x:v>0</x:v>
      </x:c>
      <x:c r="L1714" s="12" t="n">
        <x:v>0</x:v>
      </x:c>
      <x:c r="M1714" s="2" t="str">
        <x:v>持有</x:v>
      </x:c>
    </x:row>
    <x:row r="1715" ht="23" customHeight="1">
      <x:c r="A1715" s="11" t="d">
        <x:v>2021-10-15T00:00:00.000Z</x:v>
      </x:c>
      <x:c r="B1715" s="12" t="n">
        <x:v>15795.663432</x:v>
      </x:c>
      <x:c r="C1715" s="13" t="n">
        <x:v>484</x:v>
      </x:c>
      <x:c r="D1715" s="12" t="n">
        <x:v>215801.08000000002</x:v>
      </x:c>
      <x:c r="E1715" s="12" t="n">
        <x:v>691.208628</x:v>
      </x:c>
      <x:c r="F1715" s="12" t="n">
        <x:f>SUM(B1715,D1715:E1715)</x:f>
        <x:v>232287.95206</x:v>
      </x:c>
      <x:c r="G1715" s="12" t="n">
        <x:f>MAX(G1714,F1715)</x:f>
        <x:v>235139.623432</x:v>
      </x:c>
      <x:c r="H1715" s="14" t="n">
        <x:f>F1715/G1715-1</x:f>
        <x:v>-0.012127566296050718</x:v>
      </x:c>
      <x:c r="I1715" s="14" t="n">
        <x:f>F1715/F1714-1</x:f>
        <x:v>0.007071456338728632</x:v>
      </x:c>
      <x:c r="J1715" s="12" t="n">
        <x:v>0</x:v>
      </x:c>
      <x:c r="K1715" s="12" t="n">
        <x:v>0</x:v>
      </x:c>
      <x:c r="L1715" s="12" t="n">
        <x:v>0</x:v>
      </x:c>
      <x:c r="M1715" s="2" t="str">
        <x:v>持有</x:v>
      </x:c>
    </x:row>
    <x:row r="1716" ht="23" customHeight="1">
      <x:c r="A1716" s="11" t="d">
        <x:v>2021-10-18T00:00:00.000Z</x:v>
      </x:c>
      <x:c r="B1716" s="12" t="n">
        <x:v>15795.663432</x:v>
      </x:c>
      <x:c r="C1716" s="13" t="n">
        <x:v>484</x:v>
      </x:c>
      <x:c r="D1716" s="12" t="n">
        <x:v>216439.96</x:v>
      </x:c>
      <x:c r="E1716" s="12" t="n">
        <x:v>691.208628</x:v>
      </x:c>
      <x:c r="F1716" s="12" t="n">
        <x:f>SUM(B1716,D1716:E1716)</x:f>
        <x:v>232926.83206</x:v>
      </x:c>
      <x:c r="G1716" s="12" t="n">
        <x:f>MAX(G1715,F1716)</x:f>
        <x:v>235139.623432</x:v>
      </x:c>
      <x:c r="H1716" s="14" t="n">
        <x:f>F1716/G1716-1</x:f>
        <x:v>-0.009410542296968138</x:v>
      </x:c>
      <x:c r="I1716" s="14" t="n">
        <x:f>F1716/F1715-1</x:f>
        <x:v>0.00275037940768863</x:v>
      </x:c>
      <x:c r="J1716" s="12" t="n">
        <x:v>0</x:v>
      </x:c>
      <x:c r="K1716" s="12" t="n">
        <x:v>0</x:v>
      </x:c>
      <x:c r="L1716" s="12" t="n">
        <x:v>0</x:v>
      </x:c>
      <x:c r="M1716" s="2" t="str">
        <x:v>持有</x:v>
      </x:c>
    </x:row>
    <x:row r="1717" ht="23" customHeight="1">
      <x:c r="A1717" s="11" t="d">
        <x:v>2021-10-19T00:00:00.000Z</x:v>
      </x:c>
      <x:c r="B1717" s="12" t="n">
        <x:v>15795.663432</x:v>
      </x:c>
      <x:c r="C1717" s="13" t="n">
        <x:v>484</x:v>
      </x:c>
      <x:c r="D1717" s="12" t="n">
        <x:v>218109.75999999998</x:v>
      </x:c>
      <x:c r="E1717" s="12" t="n">
        <x:v>691.208628</x:v>
      </x:c>
      <x:c r="F1717" s="12" t="n">
        <x:f>SUM(B1717,D1717:E1717)</x:f>
        <x:v>234596.63205999997</x:v>
      </x:c>
      <x:c r="G1717" s="12" t="n">
        <x:f>MAX(G1716,F1717)</x:f>
        <x:v>235139.623432</x:v>
      </x:c>
      <x:c r="H1717" s="14" t="n">
        <x:f>F1717/G1717-1</x:f>
        <x:v>-0.002309229572093119</x:v>
      </x:c>
      <x:c r="I1717" s="14" t="n">
        <x:f>F1717/F1716-1</x:f>
        <x:v>0.007168774783189669</x:v>
      </x:c>
      <x:c r="J1717" s="12" t="n">
        <x:v>0</x:v>
      </x:c>
      <x:c r="K1717" s="12" t="n">
        <x:v>0</x:v>
      </x:c>
      <x:c r="L1717" s="12" t="n">
        <x:v>0</x:v>
      </x:c>
      <x:c r="M1717" s="2" t="str">
        <x:v>持有</x:v>
      </x:c>
    </x:row>
    <x:row r="1718" ht="23" customHeight="1">
      <x:c r="A1718" s="11" t="d">
        <x:v>2021-10-20T00:00:00.000Z</x:v>
      </x:c>
      <x:c r="B1718" s="12" t="n">
        <x:v>15795.663432</x:v>
      </x:c>
      <x:c r="C1718" s="13" t="n">
        <x:v>484</x:v>
      </x:c>
      <x:c r="D1718" s="12" t="n">
        <x:v>218966.44</x:v>
      </x:c>
      <x:c r="E1718" s="12" t="n">
        <x:v>691.208628</x:v>
      </x:c>
      <x:c r="F1718" s="12" t="n">
        <x:f>SUM(B1718,D1718:E1718)</x:f>
        <x:v>235453.31206</x:v>
      </x:c>
      <x:c r="G1718" s="12" t="n">
        <x:f>MAX(G1717,F1718)</x:f>
        <x:v>235453.31206</x:v>
      </x:c>
      <x:c r="H1718" s="14" t="n">
        <x:f>F1718/G1718-1</x:f>
        <x:v>0</x:v>
      </x:c>
      <x:c r="I1718" s="14" t="n">
        <x:f>F1718/F1717-1</x:f>
        <x:v>0.0036517148284589407</x:v>
      </x:c>
      <x:c r="J1718" s="12" t="n">
        <x:v>0</x:v>
      </x:c>
      <x:c r="K1718" s="12" t="n">
        <x:v>0</x:v>
      </x:c>
      <x:c r="L1718" s="12" t="n">
        <x:v>0</x:v>
      </x:c>
      <x:c r="M1718" s="2" t="str">
        <x:v>持有</x:v>
      </x:c>
    </x:row>
    <x:row r="1719" ht="23" customHeight="1">
      <x:c r="A1719" s="11" t="d">
        <x:v>2021-10-21T00:00:00.000Z</x:v>
      </x:c>
      <x:c r="B1719" s="12" t="n">
        <x:v>15795.663432</x:v>
      </x:c>
      <x:c r="C1719" s="13" t="n">
        <x:v>484</x:v>
      </x:c>
      <x:c r="D1719" s="12" t="n">
        <x:v>219537.56</x:v>
      </x:c>
      <x:c r="E1719" s="12" t="n">
        <x:v>691.208628</x:v>
      </x:c>
      <x:c r="F1719" s="12" t="n">
        <x:f>SUM(B1719,D1719:E1719)</x:f>
        <x:v>236024.43206</x:v>
      </x:c>
      <x:c r="G1719" s="12" t="n">
        <x:f>MAX(G1718,F1719)</x:f>
        <x:v>236024.43206</x:v>
      </x:c>
      <x:c r="H1719" s="14" t="n">
        <x:f>F1719/G1719-1</x:f>
        <x:v>0</x:v>
      </x:c>
      <x:c r="I1719" s="14" t="n">
        <x:f>F1719/F1718-1</x:f>
        <x:v>0.002425618883859393</x:v>
      </x:c>
      <x:c r="J1719" s="12" t="n">
        <x:v>0</x:v>
      </x:c>
      <x:c r="K1719" s="12" t="n">
        <x:v>0</x:v>
      </x:c>
      <x:c r="L1719" s="12" t="n">
        <x:v>0</x:v>
      </x:c>
      <x:c r="M1719" s="2" t="str">
        <x:v>持有</x:v>
      </x:c>
    </x:row>
    <x:row r="1720" ht="23" customHeight="1">
      <x:c r="A1720" s="11" t="d">
        <x:v>2021-10-22T00:00:00.000Z</x:v>
      </x:c>
      <x:c r="B1720" s="12" t="n">
        <x:v>15795.663432</x:v>
      </x:c>
      <x:c r="C1720" s="13" t="n">
        <x:v>484</x:v>
      </x:c>
      <x:c r="D1720" s="12" t="n">
        <x:v>219310.08000000002</x:v>
      </x:c>
      <x:c r="E1720" s="12" t="n">
        <x:v>691.208628</x:v>
      </x:c>
      <x:c r="F1720" s="12" t="n">
        <x:f>SUM(B1720,D1720:E1720)</x:f>
        <x:v>235796.95206</x:v>
      </x:c>
      <x:c r="G1720" s="12" t="n">
        <x:f>MAX(G1719,F1720)</x:f>
        <x:v>236024.43206</x:v>
      </x:c>
      <x:c r="H1720" s="14" t="n">
        <x:f>F1720/G1720-1</x:f>
        <x:v>-0.0009637985271887528</x:v>
      </x:c>
      <x:c r="I1720" s="14" t="n">
        <x:f>F1720/F1719-1</x:f>
        <x:v>-0.0009637985271887528</x:v>
      </x:c>
      <x:c r="J1720" s="12" t="n">
        <x:v>0</x:v>
      </x:c>
      <x:c r="K1720" s="12" t="n">
        <x:v>0</x:v>
      </x:c>
      <x:c r="L1720" s="12" t="n">
        <x:v>0</x:v>
      </x:c>
      <x:c r="M1720" s="2" t="str">
        <x:v>持有</x:v>
      </x:c>
    </x:row>
    <x:row r="1721" ht="23" customHeight="1">
      <x:c r="A1721" s="11" t="d">
        <x:v>2021-10-25T00:00:00.000Z</x:v>
      </x:c>
      <x:c r="B1721" s="12" t="n">
        <x:v>15795.663432</x:v>
      </x:c>
      <x:c r="C1721" s="13" t="n">
        <x:v>484</x:v>
      </x:c>
      <x:c r="D1721" s="12" t="n">
        <x:v>220486.2</x:v>
      </x:c>
      <x:c r="E1721" s="12" t="n">
        <x:v>691.208628</x:v>
      </x:c>
      <x:c r="F1721" s="12" t="n">
        <x:f>SUM(B1721,D1721:E1721)</x:f>
        <x:v>236973.07206</x:v>
      </x:c>
      <x:c r="G1721" s="12" t="n">
        <x:f>MAX(G1720,F1721)</x:f>
        <x:v>236973.07206</x:v>
      </x:c>
      <x:c r="H1721" s="14" t="n">
        <x:f>F1721/G1721-1</x:f>
        <x:v>0</x:v>
      </x:c>
      <x:c r="I1721" s="14" t="n">
        <x:f>F1721/F1720-1</x:f>
        <x:v>0.004987850732272037</x:v>
      </x:c>
      <x:c r="J1721" s="12" t="n">
        <x:v>0</x:v>
      </x:c>
      <x:c r="K1721" s="12" t="n">
        <x:v>0</x:v>
      </x:c>
      <x:c r="L1721" s="12" t="n">
        <x:v>0</x:v>
      </x:c>
      <x:c r="M1721" s="2" t="str">
        <x:v>持有</x:v>
      </x:c>
    </x:row>
    <x:row r="1722" ht="23" customHeight="1">
      <x:c r="A1722" s="11" t="d">
        <x:v>2021-10-26T00:00:00.000Z</x:v>
      </x:c>
      <x:c r="B1722" s="12" t="n">
        <x:v>15795.663432</x:v>
      </x:c>
      <x:c r="C1722" s="13" t="n">
        <x:v>484</x:v>
      </x:c>
      <x:c r="D1722" s="12" t="n">
        <x:v>220684.63999999998</x:v>
      </x:c>
      <x:c r="E1722" s="12" t="n">
        <x:v>691.208628</x:v>
      </x:c>
      <x:c r="F1722" s="12" t="n">
        <x:f>SUM(B1722,D1722:E1722)</x:f>
        <x:v>237171.51205999998</x:v>
      </x:c>
      <x:c r="G1722" s="12" t="n">
        <x:f>MAX(G1721,F1722)</x:f>
        <x:v>237171.51205999998</x:v>
      </x:c>
      <x:c r="H1722" s="14" t="n">
        <x:f>F1722/G1722-1</x:f>
        <x:v>0</x:v>
      </x:c>
      <x:c r="I1722" s="14" t="n">
        <x:f>F1722/F1721-1</x:f>
        <x:v>0.0008373947228472733</x:v>
      </x:c>
      <x:c r="J1722" s="12" t="n">
        <x:v>0</x:v>
      </x:c>
      <x:c r="K1722" s="12" t="n">
        <x:v>0</x:v>
      </x:c>
      <x:c r="L1722" s="12" t="n">
        <x:v>0</x:v>
      </x:c>
      <x:c r="M1722" s="2" t="str">
        <x:v>持有</x:v>
      </x:c>
    </x:row>
    <x:row r="1723" ht="23" customHeight="1">
      <x:c r="A1723" s="11" t="d">
        <x:v>2021-10-27T00:00:00.000Z</x:v>
      </x:c>
      <x:c r="B1723" s="12" t="n">
        <x:v>15795.663432</x:v>
      </x:c>
      <x:c r="C1723" s="13" t="n">
        <x:v>484</x:v>
      </x:c>
      <x:c r="D1723" s="12" t="n">
        <x:v>219706.96</x:v>
      </x:c>
      <x:c r="E1723" s="12" t="n">
        <x:v>691.208628</x:v>
      </x:c>
      <x:c r="F1723" s="12" t="n">
        <x:f>SUM(B1723,D1723:E1723)</x:f>
        <x:v>236193.83206</x:v>
      </x:c>
      <x:c r="G1723" s="12" t="n">
        <x:f>MAX(G1722,F1723)</x:f>
        <x:v>237171.51205999998</x:v>
      </x:c>
      <x:c r="H1723" s="14" t="n">
        <x:f>F1723/G1723-1</x:f>
        <x:v>-0.0041222488801802015</x:v>
      </x:c>
      <x:c r="I1723" s="14" t="n">
        <x:f>F1723/F1722-1</x:f>
        <x:v>-0.0041222488801802015</x:v>
      </x:c>
      <x:c r="J1723" s="12" t="n">
        <x:v>0</x:v>
      </x:c>
      <x:c r="K1723" s="12" t="n">
        <x:v>0</x:v>
      </x:c>
      <x:c r="L1723" s="12" t="n">
        <x:v>0</x:v>
      </x:c>
      <x:c r="M1723" s="2" t="str">
        <x:v>持有</x:v>
      </x:c>
    </x:row>
    <x:row r="1724" ht="23" customHeight="1">
      <x:c r="A1724" s="11" t="d">
        <x:v>2021-10-28T00:00:00.000Z</x:v>
      </x:c>
      <x:c r="B1724" s="12" t="n">
        <x:v>15795.663432</x:v>
      </x:c>
      <x:c r="C1724" s="13" t="n">
        <x:v>484</x:v>
      </x:c>
      <x:c r="D1724" s="12" t="n">
        <x:v>221826.88</x:v>
      </x:c>
      <x:c r="E1724" s="12" t="n">
        <x:v>691.208628</x:v>
      </x:c>
      <x:c r="F1724" s="12" t="n">
        <x:f>SUM(B1724,D1724:E1724)</x:f>
        <x:v>238313.75206</x:v>
      </x:c>
      <x:c r="G1724" s="12" t="n">
        <x:f>MAX(G1723,F1724)</x:f>
        <x:v>238313.75206</x:v>
      </x:c>
      <x:c r="H1724" s="14" t="n">
        <x:f>F1724/G1724-1</x:f>
        <x:v>0</x:v>
      </x:c>
      <x:c r="I1724" s="14" t="n">
        <x:f>F1724/F1723-1</x:f>
        <x:v>0.008975340217442618</x:v>
      </x:c>
      <x:c r="J1724" s="12" t="n">
        <x:v>0</x:v>
      </x:c>
      <x:c r="K1724" s="12" t="n">
        <x:v>0</x:v>
      </x:c>
      <x:c r="L1724" s="12" t="n">
        <x:v>0</x:v>
      </x:c>
      <x:c r="M1724" s="2" t="str">
        <x:v>持有</x:v>
      </x:c>
    </x:row>
    <x:row r="1725" ht="23" customHeight="1">
      <x:c r="A1725" s="11" t="d">
        <x:v>2021-10-29T00:00:00.000Z</x:v>
      </x:c>
      <x:c r="B1725" s="12" t="n">
        <x:v>16486.87206</x:v>
      </x:c>
      <x:c r="C1725" s="13" t="n">
        <x:v>484</x:v>
      </x:c>
      <x:c r="D1725" s="12" t="n">
        <x:v>222277</x:v>
      </x:c>
      <x:c r="E1725" s="12" t="n">
        <x:v>0</x:v>
      </x:c>
      <x:c r="F1725" s="12" t="n">
        <x:f>SUM(B1725,D1725:E1725)</x:f>
        <x:v>238763.87206</x:v>
      </x:c>
      <x:c r="G1725" s="12" t="n">
        <x:f>MAX(G1724,F1725)</x:f>
        <x:v>238763.87206</x:v>
      </x:c>
      <x:c r="H1725" s="14" t="n">
        <x:f>F1725/G1725-1</x:f>
        <x:v>0</x:v>
      </x:c>
      <x:c r="I1725" s="14" t="n">
        <x:f>F1725/F1724-1</x:f>
        <x:v>0.001888770564472786</x:v>
      </x:c>
      <x:c r="J1725" s="12" t="n">
        <x:v>0</x:v>
      </x:c>
      <x:c r="K1725" s="12" t="n">
        <x:v>691.208628</x:v>
      </x:c>
      <x:c r="L1725" s="12" t="n">
        <x:v>0</x:v>
      </x:c>
      <x:c r="M1725" s="2" t="str">
        <x:v>持有</x:v>
      </x:c>
    </x:row>
    <x:row r="1726" ht="23" customHeight="1">
      <x:c r="A1726" s="11" t="d">
        <x:v>2021-11-01T00:00:00.000Z</x:v>
      </x:c>
      <x:c r="B1726" s="12" t="n">
        <x:v>16486.87206</x:v>
      </x:c>
      <x:c r="C1726" s="13" t="n">
        <x:v>484</x:v>
      </x:c>
      <x:c r="D1726" s="12" t="n">
        <x:v>222659.36000000002</x:v>
      </x:c>
      <x:c r="E1726" s="12" t="n">
        <x:v>0</x:v>
      </x:c>
      <x:c r="F1726" s="12" t="n">
        <x:f>SUM(B1726,D1726:E1726)</x:f>
        <x:v>239146.23206</x:v>
      </x:c>
      <x:c r="G1726" s="12" t="n">
        <x:f>MAX(G1725,F1726)</x:f>
        <x:v>239146.23206</x:v>
      </x:c>
      <x:c r="H1726" s="14" t="n">
        <x:f>F1726/G1726-1</x:f>
        <x:v>0</x:v>
      </x:c>
      <x:c r="I1726" s="14" t="n">
        <x:f>F1726/F1725-1</x:f>
        <x:v>0.0016014148066083589</x:v>
      </x:c>
      <x:c r="J1726" s="12" t="n">
        <x:v>0</x:v>
      </x:c>
      <x:c r="K1726" s="12" t="n">
        <x:v>0</x:v>
      </x:c>
      <x:c r="L1726" s="12" t="n">
        <x:v>0</x:v>
      </x:c>
      <x:c r="M1726" s="2" t="str">
        <x:v>持有</x:v>
      </x:c>
    </x:row>
    <x:row r="1727" ht="23" customHeight="1">
      <x:c r="A1727" s="11" t="d">
        <x:v>2021-11-02T00:00:00.000Z</x:v>
      </x:c>
      <x:c r="B1727" s="12" t="n">
        <x:v>16486.87206</x:v>
      </x:c>
      <x:c r="C1727" s="13" t="n">
        <x:v>484</x:v>
      </x:c>
      <x:c r="D1727" s="12" t="n">
        <x:v>223559.59999999998</x:v>
      </x:c>
      <x:c r="E1727" s="12" t="n">
        <x:v>0</x:v>
      </x:c>
      <x:c r="F1727" s="12" t="n">
        <x:f>SUM(B1727,D1727:E1727)</x:f>
        <x:v>240046.47205999997</x:v>
      </x:c>
      <x:c r="G1727" s="12" t="n">
        <x:f>MAX(G1726,F1727)</x:f>
        <x:v>240046.47205999997</x:v>
      </x:c>
      <x:c r="H1727" s="14" t="n">
        <x:f>F1727/G1727-1</x:f>
        <x:v>0</x:v>
      </x:c>
      <x:c r="I1727" s="14" t="n">
        <x:f>F1727/F1726-1</x:f>
        <x:v>0.003764391319258209</x:v>
      </x:c>
      <x:c r="J1727" s="12" t="n">
        <x:v>0</x:v>
      </x:c>
      <x:c r="K1727" s="12" t="n">
        <x:v>0</x:v>
      </x:c>
      <x:c r="L1727" s="12" t="n">
        <x:v>0</x:v>
      </x:c>
      <x:c r="M1727" s="2" t="str">
        <x:v>持有</x:v>
      </x:c>
    </x:row>
    <x:row r="1728" ht="23" customHeight="1">
      <x:c r="A1728" s="11" t="d">
        <x:v>2021-11-03T00:00:00.000Z</x:v>
      </x:c>
      <x:c r="B1728" s="12" t="n">
        <x:v>16486.87206</x:v>
      </x:c>
      <x:c r="C1728" s="13" t="n">
        <x:v>484</x:v>
      </x:c>
      <x:c r="D1728" s="12" t="n">
        <x:v>224924.48</x:v>
      </x:c>
      <x:c r="E1728" s="12" t="n">
        <x:v>0</x:v>
      </x:c>
      <x:c r="F1728" s="12" t="n">
        <x:f>SUM(B1728,D1728:E1728)</x:f>
        <x:v>241411.35206</x:v>
      </x:c>
      <x:c r="G1728" s="12" t="n">
        <x:f>MAX(G1727,F1728)</x:f>
        <x:v>241411.35206</x:v>
      </x:c>
      <x:c r="H1728" s="14" t="n">
        <x:f>F1728/G1728-1</x:f>
        <x:v>0</x:v>
      </x:c>
      <x:c r="I1728" s="14" t="n">
        <x:f>F1728/F1727-1</x:f>
        <x:v>0.005685899018998519</x:v>
      </x:c>
      <x:c r="J1728" s="12" t="n">
        <x:v>0</x:v>
      </x:c>
      <x:c r="K1728" s="12" t="n">
        <x:v>0</x:v>
      </x:c>
      <x:c r="L1728" s="12" t="n">
        <x:v>0</x:v>
      </x:c>
      <x:c r="M1728" s="2" t="str">
        <x:v>持有</x:v>
      </x:c>
    </x:row>
    <x:row r="1729" ht="23" customHeight="1">
      <x:c r="A1729" s="11" t="d">
        <x:v>2021-11-04T00:00:00.000Z</x:v>
      </x:c>
      <x:c r="B1729" s="12" t="n">
        <x:v>16486.87206</x:v>
      </x:c>
      <x:c r="C1729" s="13" t="n">
        <x:v>484</x:v>
      </x:c>
      <x:c r="D1729" s="12" t="n">
        <x:v>225984.44</x:v>
      </x:c>
      <x:c r="E1729" s="12" t="n">
        <x:v>0</x:v>
      </x:c>
      <x:c r="F1729" s="12" t="n">
        <x:f>SUM(B1729,D1729:E1729)</x:f>
        <x:v>242471.31206</x:v>
      </x:c>
      <x:c r="G1729" s="12" t="n">
        <x:f>MAX(G1728,F1729)</x:f>
        <x:v>242471.31206</x:v>
      </x:c>
      <x:c r="H1729" s="14" t="n">
        <x:f>F1729/G1729-1</x:f>
        <x:v>0</x:v>
      </x:c>
      <x:c r="I1729" s="14" t="n">
        <x:f>F1729/F1728-1</x:f>
        <x:v>0.00439068001962295</x:v>
      </x:c>
      <x:c r="J1729" s="12" t="n">
        <x:v>0</x:v>
      </x:c>
      <x:c r="K1729" s="12" t="n">
        <x:v>0</x:v>
      </x:c>
      <x:c r="L1729" s="12" t="n">
        <x:v>0</x:v>
      </x:c>
      <x:c r="M1729" s="2" t="str">
        <x:v>持有</x:v>
      </x:c>
    </x:row>
    <x:row r="1730" ht="23" customHeight="1">
      <x:c r="A1730" s="11" t="d">
        <x:v>2021-11-05T00:00:00.000Z</x:v>
      </x:c>
      <x:c r="B1730" s="12" t="n">
        <x:v>16486.87206</x:v>
      </x:c>
      <x:c r="C1730" s="13" t="n">
        <x:v>484</x:v>
      </x:c>
      <x:c r="D1730" s="12" t="n">
        <x:v>226768.52</x:v>
      </x:c>
      <x:c r="E1730" s="12" t="n">
        <x:v>0</x:v>
      </x:c>
      <x:c r="F1730" s="12" t="n">
        <x:f>SUM(B1730,D1730:E1730)</x:f>
        <x:v>243255.39205999998</x:v>
      </x:c>
      <x:c r="G1730" s="12" t="n">
        <x:f>MAX(G1729,F1730)</x:f>
        <x:v>243255.39205999998</x:v>
      </x:c>
      <x:c r="H1730" s="14" t="n">
        <x:f>F1730/G1730-1</x:f>
        <x:v>0</x:v>
      </x:c>
      <x:c r="I1730" s="14" t="n">
        <x:f>F1730/F1729-1</x:f>
        <x:v>0.0032337021371251495</x:v>
      </x:c>
      <x:c r="J1730" s="12" t="n">
        <x:v>0</x:v>
      </x:c>
      <x:c r="K1730" s="12" t="n">
        <x:v>0</x:v>
      </x:c>
      <x:c r="L1730" s="12" t="n">
        <x:v>0</x:v>
      </x:c>
      <x:c r="M1730" s="2" t="str">
        <x:v>持有</x:v>
      </x:c>
    </x:row>
    <x:row r="1731" ht="23" customHeight="1">
      <x:c r="A1731" s="11" t="d">
        <x:v>2021-11-08T00:00:00.000Z</x:v>
      </x:c>
      <x:c r="B1731" s="12" t="n">
        <x:v>16486.87206</x:v>
      </x:c>
      <x:c r="C1731" s="13" t="n">
        <x:v>484</x:v>
      </x:c>
      <x:c r="D1731" s="12" t="n">
        <x:v>226962.12</x:v>
      </x:c>
      <x:c r="E1731" s="12" t="n">
        <x:v>0</x:v>
      </x:c>
      <x:c r="F1731" s="12" t="n">
        <x:f>SUM(B1731,D1731:E1731)</x:f>
        <x:v>243448.99206</x:v>
      </x:c>
      <x:c r="G1731" s="12" t="n">
        <x:f>MAX(G1730,F1731)</x:f>
        <x:v>243448.99206</x:v>
      </x:c>
      <x:c r="H1731" s="14" t="n">
        <x:f>F1731/G1731-1</x:f>
        <x:v>0</x:v>
      </x:c>
      <x:c r="I1731" s="14" t="n">
        <x:f>F1731/F1730-1</x:f>
        <x:v>0.000795871361208178</x:v>
      </x:c>
      <x:c r="J1731" s="12" t="n">
        <x:v>0</x:v>
      </x:c>
      <x:c r="K1731" s="12" t="n">
        <x:v>0</x:v>
      </x:c>
      <x:c r="L1731" s="12" t="n">
        <x:v>0</x:v>
      </x:c>
      <x:c r="M1731" s="2" t="str">
        <x:v>持有</x:v>
      </x:c>
    </x:row>
    <x:row r="1732" ht="23" customHeight="1">
      <x:c r="A1732" s="11" t="d">
        <x:v>2021-11-09T00:00:00.000Z</x:v>
      </x:c>
      <x:c r="B1732" s="12" t="n">
        <x:v>16486.87206</x:v>
      </x:c>
      <x:c r="C1732" s="13" t="n">
        <x:v>484</x:v>
      </x:c>
      <x:c r="D1732" s="12" t="n">
        <x:v>226211.91999999998</x:v>
      </x:c>
      <x:c r="E1732" s="12" t="n">
        <x:v>0</x:v>
      </x:c>
      <x:c r="F1732" s="12" t="n">
        <x:f>SUM(B1732,D1732:E1732)</x:f>
        <x:v>242698.79205999998</x:v>
      </x:c>
      <x:c r="G1732" s="12" t="n">
        <x:f>MAX(G1731,F1732)</x:f>
        <x:v>243448.99206</x:v>
      </x:c>
      <x:c r="H1732" s="14" t="n">
        <x:f>F1732/G1732-1</x:f>
        <x:v>-0.0030815490080776664</x:v>
      </x:c>
      <x:c r="I1732" s="14" t="n">
        <x:f>F1732/F1731-1</x:f>
        <x:v>-0.0030815490080776664</x:v>
      </x:c>
      <x:c r="J1732" s="12" t="n">
        <x:v>0</x:v>
      </x:c>
      <x:c r="K1732" s="12" t="n">
        <x:v>0</x:v>
      </x:c>
      <x:c r="L1732" s="12" t="n">
        <x:v>0</x:v>
      </x:c>
      <x:c r="M1732" s="2" t="str">
        <x:v>持有</x:v>
      </x:c>
    </x:row>
    <x:row r="1733" ht="23" customHeight="1">
      <x:c r="A1733" s="11" t="d">
        <x:v>2021-11-10T00:00:00.000Z</x:v>
      </x:c>
      <x:c r="B1733" s="12" t="n">
        <x:v>16486.87206</x:v>
      </x:c>
      <x:c r="C1733" s="13" t="n">
        <x:v>484</x:v>
      </x:c>
      <x:c r="D1733" s="12" t="n">
        <x:v>224392.08000000002</x:v>
      </x:c>
      <x:c r="E1733" s="12" t="n">
        <x:v>0</x:v>
      </x:c>
      <x:c r="F1733" s="12" t="n">
        <x:f>SUM(B1733,D1733:E1733)</x:f>
        <x:v>240878.95206</x:v>
      </x:c>
      <x:c r="G1733" s="12" t="n">
        <x:f>MAX(G1732,F1733)</x:f>
        <x:v>243448.99206</x:v>
      </x:c>
      <x:c r="H1733" s="14" t="n">
        <x:f>F1733/G1733-1</x:f>
        <x:v>-0.010556790472833755</x:v>
      </x:c>
      <x:c r="I1733" s="14" t="n">
        <x:f>F1733/F1732-1</x:f>
        <x:v>-0.007498347991571674</x:v>
      </x:c>
      <x:c r="J1733" s="12" t="n">
        <x:v>0</x:v>
      </x:c>
      <x:c r="K1733" s="12" t="n">
        <x:v>0</x:v>
      </x:c>
      <x:c r="L1733" s="12" t="n">
        <x:v>0</x:v>
      </x:c>
      <x:c r="M1733" s="2" t="str">
        <x:v>持有</x:v>
      </x:c>
    </x:row>
    <x:row r="1734" ht="23" customHeight="1">
      <x:c r="A1734" s="11" t="d">
        <x:v>2021-11-11T00:00:00.000Z</x:v>
      </x:c>
      <x:c r="B1734" s="12" t="n">
        <x:v>16486.87206</x:v>
      </x:c>
      <x:c r="C1734" s="13" t="n">
        <x:v>484</x:v>
      </x:c>
      <x:c r="D1734" s="12" t="n">
        <x:v>224464.68</x:v>
      </x:c>
      <x:c r="E1734" s="12" t="n">
        <x:v>0</x:v>
      </x:c>
      <x:c r="F1734" s="12" t="n">
        <x:f>SUM(B1734,D1734:E1734)</x:f>
        <x:v>240951.55206</x:v>
      </x:c>
      <x:c r="G1734" s="12" t="n">
        <x:f>MAX(G1733,F1734)</x:f>
        <x:v>243448.99206</x:v>
      </x:c>
      <x:c r="H1734" s="14" t="n">
        <x:f>F1734/G1734-1</x:f>
        <x:v>-0.01025857605269731</x:v>
      </x:c>
      <x:c r="I1734" s="14" t="n">
        <x:f>F1734/F1733-1</x:f>
        <x:v>0.0003013961966336076</x:v>
      </x:c>
      <x:c r="J1734" s="12" t="n">
        <x:v>0</x:v>
      </x:c>
      <x:c r="K1734" s="12" t="n">
        <x:v>0</x:v>
      </x:c>
      <x:c r="L1734" s="12" t="n">
        <x:v>0</x:v>
      </x:c>
      <x:c r="M1734" s="2" t="str">
        <x:v>持有</x:v>
      </x:c>
    </x:row>
    <x:row r="1735" ht="23" customHeight="1">
      <x:c r="A1735" s="11" t="d">
        <x:v>2021-11-12T00:00:00.000Z</x:v>
      </x:c>
      <x:c r="B1735" s="12" t="n">
        <x:v>16486.87206</x:v>
      </x:c>
      <x:c r="C1735" s="13" t="n">
        <x:v>484</x:v>
      </x:c>
      <x:c r="D1735" s="12" t="n">
        <x:v>226158.68</x:v>
      </x:c>
      <x:c r="E1735" s="12" t="n">
        <x:v>0</x:v>
      </x:c>
      <x:c r="F1735" s="12" t="n">
        <x:f>SUM(B1735,D1735:E1735)</x:f>
        <x:v>242645.55206</x:v>
      </x:c>
      <x:c r="G1735" s="12" t="n">
        <x:f>MAX(G1734,F1735)</x:f>
        <x:v>243448.99206</x:v>
      </x:c>
      <x:c r="H1735" s="14" t="n">
        <x:f>F1735/G1735-1</x:f>
        <x:v>-0.003300239582844422</x:v>
      </x:c>
      <x:c r="I1735" s="14" t="n">
        <x:f>F1735/F1734-1</x:f>
        <x:v>0.0070304589678600315</x:v>
      </x:c>
      <x:c r="J1735" s="12" t="n">
        <x:v>0</x:v>
      </x:c>
      <x:c r="K1735" s="12" t="n">
        <x:v>0</x:v>
      </x:c>
      <x:c r="L1735" s="12" t="n">
        <x:v>0</x:v>
      </x:c>
      <x:c r="M1735" s="2" t="str">
        <x:v>持有</x:v>
      </x:c>
    </x:row>
    <x:row r="1736" ht="23" customHeight="1">
      <x:c r="A1736" s="11" t="d">
        <x:v>2021-11-15T00:00:00.000Z</x:v>
      </x:c>
      <x:c r="B1736" s="12" t="n">
        <x:v>16486.87206</x:v>
      </x:c>
      <x:c r="C1736" s="13" t="n">
        <x:v>484</x:v>
      </x:c>
      <x:c r="D1736" s="12" t="n">
        <x:v>226236.12</x:v>
      </x:c>
      <x:c r="E1736" s="12" t="n">
        <x:v>0</x:v>
      </x:c>
      <x:c r="F1736" s="12" t="n">
        <x:f>SUM(B1736,D1736:E1736)</x:f>
        <x:v>242722.99206</x:v>
      </x:c>
      <x:c r="G1736" s="12" t="n">
        <x:f>MAX(G1735,F1736)</x:f>
        <x:v>243448.99206</x:v>
      </x:c>
      <x:c r="H1736" s="14" t="n">
        <x:f>F1736/G1736-1</x:f>
        <x:v>-0.0029821442013654442</x:v>
      </x:c>
      <x:c r="I1736" s="14" t="n">
        <x:f>F1736/F1735-1</x:f>
        <x:v>0.00031914864848148206</x:v>
      </x:c>
      <x:c r="J1736" s="12" t="n">
        <x:v>0</x:v>
      </x:c>
      <x:c r="K1736" s="12" t="n">
        <x:v>0</x:v>
      </x:c>
      <x:c r="L1736" s="12" t="n">
        <x:v>0</x:v>
      </x:c>
      <x:c r="M1736" s="2" t="str">
        <x:v>持有</x:v>
      </x:c>
    </x:row>
    <x:row r="1737" ht="23" customHeight="1">
      <x:c r="A1737" s="11" t="d">
        <x:v>2021-11-16T00:00:00.000Z</x:v>
      </x:c>
      <x:c r="B1737" s="12" t="n">
        <x:v>16486.87206</x:v>
      </x:c>
      <x:c r="C1737" s="13" t="n">
        <x:v>484</x:v>
      </x:c>
      <x:c r="D1737" s="12" t="n">
        <x:v>227131.52</x:v>
      </x:c>
      <x:c r="E1737" s="12" t="n">
        <x:v>0</x:v>
      </x:c>
      <x:c r="F1737" s="12" t="n">
        <x:f>SUM(B1737,D1737:E1737)</x:f>
        <x:v>243618.39205999998</x:v>
      </x:c>
      <x:c r="G1737" s="12" t="n">
        <x:f>MAX(G1736,F1737)</x:f>
        <x:v>243618.39205999998</x:v>
      </x:c>
      <x:c r="H1737" s="14" t="n">
        <x:f>F1737/G1737-1</x:f>
        <x:v>0</x:v>
      </x:c>
      <x:c r="I1737" s="14" t="n">
        <x:f>F1737/F1736-1</x:f>
        <x:v>0.003688978915432406</x:v>
      </x:c>
      <x:c r="J1737" s="12" t="n">
        <x:v>0</x:v>
      </x:c>
      <x:c r="K1737" s="12" t="n">
        <x:v>0</x:v>
      </x:c>
      <x:c r="L1737" s="12" t="n">
        <x:v>0</x:v>
      </x:c>
      <x:c r="M1737" s="2" t="str">
        <x:v>持有</x:v>
      </x:c>
    </x:row>
    <x:row r="1738" ht="23" customHeight="1">
      <x:c r="A1738" s="11" t="d">
        <x:v>2021-11-17T00:00:00.000Z</x:v>
      </x:c>
      <x:c r="B1738" s="12" t="n">
        <x:v>16486.87206</x:v>
      </x:c>
      <x:c r="C1738" s="13" t="n">
        <x:v>484</x:v>
      </x:c>
      <x:c r="D1738" s="12" t="n">
        <x:v>226579.75999999998</x:v>
      </x:c>
      <x:c r="E1738" s="12" t="n">
        <x:v>0</x:v>
      </x:c>
      <x:c r="F1738" s="12" t="n">
        <x:f>SUM(B1738,D1738:E1738)</x:f>
        <x:v>243066.63205999997</x:v>
      </x:c>
      <x:c r="G1738" s="12" t="n">
        <x:f>MAX(G1737,F1738)</x:f>
        <x:v>243618.39205999998</x:v>
      </x:c>
      <x:c r="H1738" s="14" t="n">
        <x:f>F1738/G1738-1</x:f>
        <x:v>-0.0022648536316753898</x:v>
      </x:c>
      <x:c r="I1738" s="14" t="n">
        <x:f>F1738/F1737-1</x:f>
        <x:v>-0.0022648536316753898</x:v>
      </x:c>
      <x:c r="J1738" s="12" t="n">
        <x:v>0</x:v>
      </x:c>
      <x:c r="K1738" s="12" t="n">
        <x:v>0</x:v>
      </x:c>
      <x:c r="L1738" s="12" t="n">
        <x:v>0</x:v>
      </x:c>
      <x:c r="M1738" s="2" t="str">
        <x:v>持有</x:v>
      </x:c>
    </x:row>
    <x:row r="1739" ht="23" customHeight="1">
      <x:c r="A1739" s="11" t="d">
        <x:v>2021-11-18T00:00:00.000Z</x:v>
      </x:c>
      <x:c r="B1739" s="12" t="n">
        <x:v>16486.87206</x:v>
      </x:c>
      <x:c r="C1739" s="13" t="n">
        <x:v>484</x:v>
      </x:c>
      <x:c r="D1739" s="12" t="n">
        <x:v>227349.32</x:v>
      </x:c>
      <x:c r="E1739" s="12" t="n">
        <x:v>0</x:v>
      </x:c>
      <x:c r="F1739" s="12" t="n">
        <x:f>SUM(B1739,D1739:E1739)</x:f>
        <x:v>243836.19206</x:v>
      </x:c>
      <x:c r="G1739" s="12" t="n">
        <x:f>MAX(G1738,F1739)</x:f>
        <x:v>243836.19206</x:v>
      </x:c>
      <x:c r="H1739" s="14" t="n">
        <x:f>F1739/G1739-1</x:f>
        <x:v>0</x:v>
      </x:c>
      <x:c r="I1739" s="14" t="n">
        <x:f>F1739/F1738-1</x:f>
        <x:v>0.003166045431567399</x:v>
      </x:c>
      <x:c r="J1739" s="12" t="n">
        <x:v>0</x:v>
      </x:c>
      <x:c r="K1739" s="12" t="n">
        <x:v>0</x:v>
      </x:c>
      <x:c r="L1739" s="12" t="n">
        <x:v>0</x:v>
      </x:c>
      <x:c r="M1739" s="2" t="str">
        <x:v>持有</x:v>
      </x:c>
    </x:row>
    <x:row r="1740" ht="23" customHeight="1">
      <x:c r="A1740" s="11" t="d">
        <x:v>2021-11-19T00:00:00.000Z</x:v>
      </x:c>
      <x:c r="B1740" s="12" t="n">
        <x:v>16486.87206</x:v>
      </x:c>
      <x:c r="C1740" s="13" t="n">
        <x:v>484</x:v>
      </x:c>
      <x:c r="D1740" s="12" t="n">
        <x:v>226942.75999999998</x:v>
      </x:c>
      <x:c r="E1740" s="12" t="n">
        <x:v>0</x:v>
      </x:c>
      <x:c r="F1740" s="12" t="n">
        <x:f>SUM(B1740,D1740:E1740)</x:f>
        <x:v>243429.63205999997</x:v>
      </x:c>
      <x:c r="G1740" s="12" t="n">
        <x:f>MAX(G1739,F1740)</x:f>
        <x:v>243836.19206</x:v>
      </x:c>
      <x:c r="H1740" s="14" t="n">
        <x:f>F1740/G1740-1</x:f>
        <x:v>-0.0016673488728858876</x:v>
      </x:c>
      <x:c r="I1740" s="14" t="n">
        <x:f>F1740/F1739-1</x:f>
        <x:v>-0.0016673488728858876</x:v>
      </x:c>
      <x:c r="J1740" s="12" t="n">
        <x:v>0</x:v>
      </x:c>
      <x:c r="K1740" s="12" t="n">
        <x:v>0</x:v>
      </x:c>
      <x:c r="L1740" s="12" t="n">
        <x:v>0</x:v>
      </x:c>
      <x:c r="M1740" s="2" t="str">
        <x:v>持有</x:v>
      </x:c>
    </x:row>
    <x:row r="1741" ht="23" customHeight="1">
      <x:c r="A1741" s="11" t="d">
        <x:v>2021-11-22T00:00:00.000Z</x:v>
      </x:c>
      <x:c r="B1741" s="12" t="n">
        <x:v>16486.87206</x:v>
      </x:c>
      <x:c r="C1741" s="13" t="n">
        <x:v>484</x:v>
      </x:c>
      <x:c r="D1741" s="12" t="n">
        <x:v>226303.88</x:v>
      </x:c>
      <x:c r="E1741" s="12" t="n">
        <x:v>0</x:v>
      </x:c>
      <x:c r="F1741" s="12" t="n">
        <x:f>SUM(B1741,D1741:E1741)</x:f>
        <x:v>242790.75206</x:v>
      </x:c>
      <x:c r="G1741" s="12" t="n">
        <x:f>MAX(G1740,F1741)</x:f>
        <x:v>243836.19206</x:v>
      </x:c>
      <x:c r="H1741" s="14" t="n">
        <x:f>F1741/G1741-1</x:f>
        <x:v>-0.004287468530277727</x:v>
      </x:c>
      <x:c r="I1741" s="14" t="n">
        <x:f>F1741/F1740-1</x:f>
        <x:v>-0.002624495607184363</x:v>
      </x:c>
      <x:c r="J1741" s="12" t="n">
        <x:v>0</x:v>
      </x:c>
      <x:c r="K1741" s="12" t="n">
        <x:v>0</x:v>
      </x:c>
      <x:c r="L1741" s="12" t="n">
        <x:v>0</x:v>
      </x:c>
      <x:c r="M1741" s="2" t="str">
        <x:v>持有</x:v>
      </x:c>
    </x:row>
    <x:row r="1742" ht="23" customHeight="1">
      <x:c r="A1742" s="11" t="d">
        <x:v>2021-11-23T00:00:00.000Z</x:v>
      </x:c>
      <x:c r="B1742" s="12" t="n">
        <x:v>16486.87206</x:v>
      </x:c>
      <x:c r="C1742" s="13" t="n">
        <x:v>484</x:v>
      </x:c>
      <x:c r="D1742" s="12" t="n">
        <x:v>226603.96</x:v>
      </x:c>
      <x:c r="E1742" s="12" t="n">
        <x:v>0</x:v>
      </x:c>
      <x:c r="F1742" s="12" t="n">
        <x:f>SUM(B1742,D1742:E1742)</x:f>
        <x:v>243090.83206</x:v>
      </x:c>
      <x:c r="G1742" s="12" t="n">
        <x:f>MAX(G1741,F1742)</x:f>
        <x:v>243836.19206</x:v>
      </x:c>
      <x:c r="H1742" s="14" t="n">
        <x:f>F1742/G1742-1</x:f>
        <x:v>-0.003056806266957368</x:v>
      </x:c>
      <x:c r="I1742" s="14" t="n">
        <x:f>F1742/F1741-1</x:f>
        <x:v>0.0012359614089658688</x:v>
      </x:c>
      <x:c r="J1742" s="12" t="n">
        <x:v>0</x:v>
      </x:c>
      <x:c r="K1742" s="12" t="n">
        <x:v>0</x:v>
      </x:c>
      <x:c r="L1742" s="12" t="n">
        <x:v>0</x:v>
      </x:c>
      <x:c r="M1742" s="2" t="str">
        <x:v>持有</x:v>
      </x:c>
    </x:row>
    <x:row r="1743" ht="23" customHeight="1">
      <x:c r="A1743" s="11" t="d">
        <x:v>2021-11-24T00:00:00.000Z</x:v>
      </x:c>
      <x:c r="B1743" s="12" t="n">
        <x:v>16486.87206</x:v>
      </x:c>
      <x:c r="C1743" s="13" t="n">
        <x:v>484</x:v>
      </x:c>
      <x:c r="D1743" s="12" t="n">
        <x:v>227208.96</x:v>
      </x:c>
      <x:c r="E1743" s="12" t="n">
        <x:v>0</x:v>
      </x:c>
      <x:c r="F1743" s="12" t="n">
        <x:f>SUM(B1743,D1743:E1743)</x:f>
        <x:v>243695.83206</x:v>
      </x:c>
      <x:c r="G1743" s="12" t="n">
        <x:f>MAX(G1742,F1743)</x:f>
        <x:v>243836.19206</x:v>
      </x:c>
      <x:c r="H1743" s="14" t="n">
        <x:f>F1743/G1743-1</x:f>
        <x:v>-0.0005756323489725101</x:v>
      </x:c>
      <x:c r="I1743" s="14" t="n">
        <x:f>F1743/F1742-1</x:f>
        <x:v>0.0024887816413030617</x:v>
      </x:c>
      <x:c r="J1743" s="12" t="n">
        <x:v>0</x:v>
      </x:c>
      <x:c r="K1743" s="12" t="n">
        <x:v>0</x:v>
      </x:c>
      <x:c r="L1743" s="12" t="n">
        <x:v>0</x:v>
      </x:c>
      <x:c r="M1743" s="2" t="str">
        <x:v>持有</x:v>
      </x:c>
    </x:row>
    <x:row r="1744" ht="23" customHeight="1">
      <x:c r="A1744" s="11" t="d">
        <x:v>2021-11-26T00:00:00.000Z</x:v>
      </x:c>
      <x:c r="B1744" s="12" t="n">
        <x:v>16486.87206</x:v>
      </x:c>
      <x:c r="C1744" s="13" t="n">
        <x:v>484</x:v>
      </x:c>
      <x:c r="D1744" s="12" t="n">
        <x:v>222141.48</x:v>
      </x:c>
      <x:c r="E1744" s="12" t="n">
        <x:v>0</x:v>
      </x:c>
      <x:c r="F1744" s="12" t="n">
        <x:f>SUM(B1744,D1744:E1744)</x:f>
        <x:v>238628.35206</x:v>
      </x:c>
      <x:c r="G1744" s="12" t="n">
        <x:f>MAX(G1743,F1744)</x:f>
        <x:v>243836.19206</x:v>
      </x:c>
      <x:c r="H1744" s="14" t="n">
        <x:f>F1744/G1744-1</x:f>
        <x:v>-0.021357945086012964</x:v>
      </x:c>
      <x:c r="I1744" s="14" t="n">
        <x:f>F1744/F1743-1</x:f>
        <x:v>-0.020794282598778024</x:v>
      </x:c>
      <x:c r="J1744" s="12" t="n">
        <x:v>0</x:v>
      </x:c>
      <x:c r="K1744" s="12" t="n">
        <x:v>0</x:v>
      </x:c>
      <x:c r="L1744" s="12" t="n">
        <x:v>0</x:v>
      </x:c>
      <x:c r="M1744" s="2" t="str">
        <x:v>持有</x:v>
      </x:c>
    </x:row>
    <x:row r="1745" ht="23" customHeight="1">
      <x:c r="A1745" s="11" t="d">
        <x:v>2021-11-29T00:00:00.000Z</x:v>
      </x:c>
      <x:c r="B1745" s="12" t="n">
        <x:v>16486.87206</x:v>
      </x:c>
      <x:c r="C1745" s="13" t="n">
        <x:v>484</x:v>
      </x:c>
      <x:c r="D1745" s="12" t="n">
        <x:v>224866.40000000002</x:v>
      </x:c>
      <x:c r="E1745" s="12" t="n">
        <x:v>0</x:v>
      </x:c>
      <x:c r="F1745" s="12" t="n">
        <x:f>SUM(B1745,D1745:E1745)</x:f>
        <x:v>241353.27206000002</x:v>
      </x:c>
      <x:c r="G1745" s="12" t="n">
        <x:f>MAX(G1744,F1745)</x:f>
        <x:v>243836.19206</x:v>
      </x:c>
      <x:c r="H1745" s="14" t="n">
        <x:f>F1745/G1745-1</x:f>
        <x:v>-0.010182737759409477</x:v>
      </x:c>
      <x:c r="I1745" s="14" t="n">
        <x:f>F1745/F1744-1</x:f>
        <x:v>0.011419095746489027</x:v>
      </x:c>
      <x:c r="J1745" s="12" t="n">
        <x:v>0</x:v>
      </x:c>
      <x:c r="K1745" s="12" t="n">
        <x:v>0</x:v>
      </x:c>
      <x:c r="L1745" s="12" t="n">
        <x:v>0</x:v>
      </x:c>
      <x:c r="M1745" s="2" t="str">
        <x:v>持有</x:v>
      </x:c>
    </x:row>
    <x:row r="1746" ht="23" customHeight="1">
      <x:c r="A1746" s="11" t="d">
        <x:v>2021-11-30T00:00:00.000Z</x:v>
      </x:c>
      <x:c r="B1746" s="12" t="n">
        <x:v>16486.87206</x:v>
      </x:c>
      <x:c r="C1746" s="13" t="n">
        <x:v>484</x:v>
      </x:c>
      <x:c r="D1746" s="12" t="n">
        <x:v>220491.04</x:v>
      </x:c>
      <x:c r="E1746" s="12" t="n">
        <x:v>0</x:v>
      </x:c>
      <x:c r="F1746" s="12" t="n">
        <x:f>SUM(B1746,D1746:E1746)</x:f>
        <x:v>236977.91206</x:v>
      </x:c>
      <x:c r="G1746" s="12" t="n">
        <x:f>MAX(G1745,F1746)</x:f>
        <x:v>243836.19206</x:v>
      </x:c>
      <x:c r="H1746" s="14" t="n">
        <x:f>F1746/G1746-1</x:f>
        <x:v>-0.028126587534275438</x:v>
      </x:c>
      <x:c r="I1746" s="14" t="n">
        <x:f>F1746/F1745-1</x:f>
        <x:v>-0.018128446996617975</x:v>
      </x:c>
      <x:c r="J1746" s="12" t="n">
        <x:v>0</x:v>
      </x:c>
      <x:c r="K1746" s="12" t="n">
        <x:v>0</x:v>
      </x:c>
      <x:c r="L1746" s="12" t="n">
        <x:v>0</x:v>
      </x:c>
      <x:c r="M1746" s="2" t="str">
        <x:v>持有</x:v>
      </x:c>
    </x:row>
    <x:row r="1747" ht="23" customHeight="1">
      <x:c r="A1747" s="11" t="d">
        <x:v>2021-12-01T00:00:00.000Z</x:v>
      </x:c>
      <x:c r="B1747" s="12" t="n">
        <x:v>16486.87206</x:v>
      </x:c>
      <x:c r="C1747" s="13" t="n">
        <x:v>484</x:v>
      </x:c>
      <x:c r="D1747" s="12" t="n">
        <x:v>218042</x:v>
      </x:c>
      <x:c r="E1747" s="12" t="n">
        <x:v>0</x:v>
      </x:c>
      <x:c r="F1747" s="12" t="n">
        <x:f>SUM(B1747,D1747:E1747)</x:f>
        <x:v>234528.87206</x:v>
      </x:c>
      <x:c r="G1747" s="12" t="n">
        <x:f>MAX(G1746,F1747)</x:f>
        <x:v>243836.19206</x:v>
      </x:c>
      <x:c r="H1747" s="14" t="n">
        <x:f>F1747/G1747-1</x:f>
        <x:v>-0.03817037955427793</x:v>
      </x:c>
      <x:c r="I1747" s="14" t="n">
        <x:f>F1747/F1746-1</x:f>
        <x:v>-0.01033446526180859</x:v>
      </x:c>
      <x:c r="J1747" s="12" t="n">
        <x:v>0</x:v>
      </x:c>
      <x:c r="K1747" s="12" t="n">
        <x:v>0</x:v>
      </x:c>
      <x:c r="L1747" s="12" t="n">
        <x:v>0</x:v>
      </x:c>
      <x:c r="M1747" s="2" t="str">
        <x:v>持有</x:v>
      </x:c>
    </x:row>
    <x:row r="1748" ht="23" customHeight="1">
      <x:c r="A1748" s="11" t="d">
        <x:v>2021-12-02T00:00:00.000Z</x:v>
      </x:c>
      <x:c r="B1748" s="12" t="n">
        <x:v>16486.87206</x:v>
      </x:c>
      <x:c r="C1748" s="13" t="n">
        <x:v>484</x:v>
      </x:c>
      <x:c r="D1748" s="12" t="n">
        <x:v>221381.59999999998</x:v>
      </x:c>
      <x:c r="E1748" s="12" t="n">
        <x:v>0</x:v>
      </x:c>
      <x:c r="F1748" s="12" t="n">
        <x:f>SUM(B1748,D1748:E1748)</x:f>
        <x:v>237868.47205999997</x:v>
      </x:c>
      <x:c r="G1748" s="12" t="n">
        <x:f>MAX(G1747,F1748)</x:f>
        <x:v>243836.19206</x:v>
      </x:c>
      <x:c r="H1748" s="14" t="n">
        <x:f>F1748/G1748-1</x:f>
        <x:v>-0.024474299527001975</x:v>
      </x:c>
      <x:c r="I1748" s="14" t="n">
        <x:f>F1748/F1747-1</x:f>
        <x:v>0.014239611399084362</x:v>
      </x:c>
      <x:c r="J1748" s="12" t="n">
        <x:v>0</x:v>
      </x:c>
      <x:c r="K1748" s="12" t="n">
        <x:v>0</x:v>
      </x:c>
      <x:c r="L1748" s="12" t="n">
        <x:v>0</x:v>
      </x:c>
      <x:c r="M1748" s="2" t="str">
        <x:v>持有</x:v>
      </x:c>
    </x:row>
    <x:row r="1749" ht="23" customHeight="1">
      <x:c r="A1749" s="11" t="d">
        <x:v>2021-12-03T00:00:00.000Z</x:v>
      </x:c>
      <x:c r="B1749" s="12" t="n">
        <x:v>16486.87206</x:v>
      </x:c>
      <x:c r="C1749" s="13" t="n">
        <x:v>484</x:v>
      </x:c>
      <x:c r="D1749" s="12" t="n">
        <x:v>219455.28</x:v>
      </x:c>
      <x:c r="E1749" s="12" t="n">
        <x:v>0</x:v>
      </x:c>
      <x:c r="F1749" s="12" t="n">
        <x:f>SUM(B1749,D1749:E1749)</x:f>
        <x:v>235942.15206</x:v>
      </x:c>
      <x:c r="G1749" s="12" t="n">
        <x:f>MAX(G1748,F1749)</x:f>
        <x:v>243836.19206</x:v>
      </x:c>
      <x:c r="H1749" s="14" t="n">
        <x:f>F1749/G1749-1</x:f>
        <x:v>-0.03237435728186544</x:v>
      </x:c>
      <x:c r="I1749" s="14" t="n">
        <x:f>F1749/F1748-1</x:f>
        <x:v>-0.008098256920379465</x:v>
      </x:c>
      <x:c r="J1749" s="12" t="n">
        <x:v>0</x:v>
      </x:c>
      <x:c r="K1749" s="12" t="n">
        <x:v>0</x:v>
      </x:c>
      <x:c r="L1749" s="12" t="n">
        <x:v>0</x:v>
      </x:c>
      <x:c r="M1749" s="2" t="str">
        <x:v>持有</x:v>
      </x:c>
    </x:row>
    <x:row r="1750" ht="23" customHeight="1">
      <x:c r="A1750" s="11" t="d">
        <x:v>2021-12-06T00:00:00.000Z</x:v>
      </x:c>
      <x:c r="B1750" s="12" t="n">
        <x:v>16486.87206</x:v>
      </x:c>
      <x:c r="C1750" s="13" t="n">
        <x:v>484</x:v>
      </x:c>
      <x:c r="D1750" s="12" t="n">
        <x:v>222054.36000000002</x:v>
      </x:c>
      <x:c r="E1750" s="12" t="n">
        <x:v>0</x:v>
      </x:c>
      <x:c r="F1750" s="12" t="n">
        <x:f>SUM(B1750,D1750:E1750)</x:f>
        <x:v>238541.23206</x:v>
      </x:c>
      <x:c r="G1750" s="12" t="n">
        <x:f>MAX(G1749,F1750)</x:f>
        <x:v>243836.19206</x:v>
      </x:c>
      <x:c r="H1750" s="14" t="n">
        <x:f>F1750/G1750-1</x:f>
        <x:v>-0.02171523413020282</x:v>
      </x:c>
      <x:c r="I1750" s="14" t="n">
        <x:f>F1750/F1749-1</x:f>
        <x:v>0.011015751010608144</x:v>
      </x:c>
      <x:c r="J1750" s="12" t="n">
        <x:v>0</x:v>
      </x:c>
      <x:c r="K1750" s="12" t="n">
        <x:v>0</x:v>
      </x:c>
      <x:c r="L1750" s="12" t="n">
        <x:v>0</x:v>
      </x:c>
      <x:c r="M1750" s="2" t="str">
        <x:v>持有</x:v>
      </x:c>
    </x:row>
    <x:row r="1751" ht="23" customHeight="1">
      <x:c r="A1751" s="11" t="d">
        <x:v>2021-12-07T00:00:00.000Z</x:v>
      </x:c>
      <x:c r="B1751" s="12" t="n">
        <x:v>16486.87206</x:v>
      </x:c>
      <x:c r="C1751" s="13" t="n">
        <x:v>484</x:v>
      </x:c>
      <x:c r="D1751" s="12" t="n">
        <x:v>226647.52</x:v>
      </x:c>
      <x:c r="E1751" s="12" t="n">
        <x:v>0</x:v>
      </x:c>
      <x:c r="F1751" s="12" t="n">
        <x:f>SUM(B1751,D1751:E1751)</x:f>
        <x:v>243134.39205999998</x:v>
      </x:c>
      <x:c r="G1751" s="12" t="n">
        <x:f>MAX(G1750,F1751)</x:f>
        <x:v>243836.19206</x:v>
      </x:c>
      <x:c r="H1751" s="14" t="n">
        <x:f>F1751/G1751-1</x:f>
        <x:v>-0.0028781617448624397</x:v>
      </x:c>
      <x:c r="I1751" s="14" t="n">
        <x:f>F1751/F1750-1</x:f>
        <x:v>0.019255203640621277</x:v>
      </x:c>
      <x:c r="J1751" s="12" t="n">
        <x:v>0</x:v>
      </x:c>
      <x:c r="K1751" s="12" t="n">
        <x:v>0</x:v>
      </x:c>
      <x:c r="L1751" s="12" t="n">
        <x:v>0</x:v>
      </x:c>
      <x:c r="M1751" s="2" t="str">
        <x:v>持有</x:v>
      </x:c>
    </x:row>
    <x:row r="1752" ht="23" customHeight="1">
      <x:c r="A1752" s="11" t="d">
        <x:v>2021-12-08T00:00:00.000Z</x:v>
      </x:c>
      <x:c r="B1752" s="12" t="n">
        <x:v>16486.87206</x:v>
      </x:c>
      <x:c r="C1752" s="13" t="n">
        <x:v>484</x:v>
      </x:c>
      <x:c r="D1752" s="12" t="n">
        <x:v>227247.68</x:v>
      </x:c>
      <x:c r="E1752" s="12" t="n">
        <x:v>0</x:v>
      </x:c>
      <x:c r="F1752" s="12" t="n">
        <x:f>SUM(B1752,D1752:E1752)</x:f>
        <x:v>243734.55206</x:v>
      </x:c>
      <x:c r="G1752" s="12" t="n">
        <x:f>MAX(G1751,F1752)</x:f>
        <x:v>243836.19206</x:v>
      </x:c>
      <x:c r="H1752" s="14" t="n">
        <x:f>F1752/G1752-1</x:f>
        <x:v>-0.00041683721822149966</x:v>
      </x:c>
      <x:c r="I1752" s="14" t="n">
        <x:f>F1752/F1751-1</x:f>
        <x:v>0.0024684290647449814</x:v>
      </x:c>
      <x:c r="J1752" s="12" t="n">
        <x:v>0</x:v>
      </x:c>
      <x:c r="K1752" s="12" t="n">
        <x:v>0</x:v>
      </x:c>
      <x:c r="L1752" s="12" t="n">
        <x:v>0</x:v>
      </x:c>
      <x:c r="M1752" s="2" t="str">
        <x:v>持有</x:v>
      </x:c>
    </x:row>
    <x:row r="1753" ht="23" customHeight="1">
      <x:c r="A1753" s="11" t="d">
        <x:v>2021-12-09T00:00:00.000Z</x:v>
      </x:c>
      <x:c r="B1753" s="12" t="n">
        <x:v>16486.87206</x:v>
      </x:c>
      <x:c r="C1753" s="13" t="n">
        <x:v>484</x:v>
      </x:c>
      <x:c r="D1753" s="12" t="n">
        <x:v>225713.40000000002</x:v>
      </x:c>
      <x:c r="E1753" s="12" t="n">
        <x:v>0</x:v>
      </x:c>
      <x:c r="F1753" s="12" t="n">
        <x:f>SUM(B1753,D1753:E1753)</x:f>
        <x:v>242200.27206000002</x:v>
      </x:c>
      <x:c r="G1753" s="12" t="n">
        <x:f>MAX(G1752,F1753)</x:f>
        <x:v>243836.19206</x:v>
      </x:c>
      <x:c r="H1753" s="14" t="n">
        <x:f>F1753/G1753-1</x:f>
        <x:v>-0.006709094274230831</x:v>
      </x:c>
      <x:c r="I1753" s="14" t="n">
        <x:f>F1753/F1752-1</x:f>
        <x:v>-0.006294880996692953</x:v>
      </x:c>
      <x:c r="J1753" s="12" t="n">
        <x:v>0</x:v>
      </x:c>
      <x:c r="K1753" s="12" t="n">
        <x:v>0</x:v>
      </x:c>
      <x:c r="L1753" s="12" t="n">
        <x:v>0</x:v>
      </x:c>
      <x:c r="M1753" s="2" t="str">
        <x:v>持有</x:v>
      </x:c>
    </x:row>
    <x:row r="1754" ht="23" customHeight="1">
      <x:c r="A1754" s="11" t="d">
        <x:v>2021-12-10T00:00:00.000Z</x:v>
      </x:c>
      <x:c r="B1754" s="12" t="n">
        <x:v>16486.87206</x:v>
      </x:c>
      <x:c r="C1754" s="13" t="n">
        <x:v>484</x:v>
      </x:c>
      <x:c r="D1754" s="12" t="n">
        <x:v>227838.16</x:v>
      </x:c>
      <x:c r="E1754" s="12" t="n">
        <x:v>0</x:v>
      </x:c>
      <x:c r="F1754" s="12" t="n">
        <x:f>SUM(B1754,D1754:E1754)</x:f>
        <x:v>244325.03206</x:v>
      </x:c>
      <x:c r="G1754" s="12" t="n">
        <x:f>MAX(G1753,F1754)</x:f>
        <x:v>244325.03206</x:v>
      </x:c>
      <x:c r="H1754" s="14" t="n">
        <x:f>F1754/G1754-1</x:f>
        <x:v>0</x:v>
      </x:c>
      <x:c r="I1754" s="14" t="n">
        <x:f>F1754/F1753-1</x:f>
        <x:v>0.008772739939258312</x:v>
      </x:c>
      <x:c r="J1754" s="12" t="n">
        <x:v>0</x:v>
      </x:c>
      <x:c r="K1754" s="12" t="n">
        <x:v>0</x:v>
      </x:c>
      <x:c r="L1754" s="12" t="n">
        <x:v>0</x:v>
      </x:c>
      <x:c r="M1754" s="2" t="str">
        <x:v>持有</x:v>
      </x:c>
    </x:row>
    <x:row r="1755" ht="23" customHeight="1">
      <x:c r="A1755" s="11" t="d">
        <x:v>2021-12-13T00:00:00.000Z</x:v>
      </x:c>
      <x:c r="B1755" s="12" t="n">
        <x:v>16486.87206</x:v>
      </x:c>
      <x:c r="C1755" s="13" t="n">
        <x:v>484</x:v>
      </x:c>
      <x:c r="D1755" s="12" t="n">
        <x:v>225819.88</x:v>
      </x:c>
      <x:c r="E1755" s="12" t="n">
        <x:v>0</x:v>
      </x:c>
      <x:c r="F1755" s="12" t="n">
        <x:f>SUM(B1755,D1755:E1755)</x:f>
        <x:v>242306.75206</x:v>
      </x:c>
      <x:c r="G1755" s="12" t="n">
        <x:f>MAX(G1754,F1755)</x:f>
        <x:v>244325.03206</x:v>
      </x:c>
      <x:c r="H1755" s="14" t="n">
        <x:f>F1755/G1755-1</x:f>
        <x:v>-0.008260635363405378</x:v>
      </x:c>
      <x:c r="I1755" s="14" t="n">
        <x:f>F1755/F1754-1</x:f>
        <x:v>-0.008260635363405378</x:v>
      </x:c>
      <x:c r="J1755" s="12" t="n">
        <x:v>0</x:v>
      </x:c>
      <x:c r="K1755" s="12" t="n">
        <x:v>0</x:v>
      </x:c>
      <x:c r="L1755" s="12" t="n">
        <x:v>0</x:v>
      </x:c>
      <x:c r="M1755" s="2" t="str">
        <x:v>持有</x:v>
      </x:c>
    </x:row>
    <x:row r="1756" ht="23" customHeight="1">
      <x:c r="A1756" s="11" t="d">
        <x:v>2021-12-14T00:00:00.000Z</x:v>
      </x:c>
      <x:c r="B1756" s="12" t="n">
        <x:v>16486.87206</x:v>
      </x:c>
      <x:c r="C1756" s="13" t="n">
        <x:v>484</x:v>
      </x:c>
      <x:c r="D1756" s="12" t="n">
        <x:v>224266.24000000002</x:v>
      </x:c>
      <x:c r="E1756" s="12" t="n">
        <x:v>0</x:v>
      </x:c>
      <x:c r="F1756" s="12" t="n">
        <x:f>SUM(B1756,D1756:E1756)</x:f>
        <x:v>240753.11206</x:v>
      </x:c>
      <x:c r="G1756" s="12" t="n">
        <x:f>MAX(G1755,F1756)</x:f>
        <x:v>244325.03206</x:v>
      </x:c>
      <x:c r="H1756" s="14" t="n">
        <x:f>F1756/G1756-1</x:f>
        <x:v>-0.014619541722285745</x:v>
      </x:c>
      <x:c r="I1756" s="14" t="n">
        <x:f>F1756/F1755-1</x:f>
        <x:v>-0.006411872499596183</x:v>
      </x:c>
      <x:c r="J1756" s="12" t="n">
        <x:v>0</x:v>
      </x:c>
      <x:c r="K1756" s="12" t="n">
        <x:v>0</x:v>
      </x:c>
      <x:c r="L1756" s="12" t="n">
        <x:v>0</x:v>
      </x:c>
      <x:c r="M1756" s="2" t="str">
        <x:v>持有</x:v>
      </x:c>
    </x:row>
    <x:row r="1757" ht="23" customHeight="1">
      <x:c r="A1757" s="11" t="d">
        <x:v>2021-12-15T00:00:00.000Z</x:v>
      </x:c>
      <x:c r="B1757" s="12" t="n">
        <x:v>16486.87206</x:v>
      </x:c>
      <x:c r="C1757" s="13" t="n">
        <x:v>484</x:v>
      </x:c>
      <x:c r="D1757" s="12" t="n">
        <x:v>227770.40000000002</x:v>
      </x:c>
      <x:c r="E1757" s="12" t="n">
        <x:v>0</x:v>
      </x:c>
      <x:c r="F1757" s="12" t="n">
        <x:f>SUM(B1757,D1757:E1757)</x:f>
        <x:v>244257.27206000002</x:v>
      </x:c>
      <x:c r="G1757" s="12" t="n">
        <x:f>MAX(G1756,F1757)</x:f>
        <x:v>244325.03206</x:v>
      </x:c>
      <x:c r="H1757" s="14" t="n">
        <x:f>F1757/G1757-1</x:f>
        <x:v>-0.000277335479826446</x:v>
      </x:c>
      <x:c r="I1757" s="14" t="n">
        <x:f>F1757/F1756-1</x:f>
        <x:v>0.014554993578345554</x:v>
      </x:c>
      <x:c r="J1757" s="12" t="n">
        <x:v>0</x:v>
      </x:c>
      <x:c r="K1757" s="12" t="n">
        <x:v>0</x:v>
      </x:c>
      <x:c r="L1757" s="12" t="n">
        <x:v>0</x:v>
      </x:c>
      <x:c r="M1757" s="2" t="str">
        <x:v>持有</x:v>
      </x:c>
    </x:row>
    <x:row r="1758" ht="23" customHeight="1">
      <x:c r="A1758" s="11" t="d">
        <x:v>2021-12-16T00:00:00.000Z</x:v>
      </x:c>
      <x:c r="B1758" s="12" t="n">
        <x:v>16486.87206</x:v>
      </x:c>
      <x:c r="C1758" s="13" t="n">
        <x:v>484</x:v>
      </x:c>
      <x:c r="D1758" s="12" t="n">
        <x:v>225761.8</x:v>
      </x:c>
      <x:c r="E1758" s="12" t="n">
        <x:v>0</x:v>
      </x:c>
      <x:c r="F1758" s="12" t="n">
        <x:f>SUM(B1758,D1758:E1758)</x:f>
        <x:v>242248.67205999998</x:v>
      </x:c>
      <x:c r="G1758" s="12" t="n">
        <x:f>MAX(G1757,F1758)</x:f>
        <x:v>244325.03206</x:v>
      </x:c>
      <x:c r="H1758" s="14" t="n">
        <x:f>F1758/G1758-1</x:f>
        <x:v>-0.008498351488971156</x:v>
      </x:c>
      <x:c r="I1758" s="14" t="n">
        <x:f>F1758/F1757-1</x:f>
        <x:v>-0.008223296621058807</x:v>
      </x:c>
      <x:c r="J1758" s="12" t="n">
        <x:v>0</x:v>
      </x:c>
      <x:c r="K1758" s="12" t="n">
        <x:v>0</x:v>
      </x:c>
      <x:c r="L1758" s="12" t="n">
        <x:v>0</x:v>
      </x:c>
      <x:c r="M1758" s="2" t="str">
        <x:v>持有</x:v>
      </x:c>
    </x:row>
    <x:row r="1759" ht="23" customHeight="1">
      <x:c r="A1759" s="11" t="d">
        <x:v>2021-12-17T00:00:00.000Z</x:v>
      </x:c>
      <x:c r="B1759" s="12" t="n">
        <x:v>16486.87206</x:v>
      </x:c>
      <x:c r="C1759" s="13" t="n">
        <x:v>484</x:v>
      </x:c>
      <x:c r="D1759" s="12" t="n">
        <x:v>222577.08000000002</x:v>
      </x:c>
      <x:c r="E1759" s="12" t="n">
        <x:v>792.032604</x:v>
      </x:c>
      <x:c r="F1759" s="12" t="n">
        <x:f>SUM(B1759,D1759:E1759)</x:f>
        <x:v>239855.98466400002</x:v>
      </x:c>
      <x:c r="G1759" s="12" t="n">
        <x:f>MAX(G1758,F1759)</x:f>
        <x:v>244325.03206</x:v>
      </x:c>
      <x:c r="H1759" s="14" t="n">
        <x:f>F1759/G1759-1</x:f>
        <x:v>-0.01829140206519031</x:v>
      </x:c>
      <x:c r="I1759" s="14" t="n">
        <x:f>F1759/F1758-1</x:f>
        <x:v>-0.00987698869782594</x:v>
      </x:c>
      <x:c r="J1759" s="12" t="n">
        <x:v>792.032604</x:v>
      </x:c>
      <x:c r="K1759" s="12" t="n">
        <x:v>0</x:v>
      </x:c>
      <x:c r="L1759" s="12" t="n">
        <x:v>0</x:v>
      </x:c>
      <x:c r="M1759" s="2" t="str">
        <x:v>持有</x:v>
      </x:c>
    </x:row>
    <x:row r="1760" ht="23" customHeight="1">
      <x:c r="A1760" s="11" t="d">
        <x:v>2021-12-20T00:00:00.000Z</x:v>
      </x:c>
      <x:c r="B1760" s="12" t="n">
        <x:v>16486.87206</x:v>
      </x:c>
      <x:c r="C1760" s="13" t="n">
        <x:v>484</x:v>
      </x:c>
      <x:c r="D1760" s="12" t="n">
        <x:v>220210.32</x:v>
      </x:c>
      <x:c r="E1760" s="12" t="n">
        <x:v>792.032604</x:v>
      </x:c>
      <x:c r="F1760" s="12" t="n">
        <x:f>SUM(B1760,D1760:E1760)</x:f>
        <x:v>237489.224664</x:v>
      </x:c>
      <x:c r="G1760" s="12" t="n">
        <x:f>MAX(G1759,F1760)</x:f>
        <x:v>244325.03206</x:v>
      </x:c>
      <x:c r="H1760" s="14" t="n">
        <x:f>F1760/G1760-1</x:f>
        <x:v>-0.027978334181989584</x:v>
      </x:c>
      <x:c r="I1760" s="14" t="n">
        <x:f>F1760/F1759-1</x:f>
        <x:v>-0.009867421083178174</x:v>
      </x:c>
      <x:c r="J1760" s="12" t="n">
        <x:v>0</x:v>
      </x:c>
      <x:c r="K1760" s="12" t="n">
        <x:v>0</x:v>
      </x:c>
      <x:c r="L1760" s="12" t="n">
        <x:v>0</x:v>
      </x:c>
      <x:c r="M1760" s="2" t="str">
        <x:v>持有</x:v>
      </x:c>
    </x:row>
    <x:row r="1761" ht="23" customHeight="1">
      <x:c r="A1761" s="11" t="d">
        <x:v>2021-12-21T00:00:00.000Z</x:v>
      </x:c>
      <x:c r="B1761" s="12" t="n">
        <x:v>16486.87206</x:v>
      </x:c>
      <x:c r="C1761" s="13" t="n">
        <x:v>484</x:v>
      </x:c>
      <x:c r="D1761" s="12" t="n">
        <x:v>224121.04</x:v>
      </x:c>
      <x:c r="E1761" s="12" t="n">
        <x:v>792.032604</x:v>
      </x:c>
      <x:c r="F1761" s="12" t="n">
        <x:f>SUM(B1761,D1761:E1761)</x:f>
        <x:v>241399.944664</x:v>
      </x:c>
      <x:c r="G1761" s="12" t="n">
        <x:f>MAX(G1760,F1761)</x:f>
        <x:v>244325.03206</x:v>
      </x:c>
      <x:c r="H1761" s="14" t="n">
        <x:f>F1761/G1761-1</x:f>
        <x:v>-0.011972115060570832</x:v>
      </x:c>
      <x:c r="I1761" s="14" t="n">
        <x:f>F1761/F1760-1</x:f>
        <x:v>0.01646693657589271</x:v>
      </x:c>
      <x:c r="J1761" s="12" t="n">
        <x:v>0</x:v>
      </x:c>
      <x:c r="K1761" s="12" t="n">
        <x:v>0</x:v>
      </x:c>
      <x:c r="L1761" s="12" t="n">
        <x:v>0</x:v>
      </x:c>
      <x:c r="M1761" s="2" t="str">
        <x:v>持有</x:v>
      </x:c>
    </x:row>
    <x:row r="1762" ht="23" customHeight="1">
      <x:c r="A1762" s="11" t="d">
        <x:v>2021-12-22T00:00:00.000Z</x:v>
      </x:c>
      <x:c r="B1762" s="12" t="n">
        <x:v>16486.87206</x:v>
      </x:c>
      <x:c r="C1762" s="13" t="n">
        <x:v>484</x:v>
      </x:c>
      <x:c r="D1762" s="12" t="n">
        <x:v>226361.96</x:v>
      </x:c>
      <x:c r="E1762" s="12" t="n">
        <x:v>792.032604</x:v>
      </x:c>
      <x:c r="F1762" s="12" t="n">
        <x:f>SUM(B1762,D1762:E1762)</x:f>
        <x:v>243640.864664</x:v>
      </x:c>
      <x:c r="G1762" s="12" t="n">
        <x:f>MAX(G1761,F1762)</x:f>
        <x:v>244325.03206</x:v>
      </x:c>
      <x:c r="H1762" s="14" t="n">
        <x:f>F1762/G1762-1</x:f>
        <x:v>-0.0028002345491640046</x:v>
      </x:c>
      <x:c r="I1762" s="14" t="n">
        <x:f>F1762/F1761-1</x:f>
        <x:v>0.009283017869449406</x:v>
      </x:c>
      <x:c r="J1762" s="12" t="n">
        <x:v>0</x:v>
      </x:c>
      <x:c r="K1762" s="12" t="n">
        <x:v>0</x:v>
      </x:c>
      <x:c r="L1762" s="12" t="n">
        <x:v>0</x:v>
      </x:c>
      <x:c r="M1762" s="2" t="str">
        <x:v>持有</x:v>
      </x:c>
    </x:row>
    <x:row r="1763" ht="23" customHeight="1">
      <x:c r="A1763" s="11" t="d">
        <x:v>2021-12-23T00:00:00.000Z</x:v>
      </x:c>
      <x:c r="B1763" s="12" t="n">
        <x:v>16486.87206</x:v>
      </x:c>
      <x:c r="C1763" s="13" t="n">
        <x:v>484</x:v>
      </x:c>
      <x:c r="D1763" s="12" t="n">
        <x:v>227770.40000000002</x:v>
      </x:c>
      <x:c r="E1763" s="12" t="n">
        <x:v>792.032604</x:v>
      </x:c>
      <x:c r="F1763" s="12" t="n">
        <x:f>SUM(B1763,D1763:E1763)</x:f>
        <x:v>245049.30466400002</x:v>
      </x:c>
      <x:c r="G1763" s="12" t="n">
        <x:f>MAX(G1762,F1763)</x:f>
        <x:v>245049.30466400002</x:v>
      </x:c>
      <x:c r="H1763" s="14" t="n">
        <x:f>F1763/G1763-1</x:f>
        <x:v>0</x:v>
      </x:c>
      <x:c r="I1763" s="14" t="n">
        <x:f>F1763/F1762-1</x:f>
        <x:v>0.005780803651072253</x:v>
      </x:c>
      <x:c r="J1763" s="12" t="n">
        <x:v>0</x:v>
      </x:c>
      <x:c r="K1763" s="12" t="n">
        <x:v>0</x:v>
      </x:c>
      <x:c r="L1763" s="12" t="n">
        <x:v>0</x:v>
      </x:c>
      <x:c r="M1763" s="2" t="str">
        <x:v>持有</x:v>
      </x:c>
    </x:row>
    <x:row r="1764" ht="23" customHeight="1">
      <x:c r="A1764" s="11" t="d">
        <x:v>2021-12-27T00:00:00.000Z</x:v>
      </x:c>
      <x:c r="B1764" s="12" t="n">
        <x:v>16486.87206</x:v>
      </x:c>
      <x:c r="C1764" s="13" t="n">
        <x:v>484</x:v>
      </x:c>
      <x:c r="D1764" s="12" t="n">
        <x:v>230993.84</x:v>
      </x:c>
      <x:c r="E1764" s="12" t="n">
        <x:v>792.032604</x:v>
      </x:c>
      <x:c r="F1764" s="12" t="n">
        <x:f>SUM(B1764,D1764:E1764)</x:f>
        <x:v>248272.744664</x:v>
      </x:c>
      <x:c r="G1764" s="12" t="n">
        <x:f>MAX(G1763,F1764)</x:f>
        <x:v>248272.744664</x:v>
      </x:c>
      <x:c r="H1764" s="14" t="n">
        <x:f>F1764/G1764-1</x:f>
        <x:v>0</x:v>
      </x:c>
      <x:c r="I1764" s="14" t="n">
        <x:f>F1764/F1763-1</x:f>
        <x:v>0.013154250751373553</x:v>
      </x:c>
      <x:c r="J1764" s="12" t="n">
        <x:v>0</x:v>
      </x:c>
      <x:c r="K1764" s="12" t="n">
        <x:v>0</x:v>
      </x:c>
      <x:c r="L1764" s="12" t="n">
        <x:v>0</x:v>
      </x:c>
      <x:c r="M1764" s="2" t="str">
        <x:v>持有</x:v>
      </x:c>
    </x:row>
    <x:row r="1765" ht="23" customHeight="1">
      <x:c r="A1765" s="11" t="d">
        <x:v>2021-12-28T00:00:00.000Z</x:v>
      </x:c>
      <x:c r="B1765" s="12" t="n">
        <x:v>16486.87206</x:v>
      </x:c>
      <x:c r="C1765" s="13" t="n">
        <x:v>484</x:v>
      </x:c>
      <x:c r="D1765" s="12" t="n">
        <x:v>230805.08000000002</x:v>
      </x:c>
      <x:c r="E1765" s="12" t="n">
        <x:v>792.032604</x:v>
      </x:c>
      <x:c r="F1765" s="12" t="n">
        <x:f>SUM(B1765,D1765:E1765)</x:f>
        <x:v>248083.98466400002</x:v>
      </x:c>
      <x:c r="G1765" s="12" t="n">
        <x:f>MAX(G1764,F1765)</x:f>
        <x:v>248272.744664</x:v>
      </x:c>
      <x:c r="H1765" s="14" t="n">
        <x:f>F1765/G1765-1</x:f>
        <x:v>-0.0007602928797336705</x:v>
      </x:c>
      <x:c r="I1765" s="14" t="n">
        <x:f>F1765/F1764-1</x:f>
        <x:v>-0.0007602928797336705</x:v>
      </x:c>
      <x:c r="J1765" s="12" t="n">
        <x:v>0</x:v>
      </x:c>
      <x:c r="K1765" s="12" t="n">
        <x:v>0</x:v>
      </x:c>
      <x:c r="L1765" s="12" t="n">
        <x:v>0</x:v>
      </x:c>
      <x:c r="M1765" s="2" t="str">
        <x:v>持有</x:v>
      </x:c>
    </x:row>
    <x:row r="1766" ht="23" customHeight="1">
      <x:c r="A1766" s="11" t="d">
        <x:v>2021-12-29T00:00:00.000Z</x:v>
      </x:c>
      <x:c r="B1766" s="12" t="n">
        <x:v>16486.87206</x:v>
      </x:c>
      <x:c r="C1766" s="13" t="n">
        <x:v>484</x:v>
      </x:c>
      <x:c r="D1766" s="12" t="n">
        <x:v>231100.32</x:v>
      </x:c>
      <x:c r="E1766" s="12" t="n">
        <x:v>792.032604</x:v>
      </x:c>
      <x:c r="F1766" s="12" t="n">
        <x:f>SUM(B1766,D1766:E1766)</x:f>
        <x:v>248379.224664</x:v>
      </x:c>
      <x:c r="G1766" s="12" t="n">
        <x:f>MAX(G1765,F1766)</x:f>
        <x:v>248379.224664</x:v>
      </x:c>
      <x:c r="H1766" s="14" t="n">
        <x:f>F1766/G1766-1</x:f>
        <x:v>0</x:v>
      </x:c>
      <x:c r="I1766" s="14" t="n">
        <x:f>F1766/F1765-1</x:f>
        <x:v>0.0011900808526590367</x:v>
      </x:c>
      <x:c r="J1766" s="12" t="n">
        <x:v>0</x:v>
      </x:c>
      <x:c r="K1766" s="12" t="n">
        <x:v>0</x:v>
      </x:c>
      <x:c r="L1766" s="12" t="n">
        <x:v>0</x:v>
      </x:c>
      <x:c r="M1766" s="2" t="str">
        <x:v>持有</x:v>
      </x:c>
    </x:row>
    <x:row r="1767" ht="23" customHeight="1">
      <x:c r="A1767" s="11" t="d">
        <x:v>2021-12-30T00:00:00.000Z</x:v>
      </x:c>
      <x:c r="B1767" s="12" t="n">
        <x:v>16486.87206</x:v>
      </x:c>
      <x:c r="C1767" s="13" t="n">
        <x:v>484</x:v>
      </x:c>
      <x:c r="D1767" s="12" t="n">
        <x:v>230461.44</x:v>
      </x:c>
      <x:c r="E1767" s="12" t="n">
        <x:v>792.032604</x:v>
      </x:c>
      <x:c r="F1767" s="12" t="n">
        <x:f>SUM(B1767,D1767:E1767)</x:f>
        <x:v>247740.344664</x:v>
      </x:c>
      <x:c r="G1767" s="12" t="n">
        <x:f>MAX(G1766,F1767)</x:f>
        <x:v>248379.224664</x:v>
      </x:c>
      <x:c r="H1767" s="14" t="n">
        <x:f>F1767/G1767-1</x:f>
        <x:v>-0.002572195806087474</x:v>
      </x:c>
      <x:c r="I1767" s="14" t="n">
        <x:f>F1767/F1766-1</x:f>
        <x:v>-0.002572195806087474</x:v>
      </x:c>
      <x:c r="J1767" s="12" t="n">
        <x:v>0</x:v>
      </x:c>
      <x:c r="K1767" s="12" t="n">
        <x:v>0</x:v>
      </x:c>
      <x:c r="L1767" s="12" t="n">
        <x:v>0</x:v>
      </x:c>
      <x:c r="M1767" s="2" t="str">
        <x:v>持有</x:v>
      </x:c>
    </x:row>
    <x:row r="1768" ht="23" customHeight="1">
      <x:c r="A1768" s="11" t="d">
        <x:v>2021-12-31T00:00:00.000Z</x:v>
      </x:c>
      <x:c r="B1768" s="12" t="n">
        <x:v>16486.87206</x:v>
      </x:c>
      <x:c r="C1768" s="13" t="n">
        <x:v>484</x:v>
      </x:c>
      <x:c r="D1768" s="12" t="n">
        <x:v>229880.63999999998</x:v>
      </x:c>
      <x:c r="E1768" s="12" t="n">
        <x:v>792.032604</x:v>
      </x:c>
      <x:c r="F1768" s="12" t="n">
        <x:f>SUM(B1768,D1768:E1768)</x:f>
        <x:v>247159.544664</x:v>
      </x:c>
      <x:c r="G1768" s="12" t="n">
        <x:f>MAX(G1767,F1768)</x:f>
        <x:v>248379.224664</x:v>
      </x:c>
      <x:c r="H1768" s="14" t="n">
        <x:f>F1768/G1768-1</x:f>
        <x:v>-0.00491055562980347</x:v>
      </x:c>
      <x:c r="I1768" s="14" t="n">
        <x:f>F1768/F1767-1</x:f>
        <x:v>-0.002344390053980683</x:v>
      </x:c>
      <x:c r="J1768" s="12" t="n">
        <x:v>0</x:v>
      </x:c>
      <x:c r="K1768" s="12" t="n">
        <x:v>0</x:v>
      </x:c>
      <x:c r="L1768" s="12" t="n">
        <x:v>0</x:v>
      </x:c>
      <x:c r="M1768" s="2" t="str">
        <x:v>持有</x:v>
      </x:c>
    </x:row>
    <x:row r="1769" ht="23" customHeight="1">
      <x:c r="A1769" s="11" t="d">
        <x:v>2022-01-03T00:00:00.000Z</x:v>
      </x:c>
      <x:c r="B1769" s="12" t="n">
        <x:v>16486.87206</x:v>
      </x:c>
      <x:c r="C1769" s="13" t="n">
        <x:v>484</x:v>
      </x:c>
      <x:c r="D1769" s="12" t="n">
        <x:v>231211.63999999998</x:v>
      </x:c>
      <x:c r="E1769" s="12" t="n">
        <x:v>792.032604</x:v>
      </x:c>
      <x:c r="F1769" s="12" t="n">
        <x:f>SUM(B1769,D1769:E1769)</x:f>
        <x:v>248490.544664</x:v>
      </x:c>
      <x:c r="G1769" s="12" t="n">
        <x:f>MAX(G1768,F1769)</x:f>
        <x:v>248490.544664</x:v>
      </x:c>
      <x:c r="H1769" s="14" t="n">
        <x:f>F1769/G1769-1</x:f>
        <x:v>0</x:v>
      </x:c>
      <x:c r="I1769" s="14" t="n">
        <x:f>F1769/F1768-1</x:f>
        <x:v>0.005385185515734081</x:v>
      </x:c>
      <x:c r="J1769" s="12" t="n">
        <x:v>0</x:v>
      </x:c>
      <x:c r="K1769" s="12" t="n">
        <x:v>0</x:v>
      </x:c>
      <x:c r="L1769" s="12" t="n">
        <x:v>0</x:v>
      </x:c>
      <x:c r="M1769" s="2" t="str">
        <x:v>持有</x:v>
      </x:c>
    </x:row>
    <x:row r="1770" ht="23" customHeight="1">
      <x:c r="A1770" s="11" t="d">
        <x:v>2022-01-04T00:00:00.000Z</x:v>
      </x:c>
      <x:c r="B1770" s="12" t="n">
        <x:v>16486.87206</x:v>
      </x:c>
      <x:c r="C1770" s="13" t="n">
        <x:v>484</x:v>
      </x:c>
      <x:c r="D1770" s="12" t="n">
        <x:v>231134.2</x:v>
      </x:c>
      <x:c r="E1770" s="12" t="n">
        <x:v>792.032604</x:v>
      </x:c>
      <x:c r="F1770" s="12" t="n">
        <x:f>SUM(B1770,D1770:E1770)</x:f>
        <x:v>248413.104664</x:v>
      </x:c>
      <x:c r="G1770" s="12" t="n">
        <x:f>MAX(G1769,F1770)</x:f>
        <x:v>248490.544664</x:v>
      </x:c>
      <x:c r="H1770" s="14" t="n">
        <x:f>F1770/G1770-1</x:f>
        <x:v>-0.0003116416365245289</x:v>
      </x:c>
      <x:c r="I1770" s="14" t="n">
        <x:f>F1770/F1769-1</x:f>
        <x:v>-0.0003116416365245289</x:v>
      </x:c>
      <x:c r="J1770" s="12" t="n">
        <x:v>0</x:v>
      </x:c>
      <x:c r="K1770" s="12" t="n">
        <x:v>0</x:v>
      </x:c>
      <x:c r="L1770" s="12" t="n">
        <x:v>0</x:v>
      </x:c>
      <x:c r="M1770" s="2" t="str">
        <x:v>持有</x:v>
      </x:c>
    </x:row>
    <x:row r="1771" ht="23" customHeight="1">
      <x:c r="A1771" s="11" t="d">
        <x:v>2022-01-05T00:00:00.000Z</x:v>
      </x:c>
      <x:c r="B1771" s="12" t="n">
        <x:v>16486.87206</x:v>
      </x:c>
      <x:c r="C1771" s="13" t="n">
        <x:v>484</x:v>
      </x:c>
      <x:c r="D1771" s="12" t="n">
        <x:v>226695.91999999998</x:v>
      </x:c>
      <x:c r="E1771" s="12" t="n">
        <x:v>792.032604</x:v>
      </x:c>
      <x:c r="F1771" s="12" t="n">
        <x:f>SUM(B1771,D1771:E1771)</x:f>
        <x:v>243974.82466399999</x:v>
      </x:c>
      <x:c r="G1771" s="12" t="n">
        <x:f>MAX(G1770,F1771)</x:f>
        <x:v>248490.544664</x:v>
      </x:c>
      <x:c r="H1771" s="14" t="n">
        <x:f>F1771/G1771-1</x:f>
        <x:v>-0.018172602929845905</x:v>
      </x:c>
      <x:c r="I1771" s="14" t="n">
        <x:f>F1771/F1770-1</x:f>
        <x:v>-0.01786652924773502</x:v>
      </x:c>
      <x:c r="J1771" s="12" t="n">
        <x:v>0</x:v>
      </x:c>
      <x:c r="K1771" s="12" t="n">
        <x:v>0</x:v>
      </x:c>
      <x:c r="L1771" s="12" t="n">
        <x:v>0</x:v>
      </x:c>
      <x:c r="M1771" s="2" t="str">
        <x:v>持有</x:v>
      </x:c>
    </x:row>
    <x:row r="1772" ht="23" customHeight="1">
      <x:c r="A1772" s="11" t="d">
        <x:v>2022-01-06T00:00:00.000Z</x:v>
      </x:c>
      <x:c r="B1772" s="12" t="n">
        <x:v>16486.87206</x:v>
      </x:c>
      <x:c r="C1772" s="13" t="n">
        <x:v>484</x:v>
      </x:c>
      <x:c r="D1772" s="12" t="n">
        <x:v>226482.96</x:v>
      </x:c>
      <x:c r="E1772" s="12" t="n">
        <x:v>792.032604</x:v>
      </x:c>
      <x:c r="F1772" s="12" t="n">
        <x:f>SUM(B1772,D1772:E1772)</x:f>
        <x:v>243761.864664</x:v>
      </x:c>
      <x:c r="G1772" s="12" t="n">
        <x:f>MAX(G1771,F1772)</x:f>
        <x:v>248490.544664</x:v>
      </x:c>
      <x:c r="H1772" s="14" t="n">
        <x:f>F1772/G1772-1</x:f>
        <x:v>-0.019029617430288748</x:v>
      </x:c>
      <x:c r="I1772" s="14" t="n">
        <x:f>F1772/F1771-1</x:f>
        <x:v>-0.0008728769465999875</x:v>
      </x:c>
      <x:c r="J1772" s="12" t="n">
        <x:v>0</x:v>
      </x:c>
      <x:c r="K1772" s="12" t="n">
        <x:v>0</x:v>
      </x:c>
      <x:c r="L1772" s="12" t="n">
        <x:v>0</x:v>
      </x:c>
      <x:c r="M1772" s="2" t="str">
        <x:v>持有</x:v>
      </x:c>
    </x:row>
    <x:row r="1773" ht="23" customHeight="1">
      <x:c r="A1773" s="11" t="d">
        <x:v>2022-01-07T00:00:00.000Z</x:v>
      </x:c>
      <x:c r="B1773" s="12" t="n">
        <x:v>16486.87206</x:v>
      </x:c>
      <x:c r="C1773" s="13" t="n">
        <x:v>484</x:v>
      </x:c>
      <x:c r="D1773" s="12" t="n">
        <x:v>225587.56</x:v>
      </x:c>
      <x:c r="E1773" s="12" t="n">
        <x:v>792.032604</x:v>
      </x:c>
      <x:c r="F1773" s="12" t="n">
        <x:f>SUM(B1773,D1773:E1773)</x:f>
        <x:v>242866.464664</x:v>
      </x:c>
      <x:c r="G1773" s="12" t="n">
        <x:f>MAX(G1772,F1773)</x:f>
        <x:v>248490.544664</x:v>
      </x:c>
      <x:c r="H1773" s="14" t="n">
        <x:f>F1773/G1773-1</x:f>
        <x:v>-0.02263297385260543</x:v>
      </x:c>
      <x:c r="I1773" s="14" t="n">
        <x:f>F1773/F1772-1</x:f>
        <x:v>-0.0036732570996460545</x:v>
      </x:c>
      <x:c r="J1773" s="12" t="n">
        <x:v>0</x:v>
      </x:c>
      <x:c r="K1773" s="12" t="n">
        <x:v>0</x:v>
      </x:c>
      <x:c r="L1773" s="12" t="n">
        <x:v>0</x:v>
      </x:c>
      <x:c r="M1773" s="2" t="str">
        <x:v>持有</x:v>
      </x:c>
    </x:row>
    <x:row r="1774" ht="23" customHeight="1">
      <x:c r="A1774" s="11" t="d">
        <x:v>2022-01-10T00:00:00.000Z</x:v>
      </x:c>
      <x:c r="B1774" s="12" t="n">
        <x:v>16486.87206</x:v>
      </x:c>
      <x:c r="C1774" s="13" t="n">
        <x:v>484</x:v>
      </x:c>
      <x:c r="D1774" s="12" t="n">
        <x:v>225306.84</x:v>
      </x:c>
      <x:c r="E1774" s="12" t="n">
        <x:v>792.032604</x:v>
      </x:c>
      <x:c r="F1774" s="12" t="n">
        <x:f>SUM(B1774,D1774:E1774)</x:f>
        <x:v>242585.744664</x:v>
      </x:c>
      <x:c r="G1774" s="12" t="n">
        <x:f>MAX(G1773,F1774)</x:f>
        <x:v>248490.544664</x:v>
      </x:c>
      <x:c r="H1774" s="14" t="n">
        <x:f>F1774/G1774-1</x:f>
        <x:v>-0.023762674785007376</x:v>
      </x:c>
      <x:c r="I1774" s="14" t="n">
        <x:f>F1774/F1773-1</x:f>
        <x:v>-0.0011558615158678842</x:v>
      </x:c>
      <x:c r="J1774" s="12" t="n">
        <x:v>0</x:v>
      </x:c>
      <x:c r="K1774" s="12" t="n">
        <x:v>0</x:v>
      </x:c>
      <x:c r="L1774" s="12" t="n">
        <x:v>0</x:v>
      </x:c>
      <x:c r="M1774" s="2" t="str">
        <x:v>持有</x:v>
      </x:c>
    </x:row>
    <x:row r="1775" ht="23" customHeight="1">
      <x:c r="A1775" s="11" t="d">
        <x:v>2022-01-11T00:00:00.000Z</x:v>
      </x:c>
      <x:c r="B1775" s="12" t="n">
        <x:v>16486.87206</x:v>
      </x:c>
      <x:c r="C1775" s="13" t="n">
        <x:v>484</x:v>
      </x:c>
      <x:c r="D1775" s="12" t="n">
        <x:v>227359</x:v>
      </x:c>
      <x:c r="E1775" s="12" t="n">
        <x:v>792.032604</x:v>
      </x:c>
      <x:c r="F1775" s="12" t="n">
        <x:f>SUM(B1775,D1775:E1775)</x:f>
        <x:v>244637.904664</x:v>
      </x:c>
      <x:c r="G1775" s="12" t="n">
        <x:f>MAX(G1774,F1775)</x:f>
        <x:v>248490.544664</x:v>
      </x:c>
      <x:c r="H1775" s="14" t="n">
        <x:f>F1775/G1775-1</x:f>
        <x:v>-0.01550417141710314</x:v>
      </x:c>
      <x:c r="I1775" s="14" t="n">
        <x:f>F1775/F1774-1</x:f>
        <x:v>0.008459524292502962</x:v>
      </x:c>
      <x:c r="J1775" s="12" t="n">
        <x:v>0</x:v>
      </x:c>
      <x:c r="K1775" s="12" t="n">
        <x:v>0</x:v>
      </x:c>
      <x:c r="L1775" s="12" t="n">
        <x:v>0</x:v>
      </x:c>
      <x:c r="M1775" s="2" t="str">
        <x:v>持有</x:v>
      </x:c>
    </x:row>
    <x:row r="1776" ht="23" customHeight="1">
      <x:c r="A1776" s="11" t="d">
        <x:v>2022-01-12T00:00:00.000Z</x:v>
      </x:c>
      <x:c r="B1776" s="12" t="n">
        <x:v>16486.87206</x:v>
      </x:c>
      <x:c r="C1776" s="13" t="n">
        <x:v>484</x:v>
      </x:c>
      <x:c r="D1776" s="12" t="n">
        <x:v>227973.68</x:v>
      </x:c>
      <x:c r="E1776" s="12" t="n">
        <x:v>792.032604</x:v>
      </x:c>
      <x:c r="F1776" s="12" t="n">
        <x:f>SUM(B1776,D1776:E1776)</x:f>
        <x:v>245252.584664</x:v>
      </x:c>
      <x:c r="G1776" s="12" t="n">
        <x:f>MAX(G1775,F1776)</x:f>
        <x:v>248490.544664</x:v>
      </x:c>
      <x:c r="H1776" s="14" t="n">
        <x:f>F1776/G1776-1</x:f>
        <x:v>-0.013030515927188513</x:v>
      </x:c>
      <x:c r="I1776" s="14" t="n">
        <x:f>F1776/F1775-1</x:f>
        <x:v>0.0025126114485169992</x:v>
      </x:c>
      <x:c r="J1776" s="12" t="n">
        <x:v>0</x:v>
      </x:c>
      <x:c r="K1776" s="12" t="n">
        <x:v>0</x:v>
      </x:c>
      <x:c r="L1776" s="12" t="n">
        <x:v>0</x:v>
      </x:c>
      <x:c r="M1776" s="2" t="str">
        <x:v>持有</x:v>
      </x:c>
    </x:row>
    <x:row r="1777" ht="23" customHeight="1">
      <x:c r="A1777" s="11" t="d">
        <x:v>2022-01-13T00:00:00.000Z</x:v>
      </x:c>
      <x:c r="B1777" s="12" t="n">
        <x:v>16486.87206</x:v>
      </x:c>
      <x:c r="C1777" s="13" t="n">
        <x:v>484</x:v>
      </x:c>
      <x:c r="D1777" s="12" t="n">
        <x:v>224832.52</x:v>
      </x:c>
      <x:c r="E1777" s="12" t="n">
        <x:v>792.032604</x:v>
      </x:c>
      <x:c r="F1777" s="12" t="n">
        <x:f>SUM(B1777,D1777:E1777)</x:f>
        <x:v>242111.424664</x:v>
      </x:c>
      <x:c r="G1777" s="12" t="n">
        <x:f>MAX(G1776,F1777)</x:f>
        <x:v>248490.544664</x:v>
      </x:c>
      <x:c r="H1777" s="14" t="n">
        <x:f>F1777/G1777-1</x:f>
        <x:v>-0.025671479808721198</x:v>
      </x:c>
      <x:c r="I1777" s="14" t="n">
        <x:f>F1777/F1776-1</x:f>
        <x:v>-0.012807856864397338</x:v>
      </x:c>
      <x:c r="J1777" s="12" t="n">
        <x:v>0</x:v>
      </x:c>
      <x:c r="K1777" s="12" t="n">
        <x:v>0</x:v>
      </x:c>
      <x:c r="L1777" s="12" t="n">
        <x:v>0</x:v>
      </x:c>
      <x:c r="M1777" s="2" t="str">
        <x:v>持有</x:v>
      </x:c>
    </x:row>
    <x:row r="1778" ht="23" customHeight="1">
      <x:c r="A1778" s="11" t="d">
        <x:v>2022-01-14T00:00:00.000Z</x:v>
      </x:c>
      <x:c r="B1778" s="12" t="n">
        <x:v>16486.87206</x:v>
      </x:c>
      <x:c r="C1778" s="13" t="n">
        <x:v>484</x:v>
      </x:c>
      <x:c r="D1778" s="12" t="n">
        <x:v>224924.48</x:v>
      </x:c>
      <x:c r="E1778" s="12" t="n">
        <x:v>792.032604</x:v>
      </x:c>
      <x:c r="F1778" s="12" t="n">
        <x:f>SUM(B1778,D1778:E1778)</x:f>
        <x:v>242203.384664</x:v>
      </x:c>
      <x:c r="G1778" s="12" t="n">
        <x:f>MAX(G1777,F1778)</x:f>
        <x:v>248490.544664</x:v>
      </x:c>
      <x:c r="H1778" s="14" t="n">
        <x:f>F1778/G1778-1</x:f>
        <x:v>-0.025301405365347973</x:v>
      </x:c>
      <x:c r="I1778" s="14" t="n">
        <x:f>F1778/F1777-1</x:f>
        <x:v>0.00037982511617395964</x:v>
      </x:c>
      <x:c r="J1778" s="12" t="n">
        <x:v>0</x:v>
      </x:c>
      <x:c r="K1778" s="12" t="n">
        <x:v>0</x:v>
      </x:c>
      <x:c r="L1778" s="12" t="n">
        <x:v>0</x:v>
      </x:c>
      <x:c r="M1778" s="2" t="str">
        <x:v>持有</x:v>
      </x:c>
    </x:row>
    <x:row r="1779" ht="23" customHeight="1">
      <x:c r="A1779" s="11" t="d">
        <x:v>2022-01-18T00:00:00.000Z</x:v>
      </x:c>
      <x:c r="B1779" s="12" t="n">
        <x:v>16486.87206</x:v>
      </x:c>
      <x:c r="C1779" s="13" t="n">
        <x:v>484</x:v>
      </x:c>
      <x:c r="D1779" s="12" t="n">
        <x:v>220941.16</x:v>
      </x:c>
      <x:c r="E1779" s="12" t="n">
        <x:v>792.032604</x:v>
      </x:c>
      <x:c r="F1779" s="12" t="n">
        <x:f>SUM(B1779,D1779:E1779)</x:f>
        <x:v>238220.064664</x:v>
      </x:c>
      <x:c r="G1779" s="12" t="n">
        <x:f>MAX(G1778,F1779)</x:f>
        <x:v>248490.544664</x:v>
      </x:c>
      <x:c r="H1779" s="14" t="n">
        <x:f>F1779/G1779-1</x:f>
        <x:v>-0.0413314720440866</x:v>
      </x:c>
      <x:c r="I1779" s="14" t="n">
        <x:f>F1779/F1778-1</x:f>
        <x:v>-0.016446178097494046</x:v>
      </x:c>
      <x:c r="J1779" s="12" t="n">
        <x:v>0</x:v>
      </x:c>
      <x:c r="K1779" s="12" t="n">
        <x:v>0</x:v>
      </x:c>
      <x:c r="L1779" s="12" t="n">
        <x:v>0</x:v>
      </x:c>
      <x:c r="M1779" s="2" t="str">
        <x:v>持有</x:v>
      </x:c>
    </x:row>
    <x:row r="1780" ht="23" customHeight="1">
      <x:c r="A1780" s="11" t="d">
        <x:v>2022-01-19T00:00:00.000Z</x:v>
      </x:c>
      <x:c r="B1780" s="12" t="n">
        <x:v>16486.87206</x:v>
      </x:c>
      <x:c r="C1780" s="13" t="n">
        <x:v>484</x:v>
      </x:c>
      <x:c r="D1780" s="12" t="n">
        <x:v>218647</x:v>
      </x:c>
      <x:c r="E1780" s="12" t="n">
        <x:v>792.032604</x:v>
      </x:c>
      <x:c r="F1780" s="12" t="n">
        <x:f>SUM(B1780,D1780:E1780)</x:f>
        <x:v>235925.904664</x:v>
      </x:c>
      <x:c r="G1780" s="12" t="n">
        <x:f>MAX(G1779,F1780)</x:f>
        <x:v>248490.544664</x:v>
      </x:c>
      <x:c r="H1780" s="14" t="n">
        <x:f>F1780/G1780-1</x:f>
        <x:v>-0.05056385552613052</x:v>
      </x:c>
      <x:c r="I1780" s="14" t="n">
        <x:f>F1780/F1779-1</x:f>
        <x:v>-0.009630423042810587</x:v>
      </x:c>
      <x:c r="J1780" s="12" t="n">
        <x:v>0</x:v>
      </x:c>
      <x:c r="K1780" s="12" t="n">
        <x:v>0</x:v>
      </x:c>
      <x:c r="L1780" s="12" t="n">
        <x:v>0</x:v>
      </x:c>
      <x:c r="M1780" s="2" t="str">
        <x:v>持有</x:v>
      </x:c>
    </x:row>
    <x:row r="1781" ht="23" customHeight="1">
      <x:c r="A1781" s="11" t="d">
        <x:v>2022-01-20T00:00:00.000Z</x:v>
      </x:c>
      <x:c r="B1781" s="12" t="n">
        <x:v>16486.87206</x:v>
      </x:c>
      <x:c r="C1781" s="13" t="n">
        <x:v>484</x:v>
      </x:c>
      <x:c r="D1781" s="12" t="n">
        <x:v>216227</x:v>
      </x:c>
      <x:c r="E1781" s="12" t="n">
        <x:v>792.032604</x:v>
      </x:c>
      <x:c r="F1781" s="12" t="n">
        <x:f>SUM(B1781,D1781:E1781)</x:f>
        <x:v>233505.904664</x:v>
      </x:c>
      <x:c r="G1781" s="12" t="n">
        <x:f>MAX(G1780,F1781)</x:f>
        <x:v>248490.544664</x:v>
      </x:c>
      <x:c r="H1781" s="14" t="n">
        <x:f>F1781/G1781-1</x:f>
        <x:v>-0.06030265666752699</x:v>
      </x:c>
      <x:c r="I1781" s="14" t="n">
        <x:f>F1781/F1780-1</x:f>
        <x:v>-0.010257457753299781</x:v>
      </x:c>
      <x:c r="J1781" s="12" t="n">
        <x:v>0</x:v>
      </x:c>
      <x:c r="K1781" s="12" t="n">
        <x:v>0</x:v>
      </x:c>
      <x:c r="L1781" s="12" t="n">
        <x:v>0</x:v>
      </x:c>
      <x:c r="M1781" s="2" t="str">
        <x:v>持有</x:v>
      </x:c>
    </x:row>
    <x:row r="1782" ht="23" customHeight="1">
      <x:c r="A1782" s="11" t="d">
        <x:v>2022-01-21T00:00:00.000Z</x:v>
      </x:c>
      <x:c r="B1782" s="12" t="n">
        <x:v>16486.87206</x:v>
      </x:c>
      <x:c r="C1782" s="13" t="n">
        <x:v>484</x:v>
      </x:c>
      <x:c r="D1782" s="12" t="n">
        <x:v>211982.32</x:v>
      </x:c>
      <x:c r="E1782" s="12" t="n">
        <x:v>792.032604</x:v>
      </x:c>
      <x:c r="F1782" s="12" t="n">
        <x:f>SUM(B1782,D1782:E1782)</x:f>
        <x:v>229261.224664</x:v>
      </x:c>
      <x:c r="G1782" s="12" t="n">
        <x:f>MAX(G1781,F1782)</x:f>
        <x:v>248490.544664</x:v>
      </x:c>
      <x:c r="H1782" s="14" t="n">
        <x:f>F1782/G1782-1</x:f>
        <x:v>-0.07738451386953649</x:v>
      </x:c>
      <x:c r="I1782" s="14" t="n">
        <x:f>F1782/F1781-1</x:f>
        <x:v>-0.01817804139089252</x:v>
      </x:c>
      <x:c r="J1782" s="12" t="n">
        <x:v>0</x:v>
      </x:c>
      <x:c r="K1782" s="12" t="n">
        <x:v>0</x:v>
      </x:c>
      <x:c r="L1782" s="12" t="n">
        <x:v>0</x:v>
      </x:c>
      <x:c r="M1782" s="2" t="str">
        <x:v>持有</x:v>
      </x:c>
    </x:row>
    <x:row r="1783" ht="23" customHeight="1">
      <x:c r="A1783" s="11" t="d">
        <x:v>2022-01-24T00:00:00.000Z</x:v>
      </x:c>
      <x:c r="B1783" s="12" t="n">
        <x:v>16486.87206</x:v>
      </x:c>
      <x:c r="C1783" s="13" t="n">
        <x:v>484</x:v>
      </x:c>
      <x:c r="D1783" s="12" t="n">
        <x:v>212882.56</x:v>
      </x:c>
      <x:c r="E1783" s="12" t="n">
        <x:v>792.032604</x:v>
      </x:c>
      <x:c r="F1783" s="12" t="n">
        <x:f>SUM(B1783,D1783:E1783)</x:f>
        <x:v>230161.464664</x:v>
      </x:c>
      <x:c r="G1783" s="12" t="n">
        <x:f>MAX(G1782,F1783)</x:f>
        <x:v>248490.544664</x:v>
      </x:c>
      <x:c r="H1783" s="14" t="n">
        <x:f>F1783/G1783-1</x:f>
        <x:v>-0.07376167984493698</x:v>
      </x:c>
      <x:c r="I1783" s="14" t="n">
        <x:f>F1783/F1782-1</x:f>
        <x:v>0.003926699778034282</x:v>
      </x:c>
      <x:c r="J1783" s="12" t="n">
        <x:v>0</x:v>
      </x:c>
      <x:c r="K1783" s="12" t="n">
        <x:v>0</x:v>
      </x:c>
      <x:c r="L1783" s="12" t="n">
        <x:v>0</x:v>
      </x:c>
      <x:c r="M1783" s="2" t="str">
        <x:v>持有</x:v>
      </x:c>
    </x:row>
    <x:row r="1784" ht="23" customHeight="1">
      <x:c r="A1784" s="11" t="d">
        <x:v>2022-01-25T00:00:00.000Z</x:v>
      </x:c>
      <x:c r="B1784" s="12" t="n">
        <x:v>16486.87206</x:v>
      </x:c>
      <x:c r="C1784" s="13" t="n">
        <x:v>484</x:v>
      </x:c>
      <x:c r="D1784" s="12" t="n">
        <x:v>210283.48</x:v>
      </x:c>
      <x:c r="E1784" s="12" t="n">
        <x:v>792.032604</x:v>
      </x:c>
      <x:c r="F1784" s="12" t="n">
        <x:f>SUM(B1784,D1784:E1784)</x:f>
        <x:v>227562.384664</x:v>
      </x:c>
      <x:c r="G1784" s="12" t="n">
        <x:f>MAX(G1783,F1784)</x:f>
        <x:v>248490.544664</x:v>
      </x:c>
      <x:c r="H1784" s="14" t="n">
        <x:f>F1784/G1784-1</x:f>
        <x:v>-0.08422115227079674</x:v>
      </x:c>
      <x:c r="I1784" s="14" t="n">
        <x:f>F1784/F1783-1</x:f>
        <x:v>-0.011292420318033014</x:v>
      </x:c>
      <x:c r="J1784" s="12" t="n">
        <x:v>0</x:v>
      </x:c>
      <x:c r="K1784" s="12" t="n">
        <x:v>0</x:v>
      </x:c>
      <x:c r="L1784" s="12" t="n">
        <x:v>0</x:v>
      </x:c>
      <x:c r="M1784" s="2" t="str">
        <x:v>持有</x:v>
      </x:c>
    </x:row>
    <x:row r="1785" ht="23" customHeight="1">
      <x:c r="A1785" s="11" t="d">
        <x:v>2022-01-26T00:00:00.000Z</x:v>
      </x:c>
      <x:c r="B1785" s="12" t="n">
        <x:v>16486.87206</x:v>
      </x:c>
      <x:c r="C1785" s="13" t="n">
        <x:v>484</x:v>
      </x:c>
      <x:c r="D1785" s="12" t="n">
        <x:v>209755.91999999998</x:v>
      </x:c>
      <x:c r="E1785" s="12" t="n">
        <x:v>792.032604</x:v>
      </x:c>
      <x:c r="F1785" s="12" t="n">
        <x:f>SUM(B1785,D1785:E1785)</x:f>
        <x:v>227034.82466399999</x:v>
      </x:c>
      <x:c r="G1785" s="12" t="n">
        <x:f>MAX(G1784,F1785)</x:f>
        <x:v>248490.544664</x:v>
      </x:c>
      <x:c r="H1785" s="14" t="n">
        <x:f>F1785/G1785-1</x:f>
        <x:v>-0.0863442109196213</x:v>
      </x:c>
      <x:c r="I1785" s="14" t="n">
        <x:f>F1785/F1784-1</x:f>
        <x:v>-0.0023183093320936488</x:v>
      </x:c>
      <x:c r="J1785" s="12" t="n">
        <x:v>0</x:v>
      </x:c>
      <x:c r="K1785" s="12" t="n">
        <x:v>0</x:v>
      </x:c>
      <x:c r="L1785" s="12" t="n">
        <x:v>0</x:v>
      </x:c>
      <x:c r="M1785" s="2" t="str">
        <x:v>持有</x:v>
      </x:c>
    </x:row>
    <x:row r="1786" ht="23" customHeight="1">
      <x:c r="A1786" s="11" t="d">
        <x:v>2022-01-27T00:00:00.000Z</x:v>
      </x:c>
      <x:c r="B1786" s="12" t="n">
        <x:v>16486.87206</x:v>
      </x:c>
      <x:c r="C1786" s="13" t="n">
        <x:v>484</x:v>
      </x:c>
      <x:c r="D1786" s="12" t="n">
        <x:v>208720.16</x:v>
      </x:c>
      <x:c r="E1786" s="12" t="n">
        <x:v>792.032604</x:v>
      </x:c>
      <x:c r="F1786" s="12" t="n">
        <x:f>SUM(B1786,D1786:E1786)</x:f>
        <x:v>225999.064664</x:v>
      </x:c>
      <x:c r="G1786" s="12" t="n">
        <x:f>MAX(G1785,F1786)</x:f>
        <x:v>248490.544664</x:v>
      </x:c>
      <x:c r="H1786" s="14" t="n">
        <x:f>F1786/G1786-1</x:f>
        <x:v>-0.09051241780813901</x:v>
      </x:c>
      <x:c r="I1786" s="14" t="n">
        <x:f>F1786/F1785-1</x:f>
        <x:v>-0.0045621194965699274</x:v>
      </x:c>
      <x:c r="J1786" s="12" t="n">
        <x:v>0</x:v>
      </x:c>
      <x:c r="K1786" s="12" t="n">
        <x:v>0</x:v>
      </x:c>
      <x:c r="L1786" s="12" t="n">
        <x:v>0</x:v>
      </x:c>
      <x:c r="M1786" s="2" t="str">
        <x:v>持有</x:v>
      </x:c>
    </x:row>
    <x:row r="1787" ht="23" customHeight="1">
      <x:c r="A1787" s="11" t="d">
        <x:v>2022-01-28T00:00:00.000Z</x:v>
      </x:c>
      <x:c r="B1787" s="12" t="n">
        <x:v>16486.87206</x:v>
      </x:c>
      <x:c r="C1787" s="13" t="n">
        <x:v>484</x:v>
      </x:c>
      <x:c r="D1787" s="12" t="n">
        <x:v>213903.8</x:v>
      </x:c>
      <x:c r="E1787" s="12" t="n">
        <x:v>792.032604</x:v>
      </x:c>
      <x:c r="F1787" s="12" t="n">
        <x:f>SUM(B1787,D1787:E1787)</x:f>
        <x:v>231182.704664</x:v>
      </x:c>
      <x:c r="G1787" s="12" t="n">
        <x:f>MAX(G1786,F1787)</x:f>
        <x:v>248490.544664</x:v>
      </x:c>
      <x:c r="H1787" s="14" t="n">
        <x:f>F1787/G1787-1</x:f>
        <x:v>-0.06965190576326774</x:v>
      </x:c>
      <x:c r="I1787" s="14" t="n">
        <x:f>F1787/F1786-1</x:f>
        <x:v>0.022936555103476586</x:v>
      </x:c>
      <x:c r="J1787" s="12" t="n">
        <x:v>0</x:v>
      </x:c>
      <x:c r="K1787" s="12" t="n">
        <x:v>0</x:v>
      </x:c>
      <x:c r="L1787" s="12" t="n">
        <x:v>0</x:v>
      </x:c>
      <x:c r="M1787" s="2" t="str">
        <x:v>持有</x:v>
      </x:c>
    </x:row>
    <x:row r="1788" ht="23" customHeight="1">
      <x:c r="A1788" s="11" t="d">
        <x:v>2022-01-31T00:00:00.000Z</x:v>
      </x:c>
      <x:c r="B1788" s="12" t="n">
        <x:v>17278.904664</x:v>
      </x:c>
      <x:c r="C1788" s="13" t="n">
        <x:v>484</x:v>
      </x:c>
      <x:c r="D1788" s="12" t="n">
        <x:v>217756.44</x:v>
      </x:c>
      <x:c r="E1788" s="12" t="n">
        <x:v>0</x:v>
      </x:c>
      <x:c r="F1788" s="12" t="n">
        <x:f>SUM(B1788,D1788:E1788)</x:f>
        <x:v>235035.344664</x:v>
      </x:c>
      <x:c r="G1788" s="12" t="n">
        <x:f>MAX(G1787,F1788)</x:f>
        <x:v>248490.544664</x:v>
      </x:c>
      <x:c r="H1788" s="14" t="n">
        <x:f>F1788/G1788-1</x:f>
        <x:v>-0.05414773434616449</x:v>
      </x:c>
      <x:c r="I1788" s="14" t="n">
        <x:f>F1788/F1787-1</x:f>
        <x:v>0.016664914469269876</x:v>
      </x:c>
      <x:c r="J1788" s="12" t="n">
        <x:v>0</x:v>
      </x:c>
      <x:c r="K1788" s="12" t="n">
        <x:v>792.032604</x:v>
      </x:c>
      <x:c r="L1788" s="12" t="n">
        <x:v>0</x:v>
      </x:c>
      <x:c r="M1788" s="2" t="str">
        <x:v>持有</x:v>
      </x:c>
    </x:row>
    <x:row r="1789" ht="23" customHeight="1">
      <x:c r="A1789" s="11" t="d">
        <x:v>2022-02-01T00:00:00.000Z</x:v>
      </x:c>
      <x:c r="B1789" s="12" t="n">
        <x:v>17278.904664</x:v>
      </x:c>
      <x:c r="C1789" s="13" t="n">
        <x:v>484</x:v>
      </x:c>
      <x:c r="D1789" s="12" t="n">
        <x:v>219227.8</x:v>
      </x:c>
      <x:c r="E1789" s="12" t="n">
        <x:v>0</x:v>
      </x:c>
      <x:c r="F1789" s="12" t="n">
        <x:f>SUM(B1789,D1789:E1789)</x:f>
        <x:v>236506.704664</x:v>
      </x:c>
      <x:c r="G1789" s="12" t="n">
        <x:f>MAX(G1788,F1789)</x:f>
        <x:v>248490.544664</x:v>
      </x:c>
      <x:c r="H1789" s="14" t="n">
        <x:f>F1789/G1789-1</x:f>
        <x:v>-0.04822654325219544</x:v>
      </x:c>
      <x:c r="I1789" s="14" t="n">
        <x:f>F1789/F1788-1</x:f>
        <x:v>0.006260164836499049</x:v>
      </x:c>
      <x:c r="J1789" s="12" t="n">
        <x:v>0</x:v>
      </x:c>
      <x:c r="K1789" s="12" t="n">
        <x:v>0</x:v>
      </x:c>
      <x:c r="L1789" s="12" t="n">
        <x:v>0</x:v>
      </x:c>
      <x:c r="M1789" s="2" t="str">
        <x:v>持有</x:v>
      </x:c>
    </x:row>
    <x:row r="1790" ht="23" customHeight="1">
      <x:c r="A1790" s="11" t="d">
        <x:v>2022-02-02T00:00:00.000Z</x:v>
      </x:c>
      <x:c r="B1790" s="12" t="n">
        <x:v>17278.904664</x:v>
      </x:c>
      <x:c r="C1790" s="13" t="n">
        <x:v>484</x:v>
      </x:c>
      <x:c r="D1790" s="12" t="n">
        <x:v>221357.40000000002</x:v>
      </x:c>
      <x:c r="E1790" s="12" t="n">
        <x:v>0</x:v>
      </x:c>
      <x:c r="F1790" s="12" t="n">
        <x:f>SUM(B1790,D1790:E1790)</x:f>
        <x:v>238636.30466400002</x:v>
      </x:c>
      <x:c r="G1790" s="12" t="n">
        <x:f>MAX(G1789,F1790)</x:f>
        <x:v>248490.544664</x:v>
      </x:c>
      <x:c r="H1790" s="14" t="n">
        <x:f>F1790/G1790-1</x:f>
        <x:v>-0.039656398247766345</x:v>
      </x:c>
      <x:c r="I1790" s="14" t="n">
        <x:f>F1790/F1789-1</x:f>
        <x:v>0.009004395892393546</x:v>
      </x:c>
      <x:c r="J1790" s="12" t="n">
        <x:v>0</x:v>
      </x:c>
      <x:c r="K1790" s="12" t="n">
        <x:v>0</x:v>
      </x:c>
      <x:c r="L1790" s="12" t="n">
        <x:v>0</x:v>
      </x:c>
      <x:c r="M1790" s="2" t="str">
        <x:v>持有</x:v>
      </x:c>
    </x:row>
    <x:row r="1791" ht="23" customHeight="1">
      <x:c r="A1791" s="11" t="d">
        <x:v>2022-02-03T00:00:00.000Z</x:v>
      </x:c>
      <x:c r="B1791" s="12" t="n">
        <x:v>17278.904664</x:v>
      </x:c>
      <x:c r="C1791" s="13" t="n">
        <x:v>484</x:v>
      </x:c>
      <x:c r="D1791" s="12" t="n">
        <x:v>216154.40000000002</x:v>
      </x:c>
      <x:c r="E1791" s="12" t="n">
        <x:v>0</x:v>
      </x:c>
      <x:c r="F1791" s="12" t="n">
        <x:f>SUM(B1791,D1791:E1791)</x:f>
        <x:v>233433.30466400002</x:v>
      </x:c>
      <x:c r="G1791" s="12" t="n">
        <x:f>MAX(G1790,F1791)</x:f>
        <x:v>248490.544664</x:v>
      </x:c>
      <x:c r="H1791" s="14" t="n">
        <x:f>F1791/G1791-1</x:f>
        <x:v>-0.0605948207017688</x:v>
      </x:c>
      <x:c r="I1791" s="14" t="n">
        <x:f>F1791/F1790-1</x:f>
        <x:v>-0.021803053007067863</x:v>
      </x:c>
      <x:c r="J1791" s="12" t="n">
        <x:v>0</x:v>
      </x:c>
      <x:c r="K1791" s="12" t="n">
        <x:v>0</x:v>
      </x:c>
      <x:c r="L1791" s="12" t="n">
        <x:v>0</x:v>
      </x:c>
      <x:c r="M1791" s="2" t="str">
        <x:v>持有</x:v>
      </x:c>
    </x:row>
    <x:row r="1792" ht="23" customHeight="1">
      <x:c r="A1792" s="11" t="d">
        <x:v>2022-02-04T00:00:00.000Z</x:v>
      </x:c>
      <x:c r="B1792" s="12" t="n">
        <x:v>17278.904664</x:v>
      </x:c>
      <x:c r="C1792" s="13" t="n">
        <x:v>484</x:v>
      </x:c>
      <x:c r="D1792" s="12" t="n">
        <x:v>217170.8</x:v>
      </x:c>
      <x:c r="E1792" s="12" t="n">
        <x:v>0</x:v>
      </x:c>
      <x:c r="F1792" s="12" t="n">
        <x:f>SUM(B1792,D1792:E1792)</x:f>
        <x:v>234449.704664</x:v>
      </x:c>
      <x:c r="G1792" s="12" t="n">
        <x:f>MAX(G1791,F1792)</x:f>
        <x:v>248490.544664</x:v>
      </x:c>
      <x:c r="H1792" s="14" t="n">
        <x:f>F1792/G1792-1</x:f>
        <x:v>-0.0565045242223825</x:v>
      </x:c>
      <x:c r="I1792" s="14" t="n">
        <x:f>F1792/F1791-1</x:f>
        <x:v>0.004354134477353</x:v>
      </x:c>
      <x:c r="J1792" s="12" t="n">
        <x:v>0</x:v>
      </x:c>
      <x:c r="K1792" s="12" t="n">
        <x:v>0</x:v>
      </x:c>
      <x:c r="L1792" s="12" t="n">
        <x:v>0</x:v>
      </x:c>
      <x:c r="M1792" s="2" t="str">
        <x:v>持有</x:v>
      </x:c>
    </x:row>
    <x:row r="1793" ht="23" customHeight="1">
      <x:c r="A1793" s="11" t="d">
        <x:v>2022-02-07T00:00:00.000Z</x:v>
      </x:c>
      <x:c r="B1793" s="12" t="n">
        <x:v>17278.904664</x:v>
      </x:c>
      <x:c r="C1793" s="13" t="n">
        <x:v>484</x:v>
      </x:c>
      <x:c r="D1793" s="12" t="n">
        <x:v>216473.84</x:v>
      </x:c>
      <x:c r="E1793" s="12" t="n">
        <x:v>0</x:v>
      </x:c>
      <x:c r="F1793" s="12" t="n">
        <x:f>SUM(B1793,D1793:E1793)</x:f>
        <x:v>233752.744664</x:v>
      </x:c>
      <x:c r="G1793" s="12" t="n">
        <x:f>MAX(G1792,F1793)</x:f>
        <x:v>248490.544664</x:v>
      </x:c>
      <x:c r="H1793" s="14" t="n">
        <x:f>F1793/G1793-1</x:f>
        <x:v>-0.059309298951104594</x:v>
      </x:c>
      <x:c r="I1793" s="14" t="n">
        <x:f>F1793/F1792-1</x:f>
        <x:v>-0.002972748466451791</x:v>
      </x:c>
      <x:c r="J1793" s="12" t="n">
        <x:v>0</x:v>
      </x:c>
      <x:c r="K1793" s="12" t="n">
        <x:v>0</x:v>
      </x:c>
      <x:c r="L1793" s="12" t="n">
        <x:v>0</x:v>
      </x:c>
      <x:c r="M1793" s="2" t="str">
        <x:v>持有</x:v>
      </x:c>
    </x:row>
    <x:row r="1794" ht="23" customHeight="1">
      <x:c r="A1794" s="11" t="d">
        <x:v>2022-02-08T00:00:00.000Z</x:v>
      </x:c>
      <x:c r="B1794" s="12" t="n">
        <x:v>17278.904664</x:v>
      </x:c>
      <x:c r="C1794" s="13" t="n">
        <x:v>484</x:v>
      </x:c>
      <x:c r="D1794" s="12" t="n">
        <x:v>218254.96</x:v>
      </x:c>
      <x:c r="E1794" s="12" t="n">
        <x:v>0</x:v>
      </x:c>
      <x:c r="F1794" s="12" t="n">
        <x:f>SUM(B1794,D1794:E1794)</x:f>
        <x:v>235533.864664</x:v>
      </x:c>
      <x:c r="G1794" s="12" t="n">
        <x:f>MAX(G1793,F1794)</x:f>
        <x:v>248490.544664</x:v>
      </x:c>
      <x:c r="H1794" s="14" t="n">
        <x:f>F1794/G1794-1</x:f>
        <x:v>-0.052141541311036765</x:v>
      </x:c>
      <x:c r="I1794" s="14" t="n">
        <x:f>F1794/F1793-1</x:f>
        <x:v>0.007619675236584689</x:v>
      </x:c>
      <x:c r="J1794" s="12" t="n">
        <x:v>0</x:v>
      </x:c>
      <x:c r="K1794" s="12" t="n">
        <x:v>0</x:v>
      </x:c>
      <x:c r="L1794" s="12" t="n">
        <x:v>0</x:v>
      </x:c>
      <x:c r="M1794" s="2" t="str">
        <x:v>持有</x:v>
      </x:c>
    </x:row>
    <x:row r="1795" ht="23" customHeight="1">
      <x:c r="A1795" s="11" t="d">
        <x:v>2022-02-09T00:00:00.000Z</x:v>
      </x:c>
      <x:c r="B1795" s="12" t="n">
        <x:v>17278.904664</x:v>
      </x:c>
      <x:c r="C1795" s="13" t="n">
        <x:v>484</x:v>
      </x:c>
      <x:c r="D1795" s="12" t="n">
        <x:v>221449.36000000002</x:v>
      </x:c>
      <x:c r="E1795" s="12" t="n">
        <x:v>0</x:v>
      </x:c>
      <x:c r="F1795" s="12" t="n">
        <x:f>SUM(B1795,D1795:E1795)</x:f>
        <x:v>238728.26466400002</x:v>
      </x:c>
      <x:c r="G1795" s="12" t="n">
        <x:f>MAX(G1794,F1795)</x:f>
        <x:v>248490.544664</x:v>
      </x:c>
      <x:c r="H1795" s="14" t="n">
        <x:f>F1795/G1795-1</x:f>
        <x:v>-0.03928632380439334</x:v>
      </x:c>
      <x:c r="I1795" s="14" t="n">
        <x:f>F1795/F1794-1</x:f>
        <x:v>0.013562380953401343</x:v>
      </x:c>
      <x:c r="J1795" s="12" t="n">
        <x:v>0</x:v>
      </x:c>
      <x:c r="K1795" s="12" t="n">
        <x:v>0</x:v>
      </x:c>
      <x:c r="L1795" s="12" t="n">
        <x:v>0</x:v>
      </x:c>
      <x:c r="M1795" s="2" t="str">
        <x:v>持有</x:v>
      </x:c>
    </x:row>
    <x:row r="1796" ht="23" customHeight="1">
      <x:c r="A1796" s="11" t="d">
        <x:v>2022-02-10T00:00:00.000Z</x:v>
      </x:c>
      <x:c r="B1796" s="12" t="n">
        <x:v>17278.904664</x:v>
      </x:c>
      <x:c r="C1796" s="13" t="n">
        <x:v>484</x:v>
      </x:c>
      <x:c r="D1796" s="12" t="n">
        <x:v>217470.88</x:v>
      </x:c>
      <x:c r="E1796" s="12" t="n">
        <x:v>0</x:v>
      </x:c>
      <x:c r="F1796" s="12" t="n">
        <x:f>SUM(B1796,D1796:E1796)</x:f>
        <x:v>234749.784664</x:v>
      </x:c>
      <x:c r="G1796" s="12" t="n">
        <x:f>MAX(G1795,F1796)</x:f>
        <x:v>248490.544664</x:v>
      </x:c>
      <x:c r="H1796" s="14" t="n">
        <x:f>F1796/G1796-1</x:f>
        <x:v>-0.05529691288084926</x:v>
      </x:c>
      <x:c r="I1796" s="14" t="n">
        <x:f>F1796/F1795-1</x:f>
        <x:v>-0.016665307753145786</x:v>
      </x:c>
      <x:c r="J1796" s="12" t="n">
        <x:v>0</x:v>
      </x:c>
      <x:c r="K1796" s="12" t="n">
        <x:v>0</x:v>
      </x:c>
      <x:c r="L1796" s="12" t="n">
        <x:v>0</x:v>
      </x:c>
      <x:c r="M1796" s="2" t="str">
        <x:v>持有</x:v>
      </x:c>
    </x:row>
    <x:row r="1797" ht="23" customHeight="1">
      <x:c r="A1797" s="11" t="d">
        <x:v>2022-02-11T00:00:00.000Z</x:v>
      </x:c>
      <x:c r="B1797" s="12" t="n">
        <x:v>17278.904664</x:v>
      </x:c>
      <x:c r="C1797" s="13" t="n">
        <x:v>484</x:v>
      </x:c>
      <x:c r="D1797" s="12" t="n">
        <x:v>213182.63999999998</x:v>
      </x:c>
      <x:c r="E1797" s="12" t="n">
        <x:v>0</x:v>
      </x:c>
      <x:c r="F1797" s="12" t="n">
        <x:f>SUM(B1797,D1797:E1797)</x:f>
        <x:v>230461.544664</x:v>
      </x:c>
      <x:c r="G1797" s="12" t="n">
        <x:f>MAX(G1796,F1797)</x:f>
        <x:v>248490.544664</x:v>
      </x:c>
      <x:c r="H1797" s="14" t="n">
        <x:f>F1797/G1797-1</x:f>
        <x:v>-0.07255406850340385</x:v>
      </x:c>
      <x:c r="I1797" s="14" t="n">
        <x:f>F1797/F1796-1</x:f>
        <x:v>-0.01826727980235565</x:v>
      </x:c>
      <x:c r="J1797" s="12" t="n">
        <x:v>0</x:v>
      </x:c>
      <x:c r="K1797" s="12" t="n">
        <x:v>0</x:v>
      </x:c>
      <x:c r="L1797" s="12" t="n">
        <x:v>0</x:v>
      </x:c>
      <x:c r="M1797" s="2" t="str">
        <x:v>持有</x:v>
      </x:c>
    </x:row>
    <x:row r="1798" ht="23" customHeight="1">
      <x:c r="A1798" s="11" t="d">
        <x:v>2022-02-14T00:00:00.000Z</x:v>
      </x:c>
      <x:c r="B1798" s="12" t="n">
        <x:v>17278.904664</x:v>
      </x:c>
      <x:c r="C1798" s="13" t="n">
        <x:v>484</x:v>
      </x:c>
      <x:c r="D1798" s="12" t="n">
        <x:v>212485.68</x:v>
      </x:c>
      <x:c r="E1798" s="12" t="n">
        <x:v>0</x:v>
      </x:c>
      <x:c r="F1798" s="12" t="n">
        <x:f>SUM(B1798,D1798:E1798)</x:f>
        <x:v>229764.584664</x:v>
      </x:c>
      <x:c r="G1798" s="12" t="n">
        <x:f>MAX(G1797,F1798)</x:f>
        <x:v>248490.544664</x:v>
      </x:c>
      <x:c r="H1798" s="14" t="n">
        <x:f>F1798/G1798-1</x:f>
        <x:v>-0.07535884323212605</x:v>
      </x:c>
      <x:c r="I1798" s="14" t="n">
        <x:f>F1798/F1797-1</x:f>
        <x:v>-0.0030241921749509793</x:v>
      </x:c>
      <x:c r="J1798" s="12" t="n">
        <x:v>0</x:v>
      </x:c>
      <x:c r="K1798" s="12" t="n">
        <x:v>0</x:v>
      </x:c>
      <x:c r="L1798" s="12" t="n">
        <x:v>0</x:v>
      </x:c>
      <x:c r="M1798" s="2" t="str">
        <x:v>持有</x:v>
      </x:c>
    </x:row>
    <x:row r="1799" ht="23" customHeight="1">
      <x:c r="A1799" s="11" t="d">
        <x:v>2022-02-15T00:00:00.000Z</x:v>
      </x:c>
      <x:c r="B1799" s="12" t="n">
        <x:v>17278.904664</x:v>
      </x:c>
      <x:c r="C1799" s="13" t="n">
        <x:v>484</x:v>
      </x:c>
      <x:c r="D1799" s="12" t="n">
        <x:v>215912.40000000002</x:v>
      </x:c>
      <x:c r="E1799" s="12" t="n">
        <x:v>0</x:v>
      </x:c>
      <x:c r="F1799" s="12" t="n">
        <x:f>SUM(B1799,D1799:E1799)</x:f>
        <x:v>233191.30466400002</x:v>
      </x:c>
      <x:c r="G1799" s="12" t="n">
        <x:f>MAX(G1798,F1799)</x:f>
        <x:v>248490.544664</x:v>
      </x:c>
      <x:c r="H1799" s="14" t="n">
        <x:f>F1799/G1799-1</x:f>
        <x:v>-0.061568700815908484</x:v>
      </x:c>
      <x:c r="I1799" s="14" t="n">
        <x:f>F1799/F1798-1</x:f>
        <x:v>0.01491404780685035</x:v>
      </x:c>
      <x:c r="J1799" s="12" t="n">
        <x:v>0</x:v>
      </x:c>
      <x:c r="K1799" s="12" t="n">
        <x:v>0</x:v>
      </x:c>
      <x:c r="L1799" s="12" t="n">
        <x:v>0</x:v>
      </x:c>
      <x:c r="M1799" s="2" t="str">
        <x:v>持有</x:v>
      </x:c>
    </x:row>
    <x:row r="1800" ht="23" customHeight="1">
      <x:c r="A1800" s="11" t="d">
        <x:v>2022-02-16T00:00:00.000Z</x:v>
      </x:c>
      <x:c r="B1800" s="12" t="n">
        <x:v>17278.904664</x:v>
      </x:c>
      <x:c r="C1800" s="13" t="n">
        <x:v>484</x:v>
      </x:c>
      <x:c r="D1800" s="12" t="n">
        <x:v>216154.40000000002</x:v>
      </x:c>
      <x:c r="E1800" s="12" t="n">
        <x:v>0</x:v>
      </x:c>
      <x:c r="F1800" s="12" t="n">
        <x:f>SUM(B1800,D1800:E1800)</x:f>
        <x:v>233433.30466400002</x:v>
      </x:c>
      <x:c r="G1800" s="12" t="n">
        <x:f>MAX(G1799,F1800)</x:f>
        <x:v>248490.544664</x:v>
      </x:c>
      <x:c r="H1800" s="14" t="n">
        <x:f>F1800/G1800-1</x:f>
        <x:v>-0.0605948207017688</x:v>
      </x:c>
      <x:c r="I1800" s="14" t="n">
        <x:f>F1800/F1799-1</x:f>
        <x:v>0.0010377745445899755</x:v>
      </x:c>
      <x:c r="J1800" s="12" t="n">
        <x:v>0</x:v>
      </x:c>
      <x:c r="K1800" s="12" t="n">
        <x:v>0</x:v>
      </x:c>
      <x:c r="L1800" s="12" t="n">
        <x:v>0</x:v>
      </x:c>
      <x:c r="M1800" s="2" t="str">
        <x:v>持有</x:v>
      </x:c>
    </x:row>
    <x:row r="1801" ht="23" customHeight="1">
      <x:c r="A1801" s="11" t="d">
        <x:v>2022-02-17T00:00:00.000Z</x:v>
      </x:c>
      <x:c r="B1801" s="12" t="n">
        <x:v>17278.904664</x:v>
      </x:c>
      <x:c r="C1801" s="13" t="n">
        <x:v>484</x:v>
      </x:c>
      <x:c r="D1801" s="12" t="n">
        <x:v>211537.04</x:v>
      </x:c>
      <x:c r="E1801" s="12" t="n">
        <x:v>0</x:v>
      </x:c>
      <x:c r="F1801" s="12" t="n">
        <x:f>SUM(B1801,D1801:E1801)</x:f>
        <x:v>228815.944664</x:v>
      </x:c>
      <x:c r="G1801" s="12" t="n">
        <x:f>MAX(G1800,F1801)</x:f>
        <x:v>248490.544664</x:v>
      </x:c>
      <x:c r="H1801" s="14" t="n">
        <x:f>F1801/G1801-1</x:f>
        <x:v>-0.07917645327955347</x:v>
      </x:c>
      <x:c r="I1801" s="14" t="n">
        <x:f>F1801/F1800-1</x:f>
        <x:v>-0.01978021091140425</x:v>
      </x:c>
      <x:c r="J1801" s="12" t="n">
        <x:v>0</x:v>
      </x:c>
      <x:c r="K1801" s="12" t="n">
        <x:v>0</x:v>
      </x:c>
      <x:c r="L1801" s="12" t="n">
        <x:v>0</x:v>
      </x:c>
      <x:c r="M1801" s="2" t="str">
        <x:v>持有</x:v>
      </x:c>
    </x:row>
    <x:row r="1802" ht="23" customHeight="1">
      <x:c r="A1802" s="11" t="d">
        <x:v>2022-02-18T00:00:00.000Z</x:v>
      </x:c>
      <x:c r="B1802" s="12" t="n">
        <x:v>17278.904664</x:v>
      </x:c>
      <x:c r="C1802" s="13" t="n">
        <x:v>484</x:v>
      </x:c>
      <x:c r="D1802" s="12" t="n">
        <x:v>210167.32</x:v>
      </x:c>
      <x:c r="E1802" s="12" t="n">
        <x:v>0</x:v>
      </x:c>
      <x:c r="F1802" s="12" t="n">
        <x:f>SUM(B1802,D1802:E1802)</x:f>
        <x:v>227446.224664</x:v>
      </x:c>
      <x:c r="G1802" s="12" t="n">
        <x:f>MAX(G1801,F1802)</x:f>
        <x:v>248490.544664</x:v>
      </x:c>
      <x:c r="H1802" s="14" t="n">
        <x:f>F1802/G1802-1</x:f>
        <x:v>-0.08468861472558387</x:v>
      </x:c>
      <x:c r="I1802" s="14" t="n">
        <x:f>F1802/F1801-1</x:f>
        <x:v>-0.005986121299419667</x:v>
      </x:c>
      <x:c r="J1802" s="12" t="n">
        <x:v>0</x:v>
      </x:c>
      <x:c r="K1802" s="12" t="n">
        <x:v>0</x:v>
      </x:c>
      <x:c r="L1802" s="12" t="n">
        <x:v>0</x:v>
      </x:c>
      <x:c r="M1802" s="2" t="str">
        <x:v>持有</x:v>
      </x:c>
    </x:row>
    <x:row r="1803" ht="23" customHeight="1">
      <x:c r="A1803" s="11" t="d">
        <x:v>2022-02-22T00:00:00.000Z</x:v>
      </x:c>
      <x:c r="B1803" s="12" t="n">
        <x:v>17278.904664</x:v>
      </x:c>
      <x:c r="C1803" s="13" t="n">
        <x:v>484</x:v>
      </x:c>
      <x:c r="D1803" s="12" t="n">
        <x:v>207911.88</x:v>
      </x:c>
      <x:c r="E1803" s="12" t="n">
        <x:v>0</x:v>
      </x:c>
      <x:c r="F1803" s="12" t="n">
        <x:f>SUM(B1803,D1803:E1803)</x:f>
        <x:v>225190.784664</x:v>
      </x:c>
      <x:c r="G1803" s="12" t="n">
        <x:f>MAX(G1802,F1803)</x:f>
        <x:v>248490.544664</x:v>
      </x:c>
      <x:c r="H1803" s="14" t="n">
        <x:f>F1803/G1803-1</x:f>
        <x:v>-0.0937651773893654</x:v>
      </x:c>
      <x:c r="I1803" s="14" t="n">
        <x:f>F1803/F1802-1</x:f>
        <x:v>-0.009916365960050078</x:v>
      </x:c>
      <x:c r="J1803" s="12" t="n">
        <x:v>0</x:v>
      </x:c>
      <x:c r="K1803" s="12" t="n">
        <x:v>0</x:v>
      </x:c>
      <x:c r="L1803" s="12" t="n">
        <x:v>0</x:v>
      </x:c>
      <x:c r="M1803" s="2" t="str">
        <x:v>持有</x:v>
      </x:c>
    </x:row>
    <x:row r="1804" ht="23" customHeight="1">
      <x:c r="A1804" s="11" t="d">
        <x:v>2022-02-23T00:00:00.000Z</x:v>
      </x:c>
      <x:c r="B1804" s="12" t="n">
        <x:v>17278.904664</x:v>
      </x:c>
      <x:c r="C1804" s="13" t="n">
        <x:v>484</x:v>
      </x:c>
      <x:c r="D1804" s="12" t="n">
        <x:v>204223.8</x:v>
      </x:c>
      <x:c r="E1804" s="12" t="n">
        <x:v>0</x:v>
      </x:c>
      <x:c r="F1804" s="12" t="n">
        <x:f>SUM(B1804,D1804:E1804)</x:f>
        <x:v>221502.704664</x:v>
      </x:c>
      <x:c r="G1804" s="12" t="n">
        <x:f>MAX(G1803,F1804)</x:f>
        <x:v>248490.544664</x:v>
      </x:c>
      <x:c r="H1804" s="14" t="n">
        <x:f>F1804/G1804-1</x:f>
        <x:v>-0.10860711032885373</x:v>
      </x:c>
      <x:c r="I1804" s="14" t="n">
        <x:f>F1804/F1803-1</x:f>
        <x:v>-0.016377579595465597</x:v>
      </x:c>
      <x:c r="J1804" s="12" t="n">
        <x:v>0</x:v>
      </x:c>
      <x:c r="K1804" s="12" t="n">
        <x:v>0</x:v>
      </x:c>
      <x:c r="L1804" s="12" t="n">
        <x:v>0</x:v>
      </x:c>
      <x:c r="M1804" s="2" t="str">
        <x:v>持有</x:v>
      </x:c>
    </x:row>
    <x:row r="1805" ht="23" customHeight="1">
      <x:c r="A1805" s="11" t="d">
        <x:v>2022-02-24T00:00:00.000Z</x:v>
      </x:c>
      <x:c r="B1805" s="12" t="n">
        <x:v>17278.904664</x:v>
      </x:c>
      <x:c r="C1805" s="13" t="n">
        <x:v>484</x:v>
      </x:c>
      <x:c r="D1805" s="12" t="n">
        <x:v>207297.2</x:v>
      </x:c>
      <x:c r="E1805" s="12" t="n">
        <x:v>0</x:v>
      </x:c>
      <x:c r="F1805" s="12" t="n">
        <x:f>SUM(B1805,D1805:E1805)</x:f>
        <x:v>224576.104664</x:v>
      </x:c>
      <x:c r="G1805" s="12" t="n">
        <x:f>MAX(G1804,F1805)</x:f>
        <x:v>248490.544664</x:v>
      </x:c>
      <x:c r="H1805" s="14" t="n">
        <x:f>F1805/G1805-1</x:f>
        <x:v>-0.09623883287928003</x:v>
      </x:c>
      <x:c r="I1805" s="14" t="n">
        <x:f>F1805/F1804-1</x:f>
        <x:v>0.013875225608021902</x:v>
      </x:c>
      <x:c r="J1805" s="12" t="n">
        <x:v>0</x:v>
      </x:c>
      <x:c r="K1805" s="12" t="n">
        <x:v>0</x:v>
      </x:c>
      <x:c r="L1805" s="12" t="n">
        <x:v>0</x:v>
      </x:c>
      <x:c r="M1805" s="2" t="str">
        <x:v>持有</x:v>
      </x:c>
    </x:row>
    <x:row r="1806" ht="23" customHeight="1">
      <x:c r="A1806" s="11" t="d">
        <x:v>2022-02-25T00:00:00.000Z</x:v>
      </x:c>
      <x:c r="B1806" s="12" t="n">
        <x:v>17278.904664</x:v>
      </x:c>
      <x:c r="C1806" s="13" t="n">
        <x:v>484</x:v>
      </x:c>
      <x:c r="D1806" s="12" t="n">
        <x:v>211871</x:v>
      </x:c>
      <x:c r="E1806" s="12" t="n">
        <x:v>0</x:v>
      </x:c>
      <x:c r="F1806" s="12" t="n">
        <x:f>SUM(B1806,D1806:E1806)</x:f>
        <x:v>229149.904664</x:v>
      </x:c>
      <x:c r="G1806" s="12" t="n">
        <x:f>MAX(G1805,F1806)</x:f>
        <x:v>248490.544664</x:v>
      </x:c>
      <x:c r="H1806" s="14" t="n">
        <x:f>F1806/G1806-1</x:f>
        <x:v>-0.07783249872204079</x:v>
      </x:c>
      <x:c r="I1806" s="14" t="n">
        <x:f>F1806/F1805-1</x:f>
        <x:v>0.020366369818565877</x:v>
      </x:c>
      <x:c r="J1806" s="12" t="n">
        <x:v>0</x:v>
      </x:c>
      <x:c r="K1806" s="12" t="n">
        <x:v>0</x:v>
      </x:c>
      <x:c r="L1806" s="12" t="n">
        <x:v>0</x:v>
      </x:c>
      <x:c r="M1806" s="2" t="str">
        <x:v>持有</x:v>
      </x:c>
    </x:row>
    <x:row r="1807" ht="23" customHeight="1">
      <x:c r="A1807" s="11" t="d">
        <x:v>2022-02-28T00:00:00.000Z</x:v>
      </x:c>
      <x:c r="B1807" s="12" t="n">
        <x:v>17278.904664</x:v>
      </x:c>
      <x:c r="C1807" s="13" t="n">
        <x:v>484</x:v>
      </x:c>
      <x:c r="D1807" s="12" t="n">
        <x:v>211328.91999999998</x:v>
      </x:c>
      <x:c r="E1807" s="12" t="n">
        <x:v>0</x:v>
      </x:c>
      <x:c r="F1807" s="12" t="n">
        <x:f>SUM(B1807,D1807:E1807)</x:f>
        <x:v>228607.82466399999</x:v>
      </x:c>
      <x:c r="G1807" s="12" t="n">
        <x:f>MAX(G1806,F1807)</x:f>
        <x:v>248490.544664</x:v>
      </x:c>
      <x:c r="H1807" s="14" t="n">
        <x:f>F1807/G1807-1</x:f>
        <x:v>-0.0800139901777136</x:v>
      </x:c>
      <x:c r="I1807" s="14" t="n">
        <x:f>F1807/F1806-1</x:f>
        <x:v>-0.002365613028706526</x:v>
      </x:c>
      <x:c r="J1807" s="12" t="n">
        <x:v>0</x:v>
      </x:c>
      <x:c r="K1807" s="12" t="n">
        <x:v>0</x:v>
      </x:c>
      <x:c r="L1807" s="12" t="n">
        <x:v>0</x:v>
      </x:c>
      <x:c r="M1807" s="2" t="str">
        <x:v>持有</x:v>
      </x:c>
    </x:row>
    <x:row r="1808" ht="23" customHeight="1">
      <x:c r="A1808" s="11" t="d">
        <x:v>2022-03-01T00:00:00.000Z</x:v>
      </x:c>
      <x:c r="B1808" s="12" t="n">
        <x:v>17278.904664</x:v>
      </x:c>
      <x:c r="C1808" s="13" t="n">
        <x:v>484</x:v>
      </x:c>
      <x:c r="D1808" s="12" t="n">
        <x:v>208110.32</x:v>
      </x:c>
      <x:c r="E1808" s="12" t="n">
        <x:v>0</x:v>
      </x:c>
      <x:c r="F1808" s="12" t="n">
        <x:f>SUM(B1808,D1808:E1808)</x:f>
        <x:v>225389.224664</x:v>
      </x:c>
      <x:c r="G1808" s="12" t="n">
        <x:f>MAX(G1807,F1808)</x:f>
        <x:v>248490.544664</x:v>
      </x:c>
      <x:c r="H1808" s="14" t="n">
        <x:f>F1808/G1808-1</x:f>
        <x:v>-0.09296659569577082</x:v>
      </x:c>
      <x:c r="I1808" s="14" t="n">
        <x:f>F1808/F1807-1</x:f>
        <x:v>-0.014079133138730326</x:v>
      </x:c>
      <x:c r="J1808" s="12" t="n">
        <x:v>0</x:v>
      </x:c>
      <x:c r="K1808" s="12" t="n">
        <x:v>0</x:v>
      </x:c>
      <x:c r="L1808" s="12" t="n">
        <x:v>0</x:v>
      </x:c>
      <x:c r="M1808" s="2" t="str">
        <x:v>持有</x:v>
      </x:c>
    </x:row>
    <x:row r="1809" ht="23" customHeight="1">
      <x:c r="A1809" s="11" t="d">
        <x:v>2022-03-02T00:00:00.000Z</x:v>
      </x:c>
      <x:c r="B1809" s="12" t="n">
        <x:v>17278.904664</x:v>
      </x:c>
      <x:c r="C1809" s="13" t="n">
        <x:v>484</x:v>
      </x:c>
      <x:c r="D1809" s="12" t="n">
        <x:v>211938.75999999998</x:v>
      </x:c>
      <x:c r="E1809" s="12" t="n">
        <x:v>0</x:v>
      </x:c>
      <x:c r="F1809" s="12" t="n">
        <x:f>SUM(B1809,D1809:E1809)</x:f>
        <x:v>229217.66466399998</x:v>
      </x:c>
      <x:c r="G1809" s="12" t="n">
        <x:f>MAX(G1808,F1809)</x:f>
        <x:v>248490.544664</x:v>
      </x:c>
      <x:c r="H1809" s="14" t="n">
        <x:f>F1809/G1809-1</x:f>
        <x:v>-0.07755981229008169</x:v>
      </x:c>
      <x:c r="I1809" s="14" t="n">
        <x:f>F1809/F1808-1</x:f>
        <x:v>0.016985905185606054</x:v>
      </x:c>
      <x:c r="J1809" s="12" t="n">
        <x:v>0</x:v>
      </x:c>
      <x:c r="K1809" s="12" t="n">
        <x:v>0</x:v>
      </x:c>
      <x:c r="L1809" s="12" t="n">
        <x:v>0</x:v>
      </x:c>
      <x:c r="M1809" s="2" t="str">
        <x:v>持有</x:v>
      </x:c>
    </x:row>
    <x:row r="1810" ht="23" customHeight="1">
      <x:c r="A1810" s="11" t="d">
        <x:v>2022-03-03T00:00:00.000Z</x:v>
      </x:c>
      <x:c r="B1810" s="12" t="n">
        <x:v>17278.904664</x:v>
      </x:c>
      <x:c r="C1810" s="13" t="n">
        <x:v>484</x:v>
      </x:c>
      <x:c r="D1810" s="12" t="n">
        <x:v>210883.63999999998</x:v>
      </x:c>
      <x:c r="E1810" s="12" t="n">
        <x:v>0</x:v>
      </x:c>
      <x:c r="F1810" s="12" t="n">
        <x:f>SUM(B1810,D1810:E1810)</x:f>
        <x:v>228162.544664</x:v>
      </x:c>
      <x:c r="G1810" s="12" t="n">
        <x:f>MAX(G1809,F1810)</x:f>
        <x:v>248490.544664</x:v>
      </x:c>
      <x:c r="H1810" s="14" t="n">
        <x:f>F1810/G1810-1</x:f>
        <x:v>-0.08180592958773059</x:v>
      </x:c>
      <x:c r="I1810" s="14" t="n">
        <x:f>F1810/F1809-1</x:f>
        <x:v>-0.004603135633314492</x:v>
      </x:c>
      <x:c r="J1810" s="12" t="n">
        <x:v>0</x:v>
      </x:c>
      <x:c r="K1810" s="12" t="n">
        <x:v>0</x:v>
      </x:c>
      <x:c r="L1810" s="12" t="n">
        <x:v>0</x:v>
      </x:c>
      <x:c r="M1810" s="2" t="str">
        <x:v>持有</x:v>
      </x:c>
    </x:row>
    <x:row r="1811" ht="23" customHeight="1">
      <x:c r="A1811" s="11" t="d">
        <x:v>2022-03-04T00:00:00.000Z</x:v>
      </x:c>
      <x:c r="B1811" s="12" t="n">
        <x:v>17278.904664</x:v>
      </x:c>
      <x:c r="C1811" s="13" t="n">
        <x:v>484</x:v>
      </x:c>
      <x:c r="D1811" s="12" t="n">
        <x:v>209170.28</x:v>
      </x:c>
      <x:c r="E1811" s="12" t="n">
        <x:v>0</x:v>
      </x:c>
      <x:c r="F1811" s="12" t="n">
        <x:f>SUM(B1811,D1811:E1811)</x:f>
        <x:v>226449.184664</x:v>
      </x:c>
      <x:c r="G1811" s="12" t="n">
        <x:f>MAX(G1810,F1811)</x:f>
        <x:v>248490.544664</x:v>
      </x:c>
      <x:c r="H1811" s="14" t="n">
        <x:f>F1811/G1811-1</x:f>
        <x:v>-0.0887010007958392</x:v>
      </x:c>
      <x:c r="I1811" s="14" t="n">
        <x:f>F1811/F1810-1</x:f>
        <x:v>-0.007509383288668792</x:v>
      </x:c>
      <x:c r="J1811" s="12" t="n">
        <x:v>0</x:v>
      </x:c>
      <x:c r="K1811" s="12" t="n">
        <x:v>0</x:v>
      </x:c>
      <x:c r="L1811" s="12" t="n">
        <x:v>0</x:v>
      </x:c>
      <x:c r="M1811" s="2" t="str">
        <x:v>持有</x:v>
      </x:c>
    </x:row>
    <x:row r="1812" ht="23" customHeight="1">
      <x:c r="A1812" s="11" t="d">
        <x:v>2022-03-07T00:00:00.000Z</x:v>
      </x:c>
      <x:c r="B1812" s="12" t="n">
        <x:v>17278.904664</x:v>
      </x:c>
      <x:c r="C1812" s="13" t="n">
        <x:v>484</x:v>
      </x:c>
      <x:c r="D1812" s="12" t="n">
        <x:v>203004.12</x:v>
      </x:c>
      <x:c r="E1812" s="12" t="n">
        <x:v>0</x:v>
      </x:c>
      <x:c r="F1812" s="12" t="n">
        <x:f>SUM(B1812,D1812:E1812)</x:f>
        <x:v>220283.024664</x:v>
      </x:c>
      <x:c r="G1812" s="12" t="n">
        <x:f>MAX(G1811,F1812)</x:f>
        <x:v>248490.544664</x:v>
      </x:c>
      <x:c r="H1812" s="14" t="n">
        <x:f>F1812/G1812-1</x:f>
        <x:v>-0.11351546610411756</x:v>
      </x:c>
      <x:c r="I1812" s="14" t="n">
        <x:f>F1812/F1811-1</x:f>
        <x:v>-0.027229773466171725</x:v>
      </x:c>
      <x:c r="J1812" s="12" t="n">
        <x:v>0</x:v>
      </x:c>
      <x:c r="K1812" s="12" t="n">
        <x:v>0</x:v>
      </x:c>
      <x:c r="L1812" s="12" t="n">
        <x:v>0</x:v>
      </x:c>
      <x:c r="M1812" s="2" t="str">
        <x:v>持有</x:v>
      </x:c>
    </x:row>
    <x:row r="1813" ht="23" customHeight="1">
      <x:c r="A1813" s="11" t="d">
        <x:v>2022-03-08T00:00:00.000Z</x:v>
      </x:c>
      <x:c r="B1813" s="12" t="n">
        <x:v>17278.904664</x:v>
      </x:c>
      <x:c r="C1813" s="13" t="n">
        <x:v>484</x:v>
      </x:c>
      <x:c r="D1813" s="12" t="n">
        <x:v>201465</x:v>
      </x:c>
      <x:c r="E1813" s="12" t="n">
        <x:v>0</x:v>
      </x:c>
      <x:c r="F1813" s="12" t="n">
        <x:f>SUM(B1813,D1813:E1813)</x:f>
        <x:v>218743.904664</x:v>
      </x:c>
      <x:c r="G1813" s="12" t="n">
        <x:f>MAX(G1812,F1813)</x:f>
        <x:v>248490.544664</x:v>
      </x:c>
      <x:c r="H1813" s="14" t="n">
        <x:f>F1813/G1813-1</x:f>
        <x:v>-0.1197093436300457</x:v>
      </x:c>
      <x:c r="I1813" s="14" t="n">
        <x:f>F1813/F1812-1</x:f>
        <x:v>-0.006987011379327224</x:v>
      </x:c>
      <x:c r="J1813" s="12" t="n">
        <x:v>0</x:v>
      </x:c>
      <x:c r="K1813" s="12" t="n">
        <x:v>0</x:v>
      </x:c>
      <x:c r="L1813" s="12" t="n">
        <x:v>0</x:v>
      </x:c>
      <x:c r="M1813" s="2" t="str">
        <x:v>持有</x:v>
      </x:c>
    </x:row>
    <x:row r="1814" ht="23" customHeight="1">
      <x:c r="A1814" s="11" t="d">
        <x:v>2022-03-09T00:00:00.000Z</x:v>
      </x:c>
      <x:c r="B1814" s="12" t="n">
        <x:v>17278.904664</x:v>
      </x:c>
      <x:c r="C1814" s="13" t="n">
        <x:v>484</x:v>
      </x:c>
      <x:c r="D1814" s="12" t="n">
        <x:v>206866.44</x:v>
      </x:c>
      <x:c r="E1814" s="12" t="n">
        <x:v>0</x:v>
      </x:c>
      <x:c r="F1814" s="12" t="n">
        <x:f>SUM(B1814,D1814:E1814)</x:f>
        <x:v>224145.344664</x:v>
      </x:c>
      <x:c r="G1814" s="12" t="n">
        <x:f>MAX(G1813,F1814)</x:f>
        <x:v>248490.544664</x:v>
      </x:c>
      <x:c r="H1814" s="14" t="n">
        <x:f>F1814/G1814-1</x:f>
        <x:v>-0.09797233948244866</x:v>
      </x:c>
      <x:c r="I1814" s="14" t="n">
        <x:f>F1814/F1813-1</x:f>
        <x:v>0.024692985197904527</x:v>
      </x:c>
      <x:c r="J1814" s="12" t="n">
        <x:v>0</x:v>
      </x:c>
      <x:c r="K1814" s="12" t="n">
        <x:v>0</x:v>
      </x:c>
      <x:c r="L1814" s="12" t="n">
        <x:v>0</x:v>
      </x:c>
      <x:c r="M1814" s="2" t="str">
        <x:v>持有</x:v>
      </x:c>
    </x:row>
    <x:row r="1815" ht="23" customHeight="1">
      <x:c r="A1815" s="11" t="d">
        <x:v>2022-03-10T00:00:00.000Z</x:v>
      </x:c>
      <x:c r="B1815" s="12" t="n">
        <x:v>17278.904664</x:v>
      </x:c>
      <x:c r="C1815" s="13" t="n">
        <x:v>484</x:v>
      </x:c>
      <x:c r="D1815" s="12" t="n">
        <x:v>205932.32</x:v>
      </x:c>
      <x:c r="E1815" s="12" t="n">
        <x:v>0</x:v>
      </x:c>
      <x:c r="F1815" s="12" t="n">
        <x:f>SUM(B1815,D1815:E1815)</x:f>
        <x:v>223211.224664</x:v>
      </x:c>
      <x:c r="G1815" s="12" t="n">
        <x:f>MAX(G1814,F1815)</x:f>
        <x:v>248490.544664</x:v>
      </x:c>
      <x:c r="H1815" s="14" t="n">
        <x:f>F1815/G1815-1</x:f>
        <x:v>-0.10173151672302772</x:v>
      </x:c>
      <x:c r="I1815" s="14" t="n">
        <x:f>F1815/F1814-1</x:f>
        <x:v>-0.00416747446350163</x:v>
      </x:c>
      <x:c r="J1815" s="12" t="n">
        <x:v>0</x:v>
      </x:c>
      <x:c r="K1815" s="12" t="n">
        <x:v>0</x:v>
      </x:c>
      <x:c r="L1815" s="12" t="n">
        <x:v>0</x:v>
      </x:c>
      <x:c r="M1815" s="2" t="str">
        <x:v>持有</x:v>
      </x:c>
    </x:row>
    <x:row r="1816" ht="23" customHeight="1">
      <x:c r="A1816" s="11" t="d">
        <x:v>2022-03-11T00:00:00.000Z</x:v>
      </x:c>
      <x:c r="B1816" s="12" t="n">
        <x:v>17278.904664</x:v>
      </x:c>
      <x:c r="C1816" s="13" t="n">
        <x:v>484</x:v>
      </x:c>
      <x:c r="D1816" s="12" t="n">
        <x:v>203313.88</x:v>
      </x:c>
      <x:c r="E1816" s="12" t="n">
        <x:v>0</x:v>
      </x:c>
      <x:c r="F1816" s="12" t="n">
        <x:f>SUM(B1816,D1816:E1816)</x:f>
        <x:v>220592.784664</x:v>
      </x:c>
      <x:c r="G1816" s="12" t="n">
        <x:f>MAX(G1815,F1816)</x:f>
        <x:v>248490.544664</x:v>
      </x:c>
      <x:c r="H1816" s="14" t="n">
        <x:f>F1816/G1816-1</x:f>
        <x:v>-0.11226889955801878</x:v>
      </x:c>
      <x:c r="I1816" s="14" t="n">
        <x:f>F1816/F1815-1</x:f>
        <x:v>-0.011730772070004725</x:v>
      </x:c>
      <x:c r="J1816" s="12" t="n">
        <x:v>0</x:v>
      </x:c>
      <x:c r="K1816" s="12" t="n">
        <x:v>0</x:v>
      </x:c>
      <x:c r="L1816" s="12" t="n">
        <x:v>0</x:v>
      </x:c>
      <x:c r="M1816" s="2" t="str">
        <x:v>持有</x:v>
      </x:c>
    </x:row>
    <x:row r="1817" ht="23" customHeight="1">
      <x:c r="A1817" s="11" t="d">
        <x:v>2022-03-14T00:00:00.000Z</x:v>
      </x:c>
      <x:c r="B1817" s="12" t="n">
        <x:v>17278.904664</x:v>
      </x:c>
      <x:c r="C1817" s="13" t="n">
        <x:v>484</x:v>
      </x:c>
      <x:c r="D1817" s="12" t="n">
        <x:v>201828</x:v>
      </x:c>
      <x:c r="E1817" s="12" t="n">
        <x:v>0</x:v>
      </x:c>
      <x:c r="F1817" s="12" t="n">
        <x:f>SUM(B1817,D1817:E1817)</x:f>
        <x:v>219106.904664</x:v>
      </x:c>
      <x:c r="G1817" s="12" t="n">
        <x:f>MAX(G1816,F1817)</x:f>
        <x:v>248490.544664</x:v>
      </x:c>
      <x:c r="H1817" s="14" t="n">
        <x:f>F1817/G1817-1</x:f>
        <x:v>-0.11824852345883619</x:v>
      </x:c>
      <x:c r="I1817" s="14" t="n">
        <x:f>F1817/F1816-1</x:f>
        <x:v>-0.006735850414433364</x:v>
      </x:c>
      <x:c r="J1817" s="12" t="n">
        <x:v>0</x:v>
      </x:c>
      <x:c r="K1817" s="12" t="n">
        <x:v>0</x:v>
      </x:c>
      <x:c r="L1817" s="12" t="n">
        <x:v>0</x:v>
      </x:c>
      <x:c r="M1817" s="2" t="str">
        <x:v>持有</x:v>
      </x:c>
    </x:row>
    <x:row r="1818" ht="23" customHeight="1">
      <x:c r="A1818" s="11" t="d">
        <x:v>2022-03-15T00:00:00.000Z</x:v>
      </x:c>
      <x:c r="B1818" s="12" t="n">
        <x:v>17278.904664</x:v>
      </x:c>
      <x:c r="C1818" s="13" t="n">
        <x:v>484</x:v>
      </x:c>
      <x:c r="D1818" s="12" t="n">
        <x:v>206266.28</x:v>
      </x:c>
      <x:c r="E1818" s="12" t="n">
        <x:v>0</x:v>
      </x:c>
      <x:c r="F1818" s="12" t="n">
        <x:f>SUM(B1818,D1818:E1818)</x:f>
        <x:v>223545.184664</x:v>
      </x:c>
      <x:c r="G1818" s="12" t="n">
        <x:f>MAX(G1817,F1818)</x:f>
        <x:v>248490.544664</x:v>
      </x:c>
      <x:c r="H1818" s="14" t="n">
        <x:f>F1818/G1818-1</x:f>
        <x:v>-0.10038756216551503</x:v>
      </x:c>
      <x:c r="I1818" s="14" t="n">
        <x:f>F1818/F1817-1</x:f>
        <x:v>0.020256230659668528</x:v>
      </x:c>
      <x:c r="J1818" s="12" t="n">
        <x:v>0</x:v>
      </x:c>
      <x:c r="K1818" s="12" t="n">
        <x:v>0</x:v>
      </x:c>
      <x:c r="L1818" s="12" t="n">
        <x:v>0</x:v>
      </x:c>
      <x:c r="M1818" s="2" t="str">
        <x:v>持有</x:v>
      </x:c>
    </x:row>
    <x:row r="1819" ht="23" customHeight="1">
      <x:c r="A1819" s="11" t="d">
        <x:v>2022-03-16T00:00:00.000Z</x:v>
      </x:c>
      <x:c r="B1819" s="12" t="n">
        <x:v>17278.904664</x:v>
      </x:c>
      <x:c r="C1819" s="13" t="n">
        <x:v>484</x:v>
      </x:c>
      <x:c r="D1819" s="12" t="n">
        <x:v>210840.08000000002</x:v>
      </x:c>
      <x:c r="E1819" s="12" t="n">
        <x:v>0</x:v>
      </x:c>
      <x:c r="F1819" s="12" t="n">
        <x:f>SUM(B1819,D1819:E1819)</x:f>
        <x:v>228118.98466400002</x:v>
      </x:c>
      <x:c r="G1819" s="12" t="n">
        <x:f>MAX(G1818,F1819)</x:f>
        <x:v>248490.544664</x:v>
      </x:c>
      <x:c r="H1819" s="14" t="n">
        <x:f>F1819/G1819-1</x:f>
        <x:v>-0.08198122800827556</x:v>
      </x:c>
      <x:c r="I1819" s="14" t="n">
        <x:f>F1819/F1818-1</x:f>
        <x:v>0.0204602931030462</x:v>
      </x:c>
      <x:c r="J1819" s="12" t="n">
        <x:v>0</x:v>
      </x:c>
      <x:c r="K1819" s="12" t="n">
        <x:v>0</x:v>
      </x:c>
      <x:c r="L1819" s="12" t="n">
        <x:v>0</x:v>
      </x:c>
      <x:c r="M1819" s="2" t="str">
        <x:v>持有</x:v>
      </x:c>
    </x:row>
    <x:row r="1820" ht="23" customHeight="1">
      <x:c r="A1820" s="11" t="d">
        <x:v>2022-03-17T00:00:00.000Z</x:v>
      </x:c>
      <x:c r="B1820" s="12" t="n">
        <x:v>17278.904664</x:v>
      </x:c>
      <x:c r="C1820" s="13" t="n">
        <x:v>484</x:v>
      </x:c>
      <x:c r="D1820" s="12" t="n">
        <x:v>213477.88</x:v>
      </x:c>
      <x:c r="E1820" s="12" t="n">
        <x:v>0</x:v>
      </x:c>
      <x:c r="F1820" s="12" t="n">
        <x:f>SUM(B1820,D1820:E1820)</x:f>
        <x:v>230756.784664</x:v>
      </x:c>
      <x:c r="G1820" s="12" t="n">
        <x:f>MAX(G1819,F1820)</x:f>
        <x:v>248490.544664</x:v>
      </x:c>
      <x:c r="H1820" s="14" t="n">
        <x:f>F1820/G1820-1</x:f>
        <x:v>-0.07136593476415343</x:v>
      </x:c>
      <x:c r="I1820" s="14" t="n">
        <x:f>F1820/F1819-1</x:f>
        <x:v>0.011563263811143365</x:v>
      </x:c>
      <x:c r="J1820" s="12" t="n">
        <x:v>0</x:v>
      </x:c>
      <x:c r="K1820" s="12" t="n">
        <x:v>0</x:v>
      </x:c>
      <x:c r="L1820" s="12" t="n">
        <x:v>0</x:v>
      </x:c>
      <x:c r="M1820" s="2" t="str">
        <x:v>持有</x:v>
      </x:c>
    </x:row>
    <x:row r="1821" ht="23" customHeight="1">
      <x:c r="A1821" s="11" t="d">
        <x:v>2022-03-18T00:00:00.000Z</x:v>
      </x:c>
      <x:c r="B1821" s="12" t="n">
        <x:v>17278.904664</x:v>
      </x:c>
      <x:c r="C1821" s="13" t="n">
        <x:v>484</x:v>
      </x:c>
      <x:c r="D1821" s="12" t="n">
        <x:v>215147.68</x:v>
      </x:c>
      <x:c r="E1821" s="12" t="n">
        <x:v>661.148356</x:v>
      </x:c>
      <x:c r="F1821" s="12" t="n">
        <x:f>SUM(B1821,D1821:E1821)</x:f>
        <x:v>233087.73301999999</x:v>
      </x:c>
      <x:c r="G1821" s="12" t="n">
        <x:f>MAX(G1820,F1821)</x:f>
        <x:v>248490.544664</x:v>
      </x:c>
      <x:c r="H1821" s="14" t="n">
        <x:f>F1821/G1821-1</x:f>
        <x:v>-0.06198550397491842</x:v>
      </x:c>
      <x:c r="I1821" s="14" t="n">
        <x:f>F1821/F1820-1</x:f>
        <x:v>0.01010132100511818</x:v>
      </x:c>
      <x:c r="J1821" s="12" t="n">
        <x:v>661.148356</x:v>
      </x:c>
      <x:c r="K1821" s="12" t="n">
        <x:v>0</x:v>
      </x:c>
      <x:c r="L1821" s="12" t="n">
        <x:v>0</x:v>
      </x:c>
      <x:c r="M1821" s="2" t="str">
        <x:v>持有</x:v>
      </x:c>
    </x:row>
    <x:row r="1822" ht="23" customHeight="1">
      <x:c r="A1822" s="11" t="d">
        <x:v>2022-03-21T00:00:00.000Z</x:v>
      </x:c>
      <x:c r="B1822" s="12" t="n">
        <x:v>17278.904664</x:v>
      </x:c>
      <x:c r="C1822" s="13" t="n">
        <x:v>484</x:v>
      </x:c>
      <x:c r="D1822" s="12" t="n">
        <x:v>215084.75999999998</x:v>
      </x:c>
      <x:c r="E1822" s="12" t="n">
        <x:v>661.148356</x:v>
      </x:c>
      <x:c r="F1822" s="12" t="n">
        <x:f>SUM(B1822,D1822:E1822)</x:f>
        <x:v>233024.81301999997</x:v>
      </x:c>
      <x:c r="G1822" s="12" t="n">
        <x:f>MAX(G1821,F1822)</x:f>
        <x:v>248490.544664</x:v>
      </x:c>
      <x:c r="H1822" s="14" t="n">
        <x:f>F1822/G1822-1</x:f>
        <x:v>-0.0622387128045947</x:v>
      </x:c>
      <x:c r="I1822" s="14" t="n">
        <x:f>F1822/F1821-1</x:f>
        <x:v>-0.0002699412756939079</x:v>
      </x:c>
      <x:c r="J1822" s="12" t="n">
        <x:v>0</x:v>
      </x:c>
      <x:c r="K1822" s="12" t="n">
        <x:v>0</x:v>
      </x:c>
      <x:c r="L1822" s="12" t="n">
        <x:v>0</x:v>
      </x:c>
      <x:c r="M1822" s="2" t="str">
        <x:v>持有</x:v>
      </x:c>
    </x:row>
    <x:row r="1823" ht="23" customHeight="1">
      <x:c r="A1823" s="11" t="d">
        <x:v>2022-03-22T00:00:00.000Z</x:v>
      </x:c>
      <x:c r="B1823" s="12" t="n">
        <x:v>17278.904664</x:v>
      </x:c>
      <x:c r="C1823" s="13" t="n">
        <x:v>484</x:v>
      </x:c>
      <x:c r="D1823" s="12" t="n">
        <x:v>217601.56</x:v>
      </x:c>
      <x:c r="E1823" s="12" t="n">
        <x:v>661.148356</x:v>
      </x:c>
      <x:c r="F1823" s="12" t="n">
        <x:f>SUM(B1823,D1823:E1823)</x:f>
        <x:v>235541.61302</x:v>
      </x:c>
      <x:c r="G1823" s="12" t="n">
        <x:f>MAX(G1822,F1823)</x:f>
        <x:v>248490.544664</x:v>
      </x:c>
      <x:c r="H1823" s="14" t="n">
        <x:f>F1823/G1823-1</x:f>
        <x:v>-0.05211035961754229</x:v>
      </x:c>
      <x:c r="I1823" s="14" t="n">
        <x:f>F1823/F1822-1</x:f>
        <x:v>0.010800566546464774</x:v>
      </x:c>
      <x:c r="J1823" s="12" t="n">
        <x:v>0</x:v>
      </x:c>
      <x:c r="K1823" s="12" t="n">
        <x:v>0</x:v>
      </x:c>
      <x:c r="L1823" s="12" t="n">
        <x:v>0</x:v>
      </x:c>
      <x:c r="M1823" s="2" t="str">
        <x:v>持有</x:v>
      </x:c>
    </x:row>
    <x:row r="1824" ht="23" customHeight="1">
      <x:c r="A1824" s="11" t="d">
        <x:v>2022-03-23T00:00:00.000Z</x:v>
      </x:c>
      <x:c r="B1824" s="12" t="n">
        <x:v>17278.904664</x:v>
      </x:c>
      <x:c r="C1824" s="13" t="n">
        <x:v>484</x:v>
      </x:c>
      <x:c r="D1824" s="12" t="n">
        <x:v>214799.2</x:v>
      </x:c>
      <x:c r="E1824" s="12" t="n">
        <x:v>661.148356</x:v>
      </x:c>
      <x:c r="F1824" s="12" t="n">
        <x:f>SUM(B1824,D1824:E1824)</x:f>
        <x:v>232739.25302</x:v>
      </x:c>
      <x:c r="G1824" s="12" t="n">
        <x:f>MAX(G1823,F1824)</x:f>
        <x:v>248490.544664</x:v>
      </x:c>
      <x:c r="H1824" s="14" t="n">
        <x:f>F1824/G1824-1</x:f>
        <x:v>-0.06338789133927936</x:v>
      </x:c>
      <x:c r="I1824" s="14" t="n">
        <x:f>F1824/F1823-1</x:f>
        <x:v>-0.011897515534811443</x:v>
      </x:c>
      <x:c r="J1824" s="12" t="n">
        <x:v>0</x:v>
      </x:c>
      <x:c r="K1824" s="12" t="n">
        <x:v>0</x:v>
      </x:c>
      <x:c r="L1824" s="12" t="n">
        <x:v>0</x:v>
      </x:c>
      <x:c r="M1824" s="2" t="str">
        <x:v>持有</x:v>
      </x:c>
    </x:row>
    <x:row r="1825" ht="23" customHeight="1">
      <x:c r="A1825" s="11" t="d">
        <x:v>2022-03-24T00:00:00.000Z</x:v>
      </x:c>
      <x:c r="B1825" s="12" t="n">
        <x:v>17278.904664</x:v>
      </x:c>
      <x:c r="C1825" s="13" t="n">
        <x:v>484</x:v>
      </x:c>
      <x:c r="D1825" s="12" t="n">
        <x:v>218037.16</x:v>
      </x:c>
      <x:c r="E1825" s="12" t="n">
        <x:v>661.148356</x:v>
      </x:c>
      <x:c r="F1825" s="12" t="n">
        <x:f>SUM(B1825,D1825:E1825)</x:f>
        <x:v>235977.21302</x:v>
      </x:c>
      <x:c r="G1825" s="12" t="n">
        <x:f>MAX(G1824,F1825)</x:f>
        <x:v>248490.544664</x:v>
      </x:c>
      <x:c r="H1825" s="14" t="n">
        <x:f>F1825/G1825-1</x:f>
        <x:v>-0.050357375412090954</x:v>
      </x:c>
      <x:c r="I1825" s="14" t="n">
        <x:f>F1825/F1824-1</x:f>
        <x:v>0.013912393195322892</x:v>
      </x:c>
      <x:c r="J1825" s="12" t="n">
        <x:v>0</x:v>
      </x:c>
      <x:c r="K1825" s="12" t="n">
        <x:v>0</x:v>
      </x:c>
      <x:c r="L1825" s="12" t="n">
        <x:v>0</x:v>
      </x:c>
      <x:c r="M1825" s="2" t="str">
        <x:v>持有</x:v>
      </x:c>
    </x:row>
    <x:row r="1826" ht="23" customHeight="1">
      <x:c r="A1826" s="11" t="d">
        <x:v>2022-03-25T00:00:00.000Z</x:v>
      </x:c>
      <x:c r="B1826" s="12" t="n">
        <x:v>17278.904664</x:v>
      </x:c>
      <x:c r="C1826" s="13" t="n">
        <x:v>484</x:v>
      </x:c>
      <x:c r="D1826" s="12" t="n">
        <x:v>219101.96</x:v>
      </x:c>
      <x:c r="E1826" s="12" t="n">
        <x:v>661.148356</x:v>
      </x:c>
      <x:c r="F1826" s="12" t="n">
        <x:f>SUM(B1826,D1826:E1826)</x:f>
        <x:v>237042.01301999998</x:v>
      </x:c>
      <x:c r="G1826" s="12" t="n">
        <x:f>MAX(G1825,F1826)</x:f>
        <x:v>248490.544664</x:v>
      </x:c>
      <x:c r="H1826" s="14" t="n">
        <x:f>F1826/G1826-1</x:f>
        <x:v>-0.04607230290987652</x:v>
      </x:c>
      <x:c r="I1826" s="14" t="n">
        <x:f>F1826/F1825-1</x:f>
        <x:v>0.004512300091914945</x:v>
      </x:c>
      <x:c r="J1826" s="12" t="n">
        <x:v>0</x:v>
      </x:c>
      <x:c r="K1826" s="12" t="n">
        <x:v>0</x:v>
      </x:c>
      <x:c r="L1826" s="12" t="n">
        <x:v>0</x:v>
      </x:c>
      <x:c r="M1826" s="2" t="str">
        <x:v>持有</x:v>
      </x:c>
    </x:row>
    <x:row r="1827" ht="23" customHeight="1">
      <x:c r="A1827" s="11" t="d">
        <x:v>2022-03-28T00:00:00.000Z</x:v>
      </x:c>
      <x:c r="B1827" s="12" t="n">
        <x:v>17278.904664</x:v>
      </x:c>
      <x:c r="C1827" s="13" t="n">
        <x:v>484</x:v>
      </x:c>
      <x:c r="D1827" s="12" t="n">
        <x:v>220660.44</x:v>
      </x:c>
      <x:c r="E1827" s="12" t="n">
        <x:v>661.148356</x:v>
      </x:c>
      <x:c r="F1827" s="12" t="n">
        <x:f>SUM(B1827,D1827:E1827)</x:f>
        <x:v>238600.49302</x:v>
      </x:c>
      <x:c r="G1827" s="12" t="n">
        <x:f>MAX(G1826,F1827)</x:f>
        <x:v>248490.544664</x:v>
      </x:c>
      <x:c r="H1827" s="14" t="n">
        <x:f>F1827/G1827-1</x:f>
        <x:v>-0.03980051497481707</x:v>
      </x:c>
      <x:c r="I1827" s="14" t="n">
        <x:f>F1827/F1826-1</x:f>
        <x:v>0.006574699481093793</x:v>
      </x:c>
      <x:c r="J1827" s="12" t="n">
        <x:v>0</x:v>
      </x:c>
      <x:c r="K1827" s="12" t="n">
        <x:v>0</x:v>
      </x:c>
      <x:c r="L1827" s="12" t="n">
        <x:v>0</x:v>
      </x:c>
      <x:c r="M1827" s="2" t="str">
        <x:v>持有</x:v>
      </x:c>
    </x:row>
    <x:row r="1828" ht="23" customHeight="1">
      <x:c r="A1828" s="11" t="d">
        <x:v>2022-03-29T00:00:00.000Z</x:v>
      </x:c>
      <x:c r="B1828" s="12" t="n">
        <x:v>17278.904664</x:v>
      </x:c>
      <x:c r="C1828" s="13" t="n">
        <x:v>484</x:v>
      </x:c>
      <x:c r="D1828" s="12" t="n">
        <x:v>223390.2</x:v>
      </x:c>
      <x:c r="E1828" s="12" t="n">
        <x:v>661.148356</x:v>
      </x:c>
      <x:c r="F1828" s="12" t="n">
        <x:f>SUM(B1828,D1828:E1828)</x:f>
        <x:v>241330.25302</x:v>
      </x:c>
      <x:c r="G1828" s="12" t="n">
        <x:f>MAX(G1827,F1828)</x:f>
        <x:v>248490.544664</x:v>
      </x:c>
      <x:c r="H1828" s="14" t="n">
        <x:f>F1828/G1828-1</x:f>
        <x:v>-0.02881514728732182</x:v>
      </x:c>
      <x:c r="I1828" s="14" t="n">
        <x:f>F1828/F1827-1</x:f>
        <x:v>0.011440713996224705</x:v>
      </x:c>
      <x:c r="J1828" s="12" t="n">
        <x:v>0</x:v>
      </x:c>
      <x:c r="K1828" s="12" t="n">
        <x:v>0</x:v>
      </x:c>
      <x:c r="L1828" s="12" t="n">
        <x:v>0</x:v>
      </x:c>
      <x:c r="M1828" s="2" t="str">
        <x:v>持有</x:v>
      </x:c>
    </x:row>
    <x:row r="1829" ht="23" customHeight="1">
      <x:c r="A1829" s="11" t="d">
        <x:v>2022-03-30T00:00:00.000Z</x:v>
      </x:c>
      <x:c r="B1829" s="12" t="n">
        <x:v>17278.904664</x:v>
      </x:c>
      <x:c r="C1829" s="13" t="n">
        <x:v>484</x:v>
      </x:c>
      <x:c r="D1829" s="12" t="n">
        <x:v>222010.8</x:v>
      </x:c>
      <x:c r="E1829" s="12" t="n">
        <x:v>661.148356</x:v>
      </x:c>
      <x:c r="F1829" s="12" t="n">
        <x:f>SUM(B1829,D1829:E1829)</x:f>
        <x:v>239950.85301999998</x:v>
      </x:c>
      <x:c r="G1829" s="12" t="n">
        <x:f>MAX(G1828,F1829)</x:f>
        <x:v>248490.544664</x:v>
      </x:c>
      <x:c r="H1829" s="14" t="n">
        <x:f>F1829/G1829-1</x:f>
        <x:v>-0.034366263937917974</x:v>
      </x:c>
      <x:c r="I1829" s="14" t="n">
        <x:f>F1829/F1828-1</x:f>
        <x:v>-0.0057158188115176145</x:v>
      </x:c>
      <x:c r="J1829" s="12" t="n">
        <x:v>0</x:v>
      </x:c>
      <x:c r="K1829" s="12" t="n">
        <x:v>0</x:v>
      </x:c>
      <x:c r="L1829" s="12" t="n">
        <x:v>0</x:v>
      </x:c>
      <x:c r="M1829" s="2" t="str">
        <x:v>持有</x:v>
      </x:c>
    </x:row>
    <x:row r="1830" ht="23" customHeight="1">
      <x:c r="A1830" s="11" t="d">
        <x:v>2022-03-31T00:00:00.000Z</x:v>
      </x:c>
      <x:c r="B1830" s="12" t="n">
        <x:v>17278.904664</x:v>
      </x:c>
      <x:c r="C1830" s="13" t="n">
        <x:v>484</x:v>
      </x:c>
      <x:c r="D1830" s="12" t="n">
        <x:v>218593.75999999998</x:v>
      </x:c>
      <x:c r="E1830" s="12" t="n">
        <x:v>661.148356</x:v>
      </x:c>
      <x:c r="F1830" s="12" t="n">
        <x:f>SUM(B1830,D1830:E1830)</x:f>
        <x:v>236533.81301999997</x:v>
      </x:c>
      <x:c r="G1830" s="12" t="n">
        <x:f>MAX(G1829,F1830)</x:f>
        <x:v>248490.544664</x:v>
      </x:c>
      <x:c r="H1830" s="14" t="n">
        <x:f>F1830/G1830-1</x:f>
        <x:v>-0.04811745114956978</x:v>
      </x:c>
      <x:c r="I1830" s="14" t="n">
        <x:f>F1830/F1829-1</x:f>
        <x:v>-0.014240582840166827</x:v>
      </x:c>
      <x:c r="J1830" s="12" t="n">
        <x:v>0</x:v>
      </x:c>
      <x:c r="K1830" s="12" t="n">
        <x:v>0</x:v>
      </x:c>
      <x:c r="L1830" s="12" t="n">
        <x:v>0</x:v>
      </x:c>
      <x:c r="M1830" s="2" t="str">
        <x:v>持有</x:v>
      </x:c>
    </x:row>
    <x:row r="1831" ht="23" customHeight="1">
      <x:c r="A1831" s="11" t="d">
        <x:v>2022-04-01T00:00:00.000Z</x:v>
      </x:c>
      <x:c r="B1831" s="12" t="n">
        <x:v>17278.904664</x:v>
      </x:c>
      <x:c r="C1831" s="13" t="n">
        <x:v>484</x:v>
      </x:c>
      <x:c r="D1831" s="12" t="n">
        <x:v>219213.28</x:v>
      </x:c>
      <x:c r="E1831" s="12" t="n">
        <x:v>661.148356</x:v>
      </x:c>
      <x:c r="F1831" s="12" t="n">
        <x:f>SUM(B1831,D1831:E1831)</x:f>
        <x:v>237153.33302</x:v>
      </x:c>
      <x:c r="G1831" s="12" t="n">
        <x:f>MAX(G1830,F1831)</x:f>
        <x:v>248490.544664</x:v>
      </x:c>
      <x:c r="H1831" s="14" t="n">
        <x:f>F1831/G1831-1</x:f>
        <x:v>-0.045624318057372215</x:v>
      </x:c>
      <x:c r="I1831" s="14" t="n">
        <x:f>F1831/F1830-1</x:f>
        <x:v>0.0026191604155454407</x:v>
      </x:c>
      <x:c r="J1831" s="12" t="n">
        <x:v>0</x:v>
      </x:c>
      <x:c r="K1831" s="12" t="n">
        <x:v>0</x:v>
      </x:c>
      <x:c r="L1831" s="12" t="n">
        <x:v>0</x:v>
      </x:c>
      <x:c r="M1831" s="2" t="str">
        <x:v>持有</x:v>
      </x:c>
    </x:row>
    <x:row r="1832" ht="23" customHeight="1">
      <x:c r="A1832" s="11" t="d">
        <x:v>2022-04-04T00:00:00.000Z</x:v>
      </x:c>
      <x:c r="B1832" s="12" t="n">
        <x:v>17278.904664</x:v>
      </x:c>
      <x:c r="C1832" s="13" t="n">
        <x:v>484</x:v>
      </x:c>
      <x:c r="D1832" s="12" t="n">
        <x:v>221091.2</x:v>
      </x:c>
      <x:c r="E1832" s="12" t="n">
        <x:v>661.148356</x:v>
      </x:c>
      <x:c r="F1832" s="12" t="n">
        <x:f>SUM(B1832,D1832:E1832)</x:f>
        <x:v>239031.25302</x:v>
      </x:c>
      <x:c r="G1832" s="12" t="n">
        <x:f>MAX(G1831,F1832)</x:f>
        <x:v>248490.544664</x:v>
      </x:c>
      <x:c r="H1832" s="14" t="n">
        <x:f>F1832/G1832-1</x:f>
        <x:v>-0.03806700837164845</x:v>
      </x:c>
      <x:c r="I1832" s="14" t="n">
        <x:f>F1832/F1831-1</x:f>
        <x:v>0.007918589952272015</x:v>
      </x:c>
      <x:c r="J1832" s="12" t="n">
        <x:v>0</x:v>
      </x:c>
      <x:c r="K1832" s="12" t="n">
        <x:v>0</x:v>
      </x:c>
      <x:c r="L1832" s="12" t="n">
        <x:v>0</x:v>
      </x:c>
      <x:c r="M1832" s="2" t="str">
        <x:v>持有</x:v>
      </x:c>
    </x:row>
    <x:row r="1833" ht="23" customHeight="1">
      <x:c r="A1833" s="11" t="d">
        <x:v>2022-04-05T00:00:00.000Z</x:v>
      </x:c>
      <x:c r="B1833" s="12" t="n">
        <x:v>17278.904664</x:v>
      </x:c>
      <x:c r="C1833" s="13" t="n">
        <x:v>484</x:v>
      </x:c>
      <x:c r="D1833" s="12" t="n">
        <x:v>218298.52</x:v>
      </x:c>
      <x:c r="E1833" s="12" t="n">
        <x:v>661.148356</x:v>
      </x:c>
      <x:c r="F1833" s="12" t="n">
        <x:f>SUM(B1833,D1833:E1833)</x:f>
        <x:v>236238.57301999998</x:v>
      </x:c>
      <x:c r="G1833" s="12" t="n">
        <x:f>MAX(G1832,F1833)</x:f>
        <x:v>248490.544664</x:v>
      </x:c>
      <x:c r="H1833" s="14" t="n">
        <x:f>F1833/G1833-1</x:f>
        <x:v>-0.0493055848888202</x:v>
      </x:c>
      <x:c r="I1833" s="14" t="n">
        <x:f>F1833/F1832-1</x:f>
        <x:v>-0.011683325777346543</x:v>
      </x:c>
      <x:c r="J1833" s="12" t="n">
        <x:v>0</x:v>
      </x:c>
      <x:c r="K1833" s="12" t="n">
        <x:v>0</x:v>
      </x:c>
      <x:c r="L1833" s="12" t="n">
        <x:v>0</x:v>
      </x:c>
      <x:c r="M1833" s="2" t="str">
        <x:v>持有</x:v>
      </x:c>
    </x:row>
    <x:row r="1834" ht="23" customHeight="1">
      <x:c r="A1834" s="11" t="d">
        <x:v>2022-04-06T00:00:00.000Z</x:v>
      </x:c>
      <x:c r="B1834" s="12" t="n">
        <x:v>17278.904664</x:v>
      </x:c>
      <x:c r="C1834" s="13" t="n">
        <x:v>484</x:v>
      </x:c>
      <x:c r="D1834" s="12" t="n">
        <x:v>216115.68</x:v>
      </x:c>
      <x:c r="E1834" s="12" t="n">
        <x:v>661.148356</x:v>
      </x:c>
      <x:c r="F1834" s="12" t="n">
        <x:f>SUM(B1834,D1834:E1834)</x:f>
        <x:v>234055.73301999999</x:v>
      </x:c>
      <x:c r="G1834" s="12" t="n">
        <x:f>MAX(G1833,F1834)</x:f>
        <x:v>248490.544664</x:v>
      </x:c>
      <x:c r="H1834" s="14" t="n">
        <x:f>F1834/G1834-1</x:f>
        <x:v>-0.05808998351835981</x:v>
      </x:c>
      <x:c r="I1834" s="14" t="n">
        <x:f>F1834/F1833-1</x:f>
        <x:v>-0.009239981312514911</x:v>
      </x:c>
      <x:c r="J1834" s="12" t="n">
        <x:v>0</x:v>
      </x:c>
      <x:c r="K1834" s="12" t="n">
        <x:v>0</x:v>
      </x:c>
      <x:c r="L1834" s="12" t="n">
        <x:v>0</x:v>
      </x:c>
      <x:c r="M1834" s="2" t="str">
        <x:v>持有</x:v>
      </x:c>
    </x:row>
    <x:row r="1835" ht="23" customHeight="1">
      <x:c r="A1835" s="11" t="d">
        <x:v>2022-04-07T00:00:00.000Z</x:v>
      </x:c>
      <x:c r="B1835" s="12" t="n">
        <x:v>17278.904664</x:v>
      </x:c>
      <x:c r="C1835" s="13" t="n">
        <x:v>484</x:v>
      </x:c>
      <x:c r="D1835" s="12" t="n">
        <x:v>217204.68</x:v>
      </x:c>
      <x:c r="E1835" s="12" t="n">
        <x:v>661.148356</x:v>
      </x:c>
      <x:c r="F1835" s="12" t="n">
        <x:f>SUM(B1835,D1835:E1835)</x:f>
        <x:v>235144.73301999999</x:v>
      </x:c>
      <x:c r="G1835" s="12" t="n">
        <x:f>MAX(G1834,F1835)</x:f>
        <x:v>248490.544664</x:v>
      </x:c>
      <x:c r="H1835" s="14" t="n">
        <x:f>F1835/G1835-1</x:f>
        <x:v>-0.05370752300473136</x:v>
      </x:c>
      <x:c r="I1835" s="14" t="n">
        <x:f>F1835/F1834-1</x:f>
        <x:v>0.004652737986584388</x:v>
      </x:c>
      <x:c r="J1835" s="12" t="n">
        <x:v>0</x:v>
      </x:c>
      <x:c r="K1835" s="12" t="n">
        <x:v>0</x:v>
      </x:c>
      <x:c r="L1835" s="12" t="n">
        <x:v>0</x:v>
      </x:c>
      <x:c r="M1835" s="2" t="str">
        <x:v>持有</x:v>
      </x:c>
    </x:row>
    <x:row r="1836" ht="23" customHeight="1">
      <x:c r="A1836" s="11" t="d">
        <x:v>2022-04-08T00:00:00.000Z</x:v>
      </x:c>
      <x:c r="B1836" s="12" t="n">
        <x:v>17278.904664</x:v>
      </x:c>
      <x:c r="C1836" s="13" t="n">
        <x:v>484</x:v>
      </x:c>
      <x:c r="D1836" s="12" t="n">
        <x:v>216623.88</x:v>
      </x:c>
      <x:c r="E1836" s="12" t="n">
        <x:v>661.148356</x:v>
      </x:c>
      <x:c r="F1836" s="12" t="n">
        <x:f>SUM(B1836,D1836:E1836)</x:f>
        <x:v>234563.93302</x:v>
      </x:c>
      <x:c r="G1836" s="12" t="n">
        <x:f>MAX(G1835,F1836)</x:f>
        <x:v>248490.544664</x:v>
      </x:c>
      <x:c r="H1836" s="14" t="n">
        <x:f>F1836/G1836-1</x:f>
        <x:v>-0.05604483527866644</x:v>
      </x:c>
      <x:c r="I1836" s="14" t="n">
        <x:f>F1836/F1835-1</x:f>
        <x:v>-0.0024699681448981936</x:v>
      </x:c>
      <x:c r="J1836" s="12" t="n">
        <x:v>0</x:v>
      </x:c>
      <x:c r="K1836" s="12" t="n">
        <x:v>0</x:v>
      </x:c>
      <x:c r="L1836" s="12" t="n">
        <x:v>0</x:v>
      </x:c>
      <x:c r="M1836" s="2" t="str">
        <x:v>持有</x:v>
      </x:c>
    </x:row>
    <x:row r="1837" ht="23" customHeight="1">
      <x:c r="A1837" s="11" t="d">
        <x:v>2022-04-11T00:00:00.000Z</x:v>
      </x:c>
      <x:c r="B1837" s="12" t="n">
        <x:v>17278.904664</x:v>
      </x:c>
      <x:c r="C1837" s="13" t="n">
        <x:v>484</x:v>
      </x:c>
      <x:c r="D1837" s="12" t="n">
        <x:v>212921.28</x:v>
      </x:c>
      <x:c r="E1837" s="12" t="n">
        <x:v>661.148356</x:v>
      </x:c>
      <x:c r="F1837" s="12" t="n">
        <x:f>SUM(B1837,D1837:E1837)</x:f>
        <x:v>230861.33302</x:v>
      </x:c>
      <x:c r="G1837" s="12" t="n">
        <x:f>MAX(G1836,F1837)</x:f>
        <x:v>248490.544664</x:v>
      </x:c>
      <x:c r="H1837" s="14" t="n">
        <x:f>F1837/G1837-1</x:f>
        <x:v>-0.07094520102500312</x:v>
      </x:c>
      <x:c r="I1837" s="14" t="n">
        <x:f>F1837/F1836-1</x:f>
        <x:v>-0.01578503545847476</x:v>
      </x:c>
      <x:c r="J1837" s="12" t="n">
        <x:v>0</x:v>
      </x:c>
      <x:c r="K1837" s="12" t="n">
        <x:v>0</x:v>
      </x:c>
      <x:c r="L1837" s="12" t="n">
        <x:v>0</x:v>
      </x:c>
      <x:c r="M1837" s="2" t="str">
        <x:v>持有</x:v>
      </x:c>
    </x:row>
    <x:row r="1838" ht="23" customHeight="1">
      <x:c r="A1838" s="11" t="d">
        <x:v>2022-04-12T00:00:00.000Z</x:v>
      </x:c>
      <x:c r="B1838" s="12" t="n">
        <x:v>17278.904664</x:v>
      </x:c>
      <x:c r="C1838" s="13" t="n">
        <x:v>484</x:v>
      </x:c>
      <x:c r="D1838" s="12" t="n">
        <x:v>212132.36000000002</x:v>
      </x:c>
      <x:c r="E1838" s="12" t="n">
        <x:v>661.148356</x:v>
      </x:c>
      <x:c r="F1838" s="12" t="n">
        <x:f>SUM(B1838,D1838:E1838)</x:f>
        <x:v>230072.41302</x:v>
      </x:c>
      <x:c r="G1838" s="12" t="n">
        <x:f>MAX(G1837,F1838)</x:f>
        <x:v>248490.544664</x:v>
      </x:c>
      <x:c r="H1838" s="14" t="n">
        <x:f>F1838/G1838-1</x:f>
        <x:v>-0.07412005019709833</x:v>
      </x:c>
      <x:c r="I1838" s="14" t="n">
        <x:f>F1838/F1837-1</x:f>
        <x:v>-0.0034172894597799264</x:v>
      </x:c>
      <x:c r="J1838" s="12" t="n">
        <x:v>0</x:v>
      </x:c>
      <x:c r="K1838" s="12" t="n">
        <x:v>0</x:v>
      </x:c>
      <x:c r="L1838" s="12" t="n">
        <x:v>0</x:v>
      </x:c>
      <x:c r="M1838" s="2" t="str">
        <x:v>持有</x:v>
      </x:c>
    </x:row>
    <x:row r="1839" ht="23" customHeight="1">
      <x:c r="A1839" s="11" t="d">
        <x:v>2022-04-13T00:00:00.000Z</x:v>
      </x:c>
      <x:c r="B1839" s="12" t="n">
        <x:v>17278.904664</x:v>
      </x:c>
      <x:c r="C1839" s="13" t="n">
        <x:v>484</x:v>
      </x:c>
      <x:c r="D1839" s="12" t="n">
        <x:v>214562.04</x:v>
      </x:c>
      <x:c r="E1839" s="12" t="n">
        <x:v>661.148356</x:v>
      </x:c>
      <x:c r="F1839" s="12" t="n">
        <x:f>SUM(B1839,D1839:E1839)</x:f>
        <x:v>232502.09302</x:v>
      </x:c>
      <x:c r="G1839" s="12" t="n">
        <x:f>MAX(G1838,F1839)</x:f>
        <x:v>248490.544664</x:v>
      </x:c>
      <x:c r="H1839" s="14" t="n">
        <x:f>F1839/G1839-1</x:f>
        <x:v>-0.06434229385113621</x:v>
      </x:c>
      <x:c r="I1839" s="14" t="n">
        <x:f>F1839/F1838-1</x:f>
        <x:v>0.010560501227014907</x:v>
      </x:c>
      <x:c r="J1839" s="12" t="n">
        <x:v>0</x:v>
      </x:c>
      <x:c r="K1839" s="12" t="n">
        <x:v>0</x:v>
      </x:c>
      <x:c r="L1839" s="12" t="n">
        <x:v>0</x:v>
      </x:c>
      <x:c r="M1839" s="2" t="str">
        <x:v>持有</x:v>
      </x:c>
    </x:row>
    <x:row r="1840" ht="23" customHeight="1">
      <x:c r="A1840" s="11" t="d">
        <x:v>2022-04-14T00:00:00.000Z</x:v>
      </x:c>
      <x:c r="B1840" s="12" t="n">
        <x:v>17278.904664</x:v>
      </x:c>
      <x:c r="C1840" s="13" t="n">
        <x:v>484</x:v>
      </x:c>
      <x:c r="D1840" s="12" t="n">
        <x:v>211890.36000000002</x:v>
      </x:c>
      <x:c r="E1840" s="12" t="n">
        <x:v>661.148356</x:v>
      </x:c>
      <x:c r="F1840" s="12" t="n">
        <x:f>SUM(B1840,D1840:E1840)</x:f>
        <x:v>229830.41302</x:v>
      </x:c>
      <x:c r="G1840" s="12" t="n">
        <x:f>MAX(G1839,F1840)</x:f>
        <x:v>248490.544664</x:v>
      </x:c>
      <x:c r="H1840" s="14" t="n">
        <x:f>F1840/G1840-1</x:f>
        <x:v>-0.07509393031123801</x:v>
      </x:c>
      <x:c r="I1840" s="14" t="n">
        <x:f>F1840/F1839-1</x:f>
        <x:v>-0.011490993329553278</x:v>
      </x:c>
      <x:c r="J1840" s="12" t="n">
        <x:v>0</x:v>
      </x:c>
      <x:c r="K1840" s="12" t="n">
        <x:v>0</x:v>
      </x:c>
      <x:c r="L1840" s="12" t="n">
        <x:v>0</x:v>
      </x:c>
      <x:c r="M1840" s="2" t="str">
        <x:v>持有</x:v>
      </x:c>
    </x:row>
    <x:row r="1841" ht="23" customHeight="1">
      <x:c r="A1841" s="11" t="d">
        <x:v>2022-04-18T00:00:00.000Z</x:v>
      </x:c>
      <x:c r="B1841" s="12" t="n">
        <x:v>17278.904664</x:v>
      </x:c>
      <x:c r="C1841" s="13" t="n">
        <x:v>484</x:v>
      </x:c>
      <x:c r="D1841" s="12" t="n">
        <x:v>211977.48</x:v>
      </x:c>
      <x:c r="E1841" s="12" t="n">
        <x:v>661.148356</x:v>
      </x:c>
      <x:c r="F1841" s="12" t="n">
        <x:f>SUM(B1841,D1841:E1841)</x:f>
        <x:v>229917.53302</x:v>
      </x:c>
      <x:c r="G1841" s="12" t="n">
        <x:f>MAX(G1840,F1841)</x:f>
        <x:v>248490.544664</x:v>
      </x:c>
      <x:c r="H1841" s="14" t="n">
        <x:f>F1841/G1841-1</x:f>
        <x:v>-0.07474333347014772</x:v>
      </x:c>
      <x:c r="I1841" s="14" t="n">
        <x:f>F1841/F1840-1</x:f>
        <x:v>0.00037906210433691356</x:v>
      </x:c>
      <x:c r="J1841" s="12" t="n">
        <x:v>0</x:v>
      </x:c>
      <x:c r="K1841" s="12" t="n">
        <x:v>0</x:v>
      </x:c>
      <x:c r="L1841" s="12" t="n">
        <x:v>0</x:v>
      </x:c>
      <x:c r="M1841" s="2" t="str">
        <x:v>持有</x:v>
      </x:c>
    </x:row>
    <x:row r="1842" ht="23" customHeight="1">
      <x:c r="A1842" s="11" t="d">
        <x:v>2022-04-19T00:00:00.000Z</x:v>
      </x:c>
      <x:c r="B1842" s="12" t="n">
        <x:v>17278.904664</x:v>
      </x:c>
      <x:c r="C1842" s="13" t="n">
        <x:v>484</x:v>
      </x:c>
      <x:c r="D1842" s="12" t="n">
        <x:v>215399.36000000002</x:v>
      </x:c>
      <x:c r="E1842" s="12" t="n">
        <x:v>661.148356</x:v>
      </x:c>
      <x:c r="F1842" s="12" t="n">
        <x:f>SUM(B1842,D1842:E1842)</x:f>
        <x:v>233339.41302</x:v>
      </x:c>
      <x:c r="G1842" s="12" t="n">
        <x:f>MAX(G1841,F1842)</x:f>
        <x:v>248490.544664</x:v>
      </x:c>
      <x:c r="H1842" s="14" t="n">
        <x:f>F1842/G1842-1</x:f>
        <x:v>-0.06097266865621309</x:v>
      </x:c>
      <x:c r="I1842" s="14" t="n">
        <x:f>F1842/F1841-1</x:f>
        <x:v>0.014883075488211439</x:v>
      </x:c>
      <x:c r="J1842" s="12" t="n">
        <x:v>0</x:v>
      </x:c>
      <x:c r="K1842" s="12" t="n">
        <x:v>0</x:v>
      </x:c>
      <x:c r="L1842" s="12" t="n">
        <x:v>0</x:v>
      </x:c>
      <x:c r="M1842" s="2" t="str">
        <x:v>持有</x:v>
      </x:c>
    </x:row>
    <x:row r="1843" ht="23" customHeight="1">
      <x:c r="A1843" s="11" t="d">
        <x:v>2022-04-20T00:00:00.000Z</x:v>
      </x:c>
      <x:c r="B1843" s="12" t="n">
        <x:v>17278.904664</x:v>
      </x:c>
      <x:c r="C1843" s="13" t="n">
        <x:v>484</x:v>
      </x:c>
      <x:c r="D1843" s="12" t="n">
        <x:v>215239.63999999998</x:v>
      </x:c>
      <x:c r="E1843" s="12" t="n">
        <x:v>661.148356</x:v>
      </x:c>
      <x:c r="F1843" s="12" t="n">
        <x:f>SUM(B1843,D1843:E1843)</x:f>
        <x:v>233179.69301999998</x:v>
      </x:c>
      <x:c r="G1843" s="12" t="n">
        <x:f>MAX(G1842,F1843)</x:f>
        <x:v>248490.544664</x:v>
      </x:c>
      <x:c r="H1843" s="14" t="n">
        <x:f>F1843/G1843-1</x:f>
        <x:v>-0.06161542953154531</x:v>
      </x:c>
      <x:c r="I1843" s="14" t="n">
        <x:f>F1843/F1842-1</x:f>
        <x:v>-0.000684496450611749</x:v>
      </x:c>
      <x:c r="J1843" s="12" t="n">
        <x:v>0</x:v>
      </x:c>
      <x:c r="K1843" s="12" t="n">
        <x:v>0</x:v>
      </x:c>
      <x:c r="L1843" s="12" t="n">
        <x:v>0</x:v>
      </x:c>
      <x:c r="M1843" s="2" t="str">
        <x:v>持有</x:v>
      </x:c>
    </x:row>
    <x:row r="1844" ht="23" customHeight="1">
      <x:c r="A1844" s="11" t="d">
        <x:v>2022-04-21T00:00:00.000Z</x:v>
      </x:c>
      <x:c r="B1844" s="12" t="n">
        <x:v>17278.904664</x:v>
      </x:c>
      <x:c r="C1844" s="13" t="n">
        <x:v>484</x:v>
      </x:c>
      <x:c r="D1844" s="12" t="n">
        <x:v>212021.04</x:v>
      </x:c>
      <x:c r="E1844" s="12" t="n">
        <x:v>661.148356</x:v>
      </x:c>
      <x:c r="F1844" s="12" t="n">
        <x:f>SUM(B1844,D1844:E1844)</x:f>
        <x:v>229961.09302</x:v>
      </x:c>
      <x:c r="G1844" s="12" t="n">
        <x:f>MAX(G1843,F1844)</x:f>
        <x:v>248490.544664</x:v>
      </x:c>
      <x:c r="H1844" s="14" t="n">
        <x:f>F1844/G1844-1</x:f>
        <x:v>-0.07456803504960263</x:v>
      </x:c>
      <x:c r="I1844" s="14" t="n">
        <x:f>F1844/F1843-1</x:f>
        <x:v>-0.01380308876092362</x:v>
      </x:c>
      <x:c r="J1844" s="12" t="n">
        <x:v>0</x:v>
      </x:c>
      <x:c r="K1844" s="12" t="n">
        <x:v>0</x:v>
      </x:c>
      <x:c r="L1844" s="12" t="n">
        <x:v>0</x:v>
      </x:c>
      <x:c r="M1844" s="2" t="str">
        <x:v>持有</x:v>
      </x:c>
    </x:row>
    <x:row r="1845" ht="23" customHeight="1">
      <x:c r="A1845" s="11" t="d">
        <x:v>2022-04-22T00:00:00.000Z</x:v>
      </x:c>
      <x:c r="B1845" s="12" t="n">
        <x:v>17278.904664</x:v>
      </x:c>
      <x:c r="C1845" s="13" t="n">
        <x:v>484</x:v>
      </x:c>
      <x:c r="D1845" s="12" t="n">
        <x:v>206203.36000000002</x:v>
      </x:c>
      <x:c r="E1845" s="12" t="n">
        <x:v>661.148356</x:v>
      </x:c>
      <x:c r="F1845" s="12" t="n">
        <x:f>SUM(B1845,D1845:E1845)</x:f>
        <x:v>224143.41302</x:v>
      </x:c>
      <x:c r="G1845" s="12" t="n">
        <x:f>MAX(G1844,F1845)</x:f>
        <x:v>248490.544664</x:v>
      </x:c>
      <x:c r="H1845" s="14" t="n">
        <x:f>F1845/G1845-1</x:f>
        <x:v>-0.09798011299351972</x:v>
      </x:c>
      <x:c r="I1845" s="14" t="n">
        <x:f>F1845/F1844-1</x:f>
        <x:v>-0.025298540390456536</x:v>
      </x:c>
      <x:c r="J1845" s="12" t="n">
        <x:v>0</x:v>
      </x:c>
      <x:c r="K1845" s="12" t="n">
        <x:v>0</x:v>
      </x:c>
      <x:c r="L1845" s="12" t="n">
        <x:v>0</x:v>
      </x:c>
      <x:c r="M1845" s="2" t="str">
        <x:v>持有</x:v>
      </x:c>
    </x:row>
    <x:row r="1846" ht="23" customHeight="1">
      <x:c r="A1846" s="11" t="d">
        <x:v>2022-04-25T00:00:00.000Z</x:v>
      </x:c>
      <x:c r="B1846" s="12" t="n">
        <x:v>17278.904664</x:v>
      </x:c>
      <x:c r="C1846" s="13" t="n">
        <x:v>484</x:v>
      </x:c>
      <x:c r="D1846" s="12" t="n">
        <x:v>207398.84</x:v>
      </x:c>
      <x:c r="E1846" s="12" t="n">
        <x:v>661.148356</x:v>
      </x:c>
      <x:c r="F1846" s="12" t="n">
        <x:f>SUM(B1846,D1846:E1846)</x:f>
        <x:v>225338.89302</x:v>
      </x:c>
      <x:c r="G1846" s="12" t="n">
        <x:f>MAX(G1845,F1846)</x:f>
        <x:v>248490.544664</x:v>
      </x:c>
      <x:c r="H1846" s="14" t="n">
        <x:f>F1846/G1846-1</x:f>
        <x:v>-0.0931691452296699</x:v>
      </x:c>
      <x:c r="I1846" s="14" t="n">
        <x:f>F1846/F1845-1</x:f>
        <x:v>0.005333549551569172</x:v>
      </x:c>
      <x:c r="J1846" s="12" t="n">
        <x:v>0</x:v>
      </x:c>
      <x:c r="K1846" s="12" t="n">
        <x:v>0</x:v>
      </x:c>
      <x:c r="L1846" s="12" t="n">
        <x:v>0</x:v>
      </x:c>
      <x:c r="M1846" s="2" t="str">
        <x:v>持有</x:v>
      </x:c>
    </x:row>
    <x:row r="1847" ht="23" customHeight="1">
      <x:c r="A1847" s="11" t="d">
        <x:v>2022-04-26T00:00:00.000Z</x:v>
      </x:c>
      <x:c r="B1847" s="12" t="n">
        <x:v>17278.904664</x:v>
      </x:c>
      <x:c r="C1847" s="13" t="n">
        <x:v>484</x:v>
      </x:c>
      <x:c r="D1847" s="12" t="n">
        <x:v>201392.40000000002</x:v>
      </x:c>
      <x:c r="E1847" s="12" t="n">
        <x:v>661.148356</x:v>
      </x:c>
      <x:c r="F1847" s="12" t="n">
        <x:f>SUM(B1847,D1847:E1847)</x:f>
        <x:v>219332.45302000002</x:v>
      </x:c>
      <x:c r="G1847" s="12" t="n">
        <x:f>MAX(G1846,F1847)</x:f>
        <x:v>248490.544664</x:v>
      </x:c>
      <x:c r="H1847" s="14" t="n">
        <x:f>F1847/G1847-1</x:f>
        <x:v>-0.11734084966261593</x:v>
      </x:c>
      <x:c r="I1847" s="14" t="n">
        <x:f>F1847/F1846-1</x:f>
        <x:v>-0.026655141149854122</x:v>
      </x:c>
      <x:c r="J1847" s="12" t="n">
        <x:v>0</x:v>
      </x:c>
      <x:c r="K1847" s="12" t="n">
        <x:v>0</x:v>
      </x:c>
      <x:c r="L1847" s="12" t="n">
        <x:v>0</x:v>
      </x:c>
      <x:c r="M1847" s="2" t="str">
        <x:v>持有</x:v>
      </x:c>
    </x:row>
    <x:row r="1848" ht="23" customHeight="1">
      <x:c r="A1848" s="11" t="d">
        <x:v>2022-04-27T00:00:00.000Z</x:v>
      </x:c>
      <x:c r="B1848" s="12" t="n">
        <x:v>17278.904664</x:v>
      </x:c>
      <x:c r="C1848" s="13" t="n">
        <x:v>484</x:v>
      </x:c>
      <x:c r="D1848" s="12" t="n">
        <x:v>201958.68</x:v>
      </x:c>
      <x:c r="E1848" s="12" t="n">
        <x:v>661.148356</x:v>
      </x:c>
      <x:c r="F1848" s="12" t="n">
        <x:f>SUM(B1848,D1848:E1848)</x:f>
        <x:v>219898.73301999999</x:v>
      </x:c>
      <x:c r="G1848" s="12" t="n">
        <x:f>MAX(G1847,F1848)</x:f>
        <x:v>248490.544664</x:v>
      </x:c>
      <x:c r="H1848" s="14" t="n">
        <x:f>F1848/G1848-1</x:f>
        <x:v>-0.11506197019552922</x:v>
      </x:c>
      <x:c r="I1848" s="14" t="n">
        <x:f>F1848/F1847-1</x:f>
        <x:v>0.0025818340706211806</x:v>
      </x:c>
      <x:c r="J1848" s="12" t="n">
        <x:v>0</x:v>
      </x:c>
      <x:c r="K1848" s="12" t="n">
        <x:v>0</x:v>
      </x:c>
      <x:c r="L1848" s="12" t="n">
        <x:v>0</x:v>
      </x:c>
      <x:c r="M1848" s="2" t="str">
        <x:v>持有</x:v>
      </x:c>
    </x:row>
    <x:row r="1849" ht="23" customHeight="1">
      <x:c r="A1849" s="11" t="d">
        <x:v>2022-04-28T00:00:00.000Z</x:v>
      </x:c>
      <x:c r="B1849" s="12" t="n">
        <x:v>17278.904664</x:v>
      </x:c>
      <x:c r="C1849" s="13" t="n">
        <x:v>484</x:v>
      </x:c>
      <x:c r="D1849" s="12" t="n">
        <x:v>207060.04</x:v>
      </x:c>
      <x:c r="E1849" s="12" t="n">
        <x:v>661.148356</x:v>
      </x:c>
      <x:c r="F1849" s="12" t="n">
        <x:f>SUM(B1849,D1849:E1849)</x:f>
        <x:v>225000.09302</x:v>
      </x:c>
      <x:c r="G1849" s="12" t="n">
        <x:f>MAX(G1848,F1849)</x:f>
        <x:v>248490.544664</x:v>
      </x:c>
      <x:c r="H1849" s="14" t="n">
        <x:f>F1849/G1849-1</x:f>
        <x:v>-0.09453257738946541</x:v>
      </x:c>
      <x:c r="I1849" s="14" t="n">
        <x:f>F1849/F1848-1</x:f>
        <x:v>0.02319867845503243</x:v>
      </x:c>
      <x:c r="J1849" s="12" t="n">
        <x:v>0</x:v>
      </x:c>
      <x:c r="K1849" s="12" t="n">
        <x:v>0</x:v>
      </x:c>
      <x:c r="L1849" s="12" t="n">
        <x:v>0</x:v>
      </x:c>
      <x:c r="M1849" s="2" t="str">
        <x:v>持有</x:v>
      </x:c>
    </x:row>
    <x:row r="1850" ht="23" customHeight="1">
      <x:c r="A1850" s="11" t="d">
        <x:v>2022-04-29T00:00:00.000Z</x:v>
      </x:c>
      <x:c r="B1850" s="12" t="n">
        <x:v>17940.05302</x:v>
      </x:c>
      <x:c r="C1850" s="13" t="n">
        <x:v>484</x:v>
      </x:c>
      <x:c r="D1850" s="12" t="n">
        <x:v>199408</x:v>
      </x:c>
      <x:c r="E1850" s="12" t="n">
        <x:v>0</x:v>
      </x:c>
      <x:c r="F1850" s="12" t="n">
        <x:f>SUM(B1850,D1850:E1850)</x:f>
        <x:v>217348.05302</x:v>
      </x:c>
      <x:c r="G1850" s="12" t="n">
        <x:f>MAX(G1849,F1850)</x:f>
        <x:v>248490.544664</x:v>
      </x:c>
      <x:c r="H1850" s="14" t="n">
        <x:f>F1850/G1850-1</x:f>
        <x:v>-0.12532666659856118</x:v>
      </x:c>
      <x:c r="I1850" s="14" t="n">
        <x:f>F1850/F1849-1</x:f>
        <x:v>-0.03400905260656861</x:v>
      </x:c>
      <x:c r="J1850" s="12" t="n">
        <x:v>0</x:v>
      </x:c>
      <x:c r="K1850" s="12" t="n">
        <x:v>661.148356</x:v>
      </x:c>
      <x:c r="L1850" s="12" t="n">
        <x:v>0</x:v>
      </x:c>
      <x:c r="M1850" s="2" t="str">
        <x:v>持有</x:v>
      </x:c>
    </x:row>
    <x:row r="1851" ht="23" customHeight="1">
      <x:c r="A1851" s="11" t="d">
        <x:v>2022-05-02T00:00:00.000Z</x:v>
      </x:c>
      <x:c r="B1851" s="12" t="n">
        <x:v>17940.05302</x:v>
      </x:c>
      <x:c r="C1851" s="13" t="n">
        <x:v>484</x:v>
      </x:c>
      <x:c r="D1851" s="12" t="n">
        <x:v>200608.32</x:v>
      </x:c>
      <x:c r="E1851" s="12" t="n">
        <x:v>0</x:v>
      </x:c>
      <x:c r="F1851" s="12" t="n">
        <x:f>SUM(B1851,D1851:E1851)</x:f>
        <x:v>218548.37302</x:v>
      </x:c>
      <x:c r="G1851" s="12" t="n">
        <x:f>MAX(G1850,F1851)</x:f>
        <x:v>248490.544664</x:v>
      </x:c>
      <x:c r="H1851" s="14" t="n">
        <x:f>F1851/G1851-1</x:f>
        <x:v>-0.12049622123242842</x:v>
      </x:c>
      <x:c r="I1851" s="14" t="n">
        <x:f>F1851/F1850-1</x:f>
        <x:v>0.005522570749182387</x:v>
      </x:c>
      <x:c r="J1851" s="12" t="n">
        <x:v>0</x:v>
      </x:c>
      <x:c r="K1851" s="12" t="n">
        <x:v>0</x:v>
      </x:c>
      <x:c r="L1851" s="12" t="n">
        <x:v>0</x:v>
      </x:c>
      <x:c r="M1851" s="2" t="str">
        <x:v>持有</x:v>
      </x:c>
    </x:row>
    <x:row r="1852" ht="23" customHeight="1">
      <x:c r="A1852" s="11" t="d">
        <x:v>2022-05-03T00:00:00.000Z</x:v>
      </x:c>
      <x:c r="B1852" s="12" t="n">
        <x:v>17940.05302</x:v>
      </x:c>
      <x:c r="C1852" s="13" t="n">
        <x:v>484</x:v>
      </x:c>
      <x:c r="D1852" s="12" t="n">
        <x:v>201527.91999999998</x:v>
      </x:c>
      <x:c r="E1852" s="12" t="n">
        <x:v>0</x:v>
      </x:c>
      <x:c r="F1852" s="12" t="n">
        <x:f>SUM(B1852,D1852:E1852)</x:f>
        <x:v>219467.97301999998</x:v>
      </x:c>
      <x:c r="G1852" s="12" t="n">
        <x:f>MAX(G1851,F1852)</x:f>
        <x:v>248490.544664</x:v>
      </x:c>
      <x:c r="H1852" s="14" t="n">
        <x:f>F1852/G1852-1</x:f>
        <x:v>-0.11679547679869784</x:v>
      </x:c>
      <x:c r="I1852" s="14" t="n">
        <x:f>F1852/F1851-1</x:f>
        <x:v>0.004207764108661749</x:v>
      </x:c>
      <x:c r="J1852" s="12" t="n">
        <x:v>0</x:v>
      </x:c>
      <x:c r="K1852" s="12" t="n">
        <x:v>0</x:v>
      </x:c>
      <x:c r="L1852" s="12" t="n">
        <x:v>0</x:v>
      </x:c>
      <x:c r="M1852" s="2" t="str">
        <x:v>持有</x:v>
      </x:c>
    </x:row>
    <x:row r="1853" ht="23" customHeight="1">
      <x:c r="A1853" s="11" t="d">
        <x:v>2022-05-04T00:00:00.000Z</x:v>
      </x:c>
      <x:c r="B1853" s="12" t="n">
        <x:v>17940.05302</x:v>
      </x:c>
      <x:c r="C1853" s="13" t="n">
        <x:v>484</x:v>
      </x:c>
      <x:c r="D1853" s="12" t="n">
        <x:v>207665.04</x:v>
      </x:c>
      <x:c r="E1853" s="12" t="n">
        <x:v>0</x:v>
      </x:c>
      <x:c r="F1853" s="12" t="n">
        <x:f>SUM(B1853,D1853:E1853)</x:f>
        <x:v>225605.09302</x:v>
      </x:c>
      <x:c r="G1853" s="12" t="n">
        <x:f>MAX(G1852,F1853)</x:f>
        <x:v>248490.544664</x:v>
      </x:c>
      <x:c r="H1853" s="14" t="n">
        <x:f>F1853/G1853-1</x:f>
        <x:v>-0.09209787710411632</x:v>
      </x:c>
      <x:c r="I1853" s="14" t="n">
        <x:f>F1853/F1852-1</x:f>
        <x:v>0.027963624557833633</x:v>
      </x:c>
      <x:c r="J1853" s="12" t="n">
        <x:v>0</x:v>
      </x:c>
      <x:c r="K1853" s="12" t="n">
        <x:v>0</x:v>
      </x:c>
      <x:c r="L1853" s="12" t="n">
        <x:v>0</x:v>
      </x:c>
      <x:c r="M1853" s="2" t="str">
        <x:v>持有</x:v>
      </x:c>
    </x:row>
    <x:row r="1854" ht="23" customHeight="1">
      <x:c r="A1854" s="11" t="d">
        <x:v>2022-05-05T00:00:00.000Z</x:v>
      </x:c>
      <x:c r="B1854" s="12" t="n">
        <x:v>17940.05302</x:v>
      </x:c>
      <x:c r="C1854" s="13" t="n">
        <x:v>484</x:v>
      </x:c>
      <x:c r="D1854" s="12" t="n">
        <x:v>200284.04</x:v>
      </x:c>
      <x:c r="E1854" s="12" t="n">
        <x:v>0</x:v>
      </x:c>
      <x:c r="F1854" s="12" t="n">
        <x:f>SUM(B1854,D1854:E1854)</x:f>
        <x:v>218224.09302</x:v>
      </x:c>
      <x:c r="G1854" s="12" t="n">
        <x:f>MAX(G1853,F1854)</x:f>
        <x:v>248490.544664</x:v>
      </x:c>
      <x:c r="H1854" s="14" t="n">
        <x:f>F1854/G1854-1</x:f>
        <x:v>-0.12180122058537557</x:v>
      </x:c>
      <x:c r="I1854" s="14" t="n">
        <x:f>F1854/F1853-1</x:f>
        <x:v>-0.03271645999297401</x:v>
      </x:c>
      <x:c r="J1854" s="12" t="n">
        <x:v>0</x:v>
      </x:c>
      <x:c r="K1854" s="12" t="n">
        <x:v>0</x:v>
      </x:c>
      <x:c r="L1854" s="12" t="n">
        <x:v>0</x:v>
      </x:c>
      <x:c r="M1854" s="2" t="str">
        <x:v>持有</x:v>
      </x:c>
    </x:row>
    <x:row r="1855" ht="23" customHeight="1">
      <x:c r="A1855" s="11" t="d">
        <x:v>2022-05-06T00:00:00.000Z</x:v>
      </x:c>
      <x:c r="B1855" s="12" t="n">
        <x:v>17940.05302</x:v>
      </x:c>
      <x:c r="C1855" s="13" t="n">
        <x:v>484</x:v>
      </x:c>
      <x:c r="D1855" s="12" t="n">
        <x:v>199088.56</x:v>
      </x:c>
      <x:c r="E1855" s="12" t="n">
        <x:v>0</x:v>
      </x:c>
      <x:c r="F1855" s="12" t="n">
        <x:f>SUM(B1855,D1855:E1855)</x:f>
        <x:v>217028.61302</x:v>
      </x:c>
      <x:c r="G1855" s="12" t="n">
        <x:f>MAX(G1854,F1855)</x:f>
        <x:v>248490.544664</x:v>
      </x:c>
      <x:c r="H1855" s="14" t="n">
        <x:f>F1855/G1855-1</x:f>
        <x:v>-0.1266121883492255</x:v>
      </x:c>
      <x:c r="I1855" s="14" t="n">
        <x:f>F1855/F1854-1</x:f>
        <x:v>-0.00547822187484337</x:v>
      </x:c>
      <x:c r="J1855" s="12" t="n">
        <x:v>0</x:v>
      </x:c>
      <x:c r="K1855" s="12" t="n">
        <x:v>0</x:v>
      </x:c>
      <x:c r="L1855" s="12" t="n">
        <x:v>0</x:v>
      </x:c>
      <x:c r="M1855" s="2" t="str">
        <x:v>持有</x:v>
      </x:c>
    </x:row>
    <x:row r="1856" ht="23" customHeight="1">
      <x:c r="A1856" s="11" t="d">
        <x:v>2022-05-09T00:00:00.000Z</x:v>
      </x:c>
      <x:c r="B1856" s="12" t="n">
        <x:v>17940.05302</x:v>
      </x:c>
      <x:c r="C1856" s="13" t="n">
        <x:v>484</x:v>
      </x:c>
      <x:c r="D1856" s="12" t="n">
        <x:v>192714.28</x:v>
      </x:c>
      <x:c r="E1856" s="12" t="n">
        <x:v>0</x:v>
      </x:c>
      <x:c r="F1856" s="12" t="n">
        <x:f>SUM(B1856,D1856:E1856)</x:f>
        <x:v>210654.33302</x:v>
      </x:c>
      <x:c r="G1856" s="12" t="n">
        <x:f>MAX(G1855,F1856)</x:f>
        <x:v>248490.544664</x:v>
      </x:c>
      <x:c r="H1856" s="14" t="n">
        <x:f>F1856/G1856-1</x:f>
        <x:v>-0.15226419055566387</x:v>
      </x:c>
      <x:c r="I1856" s="14" t="n">
        <x:f>F1856/F1855-1</x:f>
        <x:v>-0.02937068947407684</x:v>
      </x:c>
      <x:c r="J1856" s="12" t="n">
        <x:v>0</x:v>
      </x:c>
      <x:c r="K1856" s="12" t="n">
        <x:v>0</x:v>
      </x:c>
      <x:c r="L1856" s="12" t="n">
        <x:v>0</x:v>
      </x:c>
      <x:c r="M1856" s="2" t="str">
        <x:v>持有</x:v>
      </x:c>
    </x:row>
    <x:row r="1857" ht="23" customHeight="1">
      <x:c r="A1857" s="11" t="d">
        <x:v>2022-05-10T00:00:00.000Z</x:v>
      </x:c>
      <x:c r="B1857" s="12" t="n">
        <x:v>17940.05302</x:v>
      </x:c>
      <x:c r="C1857" s="13" t="n">
        <x:v>484</x:v>
      </x:c>
      <x:c r="D1857" s="12" t="n">
        <x:v>193159.56</x:v>
      </x:c>
      <x:c r="E1857" s="12" t="n">
        <x:v>0</x:v>
      </x:c>
      <x:c r="F1857" s="12" t="n">
        <x:f>SUM(B1857,D1857:E1857)</x:f>
        <x:v>211099.61302</x:v>
      </x:c>
      <x:c r="G1857" s="12" t="n">
        <x:f>MAX(G1856,F1857)</x:f>
        <x:v>248490.544664</x:v>
      </x:c>
      <x:c r="H1857" s="14" t="n">
        <x:f>F1857/G1857-1</x:f>
        <x:v>-0.15047225114564688</x:v>
      </x:c>
      <x:c r="I1857" s="14" t="n">
        <x:f>F1857/F1856-1</x:f>
        <x:v>0.002113794639855504</x:v>
      </x:c>
      <x:c r="J1857" s="12" t="n">
        <x:v>0</x:v>
      </x:c>
      <x:c r="K1857" s="12" t="n">
        <x:v>0</x:v>
      </x:c>
      <x:c r="L1857" s="12" t="n">
        <x:v>0</x:v>
      </x:c>
      <x:c r="M1857" s="2" t="str">
        <x:v>持有</x:v>
      </x:c>
    </x:row>
    <x:row r="1858" ht="23" customHeight="1">
      <x:c r="A1858" s="11" t="d">
        <x:v>2022-05-11T00:00:00.000Z</x:v>
      </x:c>
      <x:c r="B1858" s="12" t="n">
        <x:v>17940.05302</x:v>
      </x:c>
      <x:c r="C1858" s="13" t="n">
        <x:v>484</x:v>
      </x:c>
      <x:c r="D1858" s="12" t="n">
        <x:v>190091</x:v>
      </x:c>
      <x:c r="E1858" s="12" t="n">
        <x:v>0</x:v>
      </x:c>
      <x:c r="F1858" s="12" t="n">
        <x:f>SUM(B1858,D1858:E1858)</x:f>
        <x:v>208031.05302</x:v>
      </x:c>
      <x:c r="G1858" s="12" t="n">
        <x:f>MAX(G1857,F1858)</x:f>
        <x:v>248490.544664</x:v>
      </x:c>
      <x:c r="H1858" s="14" t="n">
        <x:f>F1858/G1858-1</x:f>
        <x:v>-0.16282105099293764</x:v>
      </x:c>
      <x:c r="I1858" s="14" t="n">
        <x:f>F1858/F1857-1</x:f>
        <x:v>-0.014536075912698454</x:v>
      </x:c>
      <x:c r="J1858" s="12" t="n">
        <x:v>0</x:v>
      </x:c>
      <x:c r="K1858" s="12" t="n">
        <x:v>0</x:v>
      </x:c>
      <x:c r="L1858" s="12" t="n">
        <x:v>0</x:v>
      </x:c>
      <x:c r="M1858" s="2" t="str">
        <x:v>持有</x:v>
      </x:c>
    </x:row>
    <x:row r="1859" ht="23" customHeight="1">
      <x:c r="A1859" s="11" t="d">
        <x:v>2022-05-12T00:00:00.000Z</x:v>
      </x:c>
      <x:c r="B1859" s="12" t="n">
        <x:v>17940.05302</x:v>
      </x:c>
      <x:c r="C1859" s="13" t="n">
        <x:v>484</x:v>
      </x:c>
      <x:c r="D1859" s="12" t="n">
        <x:v>189892.56</x:v>
      </x:c>
      <x:c r="E1859" s="12" t="n">
        <x:v>0</x:v>
      </x:c>
      <x:c r="F1859" s="12" t="n">
        <x:f>SUM(B1859,D1859:E1859)</x:f>
        <x:v>207832.61302</x:v>
      </x:c>
      <x:c r="G1859" s="12" t="n">
        <x:f>MAX(G1858,F1859)</x:f>
        <x:v>248490.544664</x:v>
      </x:c>
      <x:c r="H1859" s="14" t="n">
        <x:f>F1859/G1859-1</x:f>
        <x:v>-0.16361963268653223</x:v>
      </x:c>
      <x:c r="I1859" s="14" t="n">
        <x:f>F1859/F1858-1</x:f>
        <x:v>-0.0009538960511867867</x:v>
      </x:c>
      <x:c r="J1859" s="12" t="n">
        <x:v>0</x:v>
      </x:c>
      <x:c r="K1859" s="12" t="n">
        <x:v>0</x:v>
      </x:c>
      <x:c r="L1859" s="12" t="n">
        <x:v>0</x:v>
      </x:c>
      <x:c r="M1859" s="2" t="str">
        <x:v>持有</x:v>
      </x:c>
    </x:row>
    <x:row r="1860" ht="23" customHeight="1">
      <x:c r="A1860" s="11" t="d">
        <x:v>2022-05-13T00:00:00.000Z</x:v>
      </x:c>
      <x:c r="B1860" s="12" t="n">
        <x:v>17940.05302</x:v>
      </x:c>
      <x:c r="C1860" s="13" t="n">
        <x:v>484</x:v>
      </x:c>
      <x:c r="D1860" s="12" t="n">
        <x:v>194432.48</x:v>
      </x:c>
      <x:c r="E1860" s="12" t="n">
        <x:v>0</x:v>
      </x:c>
      <x:c r="F1860" s="12" t="n">
        <x:f>SUM(B1860,D1860:E1860)</x:f>
        <x:v>212372.53302</x:v>
      </x:c>
      <x:c r="G1860" s="12" t="n">
        <x:f>MAX(G1859,F1860)</x:f>
        <x:v>248490.544664</x:v>
      </x:c>
      <x:c r="H1860" s="14" t="n">
        <x:f>F1860/G1860-1</x:f>
        <x:v>-0.14534964174527232</x:v>
      </x:c>
      <x:c r="I1860" s="14" t="n">
        <x:f>F1860/F1859-1</x:f>
        <x:v>0.021844117407902264</x:v>
      </x:c>
      <x:c r="J1860" s="12" t="n">
        <x:v>0</x:v>
      </x:c>
      <x:c r="K1860" s="12" t="n">
        <x:v>0</x:v>
      </x:c>
      <x:c r="L1860" s="12" t="n">
        <x:v>0</x:v>
      </x:c>
      <x:c r="M1860" s="2" t="str">
        <x:v>持有</x:v>
      </x:c>
    </x:row>
    <x:row r="1861" ht="23" customHeight="1">
      <x:c r="A1861" s="11" t="d">
        <x:v>2022-05-16T00:00:00.000Z</x:v>
      </x:c>
      <x:c r="B1861" s="12" t="n">
        <x:v>17940.05302</x:v>
      </x:c>
      <x:c r="C1861" s="13" t="n">
        <x:v>484</x:v>
      </x:c>
      <x:c r="D1861" s="12" t="n">
        <x:v>193643.56</x:v>
      </x:c>
      <x:c r="E1861" s="12" t="n">
        <x:v>0</x:v>
      </x:c>
      <x:c r="F1861" s="12" t="n">
        <x:f>SUM(B1861,D1861:E1861)</x:f>
        <x:v>211583.61302</x:v>
      </x:c>
      <x:c r="G1861" s="12" t="n">
        <x:f>MAX(G1860,F1861)</x:f>
        <x:v>248490.544664</x:v>
      </x:c>
      <x:c r="H1861" s="14" t="n">
        <x:f>F1861/G1861-1</x:f>
        <x:v>-0.14852449091736764</x:v>
      </x:c>
      <x:c r="I1861" s="14" t="n">
        <x:f>F1861/F1860-1</x:f>
        <x:v>-0.00371479300444999</x:v>
      </x:c>
      <x:c r="J1861" s="12" t="n">
        <x:v>0</x:v>
      </x:c>
      <x:c r="K1861" s="12" t="n">
        <x:v>0</x:v>
      </x:c>
      <x:c r="L1861" s="12" t="n">
        <x:v>0</x:v>
      </x:c>
      <x:c r="M1861" s="2" t="str">
        <x:v>持有</x:v>
      </x:c>
    </x:row>
    <x:row r="1862" ht="23" customHeight="1">
      <x:c r="A1862" s="11" t="d">
        <x:v>2022-05-17T00:00:00.000Z</x:v>
      </x:c>
      <x:c r="B1862" s="12" t="n">
        <x:v>17940.05302</x:v>
      </x:c>
      <x:c r="C1862" s="13" t="n">
        <x:v>484</x:v>
      </x:c>
      <x:c r="D1862" s="12" t="n">
        <x:v>197626.88</x:v>
      </x:c>
      <x:c r="E1862" s="12" t="n">
        <x:v>0</x:v>
      </x:c>
      <x:c r="F1862" s="12" t="n">
        <x:f>SUM(B1862,D1862:E1862)</x:f>
        <x:v>215566.93302</x:v>
      </x:c>
      <x:c r="G1862" s="12" t="n">
        <x:f>MAX(G1861,F1862)</x:f>
        <x:v>248490.544664</x:v>
      </x:c>
      <x:c r="H1862" s="14" t="n">
        <x:f>F1862/G1862-1</x:f>
        <x:v>-0.132494424238629</x:v>
      </x:c>
      <x:c r="I1862" s="14" t="n">
        <x:f>F1862/F1861-1</x:f>
        <x:v>0.018826221667854304</x:v>
      </x:c>
      <x:c r="J1862" s="12" t="n">
        <x:v>0</x:v>
      </x:c>
      <x:c r="K1862" s="12" t="n">
        <x:v>0</x:v>
      </x:c>
      <x:c r="L1862" s="12" t="n">
        <x:v>0</x:v>
      </x:c>
      <x:c r="M1862" s="2" t="str">
        <x:v>持有</x:v>
      </x:c>
    </x:row>
    <x:row r="1863" ht="23" customHeight="1">
      <x:c r="A1863" s="11" t="d">
        <x:v>2022-05-18T00:00:00.000Z</x:v>
      </x:c>
      <x:c r="B1863" s="12" t="n">
        <x:v>17940.05302</x:v>
      </x:c>
      <x:c r="C1863" s="13" t="n">
        <x:v>484</x:v>
      </x:c>
      <x:c r="D1863" s="12" t="n">
        <x:v>189660.24000000002</x:v>
      </x:c>
      <x:c r="E1863" s="12" t="n">
        <x:v>0</x:v>
      </x:c>
      <x:c r="F1863" s="12" t="n">
        <x:f>SUM(B1863,D1863:E1863)</x:f>
        <x:v>207600.29302</x:v>
      </x:c>
      <x:c r="G1863" s="12" t="n">
        <x:f>MAX(G1862,F1863)</x:f>
        <x:v>248490.544664</x:v>
      </x:c>
      <x:c r="H1863" s="14" t="n">
        <x:f>F1863/G1863-1</x:f>
        <x:v>-0.16455455759610615</x:v>
      </x:c>
      <x:c r="I1863" s="14" t="n">
        <x:f>F1863/F1862-1</x:f>
        <x:v>-0.03695668852541889</x:v>
      </x:c>
      <x:c r="J1863" s="12" t="n">
        <x:v>0</x:v>
      </x:c>
      <x:c r="K1863" s="12" t="n">
        <x:v>0</x:v>
      </x:c>
      <x:c r="L1863" s="12" t="n">
        <x:v>0</x:v>
      </x:c>
      <x:c r="M1863" s="2" t="str">
        <x:v>持有</x:v>
      </x:c>
    </x:row>
    <x:row r="1864" ht="23" customHeight="1">
      <x:c r="A1864" s="11" t="d">
        <x:v>2022-05-19T00:00:00.000Z</x:v>
      </x:c>
      <x:c r="B1864" s="12" t="n">
        <x:v>17940.05302</x:v>
      </x:c>
      <x:c r="C1864" s="13" t="n">
        <x:v>484</x:v>
      </x:c>
      <x:c r="D1864" s="12" t="n">
        <x:v>188498.63999999998</x:v>
      </x:c>
      <x:c r="E1864" s="12" t="n">
        <x:v>0</x:v>
      </x:c>
      <x:c r="F1864" s="12" t="n">
        <x:f>SUM(B1864,D1864:E1864)</x:f>
        <x:v>206438.69301999998</x:v>
      </x:c>
      <x:c r="G1864" s="12" t="n">
        <x:f>MAX(G1863,F1864)</x:f>
        <x:v>248490.544664</x:v>
      </x:c>
      <x:c r="H1864" s="14" t="n">
        <x:f>F1864/G1864-1</x:f>
        <x:v>-0.16922918214397664</x:v>
      </x:c>
      <x:c r="I1864" s="14" t="n">
        <x:f>F1864/F1863-1</x:f>
        <x:v>-0.005595367824881237</x:v>
      </x:c>
      <x:c r="J1864" s="12" t="n">
        <x:v>0</x:v>
      </x:c>
      <x:c r="K1864" s="12" t="n">
        <x:v>0</x:v>
      </x:c>
      <x:c r="L1864" s="12" t="n">
        <x:v>0</x:v>
      </x:c>
      <x:c r="M1864" s="2" t="str">
        <x:v>持有</x:v>
      </x:c>
    </x:row>
    <x:row r="1865" ht="23" customHeight="1">
      <x:c r="A1865" s="11" t="d">
        <x:v>2022-05-20T00:00:00.000Z</x:v>
      </x:c>
      <x:c r="B1865" s="12" t="n">
        <x:v>17940.05302</x:v>
      </x:c>
      <x:c r="C1865" s="13" t="n">
        <x:v>484</x:v>
      </x:c>
      <x:c r="D1865" s="12" t="n">
        <x:v>188580.91999999998</x:v>
      </x:c>
      <x:c r="E1865" s="12" t="n">
        <x:v>0</x:v>
      </x:c>
      <x:c r="F1865" s="12" t="n">
        <x:f>SUM(B1865,D1865:E1865)</x:f>
        <x:v>206520.97301999998</x:v>
      </x:c>
      <x:c r="G1865" s="12" t="n">
        <x:f>MAX(G1864,F1865)</x:f>
        <x:v>248490.544664</x:v>
      </x:c>
      <x:c r="H1865" s="14" t="n">
        <x:f>F1865/G1865-1</x:f>
        <x:v>-0.16889806290516918</x:v>
      </x:c>
      <x:c r="I1865" s="14" t="n">
        <x:f>F1865/F1864-1</x:f>
        <x:v>0.0003985686927014953</x:v>
      </x:c>
      <x:c r="J1865" s="12" t="n">
        <x:v>0</x:v>
      </x:c>
      <x:c r="K1865" s="12" t="n">
        <x:v>0</x:v>
      </x:c>
      <x:c r="L1865" s="12" t="n">
        <x:v>0</x:v>
      </x:c>
      <x:c r="M1865" s="2" t="str">
        <x:v>持有</x:v>
      </x:c>
    </x:row>
    <x:row r="1866" ht="23" customHeight="1">
      <x:c r="A1866" s="11" t="d">
        <x:v>2022-05-23T00:00:00.000Z</x:v>
      </x:c>
      <x:c r="B1866" s="12" t="n">
        <x:v>17940.05302</x:v>
      </x:c>
      <x:c r="C1866" s="13" t="n">
        <x:v>484</x:v>
      </x:c>
      <x:c r="D1866" s="12" t="n">
        <x:v>192109.28</x:v>
      </x:c>
      <x:c r="E1866" s="12" t="n">
        <x:v>0</x:v>
      </x:c>
      <x:c r="F1866" s="12" t="n">
        <x:f>SUM(B1866,D1866:E1866)</x:f>
        <x:v>210049.33302</x:v>
      </x:c>
      <x:c r="G1866" s="12" t="n">
        <x:f>MAX(G1865,F1866)</x:f>
        <x:v>248490.544664</x:v>
      </x:c>
      <x:c r="H1866" s="14" t="n">
        <x:f>F1866/G1866-1</x:f>
        <x:v>-0.15469889084101296</x:v>
      </x:c>
      <x:c r="I1866" s="14" t="n">
        <x:f>F1866/F1865-1</x:f>
        <x:v>0.01708475390370312</x:v>
      </x:c>
      <x:c r="J1866" s="12" t="n">
        <x:v>0</x:v>
      </x:c>
      <x:c r="K1866" s="12" t="n">
        <x:v>0</x:v>
      </x:c>
      <x:c r="L1866" s="12" t="n">
        <x:v>0</x:v>
      </x:c>
      <x:c r="M1866" s="2" t="str">
        <x:v>持有</x:v>
      </x:c>
    </x:row>
    <x:row r="1867" ht="23" customHeight="1">
      <x:c r="A1867" s="11" t="d">
        <x:v>2022-05-24T00:00:00.000Z</x:v>
      </x:c>
      <x:c r="B1867" s="12" t="n">
        <x:v>17940.05302</x:v>
      </x:c>
      <x:c r="C1867" s="13" t="n">
        <x:v>484</x:v>
      </x:c>
      <x:c r="D1867" s="12" t="n">
        <x:v>190642.75999999998</x:v>
      </x:c>
      <x:c r="E1867" s="12" t="n">
        <x:v>0</x:v>
      </x:c>
      <x:c r="F1867" s="12" t="n">
        <x:f>SUM(B1867,D1867:E1867)</x:f>
        <x:v>208582.81301999997</x:v>
      </x:c>
      <x:c r="G1867" s="12" t="n">
        <x:f>MAX(G1866,F1867)</x:f>
        <x:v>248490.544664</x:v>
      </x:c>
      <x:c r="H1867" s="14" t="n">
        <x:f>F1867/G1867-1</x:f>
        <x:v>-0.1606006043326993</x:v>
      </x:c>
      <x:c r="I1867" s="14" t="n">
        <x:f>F1867/F1866-1</x:f>
        <x:v>-0.006981788415678425</x:v>
      </x:c>
      <x:c r="J1867" s="12" t="n">
        <x:v>0</x:v>
      </x:c>
      <x:c r="K1867" s="12" t="n">
        <x:v>0</x:v>
      </x:c>
      <x:c r="L1867" s="12" t="n">
        <x:v>0</x:v>
      </x:c>
      <x:c r="M1867" s="2" t="str">
        <x:v>持有</x:v>
      </x:c>
    </x:row>
    <x:row r="1868" ht="23" customHeight="1">
      <x:c r="A1868" s="11" t="d">
        <x:v>2022-05-25T00:00:00.000Z</x:v>
      </x:c>
      <x:c r="B1868" s="12" t="n">
        <x:v>17940.05302</x:v>
      </x:c>
      <x:c r="C1868" s="13" t="n">
        <x:v>484</x:v>
      </x:c>
      <x:c r="D1868" s="12" t="n">
        <x:v>192327.08000000002</x:v>
      </x:c>
      <x:c r="E1868" s="12" t="n">
        <x:v>0</x:v>
      </x:c>
      <x:c r="F1868" s="12" t="n">
        <x:f>SUM(B1868,D1868:E1868)</x:f>
        <x:v>210267.13302</x:v>
      </x:c>
      <x:c r="G1868" s="12" t="n">
        <x:f>MAX(G1867,F1868)</x:f>
        <x:v>248490.544664</x:v>
      </x:c>
      <x:c r="H1868" s="14" t="n">
        <x:f>F1868/G1868-1</x:f>
        <x:v>-0.15382239873828718</x:v>
      </x:c>
      <x:c r="I1868" s="14" t="n">
        <x:f>F1868/F1867-1</x:f>
        <x:v>0.008075066088204075</x:v>
      </x:c>
      <x:c r="J1868" s="12" t="n">
        <x:v>0</x:v>
      </x:c>
      <x:c r="K1868" s="12" t="n">
        <x:v>0</x:v>
      </x:c>
      <x:c r="L1868" s="12" t="n">
        <x:v>0</x:v>
      </x:c>
      <x:c r="M1868" s="2" t="str">
        <x:v>持有</x:v>
      </x:c>
    </x:row>
    <x:row r="1869" ht="23" customHeight="1">
      <x:c r="A1869" s="11" t="d">
        <x:v>2022-05-26T00:00:00.000Z</x:v>
      </x:c>
      <x:c r="B1869" s="12" t="n">
        <x:v>17940.05302</x:v>
      </x:c>
      <x:c r="C1869" s="13" t="n">
        <x:v>484</x:v>
      </x:c>
      <x:c r="D1869" s="12" t="n">
        <x:v>196170.04</x:v>
      </x:c>
      <x:c r="E1869" s="12" t="n">
        <x:v>0</x:v>
      </x:c>
      <x:c r="F1869" s="12" t="n">
        <x:f>SUM(B1869,D1869:E1869)</x:f>
        <x:v>214110.09302</x:v>
      </x:c>
      <x:c r="G1869" s="12" t="n">
        <x:f>MAX(G1868,F1869)</x:f>
        <x:v>248490.544664</x:v>
      </x:c>
      <x:c r="H1869" s="14" t="n">
        <x:f>F1869/G1869-1</x:f>
        <x:v>-0.13835718252574958</x:v>
      </x:c>
      <x:c r="I1869" s="14" t="n">
        <x:f>F1869/F1868-1</x:f>
        <x:v>0.018276560605572367</x:v>
      </x:c>
      <x:c r="J1869" s="12" t="n">
        <x:v>0</x:v>
      </x:c>
      <x:c r="K1869" s="12" t="n">
        <x:v>0</x:v>
      </x:c>
      <x:c r="L1869" s="12" t="n">
        <x:v>0</x:v>
      </x:c>
      <x:c r="M1869" s="2" t="str">
        <x:v>持有</x:v>
      </x:c>
    </x:row>
    <x:row r="1870" ht="23" customHeight="1">
      <x:c r="A1870" s="11" t="d">
        <x:v>2022-05-27T00:00:00.000Z</x:v>
      </x:c>
      <x:c r="B1870" s="12" t="n">
        <x:v>17940.05302</x:v>
      </x:c>
      <x:c r="C1870" s="13" t="n">
        <x:v>484</x:v>
      </x:c>
      <x:c r="D1870" s="12" t="n">
        <x:v>200985.84</x:v>
      </x:c>
      <x:c r="E1870" s="12" t="n">
        <x:v>0</x:v>
      </x:c>
      <x:c r="F1870" s="12" t="n">
        <x:f>SUM(B1870,D1870:E1870)</x:f>
        <x:v>218925.89302</x:v>
      </x:c>
      <x:c r="G1870" s="12" t="n">
        <x:f>MAX(G1869,F1870)</x:f>
        <x:v>248490.544664</x:v>
      </x:c>
      <x:c r="H1870" s="14" t="n">
        <x:f>F1870/G1870-1</x:f>
        <x:v>-0.11897696825437065</x:v>
      </x:c>
      <x:c r="I1870" s="14" t="n">
        <x:f>F1870/F1869-1</x:f>
        <x:v>0.022492167146693776</x:v>
      </x:c>
      <x:c r="J1870" s="12" t="n">
        <x:v>0</x:v>
      </x:c>
      <x:c r="K1870" s="12" t="n">
        <x:v>0</x:v>
      </x:c>
      <x:c r="L1870" s="12" t="n">
        <x:v>0</x:v>
      </x:c>
      <x:c r="M1870" s="2" t="str">
        <x:v>持有</x:v>
      </x:c>
    </x:row>
    <x:row r="1871" ht="23" customHeight="1">
      <x:c r="A1871" s="11" t="d">
        <x:v>2022-05-31T00:00:00.000Z</x:v>
      </x:c>
      <x:c r="B1871" s="12" t="n">
        <x:v>17940.05302</x:v>
      </x:c>
      <x:c r="C1871" s="13" t="n">
        <x:v>484</x:v>
      </x:c>
      <x:c r="D1871" s="12" t="n">
        <x:v>199858.12</x:v>
      </x:c>
      <x:c r="E1871" s="12" t="n">
        <x:v>0</x:v>
      </x:c>
      <x:c r="F1871" s="12" t="n">
        <x:f>SUM(B1871,D1871:E1871)</x:f>
        <x:v>217798.17302</x:v>
      </x:c>
      <x:c r="G1871" s="12" t="n">
        <x:f>MAX(G1870,F1871)</x:f>
        <x:v>248490.544664</x:v>
      </x:c>
      <x:c r="H1871" s="14" t="n">
        <x:f>F1871/G1871-1</x:f>
        <x:v>-0.12351524958626137</x:v>
      </x:c>
      <x:c r="I1871" s="14" t="n">
        <x:f>F1871/F1870-1</x:f>
        <x:v>-0.005151149480052464</x:v>
      </x:c>
      <x:c r="J1871" s="12" t="n">
        <x:v>0</x:v>
      </x:c>
      <x:c r="K1871" s="12" t="n">
        <x:v>0</x:v>
      </x:c>
      <x:c r="L1871" s="12" t="n">
        <x:v>0</x:v>
      </x:c>
      <x:c r="M1871" s="2" t="str">
        <x:v>持有</x:v>
      </x:c>
    </x:row>
    <x:row r="1872" ht="23" customHeight="1">
      <x:c r="A1872" s="11" t="d">
        <x:v>2022-06-01T00:00:00.000Z</x:v>
      </x:c>
      <x:c r="B1872" s="12" t="n">
        <x:v>17940.05302</x:v>
      </x:c>
      <x:c r="C1872" s="13" t="n">
        <x:v>484</x:v>
      </x:c>
      <x:c r="D1872" s="12" t="n">
        <x:v>198241.56</x:v>
      </x:c>
      <x:c r="E1872" s="12" t="n">
        <x:v>0</x:v>
      </x:c>
      <x:c r="F1872" s="12" t="n">
        <x:f>SUM(B1872,D1872:E1872)</x:f>
        <x:v>216181.61302</x:v>
      </x:c>
      <x:c r="G1872" s="12" t="n">
        <x:f>MAX(G1871,F1872)</x:f>
        <x:v>248490.544664</x:v>
      </x:c>
      <x:c r="H1872" s="14" t="n">
        <x:f>F1872/G1872-1</x:f>
        <x:v>-0.13002076874871427</x:v>
      </x:c>
      <x:c r="I1872" s="14" t="n">
        <x:f>F1872/F1871-1</x:f>
        <x:v>-0.007422284482852648</x:v>
      </x:c>
      <x:c r="J1872" s="12" t="n">
        <x:v>0</x:v>
      </x:c>
      <x:c r="K1872" s="12" t="n">
        <x:v>0</x:v>
      </x:c>
      <x:c r="L1872" s="12" t="n">
        <x:v>0</x:v>
      </x:c>
      <x:c r="M1872" s="2" t="str">
        <x:v>持有</x:v>
      </x:c>
    </x:row>
    <x:row r="1873" ht="23" customHeight="1">
      <x:c r="A1873" s="11" t="d">
        <x:v>2022-06-02T00:00:00.000Z</x:v>
      </x:c>
      <x:c r="B1873" s="12" t="n">
        <x:v>17940.05302</x:v>
      </x:c>
      <x:c r="C1873" s="13" t="n">
        <x:v>484</x:v>
      </x:c>
      <x:c r="D1873" s="12" t="n">
        <x:v>202016.75999999998</x:v>
      </x:c>
      <x:c r="E1873" s="12" t="n">
        <x:v>0</x:v>
      </x:c>
      <x:c r="F1873" s="12" t="n">
        <x:f>SUM(B1873,D1873:E1873)</x:f>
        <x:v>219956.81301999997</x:v>
      </x:c>
      <x:c r="G1873" s="12" t="n">
        <x:f>MAX(G1872,F1873)</x:f>
        <x:v>248490.544664</x:v>
      </x:c>
      <x:c r="H1873" s="14" t="n">
        <x:f>F1873/G1873-1</x:f>
        <x:v>-0.11482823896813577</x:v>
      </x:c>
      <x:c r="I1873" s="14" t="n">
        <x:f>F1873/F1872-1</x:f>
        <x:v>0.017463094789891942</x:v>
      </x:c>
      <x:c r="J1873" s="12" t="n">
        <x:v>0</x:v>
      </x:c>
      <x:c r="K1873" s="12" t="n">
        <x:v>0</x:v>
      </x:c>
      <x:c r="L1873" s="12" t="n">
        <x:v>0</x:v>
      </x:c>
      <x:c r="M1873" s="2" t="str">
        <x:v>持有</x:v>
      </x:c>
    </x:row>
    <x:row r="1874" ht="23" customHeight="1">
      <x:c r="A1874" s="11" t="d">
        <x:v>2022-06-03T00:00:00.000Z</x:v>
      </x:c>
      <x:c r="B1874" s="12" t="n">
        <x:v>17940.05302</x:v>
      </x:c>
      <x:c r="C1874" s="13" t="n">
        <x:v>484</x:v>
      </x:c>
      <x:c r="D1874" s="12" t="n">
        <x:v>198701.36000000002</x:v>
      </x:c>
      <x:c r="E1874" s="12" t="n">
        <x:v>0</x:v>
      </x:c>
      <x:c r="F1874" s="12" t="n">
        <x:f>SUM(B1874,D1874:E1874)</x:f>
        <x:v>216641.41302</x:v>
      </x:c>
      <x:c r="G1874" s="12" t="n">
        <x:f>MAX(G1873,F1874)</x:f>
        <x:v>248490.544664</x:v>
      </x:c>
      <x:c r="H1874" s="14" t="n">
        <x:f>F1874/G1874-1</x:f>
        <x:v>-0.12817039653184892</x:v>
      </x:c>
      <x:c r="I1874" s="14" t="n">
        <x:f>F1874/F1873-1</x:f>
        <x:v>-0.015072958888972976</x:v>
      </x:c>
      <x:c r="J1874" s="12" t="n">
        <x:v>0</x:v>
      </x:c>
      <x:c r="K1874" s="12" t="n">
        <x:v>0</x:v>
      </x:c>
      <x:c r="L1874" s="12" t="n">
        <x:v>0</x:v>
      </x:c>
      <x:c r="M1874" s="2" t="str">
        <x:v>持有</x:v>
      </x:c>
    </x:row>
    <x:row r="1875" ht="23" customHeight="1">
      <x:c r="A1875" s="11" t="d">
        <x:v>2022-06-06T00:00:00.000Z</x:v>
      </x:c>
      <x:c r="B1875" s="12" t="n">
        <x:v>17940.05302</x:v>
      </x:c>
      <x:c r="C1875" s="13" t="n">
        <x:v>484</x:v>
      </x:c>
      <x:c r="D1875" s="12" t="n">
        <x:v>199306.36000000002</x:v>
      </x:c>
      <x:c r="E1875" s="12" t="n">
        <x:v>0</x:v>
      </x:c>
      <x:c r="F1875" s="12" t="n">
        <x:f>SUM(B1875,D1875:E1875)</x:f>
        <x:v>217246.41302</x:v>
      </x:c>
      <x:c r="G1875" s="12" t="n">
        <x:f>MAX(G1874,F1875)</x:f>
        <x:v>248490.544664</x:v>
      </x:c>
      <x:c r="H1875" s="14" t="n">
        <x:f>F1875/G1875-1</x:f>
        <x:v>-0.12573569624649972</x:v>
      </x:c>
      <x:c r="I1875" s="14" t="n">
        <x:f>F1875/F1874-1</x:f>
        <x:v>0.0027926331884853273</x:v>
      </x:c>
      <x:c r="J1875" s="12" t="n">
        <x:v>0</x:v>
      </x:c>
      <x:c r="K1875" s="12" t="n">
        <x:v>0</x:v>
      </x:c>
      <x:c r="L1875" s="12" t="n">
        <x:v>0</x:v>
      </x:c>
      <x:c r="M1875" s="2" t="str">
        <x:v>持有</x:v>
      </x:c>
    </x:row>
    <x:row r="1876" ht="23" customHeight="1">
      <x:c r="A1876" s="11" t="d">
        <x:v>2022-06-07T00:00:00.000Z</x:v>
      </x:c>
      <x:c r="B1876" s="12" t="n">
        <x:v>17940.05302</x:v>
      </x:c>
      <x:c r="C1876" s="13" t="n">
        <x:v>484</x:v>
      </x:c>
      <x:c r="D1876" s="12" t="n">
        <x:v>201218.16</x:v>
      </x:c>
      <x:c r="E1876" s="12" t="n">
        <x:v>0</x:v>
      </x:c>
      <x:c r="F1876" s="12" t="n">
        <x:f>SUM(B1876,D1876:E1876)</x:f>
        <x:v>219158.21302</x:v>
      </x:c>
      <x:c r="G1876" s="12" t="n">
        <x:f>MAX(G1875,F1876)</x:f>
        <x:v>248490.544664</x:v>
      </x:c>
      <x:c r="H1876" s="14" t="n">
        <x:f>F1876/G1876-1</x:f>
        <x:v>-0.11804204334479651</x:v>
      </x:c>
      <x:c r="I1876" s="14" t="n">
        <x:f>F1876/F1875-1</x:f>
        <x:v>0.008800145297791273</x:v>
      </x:c>
      <x:c r="J1876" s="12" t="n">
        <x:v>0</x:v>
      </x:c>
      <x:c r="K1876" s="12" t="n">
        <x:v>0</x:v>
      </x:c>
      <x:c r="L1876" s="12" t="n">
        <x:v>0</x:v>
      </x:c>
      <x:c r="M1876" s="2" t="str">
        <x:v>持有</x:v>
      </x:c>
    </x:row>
    <x:row r="1877" ht="23" customHeight="1">
      <x:c r="A1877" s="11" t="d">
        <x:v>2022-06-08T00:00:00.000Z</x:v>
      </x:c>
      <x:c r="B1877" s="12" t="n">
        <x:v>17940.05302</x:v>
      </x:c>
      <x:c r="C1877" s="13" t="n">
        <x:v>484</x:v>
      </x:c>
      <x:c r="D1877" s="12" t="n">
        <x:v>199030.48</x:v>
      </x:c>
      <x:c r="E1877" s="12" t="n">
        <x:v>0</x:v>
      </x:c>
      <x:c r="F1877" s="12" t="n">
        <x:f>SUM(B1877,D1877:E1877)</x:f>
        <x:v>216970.53302</x:v>
      </x:c>
      <x:c r="G1877" s="12" t="n">
        <x:f>MAX(G1876,F1877)</x:f>
        <x:v>248490.544664</x:v>
      </x:c>
      <x:c r="H1877" s="14" t="n">
        <x:f>F1877/G1877-1</x:f>
        <x:v>-0.12684591957661895</x:v>
      </x:c>
      <x:c r="I1877" s="14" t="n">
        <x:f>F1877/F1876-1</x:f>
        <x:v>-0.009982194916876574</x:v>
      </x:c>
      <x:c r="J1877" s="12" t="n">
        <x:v>0</x:v>
      </x:c>
      <x:c r="K1877" s="12" t="n">
        <x:v>0</x:v>
      </x:c>
      <x:c r="L1877" s="12" t="n">
        <x:v>0</x:v>
      </x:c>
      <x:c r="M1877" s="2" t="str">
        <x:v>持有</x:v>
      </x:c>
    </x:row>
    <x:row r="1878" ht="23" customHeight="1">
      <x:c r="A1878" s="11" t="d">
        <x:v>2022-06-09T00:00:00.000Z</x:v>
      </x:c>
      <x:c r="B1878" s="12" t="n">
        <x:v>17940.05302</x:v>
      </x:c>
      <x:c r="C1878" s="13" t="n">
        <x:v>484</x:v>
      </x:c>
      <x:c r="D1878" s="12" t="n">
        <x:v>194296.96</x:v>
      </x:c>
      <x:c r="E1878" s="12" t="n">
        <x:v>0</x:v>
      </x:c>
      <x:c r="F1878" s="12" t="n">
        <x:f>SUM(B1878,D1878:E1878)</x:f>
        <x:v>212237.01301999998</x:v>
      </x:c>
      <x:c r="G1878" s="12" t="n">
        <x:f>MAX(G1877,F1878)</x:f>
        <x:v>248490.544664</x:v>
      </x:c>
      <x:c r="H1878" s="14" t="n">
        <x:f>F1878/G1878-1</x:f>
        <x:v>-0.14589501460919063</x:v>
      </x:c>
      <x:c r="I1878" s="14" t="n">
        <x:f>F1878/F1877-1</x:f>
        <x:v>-0.021816418727992337</x:v>
      </x:c>
      <x:c r="J1878" s="12" t="n">
        <x:v>0</x:v>
      </x:c>
      <x:c r="K1878" s="12" t="n">
        <x:v>0</x:v>
      </x:c>
      <x:c r="L1878" s="12" t="n">
        <x:v>0</x:v>
      </x:c>
      <x:c r="M1878" s="2" t="str">
        <x:v>持有</x:v>
      </x:c>
    </x:row>
    <x:row r="1879" ht="23" customHeight="1">
      <x:c r="A1879" s="11" t="d">
        <x:v>2022-06-10T00:00:00.000Z</x:v>
      </x:c>
      <x:c r="B1879" s="12" t="n">
        <x:v>17940.05302</x:v>
      </x:c>
      <x:c r="C1879" s="13" t="n">
        <x:v>484</x:v>
      </x:c>
      <x:c r="D1879" s="12" t="n">
        <x:v>188663.2</x:v>
      </x:c>
      <x:c r="E1879" s="12" t="n">
        <x:v>0</x:v>
      </x:c>
      <x:c r="F1879" s="12" t="n">
        <x:f>SUM(B1879,D1879:E1879)</x:f>
        <x:v>206603.25302</x:v>
      </x:c>
      <x:c r="G1879" s="12" t="n">
        <x:f>MAX(G1878,F1879)</x:f>
        <x:v>248490.544664</x:v>
      </x:c>
      <x:c r="H1879" s="14" t="n">
        <x:f>F1879/G1879-1</x:f>
        <x:v>-0.1685669436663615</x:v>
      </x:c>
      <x:c r="I1879" s="14" t="n">
        <x:f>F1879/F1878-1</x:f>
        <x:v>-0.02654466306246539</x:v>
      </x:c>
      <x:c r="J1879" s="12" t="n">
        <x:v>0</x:v>
      </x:c>
      <x:c r="K1879" s="12" t="n">
        <x:v>0</x:v>
      </x:c>
      <x:c r="L1879" s="12" t="n">
        <x:v>0</x:v>
      </x:c>
      <x:c r="M1879" s="2" t="str">
        <x:v>持有</x:v>
      </x:c>
    </x:row>
    <x:row r="1880" ht="23" customHeight="1">
      <x:c r="A1880" s="11" t="d">
        <x:v>2022-06-13T00:00:00.000Z</x:v>
      </x:c>
      <x:c r="B1880" s="12" t="n">
        <x:v>17940.05302</x:v>
      </x:c>
      <x:c r="C1880" s="13" t="n">
        <x:v>484</x:v>
      </x:c>
      <x:c r="D1880" s="12" t="n">
        <x:v>181500</x:v>
      </x:c>
      <x:c r="E1880" s="12" t="n">
        <x:v>0</x:v>
      </x:c>
      <x:c r="F1880" s="12" t="n">
        <x:f>SUM(B1880,D1880:E1880)</x:f>
        <x:v>199440.05302</x:v>
      </x:c>
      <x:c r="G1880" s="12" t="n">
        <x:f>MAX(G1879,F1880)</x:f>
        <x:v>248490.544664</x:v>
      </x:c>
      <x:c r="H1880" s="14" t="n">
        <x:f>F1880/G1880-1</x:f>
        <x:v>-0.19739379504489518</x:v>
      </x:c>
      <x:c r="I1880" s="14" t="n">
        <x:f>F1880/F1879-1</x:f>
        <x:v>-0.03467128370581163</x:v>
      </x:c>
      <x:c r="J1880" s="12" t="n">
        <x:v>0</x:v>
      </x:c>
      <x:c r="K1880" s="12" t="n">
        <x:v>0</x:v>
      </x:c>
      <x:c r="L1880" s="12" t="n">
        <x:v>0</x:v>
      </x:c>
      <x:c r="M1880" s="2" t="str">
        <x:v>持有</x:v>
      </x:c>
    </x:row>
    <x:row r="1881" ht="23" customHeight="1">
      <x:c r="A1881" s="11" t="d">
        <x:v>2022-06-14T00:00:00.000Z</x:v>
      </x:c>
      <x:c r="B1881" s="12" t="n">
        <x:v>17940.05302</x:v>
      </x:c>
      <x:c r="C1881" s="13" t="n">
        <x:v>484</x:v>
      </x:c>
      <x:c r="D1881" s="12" t="n">
        <x:v>180953.08000000002</x:v>
      </x:c>
      <x:c r="E1881" s="12" t="n">
        <x:v>0</x:v>
      </x:c>
      <x:c r="F1881" s="12" t="n">
        <x:f>SUM(B1881,D1881:E1881)</x:f>
        <x:v>198893.13302</x:v>
      </x:c>
      <x:c r="G1881" s="12" t="n">
        <x:f>MAX(G1880,F1881)</x:f>
        <x:v>248490.544664</x:v>
      </x:c>
      <x:c r="H1881" s="14" t="n">
        <x:f>F1881/G1881-1</x:f>
        <x:v>-0.1995947641028507</x:v>
      </x:c>
      <x:c r="I1881" s="14" t="n">
        <x:f>F1881/F1880-1</x:f>
        <x:v>-0.0027422776504433255</x:v>
      </x:c>
      <x:c r="J1881" s="12" t="n">
        <x:v>0</x:v>
      </x:c>
      <x:c r="K1881" s="12" t="n">
        <x:v>0</x:v>
      </x:c>
      <x:c r="L1881" s="12" t="n">
        <x:v>0</x:v>
      </x:c>
      <x:c r="M1881" s="2" t="str">
        <x:v>持有</x:v>
      </x:c>
    </x:row>
    <x:row r="1882" ht="23" customHeight="1">
      <x:c r="A1882" s="11" t="d">
        <x:v>2022-06-15T00:00:00.000Z</x:v>
      </x:c>
      <x:c r="B1882" s="12" t="n">
        <x:v>17940.05302</x:v>
      </x:c>
      <x:c r="C1882" s="13" t="n">
        <x:v>484</x:v>
      </x:c>
      <x:c r="D1882" s="12" t="n">
        <x:v>183532.8</x:v>
      </x:c>
      <x:c r="E1882" s="12" t="n">
        <x:v>0</x:v>
      </x:c>
      <x:c r="F1882" s="12" t="n">
        <x:f>SUM(B1882,D1882:E1882)</x:f>
        <x:v>201472.85301999998</x:v>
      </x:c>
      <x:c r="G1882" s="12" t="n">
        <x:f>MAX(G1881,F1882)</x:f>
        <x:v>248490.544664</x:v>
      </x:c>
      <x:c r="H1882" s="14" t="n">
        <x:f>F1882/G1882-1</x:f>
        <x:v>-0.18921320208612225</x:v>
      </x:c>
      <x:c r="I1882" s="14" t="n">
        <x:f>F1882/F1881-1</x:f>
        <x:v>0.012970382440204986</x:v>
      </x:c>
      <x:c r="J1882" s="12" t="n">
        <x:v>0</x:v>
      </x:c>
      <x:c r="K1882" s="12" t="n">
        <x:v>0</x:v>
      </x:c>
      <x:c r="L1882" s="12" t="n">
        <x:v>0</x:v>
      </x:c>
      <x:c r="M1882" s="2" t="str">
        <x:v>持有</x:v>
      </x:c>
    </x:row>
    <x:row r="1883" ht="23" customHeight="1">
      <x:c r="A1883" s="11" t="d">
        <x:v>2022-06-16T00:00:00.000Z</x:v>
      </x:c>
      <x:c r="B1883" s="12" t="n">
        <x:v>17940.05302</x:v>
      </x:c>
      <x:c r="C1883" s="13" t="n">
        <x:v>484</x:v>
      </x:c>
      <x:c r="D1883" s="12" t="n">
        <x:v>177458.59999999998</x:v>
      </x:c>
      <x:c r="E1883" s="12" t="n">
        <x:v>0</x:v>
      </x:c>
      <x:c r="F1883" s="12" t="n">
        <x:f>SUM(B1883,D1883:E1883)</x:f>
        <x:v>195398.65301999997</x:v>
      </x:c>
      <x:c r="G1883" s="12" t="n">
        <x:f>MAX(G1882,F1883)</x:f>
        <x:v>248490.544664</x:v>
      </x:c>
      <x:c r="H1883" s="14" t="n">
        <x:f>F1883/G1883-1</x:f>
        <x:v>-0.2136575929510275</x:v>
      </x:c>
      <x:c r="I1883" s="14" t="n">
        <x:f>F1883/F1882-1</x:f>
        <x:v>-0.030148974955931274</x:v>
      </x:c>
      <x:c r="J1883" s="12" t="n">
        <x:v>0</x:v>
      </x:c>
      <x:c r="K1883" s="12" t="n">
        <x:v>0</x:v>
      </x:c>
      <x:c r="L1883" s="12" t="n">
        <x:v>0</x:v>
      </x:c>
      <x:c r="M1883" s="2" t="str">
        <x:v>持有</x:v>
      </x:c>
    </x:row>
    <x:row r="1884" ht="23" customHeight="1">
      <x:c r="A1884" s="11" t="d">
        <x:v>2022-06-17T00:00:00.000Z</x:v>
      </x:c>
      <x:c r="B1884" s="12" t="n">
        <x:v>17940.05302</x:v>
      </x:c>
      <x:c r="C1884" s="13" t="n">
        <x:v>484</x:v>
      </x:c>
      <x:c r="D1884" s="12" t="n">
        <x:v>177076.24000000002</x:v>
      </x:c>
      <x:c r="E1884" s="12" t="n">
        <x:v>763.205564</x:v>
      </x:c>
      <x:c r="F1884" s="12" t="n">
        <x:f>SUM(B1884,D1884:E1884)</x:f>
        <x:v>195779.49858400002</x:v>
      </x:c>
      <x:c r="G1884" s="12" t="n">
        <x:f>MAX(G1883,F1884)</x:f>
        <x:v>248490.544664</x:v>
      </x:c>
      <x:c r="H1884" s="14" t="n">
        <x:f>F1884/G1884-1</x:f>
        <x:v>-0.21212495691244093</x:v>
      </x:c>
      <x:c r="I1884" s="14" t="n">
        <x:f>F1884/F1883-1</x:f>
        <x:v>0.0019490695463548757</x:v>
      </x:c>
      <x:c r="J1884" s="12" t="n">
        <x:v>763.205564</x:v>
      </x:c>
      <x:c r="K1884" s="12" t="n">
        <x:v>0</x:v>
      </x:c>
      <x:c r="L1884" s="12" t="n">
        <x:v>0</x:v>
      </x:c>
      <x:c r="M1884" s="2" t="str">
        <x:v>持有</x:v>
      </x:c>
    </x:row>
    <x:row r="1885" ht="23" customHeight="1">
      <x:c r="A1885" s="11" t="d">
        <x:v>2022-06-21T00:00:00.000Z</x:v>
      </x:c>
      <x:c r="B1885" s="12" t="n">
        <x:v>17940.05302</x:v>
      </x:c>
      <x:c r="C1885" s="13" t="n">
        <x:v>484</x:v>
      </x:c>
      <x:c r="D1885" s="12" t="n">
        <x:v>181533.88</x:v>
      </x:c>
      <x:c r="E1885" s="12" t="n">
        <x:v>763.205564</x:v>
      </x:c>
      <x:c r="F1885" s="12" t="n">
        <x:f>SUM(B1885,D1885:E1885)</x:f>
        <x:v>200237.138584</x:v>
      </x:c>
      <x:c r="G1885" s="12" t="n">
        <x:f>MAX(G1884,F1885)</x:f>
        <x:v>248490.544664</x:v>
      </x:c>
      <x:c r="H1885" s="14" t="n">
        <x:f>F1885/G1885-1</x:f>
        <x:v>-0.1941860852099886</x:v>
      </x:c>
      <x:c r="I1885" s="14" t="n">
        <x:f>F1885/F1884-1</x:f>
        <x:v>0.02276867614965017</x:v>
      </x:c>
      <x:c r="J1885" s="12" t="n">
        <x:v>0</x:v>
      </x:c>
      <x:c r="K1885" s="12" t="n">
        <x:v>0</x:v>
      </x:c>
      <x:c r="L1885" s="12" t="n">
        <x:v>0</x:v>
      </x:c>
      <x:c r="M1885" s="2" t="str">
        <x:v>持有</x:v>
      </x:c>
    </x:row>
    <x:row r="1886" ht="23" customHeight="1">
      <x:c r="A1886" s="11" t="d">
        <x:v>2022-06-22T00:00:00.000Z</x:v>
      </x:c>
      <x:c r="B1886" s="12" t="n">
        <x:v>17940.05302</x:v>
      </x:c>
      <x:c r="C1886" s="13" t="n">
        <x:v>484</x:v>
      </x:c>
      <x:c r="D1886" s="12" t="n">
        <x:v>181204.75999999998</x:v>
      </x:c>
      <x:c r="E1886" s="12" t="n">
        <x:v>763.205564</x:v>
      </x:c>
      <x:c r="F1886" s="12" t="n">
        <x:f>SUM(B1886,D1886:E1886)</x:f>
        <x:v>199908.01858399998</x:v>
      </x:c>
      <x:c r="G1886" s="12" t="n">
        <x:f>MAX(G1885,F1886)</x:f>
        <x:v>248490.544664</x:v>
      </x:c>
      <x:c r="H1886" s="14" t="n">
        <x:f>F1886/G1886-1</x:f>
        <x:v>-0.19551056216521867</x:v>
      </x:c>
      <x:c r="I1886" s="14" t="n">
        <x:f>F1886/F1885-1</x:f>
        <x:v>-0.0016436511344870564</x:v>
      </x:c>
      <x:c r="J1886" s="12" t="n">
        <x:v>0</x:v>
      </x:c>
      <x:c r="K1886" s="12" t="n">
        <x:v>0</x:v>
      </x:c>
      <x:c r="L1886" s="12" t="n">
        <x:v>0</x:v>
      </x:c>
      <x:c r="M1886" s="2" t="str">
        <x:v>持有</x:v>
      </x:c>
    </x:row>
    <x:row r="1887" ht="23" customHeight="1">
      <x:c r="A1887" s="11" t="d">
        <x:v>2022-06-23T00:00:00.000Z</x:v>
      </x:c>
      <x:c r="B1887" s="12" t="n">
        <x:v>17940.05302</x:v>
      </x:c>
      <x:c r="C1887" s="13" t="n">
        <x:v>484</x:v>
      </x:c>
      <x:c r="D1887" s="12" t="n">
        <x:v>182981.04</x:v>
      </x:c>
      <x:c r="E1887" s="12" t="n">
        <x:v>763.205564</x:v>
      </x:c>
      <x:c r="F1887" s="12" t="n">
        <x:f>SUM(B1887,D1887:E1887)</x:f>
        <x:v>201684.298584</x:v>
      </x:c>
      <x:c r="G1887" s="12" t="n">
        <x:f>MAX(G1886,F1887)</x:f>
        <x:v>248490.544664</x:v>
      </x:c>
      <x:c r="H1887" s="14" t="n">
        <x:f>F1887/G1887-1</x:f>
        <x:v>-0.18836228212743356</x:v>
      </x:c>
      <x:c r="I1887" s="14" t="n">
        <x:f>F1887/F1886-1</x:f>
        <x:v>0.008885486498149797</x:v>
      </x:c>
      <x:c r="J1887" s="12" t="n">
        <x:v>0</x:v>
      </x:c>
      <x:c r="K1887" s="12" t="n">
        <x:v>0</x:v>
      </x:c>
      <x:c r="L1887" s="12" t="n">
        <x:v>0</x:v>
      </x:c>
      <x:c r="M1887" s="2" t="str">
        <x:v>持有</x:v>
      </x:c>
    </x:row>
    <x:row r="1888" ht="23" customHeight="1">
      <x:c r="A1888" s="11" t="d">
        <x:v>2022-06-24T00:00:00.000Z</x:v>
      </x:c>
      <x:c r="B1888" s="12" t="n">
        <x:v>17940.05302</x:v>
      </x:c>
      <x:c r="C1888" s="13" t="n">
        <x:v>484</x:v>
      </x:c>
      <x:c r="D1888" s="12" t="n">
        <x:v>188798.72</x:v>
      </x:c>
      <x:c r="E1888" s="12" t="n">
        <x:v>763.205564</x:v>
      </x:c>
      <x:c r="F1888" s="12" t="n">
        <x:f>SUM(B1888,D1888:E1888)</x:f>
        <x:v>207501.978584</x:v>
      </x:c>
      <x:c r="G1888" s="12" t="n">
        <x:f>MAX(G1887,F1888)</x:f>
        <x:v>248490.544664</x:v>
      </x:c>
      <x:c r="H1888" s="14" t="n">
        <x:f>F1888/G1888-1</x:f>
        <x:v>-0.16495020418351636</x:v>
      </x:c>
      <x:c r="I1888" s="14" t="n">
        <x:f>F1888/F1887-1</x:f>
        <x:v>0.028845478011155112</x:v>
      </x:c>
      <x:c r="J1888" s="12" t="n">
        <x:v>0</x:v>
      </x:c>
      <x:c r="K1888" s="12" t="n">
        <x:v>0</x:v>
      </x:c>
      <x:c r="L1888" s="12" t="n">
        <x:v>0</x:v>
      </x:c>
      <x:c r="M1888" s="2" t="str">
        <x:v>持有</x:v>
      </x:c>
    </x:row>
    <x:row r="1889" ht="23" customHeight="1">
      <x:c r="A1889" s="11" t="d">
        <x:v>2022-06-27T00:00:00.000Z</x:v>
      </x:c>
      <x:c r="B1889" s="12" t="n">
        <x:v>17940.05302</x:v>
      </x:c>
      <x:c r="C1889" s="13" t="n">
        <x:v>484</x:v>
      </x:c>
      <x:c r="D1889" s="12" t="n">
        <x:v>188077.56</x:v>
      </x:c>
      <x:c r="E1889" s="12" t="n">
        <x:v>763.205564</x:v>
      </x:c>
      <x:c r="F1889" s="12" t="n">
        <x:f>SUM(B1889,D1889:E1889)</x:f>
        <x:v>206780.818584</x:v>
      </x:c>
      <x:c r="G1889" s="12" t="n">
        <x:f>MAX(G1888,F1889)</x:f>
        <x:v>248490.544664</x:v>
      </x:c>
      <x:c r="H1889" s="14" t="n">
        <x:f>F1889/G1889-1</x:f>
        <x:v>-0.16785236692365257</x:v>
      </x:c>
      <x:c r="I1889" s="14" t="n">
        <x:f>F1889/F1888-1</x:f>
        <x:v>-0.003475436740031257</x:v>
      </x:c>
      <x:c r="J1889" s="12" t="n">
        <x:v>0</x:v>
      </x:c>
      <x:c r="K1889" s="12" t="n">
        <x:v>0</x:v>
      </x:c>
      <x:c r="L1889" s="12" t="n">
        <x:v>0</x:v>
      </x:c>
      <x:c r="M1889" s="2" t="str">
        <x:v>持有</x:v>
      </x:c>
    </x:row>
    <x:row r="1890" ht="23" customHeight="1">
      <x:c r="A1890" s="11" t="d">
        <x:v>2022-06-28T00:00:00.000Z</x:v>
      </x:c>
      <x:c r="B1890" s="12" t="n">
        <x:v>17940.05302</x:v>
      </x:c>
      <x:c r="C1890" s="13" t="n">
        <x:v>484</x:v>
      </x:c>
      <x:c r="D1890" s="12" t="n">
        <x:v>184234.59999999998</x:v>
      </x:c>
      <x:c r="E1890" s="12" t="n">
        <x:v>763.205564</x:v>
      </x:c>
      <x:c r="F1890" s="12" t="n">
        <x:f>SUM(B1890,D1890:E1890)</x:f>
        <x:v>202937.85858399997</x:v>
      </x:c>
      <x:c r="G1890" s="12" t="n">
        <x:f>MAX(G1889,F1890)</x:f>
        <x:v>248490.544664</x:v>
      </x:c>
      <x:c r="H1890" s="14" t="n">
        <x:f>F1890/G1890-1</x:f>
        <x:v>-0.1833175831361903</x:v>
      </x:c>
      <x:c r="I1890" s="14" t="n">
        <x:f>F1890/F1889-1</x:f>
        <x:v>-0.018584702518908425</x:v>
      </x:c>
      <x:c r="J1890" s="12" t="n">
        <x:v>0</x:v>
      </x:c>
      <x:c r="K1890" s="12" t="n">
        <x:v>0</x:v>
      </x:c>
      <x:c r="L1890" s="12" t="n">
        <x:v>0</x:v>
      </x:c>
      <x:c r="M1890" s="2" t="str">
        <x:v>持有</x:v>
      </x:c>
    </x:row>
    <x:row r="1891" ht="23" customHeight="1">
      <x:c r="A1891" s="11" t="d">
        <x:v>2022-06-29T00:00:00.000Z</x:v>
      </x:c>
      <x:c r="B1891" s="12" t="n">
        <x:v>17940.05302</x:v>
      </x:c>
      <x:c r="C1891" s="13" t="n">
        <x:v>484</x:v>
      </x:c>
      <x:c r="D1891" s="12" t="n">
        <x:v>184084.56</x:v>
      </x:c>
      <x:c r="E1891" s="12" t="n">
        <x:v>763.205564</x:v>
      </x:c>
      <x:c r="F1891" s="12" t="n">
        <x:f>SUM(B1891,D1891:E1891)</x:f>
        <x:v>202787.818584</x:v>
      </x:c>
      <x:c r="G1891" s="12" t="n">
        <x:f>MAX(G1890,F1891)</x:f>
        <x:v>248490.544664</x:v>
      </x:c>
      <x:c r="H1891" s="14" t="n">
        <x:f>F1891/G1891-1</x:f>
        <x:v>-0.18392138880695674</x:v>
      </x:c>
      <x:c r="I1891" s="14" t="n">
        <x:f>F1891/F1890-1</x:f>
        <x:v>-0.0007393396236999861</x:v>
      </x:c>
      <x:c r="J1891" s="12" t="n">
        <x:v>0</x:v>
      </x:c>
      <x:c r="K1891" s="12" t="n">
        <x:v>0</x:v>
      </x:c>
      <x:c r="L1891" s="12" t="n">
        <x:v>0</x:v>
      </x:c>
      <x:c r="M1891" s="2" t="str">
        <x:v>持有</x:v>
      </x:c>
    </x:row>
    <x:row r="1892" ht="23" customHeight="1">
      <x:c r="A1892" s="11" t="d">
        <x:v>2022-06-30T00:00:00.000Z</x:v>
      </x:c>
      <x:c r="B1892" s="12" t="n">
        <x:v>17940.05302</x:v>
      </x:c>
      <x:c r="C1892" s="13" t="n">
        <x:v>484</x:v>
      </x:c>
      <x:c r="D1892" s="12" t="n">
        <x:v>182589</x:v>
      </x:c>
      <x:c r="E1892" s="12" t="n">
        <x:v>763.205564</x:v>
      </x:c>
      <x:c r="F1892" s="12" t="n">
        <x:f>SUM(B1892,D1892:E1892)</x:f>
        <x:v>201292.258584</x:v>
      </x:c>
      <x:c r="G1892" s="12" t="n">
        <x:f>MAX(G1891,F1892)</x:f>
        <x:v>248490.544664</x:v>
      </x:c>
      <x:c r="H1892" s="14" t="n">
        <x:f>F1892/G1892-1</x:f>
        <x:v>-0.1899399679123398</x:v>
      </x:c>
      <x:c r="I1892" s="14" t="n">
        <x:f>F1892/F1891-1</x:f>
        <x:v>-0.007374999200854382</x:v>
      </x:c>
      <x:c r="J1892" s="12" t="n">
        <x:v>0</x:v>
      </x:c>
      <x:c r="K1892" s="12" t="n">
        <x:v>0</x:v>
      </x:c>
      <x:c r="L1892" s="12" t="n">
        <x:v>0</x:v>
      </x:c>
      <x:c r="M1892" s="2" t="str">
        <x:v>持有</x:v>
      </x:c>
    </x:row>
    <x:row r="1893" ht="23" customHeight="1">
      <x:c r="A1893" s="11" t="d">
        <x:v>2022-07-01T00:00:00.000Z</x:v>
      </x:c>
      <x:c r="B1893" s="12" t="n">
        <x:v>17940.05302</x:v>
      </x:c>
      <x:c r="C1893" s="13" t="n">
        <x:v>484</x:v>
      </x:c>
      <x:c r="D1893" s="12" t="n">
        <x:v>184520.16</x:v>
      </x:c>
      <x:c r="E1893" s="12" t="n">
        <x:v>763.205564</x:v>
      </x:c>
      <x:c r="F1893" s="12" t="n">
        <x:f>SUM(B1893,D1893:E1893)</x:f>
        <x:v>203223.418584</x:v>
      </x:c>
      <x:c r="G1893" s="12" t="n">
        <x:f>MAX(G1892,F1893)</x:f>
        <x:v>248490.544664</x:v>
      </x:c>
      <x:c r="H1893" s="14" t="n">
        <x:f>F1893/G1893-1</x:f>
        <x:v>-0.1821684046015054</x:v>
      </x:c>
      <x:c r="I1893" s="14" t="n">
        <x:f>F1893/F1892-1</x:f>
        <x:v>0.009593811573206157</x:v>
      </x:c>
      <x:c r="J1893" s="12" t="n">
        <x:v>0</x:v>
      </x:c>
      <x:c r="K1893" s="12" t="n">
        <x:v>0</x:v>
      </x:c>
      <x:c r="L1893" s="12" t="n">
        <x:v>0</x:v>
      </x:c>
      <x:c r="M1893" s="2" t="str">
        <x:v>持有</x:v>
      </x:c>
    </x:row>
    <x:row r="1894" ht="23" customHeight="1">
      <x:c r="A1894" s="11" t="d">
        <x:v>2022-07-05T00:00:00.000Z</x:v>
      </x:c>
      <x:c r="B1894" s="12" t="n">
        <x:v>17940.05302</x:v>
      </x:c>
      <x:c r="C1894" s="13" t="n">
        <x:v>484</x:v>
      </x:c>
      <x:c r="D1894" s="12" t="n">
        <x:v>184868.63999999998</x:v>
      </x:c>
      <x:c r="E1894" s="12" t="n">
        <x:v>763.205564</x:v>
      </x:c>
      <x:c r="F1894" s="12" t="n">
        <x:f>SUM(B1894,D1894:E1894)</x:f>
        <x:v>203571.89858399998</x:v>
      </x:c>
      <x:c r="G1894" s="12" t="n">
        <x:f>MAX(G1893,F1894)</x:f>
        <x:v>248490.544664</x:v>
      </x:c>
      <x:c r="H1894" s="14" t="n">
        <x:f>F1894/G1894-1</x:f>
        <x:v>-0.18076601723714436</x:v>
      </x:c>
      <x:c r="I1894" s="14" t="n">
        <x:f>F1894/F1893-1</x:f>
        <x:v>0.0017147630053075957</x:v>
      </x:c>
      <x:c r="J1894" s="12" t="n">
        <x:v>0</x:v>
      </x:c>
      <x:c r="K1894" s="12" t="n">
        <x:v>0</x:v>
      </x:c>
      <x:c r="L1894" s="12" t="n">
        <x:v>0</x:v>
      </x:c>
      <x:c r="M1894" s="2" t="str">
        <x:v>持有</x:v>
      </x:c>
    </x:row>
    <x:row r="1895" ht="23" customHeight="1">
      <x:c r="A1895" s="11" t="d">
        <x:v>2022-07-06T00:00:00.000Z</x:v>
      </x:c>
      <x:c r="B1895" s="12" t="n">
        <x:v>17940.05302</x:v>
      </x:c>
      <x:c r="C1895" s="13" t="n">
        <x:v>484</x:v>
      </x:c>
      <x:c r="D1895" s="12" t="n">
        <x:v>185493</x:v>
      </x:c>
      <x:c r="E1895" s="12" t="n">
        <x:v>763.205564</x:v>
      </x:c>
      <x:c r="F1895" s="12" t="n">
        <x:f>SUM(B1895,D1895:E1895)</x:f>
        <x:v>204196.258584</x:v>
      </x:c>
      <x:c r="G1895" s="12" t="n">
        <x:f>MAX(G1894,F1895)</x:f>
        <x:v>248490.544664</x:v>
      </x:c>
      <x:c r="H1895" s="14" t="n">
        <x:f>F1895/G1895-1</x:f>
        <x:v>-0.17825340654266397</x:v>
      </x:c>
      <x:c r="I1895" s="14" t="n">
        <x:f>F1895/F1894-1</x:f>
        <x:v>0.003067024497698023</x:v>
      </x:c>
      <x:c r="J1895" s="12" t="n">
        <x:v>0</x:v>
      </x:c>
      <x:c r="K1895" s="12" t="n">
        <x:v>0</x:v>
      </x:c>
      <x:c r="L1895" s="12" t="n">
        <x:v>0</x:v>
      </x:c>
      <x:c r="M1895" s="2" t="str">
        <x:v>持有</x:v>
      </x:c>
    </x:row>
    <x:row r="1896" ht="23" customHeight="1">
      <x:c r="A1896" s="11" t="d">
        <x:v>2022-07-07T00:00:00.000Z</x:v>
      </x:c>
      <x:c r="B1896" s="12" t="n">
        <x:v>17940.05302</x:v>
      </x:c>
      <x:c r="C1896" s="13" t="n">
        <x:v>484</x:v>
      </x:c>
      <x:c r="D1896" s="12" t="n">
        <x:v>188271.16</x:v>
      </x:c>
      <x:c r="E1896" s="12" t="n">
        <x:v>763.205564</x:v>
      </x:c>
      <x:c r="F1896" s="12" t="n">
        <x:f>SUM(B1896,D1896:E1896)</x:f>
        <x:v>206974.418584</x:v>
      </x:c>
      <x:c r="G1896" s="12" t="n">
        <x:f>MAX(G1895,F1896)</x:f>
        <x:v>248490.544664</x:v>
      </x:c>
      <x:c r="H1896" s="14" t="n">
        <x:f>F1896/G1896-1</x:f>
        <x:v>-0.1670732628323408</x:v>
      </x:c>
      <x:c r="I1896" s="14" t="n">
        <x:f>F1896/F1895-1</x:f>
        <x:v>0.013605342327352998</x:v>
      </x:c>
      <x:c r="J1896" s="12" t="n">
        <x:v>0</x:v>
      </x:c>
      <x:c r="K1896" s="12" t="n">
        <x:v>0</x:v>
      </x:c>
      <x:c r="L1896" s="12" t="n">
        <x:v>0</x:v>
      </x:c>
      <x:c r="M1896" s="2" t="str">
        <x:v>持有</x:v>
      </x:c>
    </x:row>
    <x:row r="1897" ht="23" customHeight="1">
      <x:c r="A1897" s="11" t="d">
        <x:v>2022-07-08T00:00:00.000Z</x:v>
      </x:c>
      <x:c r="B1897" s="12" t="n">
        <x:v>17940.05302</x:v>
      </x:c>
      <x:c r="C1897" s="13" t="n">
        <x:v>484</x:v>
      </x:c>
      <x:c r="D1897" s="12" t="n">
        <x:v>188116.28</x:v>
      </x:c>
      <x:c r="E1897" s="12" t="n">
        <x:v>763.205564</x:v>
      </x:c>
      <x:c r="F1897" s="12" t="n">
        <x:f>SUM(B1897,D1897:E1897)</x:f>
        <x:v>206819.538584</x:v>
      </x:c>
      <x:c r="G1897" s="12" t="n">
        <x:f>MAX(G1896,F1897)</x:f>
        <x:v>248490.544664</x:v>
      </x:c>
      <x:c r="H1897" s="14" t="n">
        <x:f>F1897/G1897-1</x:f>
        <x:v>-0.1676965461053902</x:v>
      </x:c>
      <x:c r="I1897" s="14" t="n">
        <x:f>F1897/F1896-1</x:f>
        <x:v>-0.0007483050372099065</x:v>
      </x:c>
      <x:c r="J1897" s="12" t="n">
        <x:v>0</x:v>
      </x:c>
      <x:c r="K1897" s="12" t="n">
        <x:v>0</x:v>
      </x:c>
      <x:c r="L1897" s="12" t="n">
        <x:v>0</x:v>
      </x:c>
      <x:c r="M1897" s="2" t="str">
        <x:v>持有</x:v>
      </x:c>
    </x:row>
    <x:row r="1898" ht="23" customHeight="1">
      <x:c r="A1898" s="11" t="d">
        <x:v>2022-07-11T00:00:00.000Z</x:v>
      </x:c>
      <x:c r="B1898" s="12" t="n">
        <x:v>17940.05302</x:v>
      </x:c>
      <x:c r="C1898" s="13" t="n">
        <x:v>484</x:v>
      </x:c>
      <x:c r="D1898" s="12" t="n">
        <x:v>185967.32</x:v>
      </x:c>
      <x:c r="E1898" s="12" t="n">
        <x:v>763.205564</x:v>
      </x:c>
      <x:c r="F1898" s="12" t="n">
        <x:f>SUM(B1898,D1898:E1898)</x:f>
        <x:v>204670.578584</x:v>
      </x:c>
      <x:c r="G1898" s="12" t="n">
        <x:f>MAX(G1897,F1898)</x:f>
        <x:v>248490.544664</x:v>
      </x:c>
      <x:c r="H1898" s="14" t="n">
        <x:f>F1898/G1898-1</x:f>
        <x:v>-0.17634460151895026</x:v>
      </x:c>
      <x:c r="I1898" s="14" t="n">
        <x:f>F1898/F1897-1</x:f>
        <x:v>-0.010390507660508974</x:v>
      </x:c>
      <x:c r="J1898" s="12" t="n">
        <x:v>0</x:v>
      </x:c>
      <x:c r="K1898" s="12" t="n">
        <x:v>0</x:v>
      </x:c>
      <x:c r="L1898" s="12" t="n">
        <x:v>0</x:v>
      </x:c>
      <x:c r="M1898" s="2" t="str">
        <x:v>持有</x:v>
      </x:c>
    </x:row>
    <x:row r="1899" ht="23" customHeight="1">
      <x:c r="A1899" s="11" t="d">
        <x:v>2022-07-12T00:00:00.000Z</x:v>
      </x:c>
      <x:c r="B1899" s="12" t="n">
        <x:v>17940.05302</x:v>
      </x:c>
      <x:c r="C1899" s="13" t="n">
        <x:v>484</x:v>
      </x:c>
      <x:c r="D1899" s="12" t="n">
        <x:v>184321.72</x:v>
      </x:c>
      <x:c r="E1899" s="12" t="n">
        <x:v>763.205564</x:v>
      </x:c>
      <x:c r="F1899" s="12" t="n">
        <x:f>SUM(B1899,D1899:E1899)</x:f>
        <x:v>203024.978584</x:v>
      </x:c>
      <x:c r="G1899" s="12" t="n">
        <x:f>MAX(G1898,F1899)</x:f>
        <x:v>248490.544664</x:v>
      </x:c>
      <x:c r="H1899" s="14" t="n">
        <x:f>F1899/G1899-1</x:f>
        <x:v>-0.1829669862950999</x:v>
      </x:c>
      <x:c r="I1899" s="14" t="n">
        <x:f>F1899/F1898-1</x:f>
        <x:v>-0.008040237201580092</x:v>
      </x:c>
      <x:c r="J1899" s="12" t="n">
        <x:v>0</x:v>
      </x:c>
      <x:c r="K1899" s="12" t="n">
        <x:v>0</x:v>
      </x:c>
      <x:c r="L1899" s="12" t="n">
        <x:v>0</x:v>
      </x:c>
      <x:c r="M1899" s="2" t="str">
        <x:v>持有</x:v>
      </x:c>
    </x:row>
    <x:row r="1900" ht="23" customHeight="1">
      <x:c r="A1900" s="11" t="d">
        <x:v>2022-07-13T00:00:00.000Z</x:v>
      </x:c>
      <x:c r="B1900" s="12" t="n">
        <x:v>17940.05302</x:v>
      </x:c>
      <x:c r="C1900" s="13" t="n">
        <x:v>484</x:v>
      </x:c>
      <x:c r="D1900" s="12" t="n">
        <x:v>183353.72</x:v>
      </x:c>
      <x:c r="E1900" s="12" t="n">
        <x:v>763.205564</x:v>
      </x:c>
      <x:c r="F1900" s="12" t="n">
        <x:f>SUM(B1900,D1900:E1900)</x:f>
        <x:v>202056.978584</x:v>
      </x:c>
      <x:c r="G1900" s="12" t="n">
        <x:f>MAX(G1899,F1900)</x:f>
        <x:v>248490.544664</x:v>
      </x:c>
      <x:c r="H1900" s="14" t="n">
        <x:f>F1900/G1900-1</x:f>
        <x:v>-0.1868625067516585</x:v>
      </x:c>
      <x:c r="I1900" s="14" t="n">
        <x:f>F1900/F1899-1</x:f>
        <x:v>-0.0047678862312968695</x:v>
      </x:c>
      <x:c r="J1900" s="12" t="n">
        <x:v>0</x:v>
      </x:c>
      <x:c r="K1900" s="12" t="n">
        <x:v>0</x:v>
      </x:c>
      <x:c r="L1900" s="12" t="n">
        <x:v>0</x:v>
      </x:c>
      <x:c r="M1900" s="2" t="str">
        <x:v>持有</x:v>
      </x:c>
    </x:row>
    <x:row r="1901" ht="23" customHeight="1">
      <x:c r="A1901" s="11" t="d">
        <x:v>2022-07-14T00:00:00.000Z</x:v>
      </x:c>
      <x:c r="B1901" s="12" t="n">
        <x:v>17940.05302</x:v>
      </x:c>
      <x:c r="C1901" s="13" t="n">
        <x:v>484</x:v>
      </x:c>
      <x:c r="D1901" s="12" t="n">
        <x:v>182908.44</x:v>
      </x:c>
      <x:c r="E1901" s="12" t="n">
        <x:v>763.205564</x:v>
      </x:c>
      <x:c r="F1901" s="12" t="n">
        <x:f>SUM(B1901,D1901:E1901)</x:f>
        <x:v>201611.698584</x:v>
      </x:c>
      <x:c r="G1901" s="12" t="n">
        <x:f>MAX(G1900,F1901)</x:f>
        <x:v>248490.544664</x:v>
      </x:c>
      <x:c r="H1901" s="14" t="n">
        <x:f>F1901/G1901-1</x:f>
        <x:v>-0.18865444616167548</x:v>
      </x:c>
      <x:c r="I1901" s="14" t="n">
        <x:f>F1901/F1900-1</x:f>
        <x:v>-0.0022037348233180376</x:v>
      </x:c>
      <x:c r="J1901" s="12" t="n">
        <x:v>0</x:v>
      </x:c>
      <x:c r="K1901" s="12" t="n">
        <x:v>0</x:v>
      </x:c>
      <x:c r="L1901" s="12" t="n">
        <x:v>0</x:v>
      </x:c>
      <x:c r="M1901" s="2" t="str">
        <x:v>持有</x:v>
      </x:c>
    </x:row>
    <x:row r="1902" ht="23" customHeight="1">
      <x:c r="A1902" s="11" t="d">
        <x:v>2022-07-15T00:00:00.000Z</x:v>
      </x:c>
      <x:c r="B1902" s="12" t="n">
        <x:v>17940.05302</x:v>
      </x:c>
      <x:c r="C1902" s="13" t="n">
        <x:v>484</x:v>
      </x:c>
      <x:c r="D1902" s="12" t="n">
        <x:v>186402.91999999998</x:v>
      </x:c>
      <x:c r="E1902" s="12" t="n">
        <x:v>763.205564</x:v>
      </x:c>
      <x:c r="F1902" s="12" t="n">
        <x:f>SUM(B1902,D1902:E1902)</x:f>
        <x:v>205106.17858399998</x:v>
      </x:c>
      <x:c r="G1902" s="12" t="n">
        <x:f>MAX(G1901,F1902)</x:f>
        <x:v>248490.544664</x:v>
      </x:c>
      <x:c r="H1902" s="14" t="n">
        <x:f>F1902/G1902-1</x:f>
        <x:v>-0.17459161731349893</x:v>
      </x:c>
      <x:c r="I1902" s="14" t="n">
        <x:f>F1902/F1901-1</x:f>
        <x:v>0.017332724363432916</x:v>
      </x:c>
      <x:c r="J1902" s="12" t="n">
        <x:v>0</x:v>
      </x:c>
      <x:c r="K1902" s="12" t="n">
        <x:v>0</x:v>
      </x:c>
      <x:c r="L1902" s="12" t="n">
        <x:v>0</x:v>
      </x:c>
      <x:c r="M1902" s="2" t="str">
        <x:v>持有</x:v>
      </x:c>
    </x:row>
    <x:row r="1903" ht="23" customHeight="1">
      <x:c r="A1903" s="11" t="d">
        <x:v>2022-07-18T00:00:00.000Z</x:v>
      </x:c>
      <x:c r="B1903" s="12" t="n">
        <x:v>17940.05302</x:v>
      </x:c>
      <x:c r="C1903" s="13" t="n">
        <x:v>484</x:v>
      </x:c>
      <x:c r="D1903" s="12" t="n">
        <x:v>184863.8</x:v>
      </x:c>
      <x:c r="E1903" s="12" t="n">
        <x:v>763.205564</x:v>
      </x:c>
      <x:c r="F1903" s="12" t="n">
        <x:f>SUM(B1903,D1903:E1903)</x:f>
        <x:v>203567.05858399998</x:v>
      </x:c>
      <x:c r="G1903" s="12" t="n">
        <x:f>MAX(G1902,F1903)</x:f>
        <x:v>248490.544664</x:v>
      </x:c>
      <x:c r="H1903" s="14" t="n">
        <x:f>F1903/G1903-1</x:f>
        <x:v>-0.18078549483942707</x:v>
      </x:c>
      <x:c r="I1903" s="14" t="n">
        <x:f>F1903/F1902-1</x:f>
        <x:v>-0.0075040157767342075</x:v>
      </x:c>
      <x:c r="J1903" s="12" t="n">
        <x:v>0</x:v>
      </x:c>
      <x:c r="K1903" s="12" t="n">
        <x:v>0</x:v>
      </x:c>
      <x:c r="L1903" s="12" t="n">
        <x:v>0</x:v>
      </x:c>
      <x:c r="M1903" s="2" t="str">
        <x:v>持有</x:v>
      </x:c>
    </x:row>
    <x:row r="1904" ht="23" customHeight="1">
      <x:c r="A1904" s="11" t="d">
        <x:v>2022-07-19T00:00:00.000Z</x:v>
      </x:c>
      <x:c r="B1904" s="12" t="n">
        <x:v>17940.05302</x:v>
      </x:c>
      <x:c r="C1904" s="13" t="n">
        <x:v>484</x:v>
      </x:c>
      <x:c r="D1904" s="12" t="n">
        <x:v>189858.68</x:v>
      </x:c>
      <x:c r="E1904" s="12" t="n">
        <x:v>763.205564</x:v>
      </x:c>
      <x:c r="F1904" s="12" t="n">
        <x:f>SUM(B1904,D1904:E1904)</x:f>
        <x:v>208561.938584</x:v>
      </x:c>
      <x:c r="G1904" s="12" t="n">
        <x:f>MAX(G1903,F1904)</x:f>
        <x:v>248490.544664</x:v>
      </x:c>
      <x:c r="H1904" s="14" t="n">
        <x:f>F1904/G1904-1</x:f>
        <x:v>-0.16068460928358475</x:v>
      </x:c>
      <x:c r="I1904" s="14" t="n">
        <x:f>F1904/F1903-1</x:f>
        <x:v>0.024536779352927196</x:v>
      </x:c>
      <x:c r="J1904" s="12" t="n">
        <x:v>0</x:v>
      </x:c>
      <x:c r="K1904" s="12" t="n">
        <x:v>0</x:v>
      </x:c>
      <x:c r="L1904" s="12" t="n">
        <x:v>0</x:v>
      </x:c>
      <x:c r="M1904" s="2" t="str">
        <x:v>持有</x:v>
      </x:c>
    </x:row>
    <x:row r="1905" ht="23" customHeight="1">
      <x:c r="A1905" s="11" t="d">
        <x:v>2022-07-20T00:00:00.000Z</x:v>
      </x:c>
      <x:c r="B1905" s="12" t="n">
        <x:v>17940.05302</x:v>
      </x:c>
      <x:c r="C1905" s="13" t="n">
        <x:v>484</x:v>
      </x:c>
      <x:c r="D1905" s="12" t="n">
        <x:v>191068.68</x:v>
      </x:c>
      <x:c r="E1905" s="12" t="n">
        <x:v>763.205564</x:v>
      </x:c>
      <x:c r="F1905" s="12" t="n">
        <x:f>SUM(B1905,D1905:E1905)</x:f>
        <x:v>209771.938584</x:v>
      </x:c>
      <x:c r="G1905" s="12" t="n">
        <x:f>MAX(G1904,F1905)</x:f>
        <x:v>248490.544664</x:v>
      </x:c>
      <x:c r="H1905" s="14" t="n">
        <x:f>F1905/G1905-1</x:f>
        <x:v>-0.15581520871288645</x:v>
      </x:c>
      <x:c r="I1905" s="14" t="n">
        <x:f>F1905/F1904-1</x:f>
        <x:v>0.005801633837003495</x:v>
      </x:c>
      <x:c r="J1905" s="12" t="n">
        <x:v>0</x:v>
      </x:c>
      <x:c r="K1905" s="12" t="n">
        <x:v>0</x:v>
      </x:c>
      <x:c r="L1905" s="12" t="n">
        <x:v>0</x:v>
      </x:c>
      <x:c r="M1905" s="2" t="str">
        <x:v>持有</x:v>
      </x:c>
    </x:row>
    <x:row r="1906" ht="23" customHeight="1">
      <x:c r="A1906" s="11" t="d">
        <x:v>2022-07-21T00:00:00.000Z</x:v>
      </x:c>
      <x:c r="B1906" s="12" t="n">
        <x:v>17940.05302</x:v>
      </x:c>
      <x:c r="C1906" s="13" t="n">
        <x:v>484</x:v>
      </x:c>
      <x:c r="D1906" s="12" t="n">
        <x:v>193014.36000000002</x:v>
      </x:c>
      <x:c r="E1906" s="12" t="n">
        <x:v>763.205564</x:v>
      </x:c>
      <x:c r="F1906" s="12" t="n">
        <x:f>SUM(B1906,D1906:E1906)</x:f>
        <x:v>211717.618584</x:v>
      </x:c>
      <x:c r="G1906" s="12" t="n">
        <x:f>MAX(G1905,F1906)</x:f>
        <x:v>248490.544664</x:v>
      </x:c>
      <x:c r="H1906" s="14" t="n">
        <x:f>F1906/G1906-1</x:f>
        <x:v>-0.14798521259520359</x:v>
      </x:c>
      <x:c r="I1906" s="14" t="n">
        <x:f>F1906/F1905-1</x:f>
        <x:v>0.009275215804047665</x:v>
      </x:c>
      <x:c r="J1906" s="12" t="n">
        <x:v>0</x:v>
      </x:c>
      <x:c r="K1906" s="12" t="n">
        <x:v>0</x:v>
      </x:c>
      <x:c r="L1906" s="12" t="n">
        <x:v>0</x:v>
      </x:c>
      <x:c r="M1906" s="2" t="str">
        <x:v>持有</x:v>
      </x:c>
    </x:row>
    <x:row r="1907" ht="23" customHeight="1">
      <x:c r="A1907" s="11" t="d">
        <x:v>2022-07-22T00:00:00.000Z</x:v>
      </x:c>
      <x:c r="B1907" s="12" t="n">
        <x:v>17940.05302</x:v>
      </x:c>
      <x:c r="C1907" s="13" t="n">
        <x:v>484</x:v>
      </x:c>
      <x:c r="D1907" s="12" t="n">
        <x:v>191223.56</x:v>
      </x:c>
      <x:c r="E1907" s="12" t="n">
        <x:v>763.205564</x:v>
      </x:c>
      <x:c r="F1907" s="12" t="n">
        <x:f>SUM(B1907,D1907:E1907)</x:f>
        <x:v>209926.818584</x:v>
      </x:c>
      <x:c r="G1907" s="12" t="n">
        <x:f>MAX(G1906,F1907)</x:f>
        <x:v>248490.544664</x:v>
      </x:c>
      <x:c r="H1907" s="14" t="n">
        <x:f>F1907/G1907-1</x:f>
        <x:v>-0.15519192543983706</x:v>
      </x:c>
      <x:c r="I1907" s="14" t="n">
        <x:f>F1907/F1906-1</x:f>
        <x:v>-0.00845843634543575</x:v>
      </x:c>
      <x:c r="J1907" s="12" t="n">
        <x:v>0</x:v>
      </x:c>
      <x:c r="K1907" s="12" t="n">
        <x:v>0</x:v>
      </x:c>
      <x:c r="L1907" s="12" t="n">
        <x:v>0</x:v>
      </x:c>
      <x:c r="M1907" s="2" t="str">
        <x:v>持有</x:v>
      </x:c>
    </x:row>
    <x:row r="1908" ht="23" customHeight="1">
      <x:c r="A1908" s="11" t="d">
        <x:v>2022-07-25T00:00:00.000Z</x:v>
      </x:c>
      <x:c r="B1908" s="12" t="n">
        <x:v>17940.05302</x:v>
      </x:c>
      <x:c r="C1908" s="13" t="n">
        <x:v>484</x:v>
      </x:c>
      <x:c r="D1908" s="12" t="n">
        <x:v>191455.88</x:v>
      </x:c>
      <x:c r="E1908" s="12" t="n">
        <x:v>763.205564</x:v>
      </x:c>
      <x:c r="F1908" s="12" t="n">
        <x:f>SUM(B1908,D1908:E1908)</x:f>
        <x:v>210159.138584</x:v>
      </x:c>
      <x:c r="G1908" s="12" t="n">
        <x:f>MAX(G1907,F1908)</x:f>
        <x:v>248490.544664</x:v>
      </x:c>
      <x:c r="H1908" s="14" t="n">
        <x:f>F1908/G1908-1</x:f>
        <x:v>-0.15425700053026303</x:v>
      </x:c>
      <x:c r="I1908" s="14" t="n">
        <x:f>F1908/F1907-1</x:f>
        <x:v>0.0011066713703711262</x:v>
      </x:c>
      <x:c r="J1908" s="12" t="n">
        <x:v>0</x:v>
      </x:c>
      <x:c r="K1908" s="12" t="n">
        <x:v>0</x:v>
      </x:c>
      <x:c r="L1908" s="12" t="n">
        <x:v>0</x:v>
      </x:c>
      <x:c r="M1908" s="2" t="str">
        <x:v>持有</x:v>
      </x:c>
    </x:row>
    <x:row r="1909" ht="23" customHeight="1">
      <x:c r="A1909" s="11" t="d">
        <x:v>2022-07-26T00:00:00.000Z</x:v>
      </x:c>
      <x:c r="B1909" s="12" t="n">
        <x:v>17940.05302</x:v>
      </x:c>
      <x:c r="C1909" s="13" t="n">
        <x:v>484</x:v>
      </x:c>
      <x:c r="D1909" s="12" t="n">
        <x:v>189190.75999999998</x:v>
      </x:c>
      <x:c r="E1909" s="12" t="n">
        <x:v>763.205564</x:v>
      </x:c>
      <x:c r="F1909" s="12" t="n">
        <x:f>SUM(B1909,D1909:E1909)</x:f>
        <x:v>207894.01858399998</x:v>
      </x:c>
      <x:c r="G1909" s="12" t="n">
        <x:f>MAX(G1908,F1909)</x:f>
        <x:v>248490.544664</x:v>
      </x:c>
      <x:c r="H1909" s="14" t="n">
        <x:f>F1909/G1909-1</x:f>
        <x:v>-0.16337251839861022</x:v>
      </x:c>
      <x:c r="I1909" s="14" t="n">
        <x:f>F1909/F1908-1</x:f>
        <x:v>-0.010778118026471883</x:v>
      </x:c>
      <x:c r="J1909" s="12" t="n">
        <x:v>0</x:v>
      </x:c>
      <x:c r="K1909" s="12" t="n">
        <x:v>0</x:v>
      </x:c>
      <x:c r="L1909" s="12" t="n">
        <x:v>0</x:v>
      </x:c>
      <x:c r="M1909" s="2" t="str">
        <x:v>持有</x:v>
      </x:c>
    </x:row>
    <x:row r="1910" ht="23" customHeight="1">
      <x:c r="A1910" s="11" t="d">
        <x:v>2022-07-27T00:00:00.000Z</x:v>
      </x:c>
      <x:c r="B1910" s="12" t="n">
        <x:v>17940.05302</x:v>
      </x:c>
      <x:c r="C1910" s="13" t="n">
        <x:v>484</x:v>
      </x:c>
      <x:c r="D1910" s="12" t="n">
        <x:v>194103.36000000002</x:v>
      </x:c>
      <x:c r="E1910" s="12" t="n">
        <x:v>763.205564</x:v>
      </x:c>
      <x:c r="F1910" s="12" t="n">
        <x:f>SUM(B1910,D1910:E1910)</x:f>
        <x:v>212806.618584</x:v>
      </x:c>
      <x:c r="G1910" s="12" t="n">
        <x:f>MAX(G1909,F1910)</x:f>
        <x:v>248490.544664</x:v>
      </x:c>
      <x:c r="H1910" s="14" t="n">
        <x:f>F1910/G1910-1</x:f>
        <x:v>-0.14360275208157514</x:v>
      </x:c>
      <x:c r="I1910" s="14" t="n">
        <x:f>F1910/F1909-1</x:f>
        <x:v>0.02363030948875089</x:v>
      </x:c>
      <x:c r="J1910" s="12" t="n">
        <x:v>0</x:v>
      </x:c>
      <x:c r="K1910" s="12" t="n">
        <x:v>0</x:v>
      </x:c>
      <x:c r="L1910" s="12" t="n">
        <x:v>0</x:v>
      </x:c>
      <x:c r="M1910" s="2" t="str">
        <x:v>持有</x:v>
      </x:c>
    </x:row>
    <x:row r="1911" ht="23" customHeight="1">
      <x:c r="A1911" s="11" t="d">
        <x:v>2022-07-28T00:00:00.000Z</x:v>
      </x:c>
      <x:c r="B1911" s="12" t="n">
        <x:v>17940.05302</x:v>
      </x:c>
      <x:c r="C1911" s="13" t="n">
        <x:v>484</x:v>
      </x:c>
      <x:c r="D1911" s="12" t="n">
        <x:v>196537.88</x:v>
      </x:c>
      <x:c r="E1911" s="12" t="n">
        <x:v>763.205564</x:v>
      </x:c>
      <x:c r="F1911" s="12" t="n">
        <x:f>SUM(B1911,D1911:E1911)</x:f>
        <x:v>215241.138584</x:v>
      </x:c>
      <x:c r="G1911" s="12" t="n">
        <x:f>MAX(G1910,F1911)</x:f>
        <x:v>248490.544664</x:v>
      </x:c>
      <x:c r="H1911" s="14" t="n">
        <x:f>F1911/G1911-1</x:f>
        <x:v>-0.1338055181333303</x:v>
      </x:c>
      <x:c r="I1911" s="14" t="n">
        <x:f>F1911/F1910-1</x:f>
        <x:v>0.011440057720944585</x:v>
      </x:c>
      <x:c r="J1911" s="12" t="n">
        <x:v>0</x:v>
      </x:c>
      <x:c r="K1911" s="12" t="n">
        <x:v>0</x:v>
      </x:c>
      <x:c r="L1911" s="12" t="n">
        <x:v>0</x:v>
      </x:c>
      <x:c r="M1911" s="2" t="str">
        <x:v>持有</x:v>
      </x:c>
    </x:row>
    <x:row r="1912" ht="23" customHeight="1">
      <x:c r="A1912" s="11" t="d">
        <x:v>2022-07-29T00:00:00.000Z</x:v>
      </x:c>
      <x:c r="B1912" s="12" t="n">
        <x:v>18703.258584</x:v>
      </x:c>
      <x:c r="C1912" s="13" t="n">
        <x:v>484</x:v>
      </x:c>
      <x:c r="D1912" s="12" t="n">
        <x:v>199403.16</x:v>
      </x:c>
      <x:c r="E1912" s="12" t="n">
        <x:v>0</x:v>
      </x:c>
      <x:c r="F1912" s="12" t="n">
        <x:f>SUM(B1912,D1912:E1912)</x:f>
        <x:v>218106.418584</x:v>
      </x:c>
      <x:c r="G1912" s="12" t="n">
        <x:f>MAX(G1911,F1912)</x:f>
        <x:v>248490.544664</x:v>
      </x:c>
      <x:c r="H1912" s="14" t="n">
        <x:f>F1912/G1912-1</x:f>
        <x:v>-0.12227477758191696</x:v>
      </x:c>
      <x:c r="I1912" s="14" t="n">
        <x:f>F1912/F1911-1</x:f>
        <x:v>0.013311953369368634</x:v>
      </x:c>
      <x:c r="J1912" s="12" t="n">
        <x:v>0</x:v>
      </x:c>
      <x:c r="K1912" s="12" t="n">
        <x:v>763.205564</x:v>
      </x:c>
      <x:c r="L1912" s="12" t="n">
        <x:v>0</x:v>
      </x:c>
      <x:c r="M1912" s="2" t="str">
        <x:v>持有</x:v>
      </x:c>
    </x:row>
    <x:row r="1913" ht="23" customHeight="1">
      <x:c r="A1913" s="11" t="d">
        <x:v>2022-08-01T00:00:00.000Z</x:v>
      </x:c>
      <x:c r="B1913" s="12" t="n">
        <x:v>18703.258584</x:v>
      </x:c>
      <x:c r="C1913" s="13" t="n">
        <x:v>484</x:v>
      </x:c>
      <x:c r="D1913" s="12" t="n">
        <x:v>198812.68</x:v>
      </x:c>
      <x:c r="E1913" s="12" t="n">
        <x:v>0</x:v>
      </x:c>
      <x:c r="F1913" s="12" t="n">
        <x:f>SUM(B1913,D1913:E1913)</x:f>
        <x:v>217515.938584</x:v>
      </x:c>
      <x:c r="G1913" s="12" t="n">
        <x:f>MAX(G1912,F1913)</x:f>
        <x:v>248490.544664</x:v>
      </x:c>
      <x:c r="H1913" s="14" t="n">
        <x:f>F1913/G1913-1</x:f>
        <x:v>-0.12465104506041769</x:v>
      </x:c>
      <x:c r="I1913" s="14" t="n">
        <x:f>F1913/F1912-1</x:f>
        <x:v>-0.0027073022602156493</x:v>
      </x:c>
      <x:c r="J1913" s="12" t="n">
        <x:v>0</x:v>
      </x:c>
      <x:c r="K1913" s="12" t="n">
        <x:v>0</x:v>
      </x:c>
      <x:c r="L1913" s="12" t="n">
        <x:v>0</x:v>
      </x:c>
      <x:c r="M1913" s="2" t="str">
        <x:v>持有</x:v>
      </x:c>
    </x:row>
    <x:row r="1914" ht="23" customHeight="1">
      <x:c r="A1914" s="11" t="d">
        <x:v>2022-08-02T00:00:00.000Z</x:v>
      </x:c>
      <x:c r="B1914" s="12" t="n">
        <x:v>18703.258584</x:v>
      </x:c>
      <x:c r="C1914" s="13" t="n">
        <x:v>484</x:v>
      </x:c>
      <x:c r="D1914" s="12" t="n">
        <x:v>197501.04</x:v>
      </x:c>
      <x:c r="E1914" s="12" t="n">
        <x:v>0</x:v>
      </x:c>
      <x:c r="F1914" s="12" t="n">
        <x:f>SUM(B1914,D1914:E1914)</x:f>
        <x:v>216204.298584</x:v>
      </x:c>
      <x:c r="G1914" s="12" t="n">
        <x:f>MAX(G1913,F1914)</x:f>
        <x:v>248490.544664</x:v>
      </x:c>
      <x:c r="H1914" s="14" t="n">
        <x:f>F1914/G1914-1</x:f>
        <x:v>-0.12992947527905452</x:v>
      </x:c>
      <x:c r="I1914" s="14" t="n">
        <x:f>F1914/F1913-1</x:f>
        <x:v>-0.00603008684576678</x:v>
      </x:c>
      <x:c r="J1914" s="12" t="n">
        <x:v>0</x:v>
      </x:c>
      <x:c r="K1914" s="12" t="n">
        <x:v>0</x:v>
      </x:c>
      <x:c r="L1914" s="12" t="n">
        <x:v>0</x:v>
      </x:c>
      <x:c r="M1914" s="2" t="str">
        <x:v>持有</x:v>
      </x:c>
    </x:row>
    <x:row r="1915" ht="23" customHeight="1">
      <x:c r="A1915" s="11" t="d">
        <x:v>2022-08-03T00:00:00.000Z</x:v>
      </x:c>
      <x:c r="B1915" s="12" t="n">
        <x:v>18703.258584</x:v>
      </x:c>
      <x:c r="C1915" s="13" t="n">
        <x:v>484</x:v>
      </x:c>
      <x:c r="D1915" s="12" t="n">
        <x:v>200593.8</x:v>
      </x:c>
      <x:c r="E1915" s="12" t="n">
        <x:v>0</x:v>
      </x:c>
      <x:c r="F1915" s="12" t="n">
        <x:f>SUM(B1915,D1915:E1915)</x:f>
        <x:v>219297.05858399998</x:v>
      </x:c>
      <x:c r="G1915" s="12" t="n">
        <x:f>MAX(G1914,F1915)</x:f>
        <x:v>248490.544664</x:v>
      </x:c>
      <x:c r="H1915" s="14" t="n">
        <x:f>F1915/G1915-1</x:f>
        <x:v>-0.11748328742034986</x:v>
      </x:c>
      <x:c r="I1915" s="14" t="n">
        <x:f>F1915/F1914-1</x:f>
        <x:v>0.014304803467163119</x:v>
      </x:c>
      <x:c r="J1915" s="12" t="n">
        <x:v>0</x:v>
      </x:c>
      <x:c r="K1915" s="12" t="n">
        <x:v>0</x:v>
      </x:c>
      <x:c r="L1915" s="12" t="n">
        <x:v>0</x:v>
      </x:c>
      <x:c r="M1915" s="2" t="str">
        <x:v>持有</x:v>
      </x:c>
    </x:row>
    <x:row r="1916" ht="23" customHeight="1">
      <x:c r="A1916" s="11" t="d">
        <x:v>2022-08-04T00:00:00.000Z</x:v>
      </x:c>
      <x:c r="B1916" s="12" t="n">
        <x:v>18703.258584</x:v>
      </x:c>
      <x:c r="C1916" s="13" t="n">
        <x:v>484</x:v>
      </x:c>
      <x:c r="D1916" s="12" t="n">
        <x:v>200458.28</x:v>
      </x:c>
      <x:c r="E1916" s="12" t="n">
        <x:v>0</x:v>
      </x:c>
      <x:c r="F1916" s="12" t="n">
        <x:f>SUM(B1916,D1916:E1916)</x:f>
        <x:v>219161.538584</x:v>
      </x:c>
      <x:c r="G1916" s="12" t="n">
        <x:f>MAX(G1915,F1916)</x:f>
        <x:v>248490.544664</x:v>
      </x:c>
      <x:c r="H1916" s="14" t="n">
        <x:f>F1916/G1916-1</x:f>
        <x:v>-0.11802866028426806</x:v>
      </x:c>
      <x:c r="I1916" s="14" t="n">
        <x:f>F1916/F1915-1</x:f>
        <x:v>-0.0006179745450077823</x:v>
      </x:c>
      <x:c r="J1916" s="12" t="n">
        <x:v>0</x:v>
      </x:c>
      <x:c r="K1916" s="12" t="n">
        <x:v>0</x:v>
      </x:c>
      <x:c r="L1916" s="12" t="n">
        <x:v>0</x:v>
      </x:c>
      <x:c r="M1916" s="2" t="str">
        <x:v>持有</x:v>
      </x:c>
    </x:row>
    <x:row r="1917" ht="23" customHeight="1">
      <x:c r="A1917" s="11" t="d">
        <x:v>2022-08-05T00:00:00.000Z</x:v>
      </x:c>
      <x:c r="B1917" s="12" t="n">
        <x:v>18703.258584</x:v>
      </x:c>
      <x:c r="C1917" s="13" t="n">
        <x:v>484</x:v>
      </x:c>
      <x:c r="D1917" s="12" t="n">
        <x:v>200119.48</x:v>
      </x:c>
      <x:c r="E1917" s="12" t="n">
        <x:v>0</x:v>
      </x:c>
      <x:c r="F1917" s="12" t="n">
        <x:f>SUM(B1917,D1917:E1917)</x:f>
        <x:v>218822.738584</x:v>
      </x:c>
      <x:c r="G1917" s="12" t="n">
        <x:f>MAX(G1916,F1917)</x:f>
        <x:v>248490.544664</x:v>
      </x:c>
      <x:c r="H1917" s="14" t="n">
        <x:f>F1917/G1917-1</x:f>
        <x:v>-0.11939209244406357</x:v>
      </x:c>
      <x:c r="I1917" s="14" t="n">
        <x:f>F1917/F1916-1</x:f>
        <x:v>-0.0015458916842296944</x:v>
      </x:c>
      <x:c r="J1917" s="12" t="n">
        <x:v>0</x:v>
      </x:c>
      <x:c r="K1917" s="12" t="n">
        <x:v>0</x:v>
      </x:c>
      <x:c r="L1917" s="12" t="n">
        <x:v>0</x:v>
      </x:c>
      <x:c r="M1917" s="2" t="str">
        <x:v>持有</x:v>
      </x:c>
    </x:row>
    <x:row r="1918" ht="23" customHeight="1">
      <x:c r="A1918" s="11" t="d">
        <x:v>2022-08-08T00:00:00.000Z</x:v>
      </x:c>
      <x:c r="B1918" s="12" t="n">
        <x:v>18703.258584</x:v>
      </x:c>
      <x:c r="C1918" s="13" t="n">
        <x:v>484</x:v>
      </x:c>
      <x:c r="D1918" s="12" t="n">
        <x:v>199887.16</x:v>
      </x:c>
      <x:c r="E1918" s="12" t="n">
        <x:v>0</x:v>
      </x:c>
      <x:c r="F1918" s="12" t="n">
        <x:f>SUM(B1918,D1918:E1918)</x:f>
        <x:v>218590.418584</x:v>
      </x:c>
      <x:c r="G1918" s="12" t="n">
        <x:f>MAX(G1917,F1918)</x:f>
        <x:v>248490.544664</x:v>
      </x:c>
      <x:c r="H1918" s="14" t="n">
        <x:f>F1918/G1918-1</x:f>
        <x:v>-0.1203270173536376</x:v>
      </x:c>
      <x:c r="I1918" s="14" t="n">
        <x:f>F1918/F1917-1</x:f>
        <x:v>-0.0010616812562685984</x:v>
      </x:c>
      <x:c r="J1918" s="12" t="n">
        <x:v>0</x:v>
      </x:c>
      <x:c r="K1918" s="12" t="n">
        <x:v>0</x:v>
      </x:c>
      <x:c r="L1918" s="12" t="n">
        <x:v>0</x:v>
      </x:c>
      <x:c r="M1918" s="2" t="str">
        <x:v>持有</x:v>
      </x:c>
    </x:row>
    <x:row r="1919" ht="23" customHeight="1">
      <x:c r="A1919" s="11" t="d">
        <x:v>2022-08-09T00:00:00.000Z</x:v>
      </x:c>
      <x:c r="B1919" s="12" t="n">
        <x:v>18703.258584</x:v>
      </x:c>
      <x:c r="C1919" s="13" t="n">
        <x:v>484</x:v>
      </x:c>
      <x:c r="D1919" s="12" t="n">
        <x:v>199093.40000000002</x:v>
      </x:c>
      <x:c r="E1919" s="12" t="n">
        <x:v>0</x:v>
      </x:c>
      <x:c r="F1919" s="12" t="n">
        <x:f>SUM(B1919,D1919:E1919)</x:f>
        <x:v>217796.65858400002</x:v>
      </x:c>
      <x:c r="G1919" s="12" t="n">
        <x:f>MAX(G1918,F1919)</x:f>
        <x:v>248490.544664</x:v>
      </x:c>
      <x:c r="H1919" s="14" t="n">
        <x:f>F1919/G1919-1</x:f>
        <x:v>-0.12352134412801563</x:v>
      </x:c>
      <x:c r="I1919" s="14" t="n">
        <x:f>F1919/F1918-1</x:f>
        <x:v>-0.0036312662061852574</x:v>
      </x:c>
      <x:c r="J1919" s="12" t="n">
        <x:v>0</x:v>
      </x:c>
      <x:c r="K1919" s="12" t="n">
        <x:v>0</x:v>
      </x:c>
      <x:c r="L1919" s="12" t="n">
        <x:v>0</x:v>
      </x:c>
      <x:c r="M1919" s="2" t="str">
        <x:v>持有</x:v>
      </x:c>
    </x:row>
    <x:row r="1920" ht="23" customHeight="1">
      <x:c r="A1920" s="11" t="d">
        <x:v>2022-08-10T00:00:00.000Z</x:v>
      </x:c>
      <x:c r="B1920" s="12" t="n">
        <x:v>18703.258584</x:v>
      </x:c>
      <x:c r="C1920" s="13" t="n">
        <x:v>484</x:v>
      </x:c>
      <x:c r="D1920" s="12" t="n">
        <x:v>203275.16</x:v>
      </x:c>
      <x:c r="E1920" s="12" t="n">
        <x:v>0</x:v>
      </x:c>
      <x:c r="F1920" s="12" t="n">
        <x:f>SUM(B1920,D1920:E1920)</x:f>
        <x:v>221978.418584</x:v>
      </x:c>
      <x:c r="G1920" s="12" t="n">
        <x:f>MAX(G1919,F1920)</x:f>
        <x:v>248490.544664</x:v>
      </x:c>
      <x:c r="H1920" s="14" t="n">
        <x:f>F1920/G1920-1</x:f>
        <x:v>-0.10669269575568252</x:v>
      </x:c>
      <x:c r="I1920" s="14" t="n">
        <x:f>F1920/F1919-1</x:f>
        <x:v>0.019200294564607256</x:v>
      </x:c>
      <x:c r="J1920" s="12" t="n">
        <x:v>0</x:v>
      </x:c>
      <x:c r="K1920" s="12" t="n">
        <x:v>0</x:v>
      </x:c>
      <x:c r="L1920" s="12" t="n">
        <x:v>0</x:v>
      </x:c>
      <x:c r="M1920" s="2" t="str">
        <x:v>持有</x:v>
      </x:c>
    </x:row>
    <x:row r="1921" ht="23" customHeight="1">
      <x:c r="A1921" s="11" t="d">
        <x:v>2022-08-11T00:00:00.000Z</x:v>
      </x:c>
      <x:c r="B1921" s="12" t="n">
        <x:v>18703.258584</x:v>
      </x:c>
      <x:c r="C1921" s="13" t="n">
        <x:v>484</x:v>
      </x:c>
      <x:c r="D1921" s="12" t="n">
        <x:v>203275.16</x:v>
      </x:c>
      <x:c r="E1921" s="12" t="n">
        <x:v>0</x:v>
      </x:c>
      <x:c r="F1921" s="12" t="n">
        <x:f>SUM(B1921,D1921:E1921)</x:f>
        <x:v>221978.418584</x:v>
      </x:c>
      <x:c r="G1921" s="12" t="n">
        <x:f>MAX(G1920,F1921)</x:f>
        <x:v>248490.544664</x:v>
      </x:c>
      <x:c r="H1921" s="14" t="n">
        <x:f>F1921/G1921-1</x:f>
        <x:v>-0.10669269575568252</x:v>
      </x:c>
      <x:c r="I1921" s="14" t="n">
        <x:f>F1921/F1920-1</x:f>
        <x:v>0</x:v>
      </x:c>
      <x:c r="J1921" s="12" t="n">
        <x:v>0</x:v>
      </x:c>
      <x:c r="K1921" s="12" t="n">
        <x:v>0</x:v>
      </x:c>
      <x:c r="L1921" s="12" t="n">
        <x:v>0</x:v>
      </x:c>
      <x:c r="M1921" s="2" t="str">
        <x:v>持有</x:v>
      </x:c>
    </x:row>
    <x:row r="1922" ht="23" customHeight="1">
      <x:c r="A1922" s="11" t="d">
        <x:v>2022-08-12T00:00:00.000Z</x:v>
      </x:c>
      <x:c r="B1922" s="12" t="n">
        <x:v>18703.258584</x:v>
      </x:c>
      <x:c r="C1922" s="13" t="n">
        <x:v>484</x:v>
      </x:c>
      <x:c r="D1922" s="12" t="n">
        <x:v>206716.40000000002</x:v>
      </x:c>
      <x:c r="E1922" s="12" t="n">
        <x:v>0</x:v>
      </x:c>
      <x:c r="F1922" s="12" t="n">
        <x:f>SUM(B1922,D1922:E1922)</x:f>
        <x:v>225419.65858400002</x:v>
      </x:c>
      <x:c r="G1922" s="12" t="n">
        <x:f>MAX(G1921,F1922)</x:f>
        <x:v>248490.544664</x:v>
      </x:c>
      <x:c r="H1922" s="14" t="n">
        <x:f>F1922/G1922-1</x:f>
        <x:v>-0.09284412053261659</x:v>
      </x:c>
      <x:c r="I1922" s="14" t="n">
        <x:f>F1922/F1921-1</x:f>
        <x:v>0.015502588143260443</x:v>
      </x:c>
      <x:c r="J1922" s="12" t="n">
        <x:v>0</x:v>
      </x:c>
      <x:c r="K1922" s="12" t="n">
        <x:v>0</x:v>
      </x:c>
      <x:c r="L1922" s="12" t="n">
        <x:v>0</x:v>
      </x:c>
      <x:c r="M1922" s="2" t="str">
        <x:v>持有</x:v>
      </x:c>
    </x:row>
    <x:row r="1923" ht="23" customHeight="1">
      <x:c r="A1923" s="11" t="d">
        <x:v>2022-08-15T00:00:00.000Z</x:v>
      </x:c>
      <x:c r="B1923" s="12" t="n">
        <x:v>18703.258584</x:v>
      </x:c>
      <x:c r="C1923" s="13" t="n">
        <x:v>484</x:v>
      </x:c>
      <x:c r="D1923" s="12" t="n">
        <x:v>207568.24000000002</x:v>
      </x:c>
      <x:c r="E1923" s="12" t="n">
        <x:v>0</x:v>
      </x:c>
      <x:c r="F1923" s="12" t="n">
        <x:f>SUM(B1923,D1923:E1923)</x:f>
        <x:v>226271.49858400002</x:v>
      </x:c>
      <x:c r="G1923" s="12" t="n">
        <x:f>MAX(G1922,F1923)</x:f>
        <x:v>248490.544664</x:v>
      </x:c>
      <x:c r="H1923" s="14" t="n">
        <x:f>F1923/G1923-1</x:f>
        <x:v>-0.08941606253084511</x:v>
      </x:c>
      <x:c r="I1923" s="14" t="n">
        <x:f>F1923/F1922-1</x:f>
        <x:v>0.003778907329338166</x:v>
      </x:c>
      <x:c r="J1923" s="12" t="n">
        <x:v>0</x:v>
      </x:c>
      <x:c r="K1923" s="12" t="n">
        <x:v>0</x:v>
      </x:c>
      <x:c r="L1923" s="12" t="n">
        <x:v>0</x:v>
      </x:c>
      <x:c r="M1923" s="2" t="str">
        <x:v>持有</x:v>
      </x:c>
    </x:row>
    <x:row r="1924" ht="23" customHeight="1">
      <x:c r="A1924" s="11" t="d">
        <x:v>2022-08-16T00:00:00.000Z</x:v>
      </x:c>
      <x:c r="B1924" s="12" t="n">
        <x:v>18703.258584</x:v>
      </x:c>
      <x:c r="C1924" s="13" t="n">
        <x:v>484</x:v>
      </x:c>
      <x:c r="D1924" s="12" t="n">
        <x:v>207974.8</x:v>
      </x:c>
      <x:c r="E1924" s="12" t="n">
        <x:v>0</x:v>
      </x:c>
      <x:c r="F1924" s="12" t="n">
        <x:f>SUM(B1924,D1924:E1924)</x:f>
        <x:v>226678.05858399998</x:v>
      </x:c>
      <x:c r="G1924" s="12" t="n">
        <x:f>MAX(G1923,F1924)</x:f>
        <x:v>248490.544664</x:v>
      </x:c>
      <x:c r="H1924" s="14" t="n">
        <x:f>F1924/G1924-1</x:f>
        <x:v>-0.08777994393909061</x:v>
      </x:c>
      <x:c r="I1924" s="14" t="n">
        <x:f>F1924/F1923-1</x:f>
        <x:v>0.001796779543796756</x:v>
      </x:c>
      <x:c r="J1924" s="12" t="n">
        <x:v>0</x:v>
      </x:c>
      <x:c r="K1924" s="12" t="n">
        <x:v>0</x:v>
      </x:c>
      <x:c r="L1924" s="12" t="n">
        <x:v>0</x:v>
      </x:c>
      <x:c r="M1924" s="2" t="str">
        <x:v>持有</x:v>
      </x:c>
    </x:row>
    <x:row r="1925" ht="23" customHeight="1">
      <x:c r="A1925" s="11" t="d">
        <x:v>2022-08-17T00:00:00.000Z</x:v>
      </x:c>
      <x:c r="B1925" s="12" t="n">
        <x:v>18703.258584</x:v>
      </x:c>
      <x:c r="C1925" s="13" t="n">
        <x:v>484</x:v>
      </x:c>
      <x:c r="D1925" s="12" t="n">
        <x:v>206498.59999999998</x:v>
      </x:c>
      <x:c r="E1925" s="12" t="n">
        <x:v>0</x:v>
      </x:c>
      <x:c r="F1925" s="12" t="n">
        <x:f>SUM(B1925,D1925:E1925)</x:f>
        <x:v>225201.85858399997</x:v>
      </x:c>
      <x:c r="G1925" s="12" t="n">
        <x:f>MAX(G1924,F1925)</x:f>
        <x:v>248490.544664</x:v>
      </x:c>
      <x:c r="H1925" s="14" t="n">
        <x:f>F1925/G1925-1</x:f>
        <x:v>-0.09372061263534248</x:v>
      </x:c>
      <x:c r="I1925" s="14" t="n">
        <x:f>F1925/F1924-1</x:f>
        <x:v>-0.0065123197596691496</x:v>
      </x:c>
      <x:c r="J1925" s="12" t="n">
        <x:v>0</x:v>
      </x:c>
      <x:c r="K1925" s="12" t="n">
        <x:v>0</x:v>
      </x:c>
      <x:c r="L1925" s="12" t="n">
        <x:v>0</x:v>
      </x:c>
      <x:c r="M1925" s="2" t="str">
        <x:v>持有</x:v>
      </x:c>
    </x:row>
    <x:row r="1926" ht="23" customHeight="1">
      <x:c r="A1926" s="11" t="d">
        <x:v>2022-08-18T00:00:00.000Z</x:v>
      </x:c>
      <x:c r="B1926" s="12" t="n">
        <x:v>18703.258584</x:v>
      </x:c>
      <x:c r="C1926" s="13" t="n">
        <x:v>484</x:v>
      </x:c>
      <x:c r="D1926" s="12" t="n">
        <x:v>207098.75999999998</x:v>
      </x:c>
      <x:c r="E1926" s="12" t="n">
        <x:v>0</x:v>
      </x:c>
      <x:c r="F1926" s="12" t="n">
        <x:f>SUM(B1926,D1926:E1926)</x:f>
        <x:v>225802.01858399998</x:v>
      </x:c>
      <x:c r="G1926" s="12" t="n">
        <x:f>MAX(G1925,F1926)</x:f>
        <x:v>248490.544664</x:v>
      </x:c>
      <x:c r="H1926" s="14" t="n">
        <x:f>F1926/G1926-1</x:f>
        <x:v>-0.0913053899522761</x:v>
      </x:c>
      <x:c r="I1926" s="14" t="n">
        <x:f>F1926/F1925-1</x:f>
        <x:v>0.002664986886758536</x:v>
      </x:c>
      <x:c r="J1926" s="12" t="n">
        <x:v>0</x:v>
      </x:c>
      <x:c r="K1926" s="12" t="n">
        <x:v>0</x:v>
      </x:c>
      <x:c r="L1926" s="12" t="n">
        <x:v>0</x:v>
      </x:c>
      <x:c r="M1926" s="2" t="str">
        <x:v>持有</x:v>
      </x:c>
    </x:row>
    <x:row r="1927" ht="23" customHeight="1">
      <x:c r="A1927" s="11" t="d">
        <x:v>2022-08-19T00:00:00.000Z</x:v>
      </x:c>
      <x:c r="B1927" s="12" t="n">
        <x:v>18703.258584</x:v>
      </x:c>
      <x:c r="C1927" s="13" t="n">
        <x:v>484</x:v>
      </x:c>
      <x:c r="D1927" s="12" t="n">
        <x:v>204315.75999999998</x:v>
      </x:c>
      <x:c r="E1927" s="12" t="n">
        <x:v>0</x:v>
      </x:c>
      <x:c r="F1927" s="12" t="n">
        <x:f>SUM(B1927,D1927:E1927)</x:f>
        <x:v>223019.01858399998</x:v>
      </x:c>
      <x:c r="G1927" s="12" t="n">
        <x:f>MAX(G1926,F1927)</x:f>
        <x:v>248490.544664</x:v>
      </x:c>
      <x:c r="H1927" s="14" t="n">
        <x:f>F1927/G1927-1</x:f>
        <x:v>-0.1025050112648821</x:v>
      </x:c>
      <x:c r="I1927" s="14" t="n">
        <x:f>F1927/F1926-1</x:f>
        <x:v>-0.01232495624907226</x:v>
      </x:c>
      <x:c r="J1927" s="12" t="n">
        <x:v>0</x:v>
      </x:c>
      <x:c r="K1927" s="12" t="n">
        <x:v>0</x:v>
      </x:c>
      <x:c r="L1927" s="12" t="n">
        <x:v>0</x:v>
      </x:c>
      <x:c r="M1927" s="2" t="str">
        <x:v>持有</x:v>
      </x:c>
    </x:row>
    <x:row r="1928" ht="23" customHeight="1">
      <x:c r="A1928" s="11" t="d">
        <x:v>2022-08-22T00:00:00.000Z</x:v>
      </x:c>
      <x:c r="B1928" s="12" t="n">
        <x:v>18703.258584</x:v>
      </x:c>
      <x:c r="C1928" s="13" t="n">
        <x:v>484</x:v>
      </x:c>
      <x:c r="D1928" s="12" t="n">
        <x:v>200061.40000000002</x:v>
      </x:c>
      <x:c r="E1928" s="12" t="n">
        <x:v>0</x:v>
      </x:c>
      <x:c r="F1928" s="12" t="n">
        <x:f>SUM(B1928,D1928:E1928)</x:f>
        <x:v>218764.65858400002</x:v>
      </x:c>
      <x:c r="G1928" s="12" t="n">
        <x:f>MAX(G1927,F1928)</x:f>
        <x:v>248490.544664</x:v>
      </x:c>
      <x:c r="H1928" s="14" t="n">
        <x:f>F1928/G1928-1</x:f>
        <x:v>-0.11962582367145702</x:v>
      </x:c>
      <x:c r="I1928" s="14" t="n">
        <x:f>F1928/F1927-1</x:f>
        <x:v>-0.019076220615676154</x:v>
      </x:c>
      <x:c r="J1928" s="12" t="n">
        <x:v>0</x:v>
      </x:c>
      <x:c r="K1928" s="12" t="n">
        <x:v>0</x:v>
      </x:c>
      <x:c r="L1928" s="12" t="n">
        <x:v>0</x:v>
      </x:c>
      <x:c r="M1928" s="2" t="str">
        <x:v>持有</x:v>
      </x:c>
    </x:row>
    <x:row r="1929" ht="23" customHeight="1">
      <x:c r="A1929" s="11" t="d">
        <x:v>2022-08-23T00:00:00.000Z</x:v>
      </x:c>
      <x:c r="B1929" s="12" t="n">
        <x:v>18703.258584</x:v>
      </x:c>
      <x:c r="C1929" s="13" t="n">
        <x:v>484</x:v>
      </x:c>
      <x:c r="D1929" s="12" t="n">
        <x:v>199577.40000000002</x:v>
      </x:c>
      <x:c r="E1929" s="12" t="n">
        <x:v>0</x:v>
      </x:c>
      <x:c r="F1929" s="12" t="n">
        <x:f>SUM(B1929,D1929:E1929)</x:f>
        <x:v>218280.65858400002</x:v>
      </x:c>
      <x:c r="G1929" s="12" t="n">
        <x:f>MAX(G1928,F1929)</x:f>
        <x:v>248490.544664</x:v>
      </x:c>
      <x:c r="H1929" s="14" t="n">
        <x:f>F1929/G1929-1</x:f>
        <x:v>-0.12157358389973627</x:v>
      </x:c>
      <x:c r="I1929" s="14" t="n">
        <x:f>F1929/F1928-1</x:f>
        <x:v>-0.002212423172612943</x:v>
      </x:c>
      <x:c r="J1929" s="12" t="n">
        <x:v>0</x:v>
      </x:c>
      <x:c r="K1929" s="12" t="n">
        <x:v>0</x:v>
      </x:c>
      <x:c r="L1929" s="12" t="n">
        <x:v>0</x:v>
      </x:c>
      <x:c r="M1929" s="2" t="str">
        <x:v>持有</x:v>
      </x:c>
    </x:row>
    <x:row r="1930" ht="23" customHeight="1">
      <x:c r="A1930" s="11" t="d">
        <x:v>2022-08-24T00:00:00.000Z</x:v>
      </x:c>
      <x:c r="B1930" s="12" t="n">
        <x:v>18703.258584</x:v>
      </x:c>
      <x:c r="C1930" s="13" t="n">
        <x:v>484</x:v>
      </x:c>
      <x:c r="D1930" s="12" t="n">
        <x:v>200216.28</x:v>
      </x:c>
      <x:c r="E1930" s="12" t="n">
        <x:v>0</x:v>
      </x:c>
      <x:c r="F1930" s="12" t="n">
        <x:f>SUM(B1930,D1930:E1930)</x:f>
        <x:v>218919.538584</x:v>
      </x:c>
      <x:c r="G1930" s="12" t="n">
        <x:f>MAX(G1929,F1930)</x:f>
        <x:v>248490.544664</x:v>
      </x:c>
      <x:c r="H1930" s="14" t="n">
        <x:f>F1930/G1930-1</x:f>
        <x:v>-0.11900254039840774</x:v>
      </x:c>
      <x:c r="I1930" s="14" t="n">
        <x:f>F1930/F1929-1</x:f>
        <x:v>0.002926874071868868</x:v>
      </x:c>
      <x:c r="J1930" s="12" t="n">
        <x:v>0</x:v>
      </x:c>
      <x:c r="K1930" s="12" t="n">
        <x:v>0</x:v>
      </x:c>
      <x:c r="L1930" s="12" t="n">
        <x:v>0</x:v>
      </x:c>
      <x:c r="M1930" s="2" t="str">
        <x:v>持有</x:v>
      </x:c>
    </x:row>
    <x:row r="1931" ht="23" customHeight="1">
      <x:c r="A1931" s="11" t="d">
        <x:v>2022-08-25T00:00:00.000Z</x:v>
      </x:c>
      <x:c r="B1931" s="12" t="n">
        <x:v>18703.258584</x:v>
      </x:c>
      <x:c r="C1931" s="13" t="n">
        <x:v>484</x:v>
      </x:c>
      <x:c r="D1931" s="12" t="n">
        <x:v>203042.84</x:v>
      </x:c>
      <x:c r="E1931" s="12" t="n">
        <x:v>0</x:v>
      </x:c>
      <x:c r="F1931" s="12" t="n">
        <x:f>SUM(B1931,D1931:E1931)</x:f>
        <x:v>221746.098584</x:v>
      </x:c>
      <x:c r="G1931" s="12" t="n">
        <x:f>MAX(G1930,F1931)</x:f>
        <x:v>248490.544664</x:v>
      </x:c>
      <x:c r="H1931" s="14" t="n">
        <x:f>F1931/G1931-1</x:f>
        <x:v>-0.10762762066525655</x:v>
      </x:c>
      <x:c r="I1931" s="14" t="n">
        <x:f>F1931/F1930-1</x:f>
        <x:v>0.012911410366943654</x:v>
      </x:c>
      <x:c r="J1931" s="12" t="n">
        <x:v>0</x:v>
      </x:c>
      <x:c r="K1931" s="12" t="n">
        <x:v>0</x:v>
      </x:c>
      <x:c r="L1931" s="12" t="n">
        <x:v>0</x:v>
      </x:c>
      <x:c r="M1931" s="2" t="str">
        <x:v>持有</x:v>
      </x:c>
    </x:row>
    <x:row r="1932" ht="23" customHeight="1">
      <x:c r="A1932" s="11" t="d">
        <x:v>2022-08-26T00:00:00.000Z</x:v>
      </x:c>
      <x:c r="B1932" s="12" t="n">
        <x:v>18703.258584</x:v>
      </x:c>
      <x:c r="C1932" s="13" t="n">
        <x:v>484</x:v>
      </x:c>
      <x:c r="D1932" s="12" t="n">
        <x:v>196170.04</x:v>
      </x:c>
      <x:c r="E1932" s="12" t="n">
        <x:v>0</x:v>
      </x:c>
      <x:c r="F1932" s="12" t="n">
        <x:f>SUM(B1932,D1932:E1932)</x:f>
        <x:v>214873.298584</x:v>
      </x:c>
      <x:c r="G1932" s="12" t="n">
        <x:f>MAX(G1931,F1932)</x:f>
        <x:v>248490.544664</x:v>
      </x:c>
      <x:c r="H1932" s="14" t="n">
        <x:f>F1932/G1932-1</x:f>
        <x:v>-0.13528581590682265</x:v>
      </x:c>
      <x:c r="I1932" s="14" t="n">
        <x:f>F1932/F1931-1</x:f>
        <x:v>-0.03099400640591876</x:v>
      </x:c>
      <x:c r="J1932" s="12" t="n">
        <x:v>0</x:v>
      </x:c>
      <x:c r="K1932" s="12" t="n">
        <x:v>0</x:v>
      </x:c>
      <x:c r="L1932" s="12" t="n">
        <x:v>0</x:v>
      </x:c>
      <x:c r="M1932" s="2" t="str">
        <x:v>持有</x:v>
      </x:c>
    </x:row>
    <x:row r="1933" ht="23" customHeight="1">
      <x:c r="A1933" s="11" t="d">
        <x:v>2022-08-29T00:00:00.000Z</x:v>
      </x:c>
      <x:c r="B1933" s="12" t="n">
        <x:v>18703.258584</x:v>
      </x:c>
      <x:c r="C1933" s="13" t="n">
        <x:v>484</x:v>
      </x:c>
      <x:c r="D1933" s="12" t="n">
        <x:v>194872.91999999998</x:v>
      </x:c>
      <x:c r="E1933" s="12" t="n">
        <x:v>0</x:v>
      </x:c>
      <x:c r="F1933" s="12" t="n">
        <x:f>SUM(B1933,D1933:E1933)</x:f>
        <x:v>213576.17858399998</x:v>
      </x:c>
      <x:c r="G1933" s="12" t="n">
        <x:f>MAX(G1932,F1933)</x:f>
        <x:v>248490.544664</x:v>
      </x:c>
      <x:c r="H1933" s="14" t="n">
        <x:f>F1933/G1933-1</x:f>
        <x:v>-0.14050581331861123</x:v>
      </x:c>
      <x:c r="I1933" s="14" t="n">
        <x:f>F1933/F1932-1</x:f>
        <x:v>-0.00603667374470418</x:v>
      </x:c>
      <x:c r="J1933" s="12" t="n">
        <x:v>0</x:v>
      </x:c>
      <x:c r="K1933" s="12" t="n">
        <x:v>0</x:v>
      </x:c>
      <x:c r="L1933" s="12" t="n">
        <x:v>0</x:v>
      </x:c>
      <x:c r="M1933" s="2" t="str">
        <x:v>持有</x:v>
      </x:c>
    </x:row>
    <x:row r="1934" ht="23" customHeight="1">
      <x:c r="A1934" s="11" t="d">
        <x:v>2022-08-30T00:00:00.000Z</x:v>
      </x:c>
      <x:c r="B1934" s="12" t="n">
        <x:v>18703.258584</x:v>
      </x:c>
      <x:c r="C1934" s="13" t="n">
        <x:v>484</x:v>
      </x:c>
      <x:c r="D1934" s="12" t="n">
        <x:v>192733.63999999998</x:v>
      </x:c>
      <x:c r="E1934" s="12" t="n">
        <x:v>0</x:v>
      </x:c>
      <x:c r="F1934" s="12" t="n">
        <x:f>SUM(B1934,D1934:E1934)</x:f>
        <x:v>211436.89858399998</x:v>
      </x:c>
      <x:c r="G1934" s="12" t="n">
        <x:f>MAX(G1933,F1934)</x:f>
        <x:v>248490.544664</x:v>
      </x:c>
      <x:c r="H1934" s="14" t="n">
        <x:f>F1934/G1934-1</x:f>
        <x:v>-0.14911491352760575</x:v>
      </x:c>
      <x:c r="I1934" s="14" t="n">
        <x:f>F1934/F1933-1</x:f>
        <x:v>-0.010016472877187543</x:v>
      </x:c>
      <x:c r="J1934" s="12" t="n">
        <x:v>0</x:v>
      </x:c>
      <x:c r="K1934" s="12" t="n">
        <x:v>0</x:v>
      </x:c>
      <x:c r="L1934" s="12" t="n">
        <x:v>0</x:v>
      </x:c>
      <x:c r="M1934" s="2" t="str">
        <x:v>持有</x:v>
      </x:c>
    </x:row>
    <x:row r="1935" ht="23" customHeight="1">
      <x:c r="A1935" s="11" t="d">
        <x:v>2022-08-31T00:00:00.000Z</x:v>
      </x:c>
      <x:c r="B1935" s="12" t="n">
        <x:v>18703.258584</x:v>
      </x:c>
      <x:c r="C1935" s="13" t="n">
        <x:v>484</x:v>
      </x:c>
      <x:c r="D1935" s="12" t="n">
        <x:v>191267.12</x:v>
      </x:c>
      <x:c r="E1935" s="12" t="n">
        <x:v>0</x:v>
      </x:c>
      <x:c r="F1935" s="12" t="n">
        <x:f>SUM(B1935,D1935:E1935)</x:f>
        <x:v>209970.378584</x:v>
      </x:c>
      <x:c r="G1935" s="12" t="n">
        <x:f>MAX(G1934,F1935)</x:f>
        <x:v>248490.544664</x:v>
      </x:c>
      <x:c r="H1935" s="14" t="n">
        <x:f>F1935/G1935-1</x:f>
        <x:v>-0.15501662701929197</x:v>
      </x:c>
      <x:c r="I1935" s="14" t="n">
        <x:f>F1935/F1934-1</x:f>
        <x:v>-0.006935970068712383</x:v>
      </x:c>
      <x:c r="J1935" s="12" t="n">
        <x:v>0</x:v>
      </x:c>
      <x:c r="K1935" s="12" t="n">
        <x:v>0</x:v>
      </x:c>
      <x:c r="L1935" s="12" t="n">
        <x:v>0</x:v>
      </x:c>
      <x:c r="M1935" s="2" t="str">
        <x:v>持有</x:v>
      </x:c>
    </x:row>
    <x:row r="1936" ht="23" customHeight="1">
      <x:c r="A1936" s="11" t="d">
        <x:v>2022-09-01T00:00:00.000Z</x:v>
      </x:c>
      <x:c r="B1936" s="12" t="n">
        <x:v>18703.258584</x:v>
      </x:c>
      <x:c r="C1936" s="13" t="n">
        <x:v>484</x:v>
      </x:c>
      <x:c r="D1936" s="12" t="n">
        <x:v>191867.28</x:v>
      </x:c>
      <x:c r="E1936" s="12" t="n">
        <x:v>0</x:v>
      </x:c>
      <x:c r="F1936" s="12" t="n">
        <x:f>SUM(B1936,D1936:E1936)</x:f>
        <x:v>210570.538584</x:v>
      </x:c>
      <x:c r="G1936" s="12" t="n">
        <x:f>MAX(G1935,F1936)</x:f>
        <x:v>248490.544664</x:v>
      </x:c>
      <x:c r="H1936" s="14" t="n">
        <x:f>F1936/G1936-1</x:f>
        <x:v>-0.1526014043362256</x:v>
      </x:c>
      <x:c r="I1936" s="14" t="n">
        <x:f>F1936/F1935-1</x:f>
        <x:v>0.0028583079387072274</x:v>
      </x:c>
      <x:c r="J1936" s="12" t="n">
        <x:v>0</x:v>
      </x:c>
      <x:c r="K1936" s="12" t="n">
        <x:v>0</x:v>
      </x:c>
      <x:c r="L1936" s="12" t="n">
        <x:v>0</x:v>
      </x:c>
      <x:c r="M1936" s="2" t="str">
        <x:v>持有</x:v>
      </x:c>
    </x:row>
    <x:row r="1937" ht="23" customHeight="1">
      <x:c r="A1937" s="11" t="d">
        <x:v>2022-09-02T00:00:00.000Z</x:v>
      </x:c>
      <x:c r="B1937" s="12" t="n">
        <x:v>18703.258584</x:v>
      </x:c>
      <x:c r="C1937" s="13" t="n">
        <x:v>484</x:v>
      </x:c>
      <x:c r="D1937" s="12" t="n">
        <x:v>189844.16</x:v>
      </x:c>
      <x:c r="E1937" s="12" t="n">
        <x:v>0</x:v>
      </x:c>
      <x:c r="F1937" s="12" t="n">
        <x:f>SUM(B1937,D1937:E1937)</x:f>
        <x:v>208547.418584</x:v>
      </x:c>
      <x:c r="G1937" s="12" t="n">
        <x:f>MAX(G1936,F1937)</x:f>
        <x:v>248490.544664</x:v>
      </x:c>
      <x:c r="H1937" s="14" t="n">
        <x:f>F1937/G1937-1</x:f>
        <x:v>-0.1607430420904331</x:v>
      </x:c>
      <x:c r="I1937" s="14" t="n">
        <x:f>F1937/F1936-1</x:f>
        <x:v>-0.009607801801736593</x:v>
      </x:c>
      <x:c r="J1937" s="12" t="n">
        <x:v>0</x:v>
      </x:c>
      <x:c r="K1937" s="12" t="n">
        <x:v>0</x:v>
      </x:c>
      <x:c r="L1937" s="12" t="n">
        <x:v>0</x:v>
      </x:c>
      <x:c r="M1937" s="2" t="str">
        <x:v>持有</x:v>
      </x:c>
    </x:row>
    <x:row r="1938" ht="23" customHeight="1">
      <x:c r="A1938" s="11" t="d">
        <x:v>2022-09-06T00:00:00.000Z</x:v>
      </x:c>
      <x:c r="B1938" s="12" t="n">
        <x:v>18703.258584</x:v>
      </x:c>
      <x:c r="C1938" s="13" t="n">
        <x:v>484</x:v>
      </x:c>
      <x:c r="D1938" s="12" t="n">
        <x:v>189127.84</x:v>
      </x:c>
      <x:c r="E1938" s="12" t="n">
        <x:v>0</x:v>
      </x:c>
      <x:c r="F1938" s="12" t="n">
        <x:f>SUM(B1938,D1938:E1938)</x:f>
        <x:v>207831.098584</x:v>
      </x:c>
      <x:c r="G1938" s="12" t="n">
        <x:f>MAX(G1937,F1938)</x:f>
        <x:v>248490.544664</x:v>
      </x:c>
      <x:c r="H1938" s="14" t="n">
        <x:f>F1938/G1938-1</x:f>
        <x:v>-0.1636257272282865</x:v>
      </x:c>
      <x:c r="I1938" s="14" t="n">
        <x:f>F1938/F1937-1</x:f>
        <x:v>-0.003434806361371834</x:v>
      </x:c>
      <x:c r="J1938" s="12" t="n">
        <x:v>0</x:v>
      </x:c>
      <x:c r="K1938" s="12" t="n">
        <x:v>0</x:v>
      </x:c>
      <x:c r="L1938" s="12" t="n">
        <x:v>0</x:v>
      </x:c>
      <x:c r="M1938" s="2" t="str">
        <x:v>持有</x:v>
      </x:c>
    </x:row>
    <x:row r="1939" ht="23" customHeight="1">
      <x:c r="A1939" s="11" t="d">
        <x:v>2022-09-07T00:00:00.000Z</x:v>
      </x:c>
      <x:c r="B1939" s="12" t="n">
        <x:v>18703.258584</x:v>
      </x:c>
      <x:c r="C1939" s="13" t="n">
        <x:v>484</x:v>
      </x:c>
      <x:c r="D1939" s="12" t="n">
        <x:v>192525.52</x:v>
      </x:c>
      <x:c r="E1939" s="12" t="n">
        <x:v>0</x:v>
      </x:c>
      <x:c r="F1939" s="12" t="n">
        <x:f>SUM(B1939,D1939:E1939)</x:f>
        <x:v>211228.77858399999</x:v>
      </x:c>
      <x:c r="G1939" s="12" t="n">
        <x:f>MAX(G1938,F1939)</x:f>
        <x:v>248490.544664</x:v>
      </x:c>
      <x:c r="H1939" s="14" t="n">
        <x:f>F1939/G1939-1</x:f>
        <x:v>-0.14995245042576577</x:v>
      </x:c>
      <x:c r="I1939" s="14" t="n">
        <x:f>F1939/F1938-1</x:f>
        <x:v>0.016348275225166686</x:v>
      </x:c>
      <x:c r="J1939" s="12" t="n">
        <x:v>0</x:v>
      </x:c>
      <x:c r="K1939" s="12" t="n">
        <x:v>0</x:v>
      </x:c>
      <x:c r="L1939" s="12" t="n">
        <x:v>0</x:v>
      </x:c>
      <x:c r="M1939" s="2" t="str">
        <x:v>持有</x:v>
      </x:c>
    </x:row>
    <x:row r="1940" ht="23" customHeight="1">
      <x:c r="A1940" s="11" t="d">
        <x:v>2022-09-08T00:00:00.000Z</x:v>
      </x:c>
      <x:c r="B1940" s="12" t="n">
        <x:v>18703.258584</x:v>
      </x:c>
      <x:c r="C1940" s="13" t="n">
        <x:v>484</x:v>
      </x:c>
      <x:c r="D1940" s="12" t="n">
        <x:v>193783.91999999998</x:v>
      </x:c>
      <x:c r="E1940" s="12" t="n">
        <x:v>0</x:v>
      </x:c>
      <x:c r="F1940" s="12" t="n">
        <x:f>SUM(B1940,D1940:E1940)</x:f>
        <x:v>212487.17858399998</x:v>
      </x:c>
      <x:c r="G1940" s="12" t="n">
        <x:f>MAX(G1939,F1940)</x:f>
        <x:v>248490.544664</x:v>
      </x:c>
      <x:c r="H1940" s="14" t="n">
        <x:f>F1940/G1940-1</x:f>
        <x:v>-0.14488827383223968</x:v>
      </x:c>
      <x:c r="I1940" s="14" t="n">
        <x:f>F1940/F1939-1</x:f>
        <x:v>0.005957521548132894</x:v>
      </x:c>
      <x:c r="J1940" s="12" t="n">
        <x:v>0</x:v>
      </x:c>
      <x:c r="K1940" s="12" t="n">
        <x:v>0</x:v>
      </x:c>
      <x:c r="L1940" s="12" t="n">
        <x:v>0</x:v>
      </x:c>
      <x:c r="M1940" s="2" t="str">
        <x:v>持有</x:v>
      </x:c>
    </x:row>
    <x:row r="1941" ht="23" customHeight="1">
      <x:c r="A1941" s="11" t="d">
        <x:v>2022-09-09T00:00:00.000Z</x:v>
      </x:c>
      <x:c r="B1941" s="12" t="n">
        <x:v>18703.258584</x:v>
      </x:c>
      <x:c r="C1941" s="13" t="n">
        <x:v>484</x:v>
      </x:c>
      <x:c r="D1941" s="12" t="n">
        <x:v>196794.40000000002</x:v>
      </x:c>
      <x:c r="E1941" s="12" t="n">
        <x:v>0</x:v>
      </x:c>
      <x:c r="F1941" s="12" t="n">
        <x:f>SUM(B1941,D1941:E1941)</x:f>
        <x:v>215497.65858400002</x:v>
      </x:c>
      <x:c r="G1941" s="12" t="n">
        <x:f>MAX(G1940,F1941)</x:f>
        <x:v>248490.544664</x:v>
      </x:c>
      <x:c r="H1941" s="14" t="n">
        <x:f>F1941/G1941-1</x:f>
        <x:v>-0.13277320521234226</x:v>
      </x:c>
      <x:c r="I1941" s="14" t="n">
        <x:f>F1941/F1940-1</x:f>
        <x:v>0.014167819536508919</x:v>
      </x:c>
      <x:c r="J1941" s="12" t="n">
        <x:v>0</x:v>
      </x:c>
      <x:c r="K1941" s="12" t="n">
        <x:v>0</x:v>
      </x:c>
      <x:c r="L1941" s="12" t="n">
        <x:v>0</x:v>
      </x:c>
      <x:c r="M1941" s="2" t="str">
        <x:v>持有</x:v>
      </x:c>
    </x:row>
    <x:row r="1942" ht="23" customHeight="1">
      <x:c r="A1942" s="11" t="d">
        <x:v>2022-09-12T00:00:00.000Z</x:v>
      </x:c>
      <x:c r="B1942" s="12" t="n">
        <x:v>18703.258584</x:v>
      </x:c>
      <x:c r="C1942" s="13" t="n">
        <x:v>484</x:v>
      </x:c>
      <x:c r="D1942" s="12" t="n">
        <x:v>198909.48</x:v>
      </x:c>
      <x:c r="E1942" s="12" t="n">
        <x:v>0</x:v>
      </x:c>
      <x:c r="F1942" s="12" t="n">
        <x:f>SUM(B1942,D1942:E1942)</x:f>
        <x:v>217612.738584</x:v>
      </x:c>
      <x:c r="G1942" s="12" t="n">
        <x:f>MAX(G1941,F1942)</x:f>
        <x:v>248490.544664</x:v>
      </x:c>
      <x:c r="H1942" s="14" t="n">
        <x:f>F1942/G1942-1</x:f>
        <x:v>-0.12426149301476175</x:v>
      </x:c>
      <x:c r="I1942" s="14" t="n">
        <x:f>F1942/F1941-1</x:f>
        <x:v>0.009814863019384168</x:v>
      </x:c>
      <x:c r="J1942" s="12" t="n">
        <x:v>0</x:v>
      </x:c>
      <x:c r="K1942" s="12" t="n">
        <x:v>0</x:v>
      </x:c>
      <x:c r="L1942" s="12" t="n">
        <x:v>0</x:v>
      </x:c>
      <x:c r="M1942" s="2" t="str">
        <x:v>持有</x:v>
      </x:c>
    </x:row>
    <x:row r="1943" ht="23" customHeight="1">
      <x:c r="A1943" s="11" t="d">
        <x:v>2022-09-13T00:00:00.000Z</x:v>
      </x:c>
      <x:c r="B1943" s="12" t="n">
        <x:v>18703.258584</x:v>
      </x:c>
      <x:c r="C1943" s="13" t="n">
        <x:v>484</x:v>
      </x:c>
      <x:c r="D1943" s="12" t="n">
        <x:v>190260.40000000002</x:v>
      </x:c>
      <x:c r="E1943" s="12" t="n">
        <x:v>0</x:v>
      </x:c>
      <x:c r="F1943" s="12" t="n">
        <x:f>SUM(B1943,D1943:E1943)</x:f>
        <x:v>208963.65858400002</x:v>
      </x:c>
      <x:c r="G1943" s="12" t="n">
        <x:f>MAX(G1942,F1943)</x:f>
        <x:v>248490.544664</x:v>
      </x:c>
      <x:c r="H1943" s="14" t="n">
        <x:f>F1943/G1943-1</x:f>
        <x:v>-0.15906796829411274</x:v>
      </x:c>
      <x:c r="I1943" s="14" t="n">
        <x:f>F1943/F1942-1</x:f>
        <x:v>-0.03974528355407547</x:v>
      </x:c>
      <x:c r="J1943" s="12" t="n">
        <x:v>0</x:v>
      </x:c>
      <x:c r="K1943" s="12" t="n">
        <x:v>0</x:v>
      </x:c>
      <x:c r="L1943" s="12" t="n">
        <x:v>0</x:v>
      </x:c>
      <x:c r="M1943" s="2" t="str">
        <x:v>持有</x:v>
      </x:c>
    </x:row>
    <x:row r="1944" ht="23" customHeight="1">
      <x:c r="A1944" s="11" t="d">
        <x:v>2022-09-14T00:00:00.000Z</x:v>
      </x:c>
      <x:c r="B1944" s="12" t="n">
        <x:v>18703.258584</x:v>
      </x:c>
      <x:c r="C1944" s="13" t="n">
        <x:v>484</x:v>
      </x:c>
      <x:c r="D1944" s="12" t="n">
        <x:v>190986.40000000002</x:v>
      </x:c>
      <x:c r="E1944" s="12" t="n">
        <x:v>0</x:v>
      </x:c>
      <x:c r="F1944" s="12" t="n">
        <x:f>SUM(B1944,D1944:E1944)</x:f>
        <x:v>209689.65858400002</x:v>
      </x:c>
      <x:c r="G1944" s="12" t="n">
        <x:f>MAX(G1943,F1944)</x:f>
        <x:v>248490.544664</x:v>
      </x:c>
      <x:c r="H1944" s="14" t="n">
        <x:f>F1944/G1944-1</x:f>
        <x:v>-0.1561463279516938</x:v>
      </x:c>
      <x:c r="I1944" s="14" t="n">
        <x:f>F1944/F1943-1</x:f>
        <x:v>0.0034742883280260983</x:v>
      </x:c>
      <x:c r="J1944" s="12" t="n">
        <x:v>0</x:v>
      </x:c>
      <x:c r="K1944" s="12" t="n">
        <x:v>0</x:v>
      </x:c>
      <x:c r="L1944" s="12" t="n">
        <x:v>0</x:v>
      </x:c>
      <x:c r="M1944" s="2" t="str">
        <x:v>持有</x:v>
      </x:c>
    </x:row>
    <x:row r="1945" ht="23" customHeight="1">
      <x:c r="A1945" s="11" t="d">
        <x:v>2022-09-15T00:00:00.000Z</x:v>
      </x:c>
      <x:c r="B1945" s="12" t="n">
        <x:v>18703.258584</x:v>
      </x:c>
      <x:c r="C1945" s="13" t="n">
        <x:v>484</x:v>
      </x:c>
      <x:c r="D1945" s="12" t="n">
        <x:v>188818.08000000002</x:v>
      </x:c>
      <x:c r="E1945" s="12" t="n">
        <x:v>0</x:v>
      </x:c>
      <x:c r="F1945" s="12" t="n">
        <x:f>SUM(B1945,D1945:E1945)</x:f>
        <x:v>207521.338584</x:v>
      </x:c>
      <x:c r="G1945" s="12" t="n">
        <x:f>MAX(G1944,F1945)</x:f>
        <x:v>248490.544664</x:v>
      </x:c>
      <x:c r="H1945" s="14" t="n">
        <x:f>F1945/G1945-1</x:f>
        <x:v>-0.16487229377438517</x:v>
      </x:c>
      <x:c r="I1945" s="14" t="n">
        <x:f>F1945/F1944-1</x:f>
        <x:v>-0.010340614862184072</x:v>
      </x:c>
      <x:c r="J1945" s="12" t="n">
        <x:v>0</x:v>
      </x:c>
      <x:c r="K1945" s="12" t="n">
        <x:v>0</x:v>
      </x:c>
      <x:c r="L1945" s="12" t="n">
        <x:v>0</x:v>
      </x:c>
      <x:c r="M1945" s="2" t="str">
        <x:v>持有</x:v>
      </x:c>
    </x:row>
    <x:row r="1946" ht="23" customHeight="1">
      <x:c r="A1946" s="11" t="d">
        <x:v>2022-09-16T00:00:00.000Z</x:v>
      </x:c>
      <x:c r="B1946" s="12" t="n">
        <x:v>18703.258584</x:v>
      </x:c>
      <x:c r="C1946" s="13" t="n">
        <x:v>484</x:v>
      </x:c>
      <x:c r="D1946" s="12" t="n">
        <x:v>186611.04</x:v>
      </x:c>
      <x:c r="E1946" s="12" t="n">
        <x:v>772.656632</x:v>
      </x:c>
      <x:c r="F1946" s="12" t="n">
        <x:f>SUM(B1946,D1946:E1946)</x:f>
        <x:v>206086.955216</x:v>
      </x:c>
      <x:c r="G1946" s="12" t="n">
        <x:f>MAX(G1945,F1946)</x:f>
        <x:v>248490.544664</x:v>
      </x:c>
      <x:c r="H1946" s="14" t="n">
        <x:f>F1946/G1946-1</x:f>
        <x:v>-0.17064467988243415</x:v>
      </x:c>
      <x:c r="I1946" s="14" t="n">
        <x:f>F1946/F1945-1</x:f>
        <x:v>-0.006911980125934858</x:v>
      </x:c>
      <x:c r="J1946" s="12" t="n">
        <x:v>772.656632</x:v>
      </x:c>
      <x:c r="K1946" s="12" t="n">
        <x:v>0</x:v>
      </x:c>
      <x:c r="L1946" s="12" t="n">
        <x:v>0</x:v>
      </x:c>
      <x:c r="M1946" s="2" t="str">
        <x:v>持有</x:v>
      </x:c>
    </x:row>
    <x:row r="1947" ht="23" customHeight="1">
      <x:c r="A1947" s="11" t="d">
        <x:v>2022-09-19T00:00:00.000Z</x:v>
      </x:c>
      <x:c r="B1947" s="12" t="n">
        <x:v>18703.258584</x:v>
      </x:c>
      <x:c r="C1947" s="13" t="n">
        <x:v>484</x:v>
      </x:c>
      <x:c r="D1947" s="12" t="n">
        <x:v>188058.2</x:v>
      </x:c>
      <x:c r="E1947" s="12" t="n">
        <x:v>772.656632</x:v>
      </x:c>
      <x:c r="F1947" s="12" t="n">
        <x:f>SUM(B1947,D1947:E1947)</x:f>
        <x:v>207534.115216</x:v>
      </x:c>
      <x:c r="G1947" s="12" t="n">
        <x:f>MAX(G1946,F1947)</x:f>
        <x:v>248490.544664</x:v>
      </x:c>
      <x:c r="H1947" s="14" t="n">
        <x:f>F1947/G1947-1</x:f>
        <x:v>-0.164820876799879</x:v>
      </x:c>
      <x:c r="I1947" s="14" t="n">
        <x:f>F1947/F1946-1</x:f>
        <x:v>0.007022084432676712</x:v>
      </x:c>
      <x:c r="J1947" s="12" t="n">
        <x:v>0</x:v>
      </x:c>
      <x:c r="K1947" s="12" t="n">
        <x:v>0</x:v>
      </x:c>
      <x:c r="L1947" s="12" t="n">
        <x:v>0</x:v>
      </x:c>
      <x:c r="M1947" s="2" t="str">
        <x:v>持有</x:v>
      </x:c>
    </x:row>
    <x:row r="1948" ht="23" customHeight="1">
      <x:c r="A1948" s="11" t="d">
        <x:v>2022-09-20T00:00:00.000Z</x:v>
      </x:c>
      <x:c r="B1948" s="12" t="n">
        <x:v>18703.258584</x:v>
      </x:c>
      <x:c r="C1948" s="13" t="n">
        <x:v>484</x:v>
      </x:c>
      <x:c r="D1948" s="12" t="n">
        <x:v>185899.56</x:v>
      </x:c>
      <x:c r="E1948" s="12" t="n">
        <x:v>772.656632</x:v>
      </x:c>
      <x:c r="F1948" s="12" t="n">
        <x:f>SUM(B1948,D1948:E1948)</x:f>
        <x:v>205375.475216</x:v>
      </x:c>
      <x:c r="G1948" s="12" t="n">
        <x:f>MAX(G1947,F1948)</x:f>
        <x:v>248490.544664</x:v>
      </x:c>
      <x:c r="H1948" s="14" t="n">
        <x:f>F1948/G1948-1</x:f>
        <x:v>-0.1735078874180047</x:v>
      </x:c>
      <x:c r="I1948" s="14" t="n">
        <x:f>F1948/F1947-1</x:f>
        <x:v>-0.010401374240342709</x:v>
      </x:c>
      <x:c r="J1948" s="12" t="n">
        <x:v>0</x:v>
      </x:c>
      <x:c r="K1948" s="12" t="n">
        <x:v>0</x:v>
      </x:c>
      <x:c r="L1948" s="12" t="n">
        <x:v>0</x:v>
      </x:c>
      <x:c r="M1948" s="2" t="str">
        <x:v>持有</x:v>
      </x:c>
    </x:row>
    <x:row r="1949" ht="23" customHeight="1">
      <x:c r="A1949" s="11" t="d">
        <x:v>2022-09-21T00:00:00.000Z</x:v>
      </x:c>
      <x:c r="B1949" s="12" t="n">
        <x:v>18703.258584</x:v>
      </x:c>
      <x:c r="C1949" s="13" t="n">
        <x:v>484</x:v>
      </x:c>
      <x:c r="D1949" s="12" t="n">
        <x:v>182656.75999999998</x:v>
      </x:c>
      <x:c r="E1949" s="12" t="n">
        <x:v>772.656632</x:v>
      </x:c>
      <x:c r="F1949" s="12" t="n">
        <x:f>SUM(B1949,D1949:E1949)</x:f>
        <x:v>202132.67521599997</x:v>
      </x:c>
      <x:c r="G1949" s="12" t="n">
        <x:f>MAX(G1948,F1949)</x:f>
        <x:v>248490.544664</x:v>
      </x:c>
      <x:c r="H1949" s="14" t="n">
        <x:f>F1949/G1949-1</x:f>
        <x:v>-0.18655788094747616</x:v>
      </x:c>
      <x:c r="I1949" s="14" t="n">
        <x:f>F1949/F1948-1</x:f>
        <x:v>-0.015789616538145368</x:v>
      </x:c>
      <x:c r="J1949" s="12" t="n">
        <x:v>0</x:v>
      </x:c>
      <x:c r="K1949" s="12" t="n">
        <x:v>0</x:v>
      </x:c>
      <x:c r="L1949" s="12" t="n">
        <x:v>0</x:v>
      </x:c>
      <x:c r="M1949" s="2" t="str">
        <x:v>持有</x:v>
      </x:c>
    </x:row>
    <x:row r="1950" ht="23" customHeight="1">
      <x:c r="A1950" s="11" t="d">
        <x:v>2022-09-22T00:00:00.000Z</x:v>
      </x:c>
      <x:c r="B1950" s="12" t="n">
        <x:v>18703.258584</x:v>
      </x:c>
      <x:c r="C1950" s="13" t="n">
        <x:v>484</x:v>
      </x:c>
      <x:c r="D1950" s="12" t="n">
        <x:v>181122.48</x:v>
      </x:c>
      <x:c r="E1950" s="12" t="n">
        <x:v>772.656632</x:v>
      </x:c>
      <x:c r="F1950" s="12" t="n">
        <x:f>SUM(B1950,D1950:E1950)</x:f>
        <x:v>200598.395216</x:v>
      </x:c>
      <x:c r="G1950" s="12" t="n">
        <x:f>MAX(G1949,F1950)</x:f>
        <x:v>248490.544664</x:v>
      </x:c>
      <x:c r="H1950" s="14" t="n">
        <x:f>F1950/G1950-1</x:f>
        <x:v>-0.19273228087112138</x:v>
      </x:c>
      <x:c r="I1950" s="14" t="n">
        <x:f>F1950/F1949-1</x:f>
        <x:v>-0.0075904600696569124</x:v>
      </x:c>
      <x:c r="J1950" s="12" t="n">
        <x:v>0</x:v>
      </x:c>
      <x:c r="K1950" s="12" t="n">
        <x:v>0</x:v>
      </x:c>
      <x:c r="L1950" s="12" t="n">
        <x:v>0</x:v>
      </x:c>
      <x:c r="M1950" s="2" t="str">
        <x:v>持有</x:v>
      </x:c>
    </x:row>
    <x:row r="1951" ht="23" customHeight="1">
      <x:c r="A1951" s="11" t="d">
        <x:v>2022-09-23T00:00:00.000Z</x:v>
      </x:c>
      <x:c r="B1951" s="12" t="n">
        <x:v>18703.258584</x:v>
      </x:c>
      <x:c r="C1951" s="13" t="n">
        <x:v>484</x:v>
      </x:c>
      <x:c r="D1951" s="12" t="n">
        <x:v>178087.8</x:v>
      </x:c>
      <x:c r="E1951" s="12" t="n">
        <x:v>772.656632</x:v>
      </x:c>
      <x:c r="F1951" s="12" t="n">
        <x:f>SUM(B1951,D1951:E1951)</x:f>
        <x:v>197563.71521599998</x:v>
      </x:c>
      <x:c r="G1951" s="12" t="n">
        <x:f>MAX(G1950,F1951)</x:f>
        <x:v>248490.544664</x:v>
      </x:c>
      <x:c r="H1951" s="14" t="n">
        <x:f>F1951/G1951-1</x:f>
        <x:v>-0.2049447375024327</x:v>
      </x:c>
      <x:c r="I1951" s="14" t="n">
        <x:f>F1951/F1950-1</x:f>
        <x:v>-0.01512813697603288</x:v>
      </x:c>
      <x:c r="J1951" s="12" t="n">
        <x:v>0</x:v>
      </x:c>
      <x:c r="K1951" s="12" t="n">
        <x:v>0</x:v>
      </x:c>
      <x:c r="L1951" s="12" t="n">
        <x:v>0</x:v>
      </x:c>
      <x:c r="M1951" s="2" t="str">
        <x:v>持有</x:v>
      </x:c>
    </x:row>
    <x:row r="1952" ht="23" customHeight="1">
      <x:c r="A1952" s="11" t="d">
        <x:v>2022-09-26T00:00:00.000Z</x:v>
      </x:c>
      <x:c r="B1952" s="12" t="n">
        <x:v>18703.258584</x:v>
      </x:c>
      <x:c r="C1952" s="13" t="n">
        <x:v>484</x:v>
      </x:c>
      <x:c r="D1952" s="12" t="n">
        <x:v>176326.04</x:v>
      </x:c>
      <x:c r="E1952" s="12" t="n">
        <x:v>772.656632</x:v>
      </x:c>
      <x:c r="F1952" s="12" t="n">
        <x:f>SUM(B1952,D1952:E1952)</x:f>
        <x:v>195801.955216</x:v>
      </x:c>
      <x:c r="G1952" s="12" t="n">
        <x:f>MAX(G1951,F1952)</x:f>
        <x:v>248490.544664</x:v>
      </x:c>
      <x:c r="H1952" s="14" t="n">
        <x:f>F1952/G1952-1</x:f>
        <x:v>-0.21203458473336922</x:v>
      </x:c>
      <x:c r="I1952" s="14" t="n">
        <x:f>F1952/F1951-1</x:f>
        <x:v>-0.008917426958051533</x:v>
      </x:c>
      <x:c r="J1952" s="12" t="n">
        <x:v>0</x:v>
      </x:c>
      <x:c r="K1952" s="12" t="n">
        <x:v>0</x:v>
      </x:c>
      <x:c r="L1952" s="12" t="n">
        <x:v>0</x:v>
      </x:c>
      <x:c r="M1952" s="2" t="str">
        <x:v>持有</x:v>
      </x:c>
    </x:row>
    <x:row r="1953" ht="23" customHeight="1">
      <x:c r="A1953" s="11" t="d">
        <x:v>2022-09-27T00:00:00.000Z</x:v>
      </x:c>
      <x:c r="B1953" s="12" t="n">
        <x:v>18703.258584</x:v>
      </x:c>
      <x:c r="C1953" s="13" t="n">
        <x:v>484</x:v>
      </x:c>
      <x:c r="D1953" s="12" t="n">
        <x:v>175875.91999999998</x:v>
      </x:c>
      <x:c r="E1953" s="12" t="n">
        <x:v>772.656632</x:v>
      </x:c>
      <x:c r="F1953" s="12" t="n">
        <x:f>SUM(B1953,D1953:E1953)</x:f>
        <x:v>195351.83521599998</x:v>
      </x:c>
      <x:c r="G1953" s="12" t="n">
        <x:f>MAX(G1952,F1953)</x:f>
        <x:v>248490.544664</x:v>
      </x:c>
      <x:c r="H1953" s="14" t="n">
        <x:f>F1953/G1953-1</x:f>
        <x:v>-0.21384600174566915</x:v>
      </x:c>
      <x:c r="I1953" s="14" t="n">
        <x:f>F1953/F1952-1</x:f>
        <x:v>-0.002298853448646443</x:v>
      </x:c>
      <x:c r="J1953" s="12" t="n">
        <x:v>0</x:v>
      </x:c>
      <x:c r="K1953" s="12" t="n">
        <x:v>0</x:v>
      </x:c>
      <x:c r="L1953" s="12" t="n">
        <x:v>0</x:v>
      </x:c>
      <x:c r="M1953" s="2" t="str">
        <x:v>持有</x:v>
      </x:c>
    </x:row>
    <x:row r="1954" ht="23" customHeight="1">
      <x:c r="A1954" s="11" t="d">
        <x:v>2022-09-28T00:00:00.000Z</x:v>
      </x:c>
      <x:c r="B1954" s="12" t="n">
        <x:v>18703.258584</x:v>
      </x:c>
      <x:c r="C1954" s="13" t="n">
        <x:v>484</x:v>
      </x:c>
      <x:c r="D1954" s="12" t="n">
        <x:v>179336.52</x:v>
      </x:c>
      <x:c r="E1954" s="12" t="n">
        <x:v>772.656632</x:v>
      </x:c>
      <x:c r="F1954" s="12" t="n">
        <x:f>SUM(B1954,D1954:E1954)</x:f>
        <x:v>198812.43521599998</x:v>
      </x:c>
      <x:c r="G1954" s="12" t="n">
        <x:f>MAX(G1953,F1954)</x:f>
        <x:v>248490.544664</x:v>
      </x:c>
      <x:c r="H1954" s="14" t="n">
        <x:f>F1954/G1954-1</x:f>
        <x:v>-0.19991951611347214</x:v>
      </x:c>
      <x:c r="I1954" s="14" t="n">
        <x:f>F1954/F1953-1</x:f>
        <x:v>0.017714704323988695</x:v>
      </x:c>
      <x:c r="J1954" s="12" t="n">
        <x:v>0</x:v>
      </x:c>
      <x:c r="K1954" s="12" t="n">
        <x:v>0</x:v>
      </x:c>
      <x:c r="L1954" s="12" t="n">
        <x:v>0</x:v>
      </x:c>
      <x:c r="M1954" s="2" t="str">
        <x:v>持有</x:v>
      </x:c>
    </x:row>
    <x:row r="1955" ht="23" customHeight="1">
      <x:c r="A1955" s="11" t="d">
        <x:v>2022-09-29T00:00:00.000Z</x:v>
      </x:c>
      <x:c r="B1955" s="12" t="n">
        <x:v>18703.258584</x:v>
      </x:c>
      <x:c r="C1955" s="13" t="n">
        <x:v>484</x:v>
      </x:c>
      <x:c r="D1955" s="12" t="n">
        <x:v>175590.36000000002</x:v>
      </x:c>
      <x:c r="E1955" s="12" t="n">
        <x:v>772.656632</x:v>
      </x:c>
      <x:c r="F1955" s="12" t="n">
        <x:f>SUM(B1955,D1955:E1955)</x:f>
        <x:v>195066.275216</x:v>
      </x:c>
      <x:c r="G1955" s="12" t="n">
        <x:f>MAX(G1954,F1955)</x:f>
        <x:v>248490.544664</x:v>
      </x:c>
      <x:c r="H1955" s="14" t="n">
        <x:f>F1955/G1955-1</x:f>
        <x:v>-0.2149951802803538</x:v>
      </x:c>
      <x:c r="I1955" s="14" t="n">
        <x:f>F1955/F1954-1</x:f>
        <x:v>-0.018842684542996313</x:v>
      </x:c>
      <x:c r="J1955" s="12" t="n">
        <x:v>0</x:v>
      </x:c>
      <x:c r="K1955" s="12" t="n">
        <x:v>0</x:v>
      </x:c>
      <x:c r="L1955" s="12" t="n">
        <x:v>0</x:v>
      </x:c>
      <x:c r="M1955" s="2" t="str">
        <x:v>持有</x:v>
      </x:c>
    </x:row>
    <x:row r="1956" ht="23" customHeight="1">
      <x:c r="A1956" s="11" t="d">
        <x:v>2022-09-30T00:00:00.000Z</x:v>
      </x:c>
      <x:c r="B1956" s="12" t="n">
        <x:v>18703.258584</x:v>
      </x:c>
      <x:c r="C1956" s="13" t="n">
        <x:v>484</x:v>
      </x:c>
      <x:c r="D1956" s="12" t="n">
        <x:v>172875.12</x:v>
      </x:c>
      <x:c r="E1956" s="12" t="n">
        <x:v>772.656632</x:v>
      </x:c>
      <x:c r="F1956" s="12" t="n">
        <x:f>SUM(B1956,D1956:E1956)</x:f>
        <x:v>192351.035216</x:v>
      </x:c>
      <x:c r="G1956" s="12" t="n">
        <x:f>MAX(G1955,F1956)</x:f>
        <x:v>248490.544664</x:v>
      </x:c>
      <x:c r="H1956" s="14" t="n">
        <x:f>F1956/G1956-1</x:f>
        <x:v>-0.2259221151610007</x:v>
      </x:c>
      <x:c r="I1956" s="14" t="n">
        <x:f>F1956/F1955-1</x:f>
        <x:v>-0.013919576805336509</x:v>
      </x:c>
      <x:c r="J1956" s="12" t="n">
        <x:v>0</x:v>
      </x:c>
      <x:c r="K1956" s="12" t="n">
        <x:v>0</x:v>
      </x:c>
      <x:c r="L1956" s="12" t="n">
        <x:v>0</x:v>
      </x:c>
      <x:c r="M1956" s="2" t="str">
        <x:v>持有</x:v>
      </x:c>
    </x:row>
    <x:row r="1957" ht="23" customHeight="1">
      <x:c r="A1957" s="11" t="d">
        <x:v>2022-10-03T00:00:00.000Z</x:v>
      </x:c>
      <x:c r="B1957" s="12" t="n">
        <x:v>18703.258584</x:v>
      </x:c>
      <x:c r="C1957" s="13" t="n">
        <x:v>484</x:v>
      </x:c>
      <x:c r="D1957" s="12" t="n">
        <x:v>177439.24000000002</x:v>
      </x:c>
      <x:c r="E1957" s="12" t="n">
        <x:v>772.656632</x:v>
      </x:c>
      <x:c r="F1957" s="12" t="n">
        <x:f>SUM(B1957,D1957:E1957)</x:f>
        <x:v>196915.155216</x:v>
      </x:c>
      <x:c r="G1957" s="12" t="n">
        <x:f>MAX(G1956,F1957)</x:f>
        <x:v>248490.544664</x:v>
      </x:c>
      <x:c r="H1957" s="14" t="n">
        <x:f>F1957/G1957-1</x:f>
        <x:v>-0.20755473620832687</x:v>
      </x:c>
      <x:c r="I1957" s="14" t="n">
        <x:f>F1957/F1956-1</x:f>
        <x:v>0.023728076092103034</x:v>
      </x:c>
      <x:c r="J1957" s="12" t="n">
        <x:v>0</x:v>
      </x:c>
      <x:c r="K1957" s="12" t="n">
        <x:v>0</x:v>
      </x:c>
      <x:c r="L1957" s="12" t="n">
        <x:v>0</x:v>
      </x:c>
      <x:c r="M1957" s="2" t="str">
        <x:v>持有</x:v>
      </x:c>
    </x:row>
    <x:row r="1958" ht="23" customHeight="1">
      <x:c r="A1958" s="11" t="d">
        <x:v>2022-10-04T00:00:00.000Z</x:v>
      </x:c>
      <x:c r="B1958" s="12" t="n">
        <x:v>18703.258584</x:v>
      </x:c>
      <x:c r="C1958" s="13" t="n">
        <x:v>484</x:v>
      </x:c>
      <x:c r="D1958" s="12" t="n">
        <x:v>182937.48</x:v>
      </x:c>
      <x:c r="E1958" s="12" t="n">
        <x:v>772.656632</x:v>
      </x:c>
      <x:c r="F1958" s="12" t="n">
        <x:f>SUM(B1958,D1958:E1958)</x:f>
        <x:v>202413.395216</x:v>
      </x:c>
      <x:c r="G1958" s="12" t="n">
        <x:f>MAX(G1957,F1958)</x:f>
        <x:v>248490.544664</x:v>
      </x:c>
      <x:c r="H1958" s="14" t="n">
        <x:f>F1958/G1958-1</x:f>
        <x:v>-0.185428180015074</x:v>
      </x:c>
      <x:c r="I1958" s="14" t="n">
        <x:f>F1958/F1957-1</x:f>
        <x:v>0.027921873224886484</x:v>
      </x:c>
      <x:c r="J1958" s="12" t="n">
        <x:v>0</x:v>
      </x:c>
      <x:c r="K1958" s="12" t="n">
        <x:v>0</x:v>
      </x:c>
      <x:c r="L1958" s="12" t="n">
        <x:v>0</x:v>
      </x:c>
      <x:c r="M1958" s="2" t="str">
        <x:v>持有</x:v>
      </x:c>
    </x:row>
    <x:row r="1959" ht="23" customHeight="1">
      <x:c r="A1959" s="11" t="d">
        <x:v>2022-10-05T00:00:00.000Z</x:v>
      </x:c>
      <x:c r="B1959" s="12" t="n">
        <x:v>18703.258584</x:v>
      </x:c>
      <x:c r="C1959" s="13" t="n">
        <x:v>484</x:v>
      </x:c>
      <x:c r="D1959" s="12" t="n">
        <x:v>182511.56</x:v>
      </x:c>
      <x:c r="E1959" s="12" t="n">
        <x:v>772.656632</x:v>
      </x:c>
      <x:c r="F1959" s="12" t="n">
        <x:f>SUM(B1959,D1959:E1959)</x:f>
        <x:v>201987.475216</x:v>
      </x:c>
      <x:c r="G1959" s="12" t="n">
        <x:f>MAX(G1958,F1959)</x:f>
        <x:v>248490.544664</x:v>
      </x:c>
      <x:c r="H1959" s="14" t="n">
        <x:f>F1959/G1959-1</x:f>
        <x:v>-0.1871422090159599</x:v>
      </x:c>
      <x:c r="I1959" s="14" t="n">
        <x:f>F1959/F1958-1</x:f>
        <x:v>-0.00210420856557203</x:v>
      </x:c>
      <x:c r="J1959" s="12" t="n">
        <x:v>0</x:v>
      </x:c>
      <x:c r="K1959" s="12" t="n">
        <x:v>0</x:v>
      </x:c>
      <x:c r="L1959" s="12" t="n">
        <x:v>0</x:v>
      </x:c>
      <x:c r="M1959" s="2" t="str">
        <x:v>持有</x:v>
      </x:c>
    </x:row>
    <x:row r="1960" ht="23" customHeight="1">
      <x:c r="A1960" s="11" t="d">
        <x:v>2022-10-06T00:00:00.000Z</x:v>
      </x:c>
      <x:c r="B1960" s="12" t="n">
        <x:v>18703.258584</x:v>
      </x:c>
      <x:c r="C1960" s="13" t="n">
        <x:v>484</x:v>
      </x:c>
      <x:c r="D1960" s="12" t="n">
        <x:v>180628.8</x:v>
      </x:c>
      <x:c r="E1960" s="12" t="n">
        <x:v>772.656632</x:v>
      </x:c>
      <x:c r="F1960" s="12" t="n">
        <x:f>SUM(B1960,D1960:E1960)</x:f>
        <x:v>200104.71521599998</x:v>
      </x:c>
      <x:c r="G1960" s="12" t="n">
        <x:f>MAX(G1959,F1960)</x:f>
        <x:v>248490.544664</x:v>
      </x:c>
      <x:c r="H1960" s="14" t="n">
        <x:f>F1960/G1960-1</x:f>
        <x:v>-0.19471899630396639</x:v>
      </x:c>
      <x:c r="I1960" s="14" t="n">
        <x:f>F1960/F1959-1</x:f>
        <x:v>-0.009321172008247669</x:v>
      </x:c>
      <x:c r="J1960" s="12" t="n">
        <x:v>0</x:v>
      </x:c>
      <x:c r="K1960" s="12" t="n">
        <x:v>0</x:v>
      </x:c>
      <x:c r="L1960" s="12" t="n">
        <x:v>0</x:v>
      </x:c>
      <x:c r="M1960" s="2" t="str">
        <x:v>持有</x:v>
      </x:c>
    </x:row>
    <x:row r="1961" ht="23" customHeight="1">
      <x:c r="A1961" s="11" t="d">
        <x:v>2022-10-07T00:00:00.000Z</x:v>
      </x:c>
      <x:c r="B1961" s="12" t="n">
        <x:v>18703.258584</x:v>
      </x:c>
      <x:c r="C1961" s="13" t="n">
        <x:v>484</x:v>
      </x:c>
      <x:c r="D1961" s="12" t="n">
        <x:v>175590.36000000002</x:v>
      </x:c>
      <x:c r="E1961" s="12" t="n">
        <x:v>772.656632</x:v>
      </x:c>
      <x:c r="F1961" s="12" t="n">
        <x:f>SUM(B1961,D1961:E1961)</x:f>
        <x:v>195066.275216</x:v>
      </x:c>
      <x:c r="G1961" s="12" t="n">
        <x:f>MAX(G1960,F1961)</x:f>
        <x:v>248490.544664</x:v>
      </x:c>
      <x:c r="H1961" s="14" t="n">
        <x:f>F1961/G1961-1</x:f>
        <x:v>-0.2149951802803538</x:v>
      </x:c>
      <x:c r="I1961" s="14" t="n">
        <x:f>F1961/F1960-1</x:f>
        <x:v>-0.02517901686904933</x:v>
      </x:c>
      <x:c r="J1961" s="12" t="n">
        <x:v>0</x:v>
      </x:c>
      <x:c r="K1961" s="12" t="n">
        <x:v>0</x:v>
      </x:c>
      <x:c r="L1961" s="12" t="n">
        <x:v>0</x:v>
      </x:c>
      <x:c r="M1961" s="2" t="str">
        <x:v>持有</x:v>
      </x:c>
    </x:row>
    <x:row r="1962" ht="23" customHeight="1">
      <x:c r="A1962" s="11" t="d">
        <x:v>2022-10-10T00:00:00.000Z</x:v>
      </x:c>
      <x:c r="B1962" s="12" t="n">
        <x:v>18703.258584</x:v>
      </x:c>
      <x:c r="C1962" s="13" t="n">
        <x:v>484</x:v>
      </x:c>
      <x:c r="D1962" s="12" t="n">
        <x:v>174249.68</x:v>
      </x:c>
      <x:c r="E1962" s="12" t="n">
        <x:v>772.656632</x:v>
      </x:c>
      <x:c r="F1962" s="12" t="n">
        <x:f>SUM(B1962,D1962:E1962)</x:f>
        <x:v>193725.595216</x:v>
      </x:c>
      <x:c r="G1962" s="12" t="n">
        <x:f>MAX(G1961,F1962)</x:f>
        <x:v>248490.544664</x:v>
      </x:c>
      <x:c r="H1962" s="14" t="n">
        <x:f>F1962/G1962-1</x:f>
        <x:v>-0.22039047611268747</x:v>
      </x:c>
      <x:c r="I1962" s="14" t="n">
        <x:f>F1962/F1961-1</x:f>
        <x:v>-0.00687294612313416</x:v>
      </x:c>
      <x:c r="J1962" s="12" t="n">
        <x:v>0</x:v>
      </x:c>
      <x:c r="K1962" s="12" t="n">
        <x:v>0</x:v>
      </x:c>
      <x:c r="L1962" s="12" t="n">
        <x:v>0</x:v>
      </x:c>
      <x:c r="M1962" s="2" t="str">
        <x:v>持有</x:v>
      </x:c>
    </x:row>
    <x:row r="1963" ht="23" customHeight="1">
      <x:c r="A1963" s="11" t="d">
        <x:v>2022-10-11T00:00:00.000Z</x:v>
      </x:c>
      <x:c r="B1963" s="12" t="n">
        <x:v>18703.258584</x:v>
      </x:c>
      <x:c r="C1963" s="13" t="n">
        <x:v>484</x:v>
      </x:c>
      <x:c r="D1963" s="12" t="n">
        <x:v>173146.16</x:v>
      </x:c>
      <x:c r="E1963" s="12" t="n">
        <x:v>772.656632</x:v>
      </x:c>
      <x:c r="F1963" s="12" t="n">
        <x:f>SUM(B1963,D1963:E1963)</x:f>
        <x:v>192622.075216</x:v>
      </x:c>
      <x:c r="G1963" s="12" t="n">
        <x:f>MAX(G1962,F1963)</x:f>
        <x:v>248490.544664</x:v>
      </x:c>
      <x:c r="H1963" s="14" t="n">
        <x:f>F1963/G1963-1</x:f>
        <x:v>-0.22483136943316429</x:v>
      </x:c>
      <x:c r="I1963" s="14" t="n">
        <x:f>F1963/F1962-1</x:f>
        <x:v>-0.005696304604301705</x:v>
      </x:c>
      <x:c r="J1963" s="12" t="n">
        <x:v>0</x:v>
      </x:c>
      <x:c r="K1963" s="12" t="n">
        <x:v>0</x:v>
      </x:c>
      <x:c r="L1963" s="12" t="n">
        <x:v>0</x:v>
      </x:c>
      <x:c r="M1963" s="2" t="str">
        <x:v>持有</x:v>
      </x:c>
    </x:row>
    <x:row r="1964" ht="23" customHeight="1">
      <x:c r="A1964" s="11" t="d">
        <x:v>2022-10-12T00:00:00.000Z</x:v>
      </x:c>
      <x:c r="B1964" s="12" t="n">
        <x:v>18703.258584</x:v>
      </x:c>
      <x:c r="C1964" s="13" t="n">
        <x:v>484</x:v>
      </x:c>
      <x:c r="D1964" s="12" t="n">
        <x:v>172575.04</x:v>
      </x:c>
      <x:c r="E1964" s="12" t="n">
        <x:v>772.656632</x:v>
      </x:c>
      <x:c r="F1964" s="12" t="n">
        <x:f>SUM(B1964,D1964:E1964)</x:f>
        <x:v>192050.955216</x:v>
      </x:c>
      <x:c r="G1964" s="12" t="n">
        <x:f>MAX(G1963,F1964)</x:f>
        <x:v>248490.544664</x:v>
      </x:c>
      <x:c r="H1964" s="14" t="n">
        <x:f>F1964/G1964-1</x:f>
        <x:v>-0.22712972650253382</x:v>
      </x:c>
      <x:c r="I1964" s="14" t="n">
        <x:f>F1964/F1963-1</x:f>
        <x:v>-0.0029649768821126132</x:v>
      </x:c>
      <x:c r="J1964" s="12" t="n">
        <x:v>0</x:v>
      </x:c>
      <x:c r="K1964" s="12" t="n">
        <x:v>0</x:v>
      </x:c>
      <x:c r="L1964" s="12" t="n">
        <x:v>0</x:v>
      </x:c>
      <x:c r="M1964" s="2" t="str">
        <x:v>持有</x:v>
      </x:c>
    </x:row>
    <x:row r="1965" ht="23" customHeight="1">
      <x:c r="A1965" s="11" t="d">
        <x:v>2022-10-13T00:00:00.000Z</x:v>
      </x:c>
      <x:c r="B1965" s="12" t="n">
        <x:v>18703.258584</x:v>
      </x:c>
      <x:c r="C1965" s="13" t="n">
        <x:v>484</x:v>
      </x:c>
      <x:c r="D1965" s="12" t="n">
        <x:v>177129.48</x:v>
      </x:c>
      <x:c r="E1965" s="12" t="n">
        <x:v>772.656632</x:v>
      </x:c>
      <x:c r="F1965" s="12" t="n">
        <x:f>SUM(B1965,D1965:E1965)</x:f>
        <x:v>196605.395216</x:v>
      </x:c>
      <x:c r="G1965" s="12" t="n">
        <x:f>MAX(G1964,F1965)</x:f>
        <x:v>248490.544664</x:v>
      </x:c>
      <x:c r="H1965" s="14" t="n">
        <x:f>F1965/G1965-1</x:f>
        <x:v>-0.20880130275442566</x:v>
      </x:c>
      <x:c r="I1965" s="14" t="n">
        <x:f>F1965/F1964-1</x:f>
        <x:v>0.0237147479682025</x:v>
      </x:c>
      <x:c r="J1965" s="12" t="n">
        <x:v>0</x:v>
      </x:c>
      <x:c r="K1965" s="12" t="n">
        <x:v>0</x:v>
      </x:c>
      <x:c r="L1965" s="12" t="n">
        <x:v>0</x:v>
      </x:c>
      <x:c r="M1965" s="2" t="str">
        <x:v>持有</x:v>
      </x:c>
    </x:row>
    <x:row r="1966" ht="23" customHeight="1">
      <x:c r="A1966" s="11" t="d">
        <x:v>2022-10-14T00:00:00.000Z</x:v>
      </x:c>
      <x:c r="B1966" s="12" t="n">
        <x:v>18703.258584</x:v>
      </x:c>
      <x:c r="C1966" s="13" t="n">
        <x:v>484</x:v>
      </x:c>
      <x:c r="D1966" s="12" t="n">
        <x:v>173092.91999999998</x:v>
      </x:c>
      <x:c r="E1966" s="12" t="n">
        <x:v>772.656632</x:v>
      </x:c>
      <x:c r="F1966" s="12" t="n">
        <x:f>SUM(B1966,D1966:E1966)</x:f>
        <x:v>192568.83521599998</x:v>
      </x:c>
      <x:c r="G1966" s="12" t="n">
        <x:f>MAX(G1965,F1966)</x:f>
        <x:v>248490.544664</x:v>
      </x:c>
      <x:c r="H1966" s="14" t="n">
        <x:f>F1966/G1966-1</x:f>
        <x:v>-0.22504562305827502</x:v>
      </x:c>
      <x:c r="I1966" s="14" t="n">
        <x:f>F1966/F1965-1</x:f>
        <x:v>-0.020531277870402653</x:v>
      </x:c>
      <x:c r="J1966" s="12" t="n">
        <x:v>0</x:v>
      </x:c>
      <x:c r="K1966" s="12" t="n">
        <x:v>0</x:v>
      </x:c>
      <x:c r="L1966" s="12" t="n">
        <x:v>0</x:v>
      </x:c>
      <x:c r="M1966" s="2" t="str">
        <x:v>持有</x:v>
      </x:c>
    </x:row>
    <x:row r="1967" ht="23" customHeight="1">
      <x:c r="A1967" s="11" t="d">
        <x:v>2022-10-17T00:00:00.000Z</x:v>
      </x:c>
      <x:c r="B1967" s="12" t="n">
        <x:v>18703.258584</x:v>
      </x:c>
      <x:c r="C1967" s="13" t="n">
        <x:v>484</x:v>
      </x:c>
      <x:c r="D1967" s="12" t="n">
        <x:v>177540.88</x:v>
      </x:c>
      <x:c r="E1967" s="12" t="n">
        <x:v>772.656632</x:v>
      </x:c>
      <x:c r="F1967" s="12" t="n">
        <x:f>SUM(B1967,D1967:E1967)</x:f>
        <x:v>197016.795216</x:v>
      </x:c>
      <x:c r="G1967" s="12" t="n">
        <x:f>MAX(G1966,F1967)</x:f>
        <x:v>248490.544664</x:v>
      </x:c>
      <x:c r="H1967" s="14" t="n">
        <x:f>F1967/G1967-1</x:f>
        <x:v>-0.20714570656038822</x:v>
      </x:c>
      <x:c r="I1967" s="14" t="n">
        <x:f>F1967/F1966-1</x:f>
        <x:v>0.02309802619417023</x:v>
      </x:c>
      <x:c r="J1967" s="12" t="n">
        <x:v>0</x:v>
      </x:c>
      <x:c r="K1967" s="12" t="n">
        <x:v>0</x:v>
      </x:c>
      <x:c r="L1967" s="12" t="n">
        <x:v>0</x:v>
      </x:c>
      <x:c r="M1967" s="2" t="str">
        <x:v>持有</x:v>
      </x:c>
    </x:row>
    <x:row r="1968" ht="23" customHeight="1">
      <x:c r="A1968" s="11" t="d">
        <x:v>2022-10-18T00:00:00.000Z</x:v>
      </x:c>
      <x:c r="B1968" s="12" t="n">
        <x:v>18703.258584</x:v>
      </x:c>
      <x:c r="C1968" s="13" t="n">
        <x:v>484</x:v>
      </x:c>
      <x:c r="D1968" s="12" t="n">
        <x:v>179626.91999999998</x:v>
      </x:c>
      <x:c r="E1968" s="12" t="n">
        <x:v>772.656632</x:v>
      </x:c>
      <x:c r="F1968" s="12" t="n">
        <x:f>SUM(B1968,D1968:E1968)</x:f>
        <x:v>199102.83521599998</x:v>
      </x:c>
      <x:c r="G1968" s="12" t="n">
        <x:f>MAX(G1967,F1968)</x:f>
        <x:v>248490.544664</x:v>
      </x:c>
      <x:c r="H1968" s="14" t="n">
        <x:f>F1968/G1968-1</x:f>
        <x:v>-0.19875085997650455</x:v>
      </x:c>
      <x:c r="I1968" s="14" t="n">
        <x:f>F1968/F1967-1</x:f>
        <x:v>0.010588132842750397</x:v>
      </x:c>
      <x:c r="J1968" s="12" t="n">
        <x:v>0</x:v>
      </x:c>
      <x:c r="K1968" s="12" t="n">
        <x:v>0</x:v>
      </x:c>
      <x:c r="L1968" s="12" t="n">
        <x:v>0</x:v>
      </x:c>
      <x:c r="M1968" s="2" t="str">
        <x:v>持有</x:v>
      </x:c>
    </x:row>
    <x:row r="1969" ht="23" customHeight="1">
      <x:c r="A1969" s="11" t="d">
        <x:v>2022-10-19T00:00:00.000Z</x:v>
      </x:c>
      <x:c r="B1969" s="12" t="n">
        <x:v>18703.258584</x:v>
      </x:c>
      <x:c r="C1969" s="13" t="n">
        <x:v>484</x:v>
      </x:c>
      <x:c r="D1969" s="12" t="n">
        <x:v>178354</x:v>
      </x:c>
      <x:c r="E1969" s="12" t="n">
        <x:v>772.656632</x:v>
      </x:c>
      <x:c r="F1969" s="12" t="n">
        <x:f>SUM(B1969,D1969:E1969)</x:f>
        <x:v>197829.915216</x:v>
      </x:c>
      <x:c r="G1969" s="12" t="n">
        <x:f>MAX(G1968,F1969)</x:f>
        <x:v>248490.544664</x:v>
      </x:c>
      <x:c r="H1969" s="14" t="n">
        <x:f>F1969/G1969-1</x:f>
        <x:v>-0.203873469376879</x:v>
      </x:c>
      <x:c r="I1969" s="14" t="n">
        <x:f>F1969/F1968-1</x:f>
        <x:v>-0.0063932791244234455</x:v>
      </x:c>
      <x:c r="J1969" s="12" t="n">
        <x:v>0</x:v>
      </x:c>
      <x:c r="K1969" s="12" t="n">
        <x:v>0</x:v>
      </x:c>
      <x:c r="L1969" s="12" t="n">
        <x:v>0</x:v>
      </x:c>
      <x:c r="M1969" s="2" t="str">
        <x:v>持有</x:v>
      </x:c>
    </x:row>
    <x:row r="1970" ht="23" customHeight="1">
      <x:c r="A1970" s="11" t="d">
        <x:v>2022-10-20T00:00:00.000Z</x:v>
      </x:c>
      <x:c r="B1970" s="12" t="n">
        <x:v>18703.258584</x:v>
      </x:c>
      <x:c r="C1970" s="13" t="n">
        <x:v>484</x:v>
      </x:c>
      <x:c r="D1970" s="12" t="n">
        <x:v>176858.44</x:v>
      </x:c>
      <x:c r="E1970" s="12" t="n">
        <x:v>772.656632</x:v>
      </x:c>
      <x:c r="F1970" s="12" t="n">
        <x:f>SUM(B1970,D1970:E1970)</x:f>
        <x:v>196334.355216</x:v>
      </x:c>
      <x:c r="G1970" s="12" t="n">
        <x:f>MAX(G1969,F1970)</x:f>
        <x:v>248490.544664</x:v>
      </x:c>
      <x:c r="H1970" s="14" t="n">
        <x:f>F1970/G1970-1</x:f>
        <x:v>-0.20989204848226206</x:v>
      </x:c>
      <x:c r="I1970" s="14" t="n">
        <x:f>F1970/F1969-1</x:f>
        <x:v>-0.007559827331306668</x:v>
      </x:c>
      <x:c r="J1970" s="12" t="n">
        <x:v>0</x:v>
      </x:c>
      <x:c r="K1970" s="12" t="n">
        <x:v>0</x:v>
      </x:c>
      <x:c r="L1970" s="12" t="n">
        <x:v>0</x:v>
      </x:c>
      <x:c r="M1970" s="2" t="str">
        <x:v>持有</x:v>
      </x:c>
    </x:row>
    <x:row r="1971" ht="23" customHeight="1">
      <x:c r="A1971" s="11" t="d">
        <x:v>2022-10-21T00:00:00.000Z</x:v>
      </x:c>
      <x:c r="B1971" s="12" t="n">
        <x:v>18703.258584</x:v>
      </x:c>
      <x:c r="C1971" s="13" t="n">
        <x:v>484</x:v>
      </x:c>
      <x:c r="D1971" s="12" t="n">
        <x:v>181156.36000000002</x:v>
      </x:c>
      <x:c r="E1971" s="12" t="n">
        <x:v>772.656632</x:v>
      </x:c>
      <x:c r="F1971" s="12" t="n">
        <x:f>SUM(B1971,D1971:E1971)</x:f>
        <x:v>200632.275216</x:v>
      </x:c>
      <x:c r="G1971" s="12" t="n">
        <x:f>MAX(G1970,F1971)</x:f>
        <x:v>248490.544664</x:v>
      </x:c>
      <x:c r="H1971" s="14" t="n">
        <x:f>F1971/G1971-1</x:f>
        <x:v>-0.19259593765514182</x:v>
      </x:c>
      <x:c r="I1971" s="14" t="n">
        <x:f>F1971/F1970-1</x:f>
        <x:v>0.021890819847965926</x:v>
      </x:c>
      <x:c r="J1971" s="12" t="n">
        <x:v>0</x:v>
      </x:c>
      <x:c r="K1971" s="12" t="n">
        <x:v>0</x:v>
      </x:c>
      <x:c r="L1971" s="12" t="n">
        <x:v>0</x:v>
      </x:c>
      <x:c r="M1971" s="2" t="str">
        <x:v>持有</x:v>
      </x:c>
    </x:row>
    <x:row r="1972" ht="23" customHeight="1">
      <x:c r="A1972" s="11" t="d">
        <x:v>2022-10-24T00:00:00.000Z</x:v>
      </x:c>
      <x:c r="B1972" s="12" t="n">
        <x:v>18703.258584</x:v>
      </x:c>
      <x:c r="C1972" s="13" t="n">
        <x:v>484</x:v>
      </x:c>
      <x:c r="D1972" s="12" t="n">
        <x:v>183373.08000000002</x:v>
      </x:c>
      <x:c r="E1972" s="12" t="n">
        <x:v>772.656632</x:v>
      </x:c>
      <x:c r="F1972" s="12" t="n">
        <x:f>SUM(B1972,D1972:E1972)</x:f>
        <x:v>202848.995216</x:v>
      </x:c>
      <x:c r="G1972" s="12" t="n">
        <x:f>MAX(G1971,F1972)</x:f>
        <x:v>248490.544664</x:v>
      </x:c>
      <x:c r="H1972" s="14" t="n">
        <x:f>F1972/G1972-1</x:f>
        <x:v>-0.18367519580962266</x:v>
      </x:c>
      <x:c r="I1972" s="14" t="n">
        <x:f>F1972/F1971-1</x:f>
        <x:v>0.011048670995798204</x:v>
      </x:c>
      <x:c r="J1972" s="12" t="n">
        <x:v>0</x:v>
      </x:c>
      <x:c r="K1972" s="12" t="n">
        <x:v>0</x:v>
      </x:c>
      <x:c r="L1972" s="12" t="n">
        <x:v>0</x:v>
      </x:c>
      <x:c r="M1972" s="2" t="str">
        <x:v>持有</x:v>
      </x:c>
    </x:row>
    <x:row r="1973" ht="23" customHeight="1">
      <x:c r="A1973" s="11" t="d">
        <x:v>2022-10-25T00:00:00.000Z</x:v>
      </x:c>
      <x:c r="B1973" s="12" t="n">
        <x:v>18703.258584</x:v>
      </x:c>
      <x:c r="C1973" s="13" t="n">
        <x:v>484</x:v>
      </x:c>
      <x:c r="D1973" s="12" t="n">
        <x:v>186301.28</x:v>
      </x:c>
      <x:c r="E1973" s="12" t="n">
        <x:v>772.656632</x:v>
      </x:c>
      <x:c r="F1973" s="12" t="n">
        <x:f>SUM(B1973,D1973:E1973)</x:f>
        <x:v>205777.195216</x:v>
      </x:c>
      <x:c r="G1973" s="12" t="n">
        <x:f>MAX(G1972,F1973)</x:f>
        <x:v>248490.544664</x:v>
      </x:c>
      <x:c r="H1973" s="14" t="n">
        <x:f>F1973/G1973-1</x:f>
        <x:v>-0.17189124642853293</x:v>
      </x:c>
      <x:c r="I1973" s="14" t="n">
        <x:f>F1973/F1972-1</x:f>
        <x:v>0.014435368520716363</x:v>
      </x:c>
      <x:c r="J1973" s="12" t="n">
        <x:v>0</x:v>
      </x:c>
      <x:c r="K1973" s="12" t="n">
        <x:v>0</x:v>
      </x:c>
      <x:c r="L1973" s="12" t="n">
        <x:v>0</x:v>
      </x:c>
      <x:c r="M1973" s="2" t="str">
        <x:v>持有</x:v>
      </x:c>
    </x:row>
    <x:row r="1974" ht="23" customHeight="1">
      <x:c r="A1974" s="11" t="d">
        <x:v>2022-10-26T00:00:00.000Z</x:v>
      </x:c>
      <x:c r="B1974" s="12" t="n">
        <x:v>18703.258584</x:v>
      </x:c>
      <x:c r="C1974" s="13" t="n">
        <x:v>484</x:v>
      </x:c>
      <x:c r="D1974" s="12" t="n">
        <x:v>184897.68</x:v>
      </x:c>
      <x:c r="E1974" s="12" t="n">
        <x:v>772.656632</x:v>
      </x:c>
      <x:c r="F1974" s="12" t="n">
        <x:f>SUM(B1974,D1974:E1974)</x:f>
        <x:v>204373.595216</x:v>
      </x:c>
      <x:c r="G1974" s="12" t="n">
        <x:f>MAX(G1973,F1974)</x:f>
        <x:v>248490.544664</x:v>
      </x:c>
      <x:c r="H1974" s="14" t="n">
        <x:f>F1974/G1974-1</x:f>
        <x:v>-0.17753975109054299</x:v>
      </x:c>
      <x:c r="I1974" s="14" t="n">
        <x:f>F1974/F1973-1</x:f>
        <x:v>-0.006820969634301233</x:v>
      </x:c>
      <x:c r="J1974" s="12" t="n">
        <x:v>0</x:v>
      </x:c>
      <x:c r="K1974" s="12" t="n">
        <x:v>0</x:v>
      </x:c>
      <x:c r="L1974" s="12" t="n">
        <x:v>0</x:v>
      </x:c>
      <x:c r="M1974" s="2" t="str">
        <x:v>持有</x:v>
      </x:c>
    </x:row>
    <x:row r="1975" ht="23" customHeight="1">
      <x:c r="A1975" s="11" t="d">
        <x:v>2022-10-27T00:00:00.000Z</x:v>
      </x:c>
      <x:c r="B1975" s="12" t="n">
        <x:v>18703.258584</x:v>
      </x:c>
      <x:c r="C1975" s="13" t="n">
        <x:v>484</x:v>
      </x:c>
      <x:c r="D1975" s="12" t="n">
        <x:v>183910.32</x:v>
      </x:c>
      <x:c r="E1975" s="12" t="n">
        <x:v>772.656632</x:v>
      </x:c>
      <x:c r="F1975" s="12" t="n">
        <x:f>SUM(B1975,D1975:E1975)</x:f>
        <x:v>203386.235216</x:v>
      </x:c>
      <x:c r="G1975" s="12" t="n">
        <x:f>MAX(G1974,F1975)</x:f>
        <x:v>248490.544664</x:v>
      </x:c>
      <x:c r="H1975" s="14" t="n">
        <x:f>F1975/G1975-1</x:f>
        <x:v>-0.18151318195623267</x:v>
      </x:c>
      <x:c r="I1975" s="14" t="n">
        <x:f>F1975/F1974-1</x:f>
        <x:v>-0.00483115247327548</x:v>
      </x:c>
      <x:c r="J1975" s="12" t="n">
        <x:v>0</x:v>
      </x:c>
      <x:c r="K1975" s="12" t="n">
        <x:v>0</x:v>
      </x:c>
      <x:c r="L1975" s="12" t="n">
        <x:v>0</x:v>
      </x:c>
      <x:c r="M1975" s="2" t="str">
        <x:v>持有</x:v>
      </x:c>
    </x:row>
    <x:row r="1976" ht="23" customHeight="1">
      <x:c r="A1976" s="11" t="d">
        <x:v>2022-10-28T00:00:00.000Z</x:v>
      </x:c>
      <x:c r="B1976" s="12" t="n">
        <x:v>18703.258584</x:v>
      </x:c>
      <x:c r="C1976" s="13" t="n">
        <x:v>484</x:v>
      </x:c>
      <x:c r="D1976" s="12" t="n">
        <x:v>188285.68</x:v>
      </x:c>
      <x:c r="E1976" s="12" t="n">
        <x:v>772.656632</x:v>
      </x:c>
      <x:c r="F1976" s="12" t="n">
        <x:f>SUM(B1976,D1976:E1976)</x:f>
        <x:v>207761.595216</x:v>
      </x:c>
      <x:c r="G1976" s="12" t="n">
        <x:f>MAX(G1975,F1976)</x:f>
        <x:v>248490.544664</x:v>
      </x:c>
      <x:c r="H1976" s="14" t="n">
        <x:f>F1976/G1976-1</x:f>
        <x:v>-0.1639054294925878</x:v>
      </x:c>
      <x:c r="I1976" s="14" t="n">
        <x:f>F1976/F1975-1</x:f>
        <x:v>0.021512566941185973</x:v>
      </x:c>
      <x:c r="J1976" s="12" t="n">
        <x:v>0</x:v>
      </x:c>
      <x:c r="K1976" s="12" t="n">
        <x:v>0</x:v>
      </x:c>
      <x:c r="L1976" s="12" t="n">
        <x:v>0</x:v>
      </x:c>
      <x:c r="M1976" s="2" t="str">
        <x:v>持有</x:v>
      </x:c>
    </x:row>
    <x:row r="1977" ht="23" customHeight="1">
      <x:c r="A1977" s="11" t="d">
        <x:v>2022-10-31T00:00:00.000Z</x:v>
      </x:c>
      <x:c r="B1977" s="12" t="n">
        <x:v>19475.915216</x:v>
      </x:c>
      <x:c r="C1977" s="13" t="n">
        <x:v>484</x:v>
      </x:c>
      <x:c r="D1977" s="12" t="n">
        <x:v>186925.63999999998</x:v>
      </x:c>
      <x:c r="E1977" s="12" t="n">
        <x:v>0</x:v>
      </x:c>
      <x:c r="F1977" s="12" t="n">
        <x:f>SUM(B1977,D1977:E1977)</x:f>
        <x:v>206401.55521599998</x:v>
      </x:c>
      <x:c r="G1977" s="12" t="n">
        <x:f>MAX(G1976,F1977)</x:f>
        <x:v>248490.544664</x:v>
      </x:c>
      <x:c r="H1977" s="14" t="n">
        <x:f>F1977/G1977-1</x:f>
        <x:v>-0.16937863573405265</x:v>
      </x:c>
      <x:c r="I1977" s="14" t="n">
        <x:f>F1977/F1976-1</x:f>
        <x:v>-0.0065461568996235675</x:v>
      </x:c>
      <x:c r="J1977" s="12" t="n">
        <x:v>0</x:v>
      </x:c>
      <x:c r="K1977" s="12" t="n">
        <x:v>772.656632</x:v>
      </x:c>
      <x:c r="L1977" s="12" t="n">
        <x:v>0</x:v>
      </x:c>
      <x:c r="M1977" s="2" t="str">
        <x:v>持有</x:v>
      </x:c>
    </x:row>
    <x:row r="1978" ht="23" customHeight="1">
      <x:c r="A1978" s="11" t="d">
        <x:v>2022-11-01T00:00:00.000Z</x:v>
      </x:c>
      <x:c r="B1978" s="12" t="n">
        <x:v>19475.915216</x:v>
      </x:c>
      <x:c r="C1978" s="13" t="n">
        <x:v>484</x:v>
      </x:c>
      <x:c r="D1978" s="12" t="n">
        <x:v>186107.68</x:v>
      </x:c>
      <x:c r="E1978" s="12" t="n">
        <x:v>0</x:v>
      </x:c>
      <x:c r="F1978" s="12" t="n">
        <x:f>SUM(B1978,D1978:E1978)</x:f>
        <x:v>205583.595216</x:v>
      </x:c>
      <x:c r="G1978" s="12" t="n">
        <x:f>MAX(G1977,F1978)</x:f>
        <x:v>248490.544664</x:v>
      </x:c>
      <x:c r="H1978" s="14" t="n">
        <x:f>F1978/G1978-1</x:f>
        <x:v>-0.1726703505198447</x:v>
      </x:c>
      <x:c r="I1978" s="14" t="n">
        <x:f>F1978/F1977-1</x:f>
        <x:v>-0.003962954635414406</x:v>
      </x:c>
      <x:c r="J1978" s="12" t="n">
        <x:v>0</x:v>
      </x:c>
      <x:c r="K1978" s="12" t="n">
        <x:v>0</x:v>
      </x:c>
      <x:c r="L1978" s="12" t="n">
        <x:v>0</x:v>
      </x:c>
      <x:c r="M1978" s="2" t="str">
        <x:v>持有</x:v>
      </x:c>
    </x:row>
    <x:row r="1979" ht="23" customHeight="1">
      <x:c r="A1979" s="11" t="d">
        <x:v>2022-11-02T00:00:00.000Z</x:v>
      </x:c>
      <x:c r="B1979" s="12" t="n">
        <x:v>19475.915216</x:v>
      </x:c>
      <x:c r="C1979" s="13" t="n">
        <x:v>484</x:v>
      </x:c>
      <x:c r="D1979" s="12" t="n">
        <x:v>181437.08000000002</x:v>
      </x:c>
      <x:c r="E1979" s="12" t="n">
        <x:v>0</x:v>
      </x:c>
      <x:c r="F1979" s="12" t="n">
        <x:f>SUM(B1979,D1979:E1979)</x:f>
        <x:v>200912.995216</x:v>
      </x:c>
      <x:c r="G1979" s="12" t="n">
        <x:f>MAX(G1978,F1979)</x:f>
        <x:v>248490.544664</x:v>
      </x:c>
      <x:c r="H1979" s="14" t="n">
        <x:f>F1979/G1979-1</x:f>
        <x:v>-0.19146623672273988</x:v>
      </x:c>
      <x:c r="I1979" s="14" t="n">
        <x:f>F1979/F1978-1</x:f>
        <x:v>-0.022718738793787163</x:v>
      </x:c>
      <x:c r="J1979" s="12" t="n">
        <x:v>0</x:v>
      </x:c>
      <x:c r="K1979" s="12" t="n">
        <x:v>0</x:v>
      </x:c>
      <x:c r="L1979" s="12" t="n">
        <x:v>0</x:v>
      </x:c>
      <x:c r="M1979" s="2" t="str">
        <x:v>持有</x:v>
      </x:c>
    </x:row>
    <x:row r="1980" ht="23" customHeight="1">
      <x:c r="A1980" s="11" t="d">
        <x:v>2022-11-03T00:00:00.000Z</x:v>
      </x:c>
      <x:c r="B1980" s="12" t="n">
        <x:v>19475.915216</x:v>
      </x:c>
      <x:c r="C1980" s="13" t="n">
        <x:v>484</x:v>
      </x:c>
      <x:c r="D1980" s="12" t="n">
        <x:v>179568.84</x:v>
      </x:c>
      <x:c r="E1980" s="12" t="n">
        <x:v>0</x:v>
      </x:c>
      <x:c r="F1980" s="12" t="n">
        <x:f>SUM(B1980,D1980:E1980)</x:f>
        <x:v>199044.755216</x:v>
      </x:c>
      <x:c r="G1980" s="12" t="n">
        <x:f>MAX(G1979,F1980)</x:f>
        <x:v>248490.544664</x:v>
      </x:c>
      <x:c r="H1980" s="14" t="n">
        <x:f>F1980/G1980-1</x:f>
        <x:v>-0.198984591203898</x:v>
      </x:c>
      <x:c r="I1980" s="14" t="n">
        <x:f>F1980/F1979-1</x:f>
        <x:v>-0.009298751422183948</x:v>
      </x:c>
      <x:c r="J1980" s="12" t="n">
        <x:v>0</x:v>
      </x:c>
      <x:c r="K1980" s="12" t="n">
        <x:v>0</x:v>
      </x:c>
      <x:c r="L1980" s="12" t="n">
        <x:v>0</x:v>
      </x:c>
      <x:c r="M1980" s="2" t="str">
        <x:v>持有</x:v>
      </x:c>
    </x:row>
    <x:row r="1981" ht="23" customHeight="1">
      <x:c r="A1981" s="11" t="d">
        <x:v>2022-11-04T00:00:00.000Z</x:v>
      </x:c>
      <x:c r="B1981" s="12" t="n">
        <x:v>19475.915216</x:v>
      </x:c>
      <x:c r="C1981" s="13" t="n">
        <x:v>484</x:v>
      </x:c>
      <x:c r="D1981" s="12" t="n">
        <x:v>182153.40000000002</x:v>
      </x:c>
      <x:c r="E1981" s="12" t="n">
        <x:v>0</x:v>
      </x:c>
      <x:c r="F1981" s="12" t="n">
        <x:f>SUM(B1981,D1981:E1981)</x:f>
        <x:v>201629.31521600002</x:v>
      </x:c>
      <x:c r="G1981" s="12" t="n">
        <x:f>MAX(G1980,F1981)</x:f>
        <x:v>248490.544664</x:v>
      </x:c>
      <x:c r="H1981" s="14" t="n">
        <x:f>F1981/G1981-1</x:f>
        <x:v>-0.1885835515848865</x:v>
      </x:c>
      <x:c r="I1981" s="14" t="n">
        <x:f>F1981/F1980-1</x:f>
        <x:v>0.012984818400240128</x:v>
      </x:c>
      <x:c r="J1981" s="12" t="n">
        <x:v>0</x:v>
      </x:c>
      <x:c r="K1981" s="12" t="n">
        <x:v>0</x:v>
      </x:c>
      <x:c r="L1981" s="12" t="n">
        <x:v>0</x:v>
      </x:c>
      <x:c r="M1981" s="2" t="str">
        <x:v>持有</x:v>
      </x:c>
    </x:row>
    <x:row r="1982" ht="23" customHeight="1">
      <x:c r="A1982" s="11" t="d">
        <x:v>2022-11-07T00:00:00.000Z</x:v>
      </x:c>
      <x:c r="B1982" s="12" t="n">
        <x:v>19475.915216</x:v>
      </x:c>
      <x:c r="C1982" s="13" t="n">
        <x:v>484</x:v>
      </x:c>
      <x:c r="D1982" s="12" t="n">
        <x:v>183895.8</x:v>
      </x:c>
      <x:c r="E1982" s="12" t="n">
        <x:v>0</x:v>
      </x:c>
      <x:c r="F1982" s="12" t="n">
        <x:f>SUM(B1982,D1982:E1982)</x:f>
        <x:v>203371.71521599998</x:v>
      </x:c>
      <x:c r="G1982" s="12" t="n">
        <x:f>MAX(G1981,F1982)</x:f>
        <x:v>248490.544664</x:v>
      </x:c>
      <x:c r="H1982" s="14" t="n">
        <x:f>F1982/G1982-1</x:f>
        <x:v>-0.18157161476308115</x:v>
      </x:c>
      <x:c r="I1982" s="14" t="n">
        <x:f>F1982/F1981-1</x:f>
        <x:v>0.008641600543717542</x:v>
      </x:c>
      <x:c r="J1982" s="12" t="n">
        <x:v>0</x:v>
      </x:c>
      <x:c r="K1982" s="12" t="n">
        <x:v>0</x:v>
      </x:c>
      <x:c r="L1982" s="12" t="n">
        <x:v>0</x:v>
      </x:c>
      <x:c r="M1982" s="2" t="str">
        <x:v>持有</x:v>
      </x:c>
    </x:row>
    <x:row r="1983" ht="23" customHeight="1">
      <x:c r="A1983" s="11" t="d">
        <x:v>2022-11-08T00:00:00.000Z</x:v>
      </x:c>
      <x:c r="B1983" s="12" t="n">
        <x:v>19475.915216</x:v>
      </x:c>
      <x:c r="C1983" s="13" t="n">
        <x:v>484</x:v>
      </x:c>
      <x:c r="D1983" s="12" t="n">
        <x:v>184888</x:v>
      </x:c>
      <x:c r="E1983" s="12" t="n">
        <x:v>0</x:v>
      </x:c>
      <x:c r="F1983" s="12" t="n">
        <x:f>SUM(B1983,D1983:E1983)</x:f>
        <x:v>204363.915216</x:v>
      </x:c>
      <x:c r="G1983" s="12" t="n">
        <x:f>MAX(G1982,F1983)</x:f>
        <x:v>248490.544664</x:v>
      </x:c>
      <x:c r="H1983" s="14" t="n">
        <x:f>F1983/G1983-1</x:f>
        <x:v>-0.17757870629510852</x:v>
      </x:c>
      <x:c r="I1983" s="14" t="n">
        <x:f>F1983/F1982-1</x:f>
        <x:v>0.004878751201691012</x:v>
      </x:c>
      <x:c r="J1983" s="12" t="n">
        <x:v>0</x:v>
      </x:c>
      <x:c r="K1983" s="12" t="n">
        <x:v>0</x:v>
      </x:c>
      <x:c r="L1983" s="12" t="n">
        <x:v>0</x:v>
      </x:c>
      <x:c r="M1983" s="2" t="str">
        <x:v>持有</x:v>
      </x:c>
    </x:row>
    <x:row r="1984" ht="23" customHeight="1">
      <x:c r="A1984" s="11" t="d">
        <x:v>2022-11-09T00:00:00.000Z</x:v>
      </x:c>
      <x:c r="B1984" s="12" t="n">
        <x:v>19475.915216</x:v>
      </x:c>
      <x:c r="C1984" s="13" t="n">
        <x:v>484</x:v>
      </x:c>
      <x:c r="D1984" s="12" t="n">
        <x:v>181078.91999999998</x:v>
      </x:c>
      <x:c r="E1984" s="12" t="n">
        <x:v>0</x:v>
      </x:c>
      <x:c r="F1984" s="12" t="n">
        <x:f>SUM(B1984,D1984:E1984)</x:f>
        <x:v>200554.83521599998</x:v>
      </x:c>
      <x:c r="G1984" s="12" t="n">
        <x:f>MAX(G1983,F1984)</x:f>
        <x:v>248490.544664</x:v>
      </x:c>
      <x:c r="H1984" s="14" t="n">
        <x:f>F1984/G1984-1</x:f>
        <x:v>-0.1929075792916667</x:v>
      </x:c>
      <x:c r="I1984" s="14" t="n">
        <x:f>F1984/F1983-1</x:f>
        <x:v>-0.018638711222448756</x:v>
      </x:c>
      <x:c r="J1984" s="12" t="n">
        <x:v>0</x:v>
      </x:c>
      <x:c r="K1984" s="12" t="n">
        <x:v>0</x:v>
      </x:c>
      <x:c r="L1984" s="12" t="n">
        <x:v>0</x:v>
      </x:c>
      <x:c r="M1984" s="2" t="str">
        <x:v>持有</x:v>
      </x:c>
    </x:row>
    <x:row r="1985" ht="23" customHeight="1">
      <x:c r="A1985" s="11" t="d">
        <x:v>2022-11-10T00:00:00.000Z</x:v>
      </x:c>
      <x:c r="B1985" s="12" t="n">
        <x:v>19475.915216</x:v>
      </x:c>
      <x:c r="C1985" s="13" t="n">
        <x:v>484</x:v>
      </x:c>
      <x:c r="D1985" s="12" t="n">
        <x:v>191029.96</x:v>
      </x:c>
      <x:c r="E1985" s="12" t="n">
        <x:v>0</x:v>
      </x:c>
      <x:c r="F1985" s="12" t="n">
        <x:f>SUM(B1985,D1985:E1985)</x:f>
        <x:v>210505.875216</x:v>
      </x:c>
      <x:c r="G1985" s="12" t="n">
        <x:f>MAX(G1984,F1985)</x:f>
        <x:v>248490.544664</x:v>
      </x:c>
      <x:c r="H1985" s="14" t="n">
        <x:f>F1985/G1985-1</x:f>
        <x:v>-0.15286162899824418</x:v>
      </x:c>
      <x:c r="I1985" s="14" t="n">
        <x:f>F1985/F1984-1</x:f>
        <x:v>0.04961755217361197</x:v>
      </x:c>
      <x:c r="J1985" s="12" t="n">
        <x:v>0</x:v>
      </x:c>
      <x:c r="K1985" s="12" t="n">
        <x:v>0</x:v>
      </x:c>
      <x:c r="L1985" s="12" t="n">
        <x:v>0</x:v>
      </x:c>
      <x:c r="M1985" s="2" t="str">
        <x:v>持有</x:v>
      </x:c>
    </x:row>
    <x:row r="1986" ht="23" customHeight="1">
      <x:c r="A1986" s="11" t="d">
        <x:v>2022-11-11T00:00:00.000Z</x:v>
      </x:c>
      <x:c r="B1986" s="12" t="n">
        <x:v>19475.915216</x:v>
      </x:c>
      <x:c r="C1986" s="13" t="n">
        <x:v>484</x:v>
      </x:c>
      <x:c r="D1986" s="12" t="n">
        <x:v>192878.84</x:v>
      </x:c>
      <x:c r="E1986" s="12" t="n">
        <x:v>0</x:v>
      </x:c>
      <x:c r="F1986" s="12" t="n">
        <x:f>SUM(B1986,D1986:E1986)</x:f>
        <x:v>212354.755216</x:v>
      </x:c>
      <x:c r="G1986" s="12" t="n">
        <x:f>MAX(G1985,F1986)</x:f>
        <x:v>248490.544664</x:v>
      </x:c>
      <x:c r="H1986" s="14" t="n">
        <x:f>F1986/G1986-1</x:f>
        <x:v>-0.14542118492621725</x:v>
      </x:c>
      <x:c r="I1986" s="14" t="n">
        <x:f>F1986/F1985-1</x:f>
        <x:v>0.008783032768576504</x:v>
      </x:c>
      <x:c r="J1986" s="12" t="n">
        <x:v>0</x:v>
      </x:c>
      <x:c r="K1986" s="12" t="n">
        <x:v>0</x:v>
      </x:c>
      <x:c r="L1986" s="12" t="n">
        <x:v>0</x:v>
      </x:c>
      <x:c r="M1986" s="2" t="str">
        <x:v>持有</x:v>
      </x:c>
    </x:row>
    <x:row r="1987" ht="23" customHeight="1">
      <x:c r="A1987" s="11" t="d">
        <x:v>2022-11-14T00:00:00.000Z</x:v>
      </x:c>
      <x:c r="B1987" s="12" t="n">
        <x:v>19475.915216</x:v>
      </x:c>
      <x:c r="C1987" s="13" t="n">
        <x:v>484</x:v>
      </x:c>
      <x:c r="D1987" s="12" t="n">
        <x:v>191238.08000000002</x:v>
      </x:c>
      <x:c r="E1987" s="12" t="n">
        <x:v>0</x:v>
      </x:c>
      <x:c r="F1987" s="12" t="n">
        <x:f>SUM(B1987,D1987:E1987)</x:f>
        <x:v>210713.995216</x:v>
      </x:c>
      <x:c r="G1987" s="12" t="n">
        <x:f>MAX(G1986,F1987)</x:f>
        <x:v>248490.544664</x:v>
      </x:c>
      <x:c r="H1987" s="14" t="n">
        <x:f>F1987/G1987-1</x:f>
        <x:v>-0.15202409210008405</x:v>
      </x:c>
      <x:c r="I1987" s="14" t="n">
        <x:f>F1987/F1986-1</x:f>
        <x:v>-0.007726504632924569</x:v>
      </x:c>
      <x:c r="J1987" s="12" t="n">
        <x:v>0</x:v>
      </x:c>
      <x:c r="K1987" s="12" t="n">
        <x:v>0</x:v>
      </x:c>
      <x:c r="L1987" s="12" t="n">
        <x:v>0</x:v>
      </x:c>
      <x:c r="M1987" s="2" t="str">
        <x:v>持有</x:v>
      </x:c>
    </x:row>
    <x:row r="1988" ht="23" customHeight="1">
      <x:c r="A1988" s="11" t="d">
        <x:v>2022-11-15T00:00:00.000Z</x:v>
      </x:c>
      <x:c r="B1988" s="12" t="n">
        <x:v>19475.915216</x:v>
      </x:c>
      <x:c r="C1988" s="13" t="n">
        <x:v>484</x:v>
      </x:c>
      <x:c r="D1988" s="12" t="n">
        <x:v>192869.16</x:v>
      </x:c>
      <x:c r="E1988" s="12" t="n">
        <x:v>0</x:v>
      </x:c>
      <x:c r="F1988" s="12" t="n">
        <x:f>SUM(B1988,D1988:E1988)</x:f>
        <x:v>212345.075216</x:v>
      </x:c>
      <x:c r="G1988" s="12" t="n">
        <x:f>MAX(G1987,F1988)</x:f>
        <x:v>248490.544664</x:v>
      </x:c>
      <x:c r="H1988" s="14" t="n">
        <x:f>F1988/G1988-1</x:f>
        <x:v>-0.1454601401307828</x:v>
      </x:c>
      <x:c r="I1988" s="14" t="n">
        <x:f>F1988/F1987-1</x:f>
        <x:v>0.0077407293157152335</x:v>
      </x:c>
      <x:c r="J1988" s="12" t="n">
        <x:v>0</x:v>
      </x:c>
      <x:c r="K1988" s="12" t="n">
        <x:v>0</x:v>
      </x:c>
      <x:c r="L1988" s="12" t="n">
        <x:v>0</x:v>
      </x:c>
      <x:c r="M1988" s="2" t="str">
        <x:v>持有</x:v>
      </x:c>
    </x:row>
    <x:row r="1989" ht="23" customHeight="1">
      <x:c r="A1989" s="11" t="d">
        <x:v>2022-11-16T00:00:00.000Z</x:v>
      </x:c>
      <x:c r="B1989" s="12" t="n">
        <x:v>19475.915216</x:v>
      </x:c>
      <x:c r="C1989" s="13" t="n">
        <x:v>484</x:v>
      </x:c>
      <x:c r="D1989" s="12" t="n">
        <x:v>191397.8</x:v>
      </x:c>
      <x:c r="E1989" s="12" t="n">
        <x:v>0</x:v>
      </x:c>
      <x:c r="F1989" s="12" t="n">
        <x:f>SUM(B1989,D1989:E1989)</x:f>
        <x:v>210873.71521599998</x:v>
      </x:c>
      <x:c r="G1989" s="12" t="n">
        <x:f>MAX(G1988,F1989)</x:f>
        <x:v>248490.544664</x:v>
      </x:c>
      <x:c r="H1989" s="14" t="n">
        <x:f>F1989/G1989-1</x:f>
        <x:v>-0.15138133122475195</x:v>
      </x:c>
      <x:c r="I1989" s="14" t="n">
        <x:f>F1989/F1988-1</x:f>
        <x:v>-0.006929098772379461</x:v>
      </x:c>
      <x:c r="J1989" s="12" t="n">
        <x:v>0</x:v>
      </x:c>
      <x:c r="K1989" s="12" t="n">
        <x:v>0</x:v>
      </x:c>
      <x:c r="L1989" s="12" t="n">
        <x:v>0</x:v>
      </x:c>
      <x:c r="M1989" s="2" t="str">
        <x:v>持有</x:v>
      </x:c>
    </x:row>
    <x:row r="1990" ht="23" customHeight="1">
      <x:c r="A1990" s="11" t="d">
        <x:v>2022-11-17T00:00:00.000Z</x:v>
      </x:c>
      <x:c r="B1990" s="12" t="n">
        <x:v>19475.915216</x:v>
      </x:c>
      <x:c r="C1990" s="13" t="n">
        <x:v>484</x:v>
      </x:c>
      <x:c r="D1990" s="12" t="n">
        <x:v>190812.16</x:v>
      </x:c>
      <x:c r="E1990" s="12" t="n">
        <x:v>0</x:v>
      </x:c>
      <x:c r="F1990" s="12" t="n">
        <x:f>SUM(B1990,D1990:E1990)</x:f>
        <x:v>210288.075216</x:v>
      </x:c>
      <x:c r="G1990" s="12" t="n">
        <x:f>MAX(G1989,F1990)</x:f>
        <x:v>248490.544664</x:v>
      </x:c>
      <x:c r="H1990" s="14" t="n">
        <x:f>F1990/G1990-1</x:f>
        <x:v>-0.15373812110096985</x:v>
      </x:c>
      <x:c r="I1990" s="14" t="n">
        <x:f>F1990/F1989-1</x:f>
        <x:v>-0.002777207199105458</x:v>
      </x:c>
      <x:c r="J1990" s="12" t="n">
        <x:v>0</x:v>
      </x:c>
      <x:c r="K1990" s="12" t="n">
        <x:v>0</x:v>
      </x:c>
      <x:c r="L1990" s="12" t="n">
        <x:v>0</x:v>
      </x:c>
      <x:c r="M1990" s="2" t="str">
        <x:v>持有</x:v>
      </x:c>
    </x:row>
    <x:row r="1991" ht="23" customHeight="1">
      <x:c r="A1991" s="11" t="d">
        <x:v>2022-11-18T00:00:00.000Z</x:v>
      </x:c>
      <x:c r="B1991" s="12" t="n">
        <x:v>19475.915216</x:v>
      </x:c>
      <x:c r="C1991" s="13" t="n">
        <x:v>484</x:v>
      </x:c>
      <x:c r="D1991" s="12" t="n">
        <x:v>191678.52</x:v>
      </x:c>
      <x:c r="E1991" s="12" t="n">
        <x:v>0</x:v>
      </x:c>
      <x:c r="F1991" s="12" t="n">
        <x:f>SUM(B1991,D1991:E1991)</x:f>
        <x:v>211154.43521599998</x:v>
      </x:c>
      <x:c r="G1991" s="12" t="n">
        <x:f>MAX(G1990,F1991)</x:f>
        <x:v>248490.544664</x:v>
      </x:c>
      <x:c r="H1991" s="14" t="n">
        <x:f>F1991/G1991-1</x:f>
        <x:v>-0.15025163029235</x:v>
      </x:c>
      <x:c r="I1991" s="14" t="n">
        <x:f>F1991/F1990-1</x:f>
        <x:v>0.004119872223425469</x:v>
      </x:c>
      <x:c r="J1991" s="12" t="n">
        <x:v>0</x:v>
      </x:c>
      <x:c r="K1991" s="12" t="n">
        <x:v>0</x:v>
      </x:c>
      <x:c r="L1991" s="12" t="n">
        <x:v>0</x:v>
      </x:c>
      <x:c r="M1991" s="2" t="str">
        <x:v>持有</x:v>
      </x:c>
    </x:row>
    <x:row r="1992" ht="23" customHeight="1">
      <x:c r="A1992" s="11" t="d">
        <x:v>2022-11-21T00:00:00.000Z</x:v>
      </x:c>
      <x:c r="B1992" s="12" t="n">
        <x:v>19475.915216</x:v>
      </x:c>
      <x:c r="C1992" s="13" t="n">
        <x:v>484</x:v>
      </x:c>
      <x:c r="D1992" s="12" t="n">
        <x:v>190981.56</x:v>
      </x:c>
      <x:c r="E1992" s="12" t="n">
        <x:v>0</x:v>
      </x:c>
      <x:c r="F1992" s="12" t="n">
        <x:f>SUM(B1992,D1992:E1992)</x:f>
        <x:v>210457.475216</x:v>
      </x:c>
      <x:c r="G1992" s="12" t="n">
        <x:f>MAX(G1991,F1992)</x:f>
        <x:v>248490.544664</x:v>
      </x:c>
      <x:c r="H1992" s="14" t="n">
        <x:f>F1992/G1992-1</x:f>
        <x:v>-0.1530564050210721</x:v>
      </x:c>
      <x:c r="I1992" s="14" t="n">
        <x:f>F1992/F1991-1</x:f>
        <x:v>-0.0033007121033807874</x:v>
      </x:c>
      <x:c r="J1992" s="12" t="n">
        <x:v>0</x:v>
      </x:c>
      <x:c r="K1992" s="12" t="n">
        <x:v>0</x:v>
      </x:c>
      <x:c r="L1992" s="12" t="n">
        <x:v>0</x:v>
      </x:c>
      <x:c r="M1992" s="2" t="str">
        <x:v>持有</x:v>
      </x:c>
    </x:row>
    <x:row r="1993" ht="23" customHeight="1">
      <x:c r="A1993" s="11" t="d">
        <x:v>2022-11-22T00:00:00.000Z</x:v>
      </x:c>
      <x:c r="B1993" s="12" t="n">
        <x:v>19475.915216</x:v>
      </x:c>
      <x:c r="C1993" s="13" t="n">
        <x:v>484</x:v>
      </x:c>
      <x:c r="D1993" s="12" t="n">
        <x:v>193551.59999999998</x:v>
      </x:c>
      <x:c r="E1993" s="12" t="n">
        <x:v>0</x:v>
      </x:c>
      <x:c r="F1993" s="12" t="n">
        <x:f>SUM(B1993,D1993:E1993)</x:f>
        <x:v>213027.51521599997</x:v>
      </x:c>
      <x:c r="G1993" s="12" t="n">
        <x:f>MAX(G1992,F1993)</x:f>
        <x:v>248490.544664</x:v>
      </x:c>
      <x:c r="H1993" s="14" t="n">
        <x:f>F1993/G1993-1</x:f>
        <x:v>-0.14271379820890917</x:v>
      </x:c>
      <x:c r="I1993" s="14" t="n">
        <x:f>F1993/F1992-1</x:f>
        <x:v>0.012211683131531759</x:v>
      </x:c>
      <x:c r="J1993" s="12" t="n">
        <x:v>0</x:v>
      </x:c>
      <x:c r="K1993" s="12" t="n">
        <x:v>0</x:v>
      </x:c>
      <x:c r="L1993" s="12" t="n">
        <x:v>0</x:v>
      </x:c>
      <x:c r="M1993" s="2" t="str">
        <x:v>持有</x:v>
      </x:c>
    </x:row>
    <x:row r="1994" ht="23" customHeight="1">
      <x:c r="A1994" s="11" t="d">
        <x:v>2022-11-23T00:00:00.000Z</x:v>
      </x:c>
      <x:c r="B1994" s="12" t="n">
        <x:v>19475.915216</x:v>
      </x:c>
      <x:c r="C1994" s="13" t="n">
        <x:v>484</x:v>
      </x:c>
      <x:c r="D1994" s="12" t="n">
        <x:v>194771.28</x:v>
      </x:c>
      <x:c r="E1994" s="12" t="n">
        <x:v>0</x:v>
      </x:c>
      <x:c r="F1994" s="12" t="n">
        <x:f>SUM(B1994,D1994:E1994)</x:f>
        <x:v>214247.195216</x:v>
      </x:c>
      <x:c r="G1994" s="12" t="n">
        <x:f>MAX(G1993,F1994)</x:f>
        <x:v>248490.544664</x:v>
      </x:c>
      <x:c r="H1994" s="14" t="n">
        <x:f>F1994/G1994-1</x:f>
        <x:v>-0.13780544243364523</x:v>
      </x:c>
      <x:c r="I1994" s="14" t="n">
        <x:f>F1994/F1993-1</x:f>
        <x:v>0.005725457571822634</x:v>
      </x:c>
      <x:c r="J1994" s="12" t="n">
        <x:v>0</x:v>
      </x:c>
      <x:c r="K1994" s="12" t="n">
        <x:v>0</x:v>
      </x:c>
      <x:c r="L1994" s="12" t="n">
        <x:v>0</x:v>
      </x:c>
      <x:c r="M1994" s="2" t="str">
        <x:v>持有</x:v>
      </x:c>
    </x:row>
    <x:row r="1995" ht="23" customHeight="1">
      <x:c r="A1995" s="11" t="d">
        <x:v>2022-11-25T00:00:00.000Z</x:v>
      </x:c>
      <x:c r="B1995" s="12" t="n">
        <x:v>19475.915216</x:v>
      </x:c>
      <x:c r="C1995" s="13" t="n">
        <x:v>484</x:v>
      </x:c>
      <x:c r="D1995" s="12" t="n">
        <x:v>194727.72</x:v>
      </x:c>
      <x:c r="E1995" s="12" t="n">
        <x:v>0</x:v>
      </x:c>
      <x:c r="F1995" s="12" t="n">
        <x:f>SUM(B1995,D1995:E1995)</x:f>
        <x:v>214203.635216</x:v>
      </x:c>
      <x:c r="G1995" s="12" t="n">
        <x:f>MAX(G1994,F1995)</x:f>
        <x:v>248490.544664</x:v>
      </x:c>
      <x:c r="H1995" s="14" t="n">
        <x:f>F1995/G1995-1</x:f>
        <x:v>-0.13798074085419032</x:v>
      </x:c>
      <x:c r="I1995" s="14" t="n">
        <x:f>F1995/F1994-1</x:f>
        <x:v>-0.00020331654729988102</x:v>
      </x:c>
      <x:c r="J1995" s="12" t="n">
        <x:v>0</x:v>
      </x:c>
      <x:c r="K1995" s="12" t="n">
        <x:v>0</x:v>
      </x:c>
      <x:c r="L1995" s="12" t="n">
        <x:v>0</x:v>
      </x:c>
      <x:c r="M1995" s="2" t="str">
        <x:v>持有</x:v>
      </x:c>
    </x:row>
    <x:row r="1996" ht="23" customHeight="1">
      <x:c r="A1996" s="11" t="d">
        <x:v>2022-11-28T00:00:00.000Z</x:v>
      </x:c>
      <x:c r="B1996" s="12" t="n">
        <x:v>19475.915216</x:v>
      </x:c>
      <x:c r="C1996" s="13" t="n">
        <x:v>484</x:v>
      </x:c>
      <x:c r="D1996" s="12" t="n">
        <x:v>191620.44</x:v>
      </x:c>
      <x:c r="E1996" s="12" t="n">
        <x:v>0</x:v>
      </x:c>
      <x:c r="F1996" s="12" t="n">
        <x:f>SUM(B1996,D1996:E1996)</x:f>
        <x:v>211096.355216</x:v>
      </x:c>
      <x:c r="G1996" s="12" t="n">
        <x:f>MAX(G1995,F1996)</x:f>
        <x:v>248490.544664</x:v>
      </x:c>
      <x:c r="H1996" s="14" t="n">
        <x:f>F1996/G1996-1</x:f>
        <x:v>-0.15048536151974345</x:v>
      </x:c>
      <x:c r="I1996" s="14" t="n">
        <x:f>F1996/F1995-1</x:f>
        <x:v>-0.014506196390489223</x:v>
      </x:c>
      <x:c r="J1996" s="12" t="n">
        <x:v>0</x:v>
      </x:c>
      <x:c r="K1996" s="12" t="n">
        <x:v>0</x:v>
      </x:c>
      <x:c r="L1996" s="12" t="n">
        <x:v>0</x:v>
      </x:c>
      <x:c r="M1996" s="2" t="str">
        <x:v>持有</x:v>
      </x:c>
    </x:row>
    <x:row r="1997" ht="23" customHeight="1">
      <x:c r="A1997" s="11" t="d">
        <x:v>2022-11-29T00:00:00.000Z</x:v>
      </x:c>
      <x:c r="B1997" s="12" t="n">
        <x:v>19475.915216</x:v>
      </x:c>
      <x:c r="C1997" s="13" t="n">
        <x:v>484</x:v>
      </x:c>
      <x:c r="D1997" s="12" t="n">
        <x:v>191291.32</x:v>
      </x:c>
      <x:c r="E1997" s="12" t="n">
        <x:v>0</x:v>
      </x:c>
      <x:c r="F1997" s="12" t="n">
        <x:f>SUM(B1997,D1997:E1997)</x:f>
        <x:v>210767.235216</x:v>
      </x:c>
      <x:c r="G1997" s="12" t="n">
        <x:f>MAX(G1996,F1997)</x:f>
        <x:v>248490.544664</x:v>
      </x:c>
      <x:c r="H1997" s="14" t="n">
        <x:f>F1997/G1997-1</x:f>
        <x:v>-0.1518098384749733</x:v>
      </x:c>
      <x:c r="I1997" s="14" t="n">
        <x:f>F1997/F1996-1</x:f>
        <x:v>-0.0015590984489676218</x:v>
      </x:c>
      <x:c r="J1997" s="12" t="n">
        <x:v>0</x:v>
      </x:c>
      <x:c r="K1997" s="12" t="n">
        <x:v>0</x:v>
      </x:c>
      <x:c r="L1997" s="12" t="n">
        <x:v>0</x:v>
      </x:c>
      <x:c r="M1997" s="2" t="str">
        <x:v>持有</x:v>
      </x:c>
    </x:row>
    <x:row r="1998" ht="23" customHeight="1">
      <x:c r="A1998" s="11" t="d">
        <x:v>2022-11-30T00:00:00.000Z</x:v>
      </x:c>
      <x:c r="B1998" s="12" t="n">
        <x:v>19475.915216</x:v>
      </x:c>
      <x:c r="C1998" s="13" t="n">
        <x:v>484</x:v>
      </x:c>
      <x:c r="D1998" s="12" t="n">
        <x:v>197317.12</x:v>
      </x:c>
      <x:c r="E1998" s="12" t="n">
        <x:v>0</x:v>
      </x:c>
      <x:c r="F1998" s="12" t="n">
        <x:f>SUM(B1998,D1998:E1998)</x:f>
        <x:v>216793.035216</x:v>
      </x:c>
      <x:c r="G1998" s="12" t="n">
        <x:f>MAX(G1997,F1998)</x:f>
        <x:v>248490.544664</x:v>
      </x:c>
      <x:c r="H1998" s="14" t="n">
        <x:f>F1998/G1998-1</x:f>
        <x:v>-0.1275602236328961</x:v>
      </x:c>
      <x:c r="I1998" s="14" t="n">
        <x:f>F1998/F1997-1</x:f>
        <x:v>0.028589832730996356</x:v>
      </x:c>
      <x:c r="J1998" s="12" t="n">
        <x:v>0</x:v>
      </x:c>
      <x:c r="K1998" s="12" t="n">
        <x:v>0</x:v>
      </x:c>
      <x:c r="L1998" s="12" t="n">
        <x:v>0</x:v>
      </x:c>
      <x:c r="M1998" s="2" t="str">
        <x:v>持有</x:v>
      </x:c>
    </x:row>
    <x:row r="1999" ht="23" customHeight="1">
      <x:c r="A1999" s="11" t="d">
        <x:v>2022-12-01T00:00:00.000Z</x:v>
      </x:c>
      <x:c r="B1999" s="12" t="n">
        <x:v>19475.915216</x:v>
      </x:c>
      <x:c r="C1999" s="13" t="n">
        <x:v>484</x:v>
      </x:c>
      <x:c r="D1999" s="12" t="n">
        <x:v>197171.91999999998</x:v>
      </x:c>
      <x:c r="E1999" s="12" t="n">
        <x:v>0</x:v>
      </x:c>
      <x:c r="F1999" s="12" t="n">
        <x:f>SUM(B1999,D1999:E1999)</x:f>
        <x:v>216647.83521599998</x:v>
      </x:c>
      <x:c r="G1999" s="12" t="n">
        <x:f>MAX(G1998,F1999)</x:f>
        <x:v>248490.544664</x:v>
      </x:c>
      <x:c r="H1999" s="14" t="n">
        <x:f>F1999/G1999-1</x:f>
        <x:v>-0.12814455170137995</x:v>
      </x:c>
      <x:c r="I1999" s="14" t="n">
        <x:f>F1999/F1998-1</x:f>
        <x:v>-0.0006697632138197296</x:v>
      </x:c>
      <x:c r="J1999" s="12" t="n">
        <x:v>0</x:v>
      </x:c>
      <x:c r="K1999" s="12" t="n">
        <x:v>0</x:v>
      </x:c>
      <x:c r="L1999" s="12" t="n">
        <x:v>0</x:v>
      </x:c>
      <x:c r="M1999" s="2" t="str">
        <x:v>持有</x:v>
      </x:c>
    </x:row>
    <x:row r="2000" ht="23" customHeight="1">
      <x:c r="A2000" s="11" t="d">
        <x:v>2022-12-02T00:00:00.000Z</x:v>
      </x:c>
      <x:c r="B2000" s="12" t="n">
        <x:v>19475.915216</x:v>
      </x:c>
      <x:c r="C2000" s="13" t="n">
        <x:v>484</x:v>
      </x:c>
      <x:c r="D2000" s="12" t="n">
        <x:v>196944.44</x:v>
      </x:c>
      <x:c r="E2000" s="12" t="n">
        <x:v>0</x:v>
      </x:c>
      <x:c r="F2000" s="12" t="n">
        <x:f>SUM(B2000,D2000:E2000)</x:f>
        <x:v>216420.355216</x:v>
      </x:c>
      <x:c r="G2000" s="12" t="n">
        <x:f>MAX(G1999,F2000)</x:f>
        <x:v>248490.544664</x:v>
      </x:c>
      <x:c r="H2000" s="14" t="n">
        <x:f>F2000/G2000-1</x:f>
        <x:v>-0.12905999900867116</x:v>
      </x:c>
      <x:c r="I2000" s="14" t="n">
        <x:f>F2000/F1999-1</x:f>
        <x:v>-0.0010499989523236053</x:v>
      </x:c>
      <x:c r="J2000" s="12" t="n">
        <x:v>0</x:v>
      </x:c>
      <x:c r="K2000" s="12" t="n">
        <x:v>0</x:v>
      </x:c>
      <x:c r="L2000" s="12" t="n">
        <x:v>0</x:v>
      </x:c>
      <x:c r="M2000" s="2" t="str">
        <x:v>持有</x:v>
      </x:c>
    </x:row>
    <x:row r="2001" ht="23" customHeight="1">
      <x:c r="A2001" s="11" t="d">
        <x:v>2022-12-05T00:00:00.000Z</x:v>
      </x:c>
      <x:c r="B2001" s="12" t="n">
        <x:v>19475.915216</x:v>
      </x:c>
      <x:c r="C2001" s="13" t="n">
        <x:v>484</x:v>
      </x:c>
      <x:c r="D2001" s="12" t="n">
        <x:v>193401.56</x:v>
      </x:c>
      <x:c r="E2001" s="12" t="n">
        <x:v>0</x:v>
      </x:c>
      <x:c r="F2001" s="12" t="n">
        <x:f>SUM(B2001,D2001:E2001)</x:f>
        <x:v>212877.475216</x:v>
      </x:c>
      <x:c r="G2001" s="12" t="n">
        <x:f>MAX(G2000,F2001)</x:f>
        <x:v>248490.544664</x:v>
      </x:c>
      <x:c r="H2001" s="14" t="n">
        <x:f>F2001/G2001-1</x:f>
        <x:v>-0.14331760387967563</x:v>
      </x:c>
      <x:c r="I2001" s="14" t="n">
        <x:f>F2001/F2000-1</x:f>
        <x:v>-0.016370364037449292</x:v>
      </x:c>
      <x:c r="J2001" s="12" t="n">
        <x:v>0</x:v>
      </x:c>
      <x:c r="K2001" s="12" t="n">
        <x:v>0</x:v>
      </x:c>
      <x:c r="L2001" s="12" t="n">
        <x:v>0</x:v>
      </x:c>
      <x:c r="M2001" s="2" t="str">
        <x:v>持有</x:v>
      </x:c>
    </x:row>
    <x:row r="2002" ht="23" customHeight="1">
      <x:c r="A2002" s="11" t="d">
        <x:v>2022-12-06T00:00:00.000Z</x:v>
      </x:c>
      <x:c r="B2002" s="12" t="n">
        <x:v>19475.915216</x:v>
      </x:c>
      <x:c r="C2002" s="13" t="n">
        <x:v>484</x:v>
      </x:c>
      <x:c r="D2002" s="12" t="n">
        <x:v>190613.72</x:v>
      </x:c>
      <x:c r="E2002" s="12" t="n">
        <x:v>0</x:v>
      </x:c>
      <x:c r="F2002" s="12" t="n">
        <x:f>SUM(B2002,D2002:E2002)</x:f>
        <x:v>210089.635216</x:v>
      </x:c>
      <x:c r="G2002" s="12" t="n">
        <x:f>MAX(G2001,F2002)</x:f>
        <x:v>248490.544664</x:v>
      </x:c>
      <x:c r="H2002" s="14" t="n">
        <x:f>F2002/G2002-1</x:f>
        <x:v>-0.15453670279456433</x:v>
      </x:c>
      <x:c r="I2002" s="14" t="n">
        <x:f>F2002/F2001-1</x:f>
        <x:v>-0.013095983955894175</x:v>
      </x:c>
      <x:c r="J2002" s="12" t="n">
        <x:v>0</x:v>
      </x:c>
      <x:c r="K2002" s="12" t="n">
        <x:v>0</x:v>
      </x:c>
      <x:c r="L2002" s="12" t="n">
        <x:v>0</x:v>
      </x:c>
      <x:c r="M2002" s="2" t="str">
        <x:v>持有</x:v>
      </x:c>
    </x:row>
    <x:row r="2003" ht="23" customHeight="1">
      <x:c r="A2003" s="11" t="d">
        <x:v>2022-12-07T00:00:00.000Z</x:v>
      </x:c>
      <x:c r="B2003" s="12" t="n">
        <x:v>19475.915216</x:v>
      </x:c>
      <x:c r="C2003" s="13" t="n">
        <x:v>484</x:v>
      </x:c>
      <x:c r="D2003" s="12" t="n">
        <x:v>190289.44</x:v>
      </x:c>
      <x:c r="E2003" s="12" t="n">
        <x:v>0</x:v>
      </x:c>
      <x:c r="F2003" s="12" t="n">
        <x:f>SUM(B2003,D2003:E2003)</x:f>
        <x:v>209765.355216</x:v>
      </x:c>
      <x:c r="G2003" s="12" t="n">
        <x:f>MAX(G2002,F2003)</x:f>
        <x:v>248490.544664</x:v>
      </x:c>
      <x:c r="H2003" s="14" t="n">
        <x:f>F2003/G2003-1</x:f>
        <x:v>-0.15584170214751147</x:v>
      </x:c>
      <x:c r="I2003" s="14" t="n">
        <x:f>F2003/F2002-1</x:f>
        <x:v>-0.001543531643846241</x:v>
      </x:c>
      <x:c r="J2003" s="12" t="n">
        <x:v>0</x:v>
      </x:c>
      <x:c r="K2003" s="12" t="n">
        <x:v>0</x:v>
      </x:c>
      <x:c r="L2003" s="12" t="n">
        <x:v>0</x:v>
      </x:c>
      <x:c r="M2003" s="2" t="str">
        <x:v>持有</x:v>
      </x:c>
    </x:row>
    <x:row r="2004" ht="23" customHeight="1">
      <x:c r="A2004" s="11" t="d">
        <x:v>2022-12-08T00:00:00.000Z</x:v>
      </x:c>
      <x:c r="B2004" s="12" t="n">
        <x:v>19475.915216</x:v>
      </x:c>
      <x:c r="C2004" s="13" t="n">
        <x:v>484</x:v>
      </x:c>
      <x:c r="D2004" s="12" t="n">
        <x:v>191780.16</x:v>
      </x:c>
      <x:c r="E2004" s="12" t="n">
        <x:v>0</x:v>
      </x:c>
      <x:c r="F2004" s="12" t="n">
        <x:f>SUM(B2004,D2004:E2004)</x:f>
        <x:v>211256.075216</x:v>
      </x:c>
      <x:c r="G2004" s="12" t="n">
        <x:f>MAX(G2003,F2004)</x:f>
        <x:v>248490.544664</x:v>
      </x:c>
      <x:c r="H2004" s="14" t="n">
        <x:f>F2004/G2004-1</x:f>
        <x:v>-0.14984260064441124</x:v>
      </x:c>
      <x:c r="I2004" s="14" t="n">
        <x:f>F2004/F2003-1</x:f>
        <x:v>0.007106607277760357</x:v>
      </x:c>
      <x:c r="J2004" s="12" t="n">
        <x:v>0</x:v>
      </x:c>
      <x:c r="K2004" s="12" t="n">
        <x:v>0</x:v>
      </x:c>
      <x:c r="L2004" s="12" t="n">
        <x:v>0</x:v>
      </x:c>
      <x:c r="M2004" s="2" t="str">
        <x:v>持有</x:v>
      </x:c>
    </x:row>
    <x:row r="2005" ht="23" customHeight="1">
      <x:c r="A2005" s="11" t="d">
        <x:v>2022-12-09T00:00:00.000Z</x:v>
      </x:c>
      <x:c r="B2005" s="12" t="n">
        <x:v>19475.915216</x:v>
      </x:c>
      <x:c r="C2005" s="13" t="n">
        <x:v>484</x:v>
      </x:c>
      <x:c r="D2005" s="12" t="n">
        <x:v>190347.52</x:v>
      </x:c>
      <x:c r="E2005" s="12" t="n">
        <x:v>0</x:v>
      </x:c>
      <x:c r="F2005" s="12" t="n">
        <x:f>SUM(B2005,D2005:E2005)</x:f>
        <x:v>209823.43521599998</x:v>
      </x:c>
      <x:c r="G2005" s="12" t="n">
        <x:f>MAX(G2004,F2005)</x:f>
        <x:v>248490.544664</x:v>
      </x:c>
      <x:c r="H2005" s="14" t="n">
        <x:f>F2005/G2005-1</x:f>
        <x:v>-0.15560797092011802</x:v>
      </x:c>
      <x:c r="I2005" s="14" t="n">
        <x:f>F2005/F2004-1</x:f>
        <x:v>-0.0067815327844901185</x:v>
      </x:c>
      <x:c r="J2005" s="12" t="n">
        <x:v>0</x:v>
      </x:c>
      <x:c r="K2005" s="12" t="n">
        <x:v>0</x:v>
      </x:c>
      <x:c r="L2005" s="12" t="n">
        <x:v>0</x:v>
      </x:c>
      <x:c r="M2005" s="2" t="str">
        <x:v>持有</x:v>
      </x:c>
    </x:row>
    <x:row r="2006" ht="23" customHeight="1">
      <x:c r="A2006" s="11" t="d">
        <x:v>2022-12-12T00:00:00.000Z</x:v>
      </x:c>
      <x:c r="B2006" s="12" t="n">
        <x:v>19475.915216</x:v>
      </x:c>
      <x:c r="C2006" s="13" t="n">
        <x:v>484</x:v>
      </x:c>
      <x:c r="D2006" s="12" t="n">
        <x:v>193091.8</x:v>
      </x:c>
      <x:c r="E2006" s="12" t="n">
        <x:v>0</x:v>
      </x:c>
      <x:c r="F2006" s="12" t="n">
        <x:f>SUM(B2006,D2006:E2006)</x:f>
        <x:v>212567.71521599998</x:v>
      </x:c>
      <x:c r="G2006" s="12" t="n">
        <x:f>MAX(G2005,F2006)</x:f>
        <x:v>248490.544664</x:v>
      </x:c>
      <x:c r="H2006" s="14" t="n">
        <x:f>F2006/G2006-1</x:f>
        <x:v>-0.1445641704257744</x:v>
      </x:c>
      <x:c r="I2006" s="14" t="n">
        <x:f>F2006/F2005-1</x:f>
        <x:v>0.013078996620062622</x:v>
      </x:c>
      <x:c r="J2006" s="12" t="n">
        <x:v>0</x:v>
      </x:c>
      <x:c r="K2006" s="12" t="n">
        <x:v>0</x:v>
      </x:c>
      <x:c r="L2006" s="12" t="n">
        <x:v>0</x:v>
      </x:c>
      <x:c r="M2006" s="2" t="str">
        <x:v>持有</x:v>
      </x:c>
    </x:row>
    <x:row r="2007" ht="23" customHeight="1">
      <x:c r="A2007" s="11" t="d">
        <x:v>2022-12-13T00:00:00.000Z</x:v>
      </x:c>
      <x:c r="B2007" s="12" t="n">
        <x:v>19475.915216</x:v>
      </x:c>
      <x:c r="C2007" s="13" t="n">
        <x:v>484</x:v>
      </x:c>
      <x:c r="D2007" s="12" t="n">
        <x:v>194553.48</x:v>
      </x:c>
      <x:c r="E2007" s="12" t="n">
        <x:v>0</x:v>
      </x:c>
      <x:c r="F2007" s="12" t="n">
        <x:f>SUM(B2007,D2007:E2007)</x:f>
        <x:v>214029.395216</x:v>
      </x:c>
      <x:c r="G2007" s="12" t="n">
        <x:f>MAX(G2006,F2007)</x:f>
        <x:v>248490.544664</x:v>
      </x:c>
      <x:c r="H2007" s="14" t="n">
        <x:f>F2007/G2007-1</x:f>
        <x:v>-0.1386819345363709</x:v>
      </x:c>
      <x:c r="I2007" s="14" t="n">
        <x:f>F2007/F2006-1</x:f>
        <x:v>0.0068763029160601175</x:v>
      </x:c>
      <x:c r="J2007" s="12" t="n">
        <x:v>0</x:v>
      </x:c>
      <x:c r="K2007" s="12" t="n">
        <x:v>0</x:v>
      </x:c>
      <x:c r="L2007" s="12" t="n">
        <x:v>0</x:v>
      </x:c>
      <x:c r="M2007" s="2" t="str">
        <x:v>持有</x:v>
      </x:c>
    </x:row>
    <x:row r="2008" ht="23" customHeight="1">
      <x:c r="A2008" s="11" t="d">
        <x:v>2022-12-14T00:00:00.000Z</x:v>
      </x:c>
      <x:c r="B2008" s="12" t="n">
        <x:v>19475.915216</x:v>
      </x:c>
      <x:c r="C2008" s="13" t="n">
        <x:v>484</x:v>
      </x:c>
      <x:c r="D2008" s="12" t="n">
        <x:v>193309.59999999998</x:v>
      </x:c>
      <x:c r="E2008" s="12" t="n">
        <x:v>0</x:v>
      </x:c>
      <x:c r="F2008" s="12" t="n">
        <x:f>SUM(B2008,D2008:E2008)</x:f>
        <x:v>212785.51521599997</x:v>
      </x:c>
      <x:c r="G2008" s="12" t="n">
        <x:f>MAX(G2007,F2008)</x:f>
        <x:v>248490.544664</x:v>
      </x:c>
      <x:c r="H2008" s="14" t="n">
        <x:f>F2008/G2008-1</x:f>
        <x:v>-0.14368767832304874</x:v>
      </x:c>
      <x:c r="I2008" s="14" t="n">
        <x:f>F2008/F2007-1</x:f>
        <x:v>-0.005811725061152018</x:v>
      </x:c>
      <x:c r="J2008" s="12" t="n">
        <x:v>0</x:v>
      </x:c>
      <x:c r="K2008" s="12" t="n">
        <x:v>0</x:v>
      </x:c>
      <x:c r="L2008" s="12" t="n">
        <x:v>0</x:v>
      </x:c>
      <x:c r="M2008" s="2" t="str">
        <x:v>持有</x:v>
      </x:c>
    </x:row>
    <x:row r="2009" ht="23" customHeight="1">
      <x:c r="A2009" s="11" t="d">
        <x:v>2022-12-15T00:00:00.000Z</x:v>
      </x:c>
      <x:c r="B2009" s="12" t="n">
        <x:v>19475.915216</x:v>
      </x:c>
      <x:c r="C2009" s="13" t="n">
        <x:v>484</x:v>
      </x:c>
      <x:c r="D2009" s="12" t="n">
        <x:v>188580.91999999998</x:v>
      </x:c>
      <x:c r="E2009" s="12" t="n">
        <x:v>0</x:v>
      </x:c>
      <x:c r="F2009" s="12" t="n">
        <x:f>SUM(B2009,D2009:E2009)</x:f>
        <x:v>208056.83521599998</x:v>
      </x:c>
      <x:c r="G2009" s="12" t="n">
        <x:f>MAX(G2008,F2009)</x:f>
        <x:v>248490.544664</x:v>
      </x:c>
      <x:c r="H2009" s="14" t="n">
        <x:f>F2009/G2009-1</x:f>
        <x:v>-0.1627172957533375</x:v>
      </x:c>
      <x:c r="I2009" s="14" t="n">
        <x:f>F2009/F2008-1</x:f>
        <x:v>-0.022222753250849214</x:v>
      </x:c>
      <x:c r="J2009" s="12" t="n">
        <x:v>0</x:v>
      </x:c>
      <x:c r="K2009" s="12" t="n">
        <x:v>0</x:v>
      </x:c>
      <x:c r="L2009" s="12" t="n">
        <x:v>0</x:v>
      </x:c>
      <x:c r="M2009" s="2" t="str">
        <x:v>持有</x:v>
      </x:c>
    </x:row>
    <x:row r="2010" ht="23" customHeight="1">
      <x:c r="A2010" s="11" t="d">
        <x:v>2022-12-16T00:00:00.000Z</x:v>
      </x:c>
      <x:c r="B2010" s="12" t="n">
        <x:v>19475.915216</x:v>
      </x:c>
      <x:c r="C2010" s="13" t="n">
        <x:v>484</x:v>
      </x:c>
      <x:c r="D2010" s="12" t="n">
        <x:v>185502.68</x:v>
      </x:c>
      <x:c r="E2010" s="12" t="n">
        <x:v>862.1976</x:v>
      </x:c>
      <x:c r="F2010" s="12" t="n">
        <x:f>SUM(B2010,D2010:E2010)</x:f>
        <x:v>205840.792816</x:v>
      </x:c>
      <x:c r="G2010" s="12" t="n">
        <x:f>MAX(G2009,F2010)</x:f>
        <x:v>248490.544664</x:v>
      </x:c>
      <x:c r="H2010" s="14" t="n">
        <x:f>F2010/G2010-1</x:f>
        <x:v>-0.17163531073453697</x:v>
      </x:c>
      <x:c r="I2010" s="14" t="n">
        <x:f>F2010/F2009-1</x:f>
        <x:v>-0.010651139616246308</x:v>
      </x:c>
      <x:c r="J2010" s="12" t="n">
        <x:v>862.1976</x:v>
      </x:c>
      <x:c r="K2010" s="12" t="n">
        <x:v>0</x:v>
      </x:c>
      <x:c r="L2010" s="12" t="n">
        <x:v>0</x:v>
      </x:c>
      <x:c r="M2010" s="2" t="str">
        <x:v>持有</x:v>
      </x:c>
    </x:row>
    <x:row r="2011" ht="23" customHeight="1">
      <x:c r="A2011" s="11" t="d">
        <x:v>2022-12-19T00:00:00.000Z</x:v>
      </x:c>
      <x:c r="B2011" s="12" t="n">
        <x:v>19475.915216</x:v>
      </x:c>
      <x:c r="C2011" s="13" t="n">
        <x:v>484</x:v>
      </x:c>
      <x:c r="D2011" s="12" t="n">
        <x:v>183929.68</x:v>
      </x:c>
      <x:c r="E2011" s="12" t="n">
        <x:v>862.1976</x:v>
      </x:c>
      <x:c r="F2011" s="12" t="n">
        <x:f>SUM(B2011,D2011:E2011)</x:f>
        <x:v>204267.792816</x:v>
      </x:c>
      <x:c r="G2011" s="12" t="n">
        <x:f>MAX(G2010,F2011)</x:f>
        <x:v>248490.544664</x:v>
      </x:c>
      <x:c r="H2011" s="14" t="n">
        <x:f>F2011/G2011-1</x:f>
        <x:v>-0.17796553147644478</x:v>
      </x:c>
      <x:c r="I2011" s="14" t="n">
        <x:f>F2011/F2010-1</x:f>
        <x:v>-0.007641828320230415</x:v>
      </x:c>
      <x:c r="J2011" s="12" t="n">
        <x:v>0</x:v>
      </x:c>
      <x:c r="K2011" s="12" t="n">
        <x:v>0</x:v>
      </x:c>
      <x:c r="L2011" s="12" t="n">
        <x:v>0</x:v>
      </x:c>
      <x:c r="M2011" s="2" t="str">
        <x:v>持有</x:v>
      </x:c>
    </x:row>
    <x:row r="2012" ht="23" customHeight="1">
      <x:c r="A2012" s="11" t="d">
        <x:v>2022-12-20T00:00:00.000Z</x:v>
      </x:c>
      <x:c r="B2012" s="12" t="n">
        <x:v>19475.915216</x:v>
      </x:c>
      <x:c r="C2012" s="13" t="n">
        <x:v>484</x:v>
      </x:c>
      <x:c r="D2012" s="12" t="n">
        <x:v>184181.36000000002</x:v>
      </x:c>
      <x:c r="E2012" s="12" t="n">
        <x:v>862.1976</x:v>
      </x:c>
      <x:c r="F2012" s="12" t="n">
        <x:f>SUM(B2012,D2012:E2012)</x:f>
        <x:v>204519.47281600002</x:v>
      </x:c>
      <x:c r="G2012" s="12" t="n">
        <x:f>MAX(G2011,F2012)</x:f>
        <x:v>248490.544664</x:v>
      </x:c>
      <x:c r="H2012" s="14" t="n">
        <x:f>F2012/G2012-1</x:f>
        <x:v>-0.17695269615773945</x:v>
      </x:c>
      <x:c r="I2012" s="14" t="n">
        <x:f>F2012/F2011-1</x:f>
        <x:v>0.0012321080897306214</x:v>
      </x:c>
      <x:c r="J2012" s="12" t="n">
        <x:v>0</x:v>
      </x:c>
      <x:c r="K2012" s="12" t="n">
        <x:v>0</x:v>
      </x:c>
      <x:c r="L2012" s="12" t="n">
        <x:v>0</x:v>
      </x:c>
      <x:c r="M2012" s="2" t="str">
        <x:v>持有</x:v>
      </x:c>
    </x:row>
    <x:row r="2013" ht="23" customHeight="1">
      <x:c r="A2013" s="11" t="d">
        <x:v>2022-12-21T00:00:00.000Z</x:v>
      </x:c>
      <x:c r="B2013" s="12" t="n">
        <x:v>19475.915216</x:v>
      </x:c>
      <x:c r="C2013" s="13" t="n">
        <x:v>484</x:v>
      </x:c>
      <x:c r="D2013" s="12" t="n">
        <x:v>186935.32</x:v>
      </x:c>
      <x:c r="E2013" s="12" t="n">
        <x:v>862.1976</x:v>
      </x:c>
      <x:c r="F2013" s="12" t="n">
        <x:f>SUM(B2013,D2013:E2013)</x:f>
        <x:v>207273.43281600002</x:v>
      </x:c>
      <x:c r="G2013" s="12" t="n">
        <x:f>MAX(G2012,F2013)</x:f>
        <x:v>248490.544664</x:v>
      </x:c>
      <x:c r="H2013" s="14" t="n">
        <x:f>F2013/G2013-1</x:f>
        <x:v>-0.1658699404588302</x:v>
      </x:c>
      <x:c r="I2013" s="14" t="n">
        <x:f>F2013/F2012-1</x:f>
        <x:v>0.013465514858224115</x:v>
      </x:c>
      <x:c r="J2013" s="12" t="n">
        <x:v>0</x:v>
      </x:c>
      <x:c r="K2013" s="12" t="n">
        <x:v>0</x:v>
      </x:c>
      <x:c r="L2013" s="12" t="n">
        <x:v>0</x:v>
      </x:c>
      <x:c r="M2013" s="2" t="str">
        <x:v>持有</x:v>
      </x:c>
    </x:row>
    <x:row r="2014" ht="23" customHeight="1">
      <x:c r="A2014" s="11" t="d">
        <x:v>2022-12-22T00:00:00.000Z</x:v>
      </x:c>
      <x:c r="B2014" s="12" t="n">
        <x:v>19475.915216</x:v>
      </x:c>
      <x:c r="C2014" s="13" t="n">
        <x:v>484</x:v>
      </x:c>
      <x:c r="D2014" s="12" t="n">
        <x:v>184268.48</x:v>
      </x:c>
      <x:c r="E2014" s="12" t="n">
        <x:v>862.1976</x:v>
      </x:c>
      <x:c r="F2014" s="12" t="n">
        <x:f>SUM(B2014,D2014:E2014)</x:f>
        <x:v>204606.59281600002</x:v>
      </x:c>
      <x:c r="G2014" s="12" t="n">
        <x:f>MAX(G2013,F2014)</x:f>
        <x:v>248490.544664</x:v>
      </x:c>
      <x:c r="H2014" s="14" t="n">
        <x:f>F2014/G2014-1</x:f>
        <x:v>-0.17660209931664916</x:v>
      </x:c>
      <x:c r="I2014" s="14" t="n">
        <x:f>F2014/F2013-1</x:f>
        <x:v>-0.012866289537296294</x:v>
      </x:c>
      <x:c r="J2014" s="12" t="n">
        <x:v>0</x:v>
      </x:c>
      <x:c r="K2014" s="12" t="n">
        <x:v>0</x:v>
      </x:c>
      <x:c r="L2014" s="12" t="n">
        <x:v>0</x:v>
      </x:c>
      <x:c r="M2014" s="2" t="str">
        <x:v>持有</x:v>
      </x:c>
    </x:row>
    <x:row r="2015" ht="23" customHeight="1">
      <x:c r="A2015" s="11" t="d">
        <x:v>2022-12-23T00:00:00.000Z</x:v>
      </x:c>
      <x:c r="B2015" s="12" t="n">
        <x:v>19475.915216</x:v>
      </x:c>
      <x:c r="C2015" s="13" t="n">
        <x:v>484</x:v>
      </x:c>
      <x:c r="D2015" s="12" t="n">
        <x:v>185328.44</x:v>
      </x:c>
      <x:c r="E2015" s="12" t="n">
        <x:v>862.1976</x:v>
      </x:c>
      <x:c r="F2015" s="12" t="n">
        <x:f>SUM(B2015,D2015:E2015)</x:f>
        <x:v>205666.552816</x:v>
      </x:c>
      <x:c r="G2015" s="12" t="n">
        <x:f>MAX(G2014,F2015)</x:f>
        <x:v>248490.544664</x:v>
      </x:c>
      <x:c r="H2015" s="14" t="n">
        <x:f>F2015/G2015-1</x:f>
        <x:v>-0.17233650441671755</x:v>
      </x:c>
      <x:c r="I2015" s="14" t="n">
        <x:f>F2015/F2014-1</x:f>
        <x:v>0.005180478230988328</x:v>
      </x:c>
      <x:c r="J2015" s="12" t="n">
        <x:v>0</x:v>
      </x:c>
      <x:c r="K2015" s="12" t="n">
        <x:v>0</x:v>
      </x:c>
      <x:c r="L2015" s="12" t="n">
        <x:v>0</x:v>
      </x:c>
      <x:c r="M2015" s="2" t="str">
        <x:v>持有</x:v>
      </x:c>
    </x:row>
    <x:row r="2016" ht="23" customHeight="1">
      <x:c r="A2016" s="11" t="d">
        <x:v>2022-12-27T00:00:00.000Z</x:v>
      </x:c>
      <x:c r="B2016" s="12" t="n">
        <x:v>19475.915216</x:v>
      </x:c>
      <x:c r="C2016" s="13" t="n">
        <x:v>484</x:v>
      </x:c>
      <x:c r="D2016" s="12" t="n">
        <x:v>184597.59999999998</x:v>
      </x:c>
      <x:c r="E2016" s="12" t="n">
        <x:v>862.1976</x:v>
      </x:c>
      <x:c r="F2016" s="12" t="n">
        <x:f>SUM(B2016,D2016:E2016)</x:f>
        <x:v>204935.71281599998</x:v>
      </x:c>
      <x:c r="G2016" s="12" t="n">
        <x:f>MAX(G2015,F2016)</x:f>
        <x:v>248490.544664</x:v>
      </x:c>
      <x:c r="H2016" s="14" t="n">
        <x:f>F2016/G2016-1</x:f>
        <x:v>-0.17527762236141942</x:v>
      </x:c>
      <x:c r="I2016" s="14" t="n">
        <x:f>F2016/F2015-1</x:f>
        <x:v>-0.003553518984945825</x:v>
      </x:c>
      <x:c r="J2016" s="12" t="n">
        <x:v>0</x:v>
      </x:c>
      <x:c r="K2016" s="12" t="n">
        <x:v>0</x:v>
      </x:c>
      <x:c r="L2016" s="12" t="n">
        <x:v>0</x:v>
      </x:c>
      <x:c r="M2016" s="2" t="str">
        <x:v>持有</x:v>
      </x:c>
    </x:row>
    <x:row r="2017" ht="23" customHeight="1">
      <x:c r="A2017" s="11" t="d">
        <x:v>2022-12-28T00:00:00.000Z</x:v>
      </x:c>
      <x:c r="B2017" s="12" t="n">
        <x:v>19475.915216</x:v>
      </x:c>
      <x:c r="C2017" s="13" t="n">
        <x:v>484</x:v>
      </x:c>
      <x:c r="D2017" s="12" t="n">
        <x:v>182303.44</x:v>
      </x:c>
      <x:c r="E2017" s="12" t="n">
        <x:v>862.1976</x:v>
      </x:c>
      <x:c r="F2017" s="12" t="n">
        <x:f>SUM(B2017,D2017:E2017)</x:f>
        <x:v>202641.552816</x:v>
      </x:c>
      <x:c r="G2017" s="12" t="n">
        <x:f>MAX(G2016,F2017)</x:f>
        <x:v>248490.544664</x:v>
      </x:c>
      <x:c r="H2017" s="14" t="n">
        <x:f>F2017/G2017-1</x:f>
        <x:v>-0.1845100058434631</x:v>
      </x:c>
      <x:c r="I2017" s="14" t="n">
        <x:f>F2017/F2016-1</x:f>
        <x:v>-0.01119453495184497</x:v>
      </x:c>
      <x:c r="J2017" s="12" t="n">
        <x:v>0</x:v>
      </x:c>
      <x:c r="K2017" s="12" t="n">
        <x:v>0</x:v>
      </x:c>
      <x:c r="L2017" s="12" t="n">
        <x:v>0</x:v>
      </x:c>
      <x:c r="M2017" s="2" t="str">
        <x:v>持有</x:v>
      </x:c>
    </x:row>
    <x:row r="2018" ht="23" customHeight="1">
      <x:c r="A2018" s="11" t="d">
        <x:v>2022-12-29T00:00:00.000Z</x:v>
      </x:c>
      <x:c r="B2018" s="12" t="n">
        <x:v>19475.915216</x:v>
      </x:c>
      <x:c r="C2018" s="13" t="n">
        <x:v>484</x:v>
      </x:c>
      <x:c r="D2018" s="12" t="n">
        <x:v>185584.96</x:v>
      </x:c>
      <x:c r="E2018" s="12" t="n">
        <x:v>862.1976</x:v>
      </x:c>
      <x:c r="F2018" s="12" t="n">
        <x:f>SUM(B2018,D2018:E2018)</x:f>
        <x:v>205923.072816</x:v>
      </x:c>
      <x:c r="G2018" s="12" t="n">
        <x:f>MAX(G2017,F2018)</x:f>
        <x:v>248490.544664</x:v>
      </x:c>
      <x:c r="H2018" s="14" t="n">
        <x:f>F2018/G2018-1</x:f>
        <x:v>-0.1713041914957295</x:v>
      </x:c>
      <x:c r="I2018" s="14" t="n">
        <x:f>F2018/F2017-1</x:f>
        <x:v>0.016193717203596636</x:v>
      </x:c>
      <x:c r="J2018" s="12" t="n">
        <x:v>0</x:v>
      </x:c>
      <x:c r="K2018" s="12" t="n">
        <x:v>0</x:v>
      </x:c>
      <x:c r="L2018" s="12" t="n">
        <x:v>0</x:v>
      </x:c>
      <x:c r="M2018" s="2" t="str">
        <x:v>持有</x:v>
      </x:c>
    </x:row>
    <x:row r="2019" ht="23" customHeight="1">
      <x:c r="A2019" s="11" t="d">
        <x:v>2022-12-30T00:00:00.000Z</x:v>
      </x:c>
      <x:c r="B2019" s="12" t="n">
        <x:v>19475.915216</x:v>
      </x:c>
      <x:c r="C2019" s="13" t="n">
        <x:v>484</x:v>
      </x:c>
      <x:c r="D2019" s="12" t="n">
        <x:v>185096.12</x:v>
      </x:c>
      <x:c r="E2019" s="12" t="n">
        <x:v>862.1976</x:v>
      </x:c>
      <x:c r="F2019" s="12" t="n">
        <x:f>SUM(B2019,D2019:E2019)</x:f>
        <x:v>205434.232816</x:v>
      </x:c>
      <x:c r="G2019" s="12" t="n">
        <x:f>MAX(G2018,F2019)</x:f>
        <x:v>248490.544664</x:v>
      </x:c>
      <x:c r="H2019" s="14" t="n">
        <x:f>F2019/G2019-1</x:f>
        <x:v>-0.17327142932629158</x:v>
      </x:c>
      <x:c r="I2019" s="14" t="n">
        <x:f>F2019/F2018-1</x:f>
        <x:v>-0.0023738961997560315</x:v>
      </x:c>
      <x:c r="J2019" s="12" t="n">
        <x:v>0</x:v>
      </x:c>
      <x:c r="K2019" s="12" t="n">
        <x:v>0</x:v>
      </x:c>
      <x:c r="L2019" s="12" t="n">
        <x:v>0</x:v>
      </x:c>
      <x:c r="M2019" s="2" t="str">
        <x:v>持有</x:v>
      </x:c>
    </x:row>
    <x:row r="2020" ht="23" customHeight="1">
      <x:c r="A2020" s="11" t="d">
        <x:v>2023-01-03T00:00:00.000Z</x:v>
      </x:c>
      <x:c r="B2020" s="12" t="n">
        <x:v>19475.915216</x:v>
      </x:c>
      <x:c r="C2020" s="13" t="n">
        <x:v>484</x:v>
      </x:c>
      <x:c r="D2020" s="12" t="n">
        <x:v>184316.88</x:v>
      </x:c>
      <x:c r="E2020" s="12" t="n">
        <x:v>862.1976</x:v>
      </x:c>
      <x:c r="F2020" s="12" t="n">
        <x:f>SUM(B2020,D2020:E2020)</x:f>
        <x:v>204654.992816</x:v>
      </x:c>
      <x:c r="G2020" s="12" t="n">
        <x:f>MAX(G2019,F2020)</x:f>
        <x:v>248490.544664</x:v>
      </x:c>
      <x:c r="H2020" s="14" t="n">
        <x:f>F2020/G2020-1</x:f>
        <x:v>-0.17640732329382125</x:v>
      </x:c>
      <x:c r="I2020" s="14" t="n">
        <x:f>F2020/F2019-1</x:f>
        <x:v>-0.0037931360772667233</x:v>
      </x:c>
      <x:c r="J2020" s="12" t="n">
        <x:v>0</x:v>
      </x:c>
      <x:c r="K2020" s="12" t="n">
        <x:v>0</x:v>
      </x:c>
      <x:c r="L2020" s="12" t="n">
        <x:v>0</x:v>
      </x:c>
      <x:c r="M2020" s="2" t="str">
        <x:v>持有</x:v>
      </x:c>
    </x:row>
    <x:row r="2021" ht="23" customHeight="1">
      <x:c r="A2021" s="11" t="d">
        <x:v>2023-01-04T00:00:00.000Z</x:v>
      </x:c>
      <x:c r="B2021" s="12" t="n">
        <x:v>19475.915216</x:v>
      </x:c>
      <x:c r="C2021" s="13" t="n">
        <x:v>484</x:v>
      </x:c>
      <x:c r="D2021" s="12" t="n">
        <x:v>185739.84</x:v>
      </x:c>
      <x:c r="E2021" s="12" t="n">
        <x:v>862.1976</x:v>
      </x:c>
      <x:c r="F2021" s="12" t="n">
        <x:f>SUM(B2021,D2021:E2021)</x:f>
        <x:v>206077.952816</x:v>
      </x:c>
      <x:c r="G2021" s="12" t="n">
        <x:f>MAX(G2020,F2021)</x:f>
        <x:v>248490.544664</x:v>
      </x:c>
      <x:c r="H2021" s="14" t="n">
        <x:f>F2021/G2021-1</x:f>
        <x:v>-0.17068090822268012</x:v>
      </x:c>
      <x:c r="I2021" s="14" t="n">
        <x:f>F2021/F2020-1</x:f>
        <x:v>0.0069529698758892255</x:v>
      </x:c>
      <x:c r="J2021" s="12" t="n">
        <x:v>0</x:v>
      </x:c>
      <x:c r="K2021" s="12" t="n">
        <x:v>0</x:v>
      </x:c>
      <x:c r="L2021" s="12" t="n">
        <x:v>0</x:v>
      </x:c>
      <x:c r="M2021" s="2" t="str">
        <x:v>持有</x:v>
      </x:c>
    </x:row>
    <x:row r="2022" ht="23" customHeight="1">
      <x:c r="A2022" s="11" t="d">
        <x:v>2023-01-05T00:00:00.000Z</x:v>
      </x:c>
      <x:c r="B2022" s="12" t="n">
        <x:v>19475.915216</x:v>
      </x:c>
      <x:c r="C2022" s="13" t="n">
        <x:v>484</x:v>
      </x:c>
      <x:c r="D2022" s="12" t="n">
        <x:v>183619.91999999998</x:v>
      </x:c>
      <x:c r="E2022" s="12" t="n">
        <x:v>862.1976</x:v>
      </x:c>
      <x:c r="F2022" s="12" t="n">
        <x:f>SUM(B2022,D2022:E2022)</x:f>
        <x:v>203958.032816</x:v>
      </x:c>
      <x:c r="G2022" s="12" t="n">
        <x:f>MAX(G2021,F2022)</x:f>
        <x:v>248490.544664</x:v>
      </x:c>
      <x:c r="H2022" s="14" t="n">
        <x:f>F2022/G2022-1</x:f>
        <x:v>-0.17921209802254356</x:v>
      </x:c>
      <x:c r="I2022" s="14" t="n">
        <x:f>F2022/F2021-1</x:f>
        <x:v>-0.01028698107212278</x:v>
      </x:c>
      <x:c r="J2022" s="12" t="n">
        <x:v>0</x:v>
      </x:c>
      <x:c r="K2022" s="12" t="n">
        <x:v>0</x:v>
      </x:c>
      <x:c r="L2022" s="12" t="n">
        <x:v>0</x:v>
      </x:c>
      <x:c r="M2022" s="2" t="str">
        <x:v>持有</x:v>
      </x:c>
    </x:row>
    <x:row r="2023" ht="23" customHeight="1">
      <x:c r="A2023" s="11" t="d">
        <x:v>2023-01-06T00:00:00.000Z</x:v>
      </x:c>
      <x:c r="B2023" s="12" t="n">
        <x:v>19475.915216</x:v>
      </x:c>
      <x:c r="C2023" s="13" t="n">
        <x:v>484</x:v>
      </x:c>
      <x:c r="D2023" s="12" t="n">
        <x:v>187830.72</x:v>
      </x:c>
      <x:c r="E2023" s="12" t="n">
        <x:v>862.1976</x:v>
      </x:c>
      <x:c r="F2023" s="12" t="n">
        <x:f>SUM(B2023,D2023:E2023)</x:f>
        <x:v>208168.832816</x:v>
      </x:c>
      <x:c r="G2023" s="12" t="n">
        <x:f>MAX(G2022,F2023)</x:f>
        <x:v>248490.544664</x:v>
      </x:c>
      <x:c r="H2023" s="14" t="n">
        <x:f>F2023/G2023-1</x:f>
        <x:v>-0.1622665840365135</x:v>
      </x:c>
      <x:c r="I2023" s="14" t="n">
        <x:f>F2023/F2022-1</x:f>
        <x:v>0.020645423677913</x:v>
      </x:c>
      <x:c r="J2023" s="12" t="n">
        <x:v>0</x:v>
      </x:c>
      <x:c r="K2023" s="12" t="n">
        <x:v>0</x:v>
      </x:c>
      <x:c r="L2023" s="12" t="n">
        <x:v>0</x:v>
      </x:c>
      <x:c r="M2023" s="2" t="str">
        <x:v>持有</x:v>
      </x:c>
    </x:row>
    <x:row r="2024" ht="23" customHeight="1">
      <x:c r="A2024" s="11" t="d">
        <x:v>2023-01-09T00:00:00.000Z</x:v>
      </x:c>
      <x:c r="B2024" s="12" t="n">
        <x:v>19475.915216</x:v>
      </x:c>
      <x:c r="C2024" s="13" t="n">
        <x:v>484</x:v>
      </x:c>
      <x:c r="D2024" s="12" t="n">
        <x:v>187724.24000000002</x:v>
      </x:c>
      <x:c r="E2024" s="12" t="n">
        <x:v>862.1976</x:v>
      </x:c>
      <x:c r="F2024" s="12" t="n">
        <x:f>SUM(B2024,D2024:E2024)</x:f>
        <x:v>208062.35281600003</x:v>
      </x:c>
      <x:c r="G2024" s="12" t="n">
        <x:f>MAX(G2023,F2024)</x:f>
        <x:v>248490.544664</x:v>
      </x:c>
      <x:c r="H2024" s="14" t="n">
        <x:f>F2024/G2024-1</x:f>
        <x:v>-0.16269509128673487</x:v>
      </x:c>
      <x:c r="I2024" s="14" t="n">
        <x:f>F2024/F2023-1</x:f>
        <x:v>-0.0005115078878983326</x:v>
      </x:c>
      <x:c r="J2024" s="12" t="n">
        <x:v>0</x:v>
      </x:c>
      <x:c r="K2024" s="12" t="n">
        <x:v>0</x:v>
      </x:c>
      <x:c r="L2024" s="12" t="n">
        <x:v>0</x:v>
      </x:c>
      <x:c r="M2024" s="2" t="str">
        <x:v>持有</x:v>
      </x:c>
    </x:row>
    <x:row r="2025" ht="23" customHeight="1">
      <x:c r="A2025" s="11" t="d">
        <x:v>2023-01-10T00:00:00.000Z</x:v>
      </x:c>
      <x:c r="B2025" s="12" t="n">
        <x:v>19475.915216</x:v>
      </x:c>
      <x:c r="C2025" s="13" t="n">
        <x:v>484</x:v>
      </x:c>
      <x:c r="D2025" s="12" t="n">
        <x:v>189040.72</x:v>
      </x:c>
      <x:c r="E2025" s="12" t="n">
        <x:v>862.1976</x:v>
      </x:c>
      <x:c r="F2025" s="12" t="n">
        <x:f>SUM(B2025,D2025:E2025)</x:f>
        <x:v>209378.832816</x:v>
      </x:c>
      <x:c r="G2025" s="12" t="n">
        <x:f>MAX(G2024,F2025)</x:f>
        <x:v>248490.544664</x:v>
      </x:c>
      <x:c r="H2025" s="14" t="n">
        <x:f>F2025/G2025-1</x:f>
        <x:v>-0.15739718346581533</x:v>
      </x:c>
      <x:c r="I2025" s="14" t="n">
        <x:f>F2025/F2024-1</x:f>
        <x:v>0.006327334004360807</x:v>
      </x:c>
      <x:c r="J2025" s="12" t="n">
        <x:v>0</x:v>
      </x:c>
      <x:c r="K2025" s="12" t="n">
        <x:v>0</x:v>
      </x:c>
      <x:c r="L2025" s="12" t="n">
        <x:v>0</x:v>
      </x:c>
      <x:c r="M2025" s="2" t="str">
        <x:v>持有</x:v>
      </x:c>
    </x:row>
    <x:row r="2026" ht="23" customHeight="1">
      <x:c r="A2026" s="11" t="d">
        <x:v>2023-01-11T00:00:00.000Z</x:v>
      </x:c>
      <x:c r="B2026" s="12" t="n">
        <x:v>19475.915216</x:v>
      </x:c>
      <x:c r="C2026" s="13" t="n">
        <x:v>484</x:v>
      </x:c>
      <x:c r="D2026" s="12" t="n">
        <x:v>191431.68</x:v>
      </x:c>
      <x:c r="E2026" s="12" t="n">
        <x:v>862.1976</x:v>
      </x:c>
      <x:c r="F2026" s="12" t="n">
        <x:f>SUM(B2026,D2026:E2026)</x:f>
        <x:v>211769.792816</x:v>
      </x:c>
      <x:c r="G2026" s="12" t="n">
        <x:f>MAX(G2025,F2026)</x:f>
        <x:v>248490.544664</x:v>
      </x:c>
      <x:c r="H2026" s="14" t="n">
        <x:f>F2026/G2026-1</x:f>
        <x:v>-0.14777524793811558</x:v>
      </x:c>
      <x:c r="I2026" s="14" t="n">
        <x:f>F2026/F2025-1</x:f>
        <x:v>0.011419301406179638</x:v>
      </x:c>
      <x:c r="J2026" s="12" t="n">
        <x:v>0</x:v>
      </x:c>
      <x:c r="K2026" s="12" t="n">
        <x:v>0</x:v>
      </x:c>
      <x:c r="L2026" s="12" t="n">
        <x:v>0</x:v>
      </x:c>
      <x:c r="M2026" s="2" t="str">
        <x:v>持有</x:v>
      </x:c>
    </x:row>
    <x:row r="2027" ht="23" customHeight="1">
      <x:c r="A2027" s="11" t="d">
        <x:v>2023-01-12T00:00:00.000Z</x:v>
      </x:c>
      <x:c r="B2027" s="12" t="n">
        <x:v>19475.915216</x:v>
      </x:c>
      <x:c r="C2027" s="13" t="n">
        <x:v>484</x:v>
      </x:c>
      <x:c r="D2027" s="12" t="n">
        <x:v>192128.63999999998</x:v>
      </x:c>
      <x:c r="E2027" s="12" t="n">
        <x:v>862.1976</x:v>
      </x:c>
      <x:c r="F2027" s="12" t="n">
        <x:f>SUM(B2027,D2027:E2027)</x:f>
        <x:v>212466.752816</x:v>
      </x:c>
      <x:c r="G2027" s="12" t="n">
        <x:f>MAX(G2026,F2027)</x:f>
        <x:v>248490.544664</x:v>
      </x:c>
      <x:c r="H2027" s="14" t="n">
        <x:f>F2027/G2027-1</x:f>
        <x:v>-0.1449704732093935</x:v>
      </x:c>
      <x:c r="I2027" s="14" t="n">
        <x:f>F2027/F2026-1</x:f>
        <x:v>0.0032911209419066445</x:v>
      </x:c>
      <x:c r="J2027" s="12" t="n">
        <x:v>0</x:v>
      </x:c>
      <x:c r="K2027" s="12" t="n">
        <x:v>0</x:v>
      </x:c>
      <x:c r="L2027" s="12" t="n">
        <x:v>0</x:v>
      </x:c>
      <x:c r="M2027" s="2" t="str">
        <x:v>持有</x:v>
      </x:c>
    </x:row>
    <x:row r="2028" ht="23" customHeight="1">
      <x:c r="A2028" s="11" t="d">
        <x:v>2023-01-13T00:00:00.000Z</x:v>
      </x:c>
      <x:c r="B2028" s="12" t="n">
        <x:v>19475.915216</x:v>
      </x:c>
      <x:c r="C2028" s="13" t="n">
        <x:v>484</x:v>
      </x:c>
      <x:c r="D2028" s="12" t="n">
        <x:v>192874</x:v>
      </x:c>
      <x:c r="E2028" s="12" t="n">
        <x:v>862.1976</x:v>
      </x:c>
      <x:c r="F2028" s="12" t="n">
        <x:f>SUM(B2028,D2028:E2028)</x:f>
        <x:v>213212.112816</x:v>
      </x:c>
      <x:c r="G2028" s="12" t="n">
        <x:f>MAX(G2027,F2028)</x:f>
        <x:v>248490.544664</x:v>
      </x:c>
      <x:c r="H2028" s="14" t="n">
        <x:f>F2028/G2028-1</x:f>
        <x:v>-0.14197092245784326</x:v>
      </x:c>
      <x:c r="I2028" s="14" t="n">
        <x:f>F2028/F2027-1</x:f>
        <x:v>0.0035081253425353065</x:v>
      </x:c>
      <x:c r="J2028" s="12" t="n">
        <x:v>0</x:v>
      </x:c>
      <x:c r="K2028" s="12" t="n">
        <x:v>0</x:v>
      </x:c>
      <x:c r="L2028" s="12" t="n">
        <x:v>0</x:v>
      </x:c>
      <x:c r="M2028" s="2" t="str">
        <x:v>持有</x:v>
      </x:c>
    </x:row>
    <x:row r="2029" ht="23" customHeight="1">
      <x:c r="A2029" s="11" t="d">
        <x:v>2023-01-17T00:00:00.000Z</x:v>
      </x:c>
      <x:c r="B2029" s="12" t="n">
        <x:v>19475.915216</x:v>
      </x:c>
      <x:c r="C2029" s="13" t="n">
        <x:v>484</x:v>
      </x:c>
      <x:c r="D2029" s="12" t="n">
        <x:v>192520.68</x:v>
      </x:c>
      <x:c r="E2029" s="12" t="n">
        <x:v>862.1976</x:v>
      </x:c>
      <x:c r="F2029" s="12" t="n">
        <x:f>SUM(B2029,D2029:E2029)</x:f>
        <x:v>212858.792816</x:v>
      </x:c>
      <x:c r="G2029" s="12" t="n">
        <x:f>MAX(G2028,F2029)</x:f>
        <x:v>248490.544664</x:v>
      </x:c>
      <x:c r="H2029" s="14" t="n">
        <x:f>F2029/G2029-1</x:f>
        <x:v>-0.14339278742448713</x:v>
      </x:c>
      <x:c r="I2029" s="14" t="n">
        <x:f>F2029/F2028-1</x:f>
        <x:v>-0.0016571291158533619</x:v>
      </x:c>
      <x:c r="J2029" s="12" t="n">
        <x:v>0</x:v>
      </x:c>
      <x:c r="K2029" s="12" t="n">
        <x:v>0</x:v>
      </x:c>
      <x:c r="L2029" s="12" t="n">
        <x:v>0</x:v>
      </x:c>
      <x:c r="M2029" s="2" t="str">
        <x:v>持有</x:v>
      </x:c>
    </x:row>
    <x:row r="2030" ht="23" customHeight="1">
      <x:c r="A2030" s="11" t="d">
        <x:v>2023-01-18T00:00:00.000Z</x:v>
      </x:c>
      <x:c r="B2030" s="12" t="n">
        <x:v>19475.915216</x:v>
      </x:c>
      <x:c r="C2030" s="13" t="n">
        <x:v>484</x:v>
      </x:c>
      <x:c r="D2030" s="12" t="n">
        <x:v>189481.16</x:v>
      </x:c>
      <x:c r="E2030" s="12" t="n">
        <x:v>862.1976</x:v>
      </x:c>
      <x:c r="F2030" s="12" t="n">
        <x:f>SUM(B2030,D2030:E2030)</x:f>
        <x:v>209819.272816</x:v>
      </x:c>
      <x:c r="G2030" s="12" t="n">
        <x:f>MAX(G2029,F2030)</x:f>
        <x:v>248490.544664</x:v>
      </x:c>
      <x:c r="H2030" s="14" t="n">
        <x:f>F2030/G2030-1</x:f>
        <x:v>-0.15562472165808117</x:v>
      </x:c>
      <x:c r="I2030" s="14" t="n">
        <x:f>F2030/F2029-1</x:f>
        <x:v>-0.014279513473645533</x:v>
      </x:c>
      <x:c r="J2030" s="12" t="n">
        <x:v>0</x:v>
      </x:c>
      <x:c r="K2030" s="12" t="n">
        <x:v>0</x:v>
      </x:c>
      <x:c r="L2030" s="12" t="n">
        <x:v>0</x:v>
      </x:c>
      <x:c r="M2030" s="2" t="str">
        <x:v>持有</x:v>
      </x:c>
    </x:row>
    <x:row r="2031" ht="23" customHeight="1">
      <x:c r="A2031" s="11" t="d">
        <x:v>2023-01-19T00:00:00.000Z</x:v>
      </x:c>
      <x:c r="B2031" s="12" t="n">
        <x:v>19475.915216</x:v>
      </x:c>
      <x:c r="C2031" s="13" t="n">
        <x:v>484</x:v>
      </x:c>
      <x:c r="D2031" s="12" t="n">
        <x:v>188101.75999999998</x:v>
      </x:c>
      <x:c r="E2031" s="12" t="n">
        <x:v>862.1976</x:v>
      </x:c>
      <x:c r="F2031" s="12" t="n">
        <x:f>SUM(B2031,D2031:E2031)</x:f>
        <x:v>208439.872816</x:v>
      </x:c>
      <x:c r="G2031" s="12" t="n">
        <x:f>MAX(G2030,F2031)</x:f>
        <x:v>248490.544664</x:v>
      </x:c>
      <x:c r="H2031" s="14" t="n">
        <x:f>F2031/G2031-1</x:f>
        <x:v>-0.1611758383086772</x:v>
      </x:c>
      <x:c r="I2031" s="14" t="n">
        <x:f>F2031/F2030-1</x:f>
        <x:v>-0.006574229247327867</x:v>
      </x:c>
      <x:c r="J2031" s="12" t="n">
        <x:v>0</x:v>
      </x:c>
      <x:c r="K2031" s="12" t="n">
        <x:v>0</x:v>
      </x:c>
      <x:c r="L2031" s="12" t="n">
        <x:v>0</x:v>
      </x:c>
      <x:c r="M2031" s="2" t="str">
        <x:v>持有</x:v>
      </x:c>
    </x:row>
    <x:row r="2032" ht="23" customHeight="1">
      <x:c r="A2032" s="11" t="d">
        <x:v>2023-01-20T00:00:00.000Z</x:v>
      </x:c>
      <x:c r="B2032" s="12" t="n">
        <x:v>19475.915216</x:v>
      </x:c>
      <x:c r="C2032" s="13" t="n">
        <x:v>484</x:v>
      </x:c>
      <x:c r="D2032" s="12" t="n">
        <x:v>191605.91999999998</x:v>
      </x:c>
      <x:c r="E2032" s="12" t="n">
        <x:v>862.1976</x:v>
      </x:c>
      <x:c r="F2032" s="12" t="n">
        <x:f>SUM(B2032,D2032:E2032)</x:f>
        <x:v>211944.032816</x:v>
      </x:c>
      <x:c r="G2032" s="12" t="n">
        <x:f>MAX(G2031,F2032)</x:f>
        <x:v>248490.544664</x:v>
      </x:c>
      <x:c r="H2032" s="14" t="n">
        <x:f>F2032/G2032-1</x:f>
        <x:v>-0.14707405425593512</x:v>
      </x:c>
      <x:c r="I2032" s="14" t="n">
        <x:f>F2032/F2031-1</x:f>
        <x:v>0.016811370841188777</x:v>
      </x:c>
      <x:c r="J2032" s="12" t="n">
        <x:v>0</x:v>
      </x:c>
      <x:c r="K2032" s="12" t="n">
        <x:v>0</x:v>
      </x:c>
      <x:c r="L2032" s="12" t="n">
        <x:v>0</x:v>
      </x:c>
      <x:c r="M2032" s="2" t="str">
        <x:v>持有</x:v>
      </x:c>
    </x:row>
    <x:row r="2033" ht="23" customHeight="1">
      <x:c r="A2033" s="11" t="d">
        <x:v>2023-01-23T00:00:00.000Z</x:v>
      </x:c>
      <x:c r="B2033" s="12" t="n">
        <x:v>19475.915216</x:v>
      </x:c>
      <x:c r="C2033" s="13" t="n">
        <x:v>484</x:v>
      </x:c>
      <x:c r="D2033" s="12" t="n">
        <x:v>193904.91999999998</x:v>
      </x:c>
      <x:c r="E2033" s="12" t="n">
        <x:v>862.1976</x:v>
      </x:c>
      <x:c r="F2033" s="12" t="n">
        <x:f>SUM(B2033,D2033:E2033)</x:f>
        <x:v>214243.032816</x:v>
      </x:c>
      <x:c r="G2033" s="12" t="n">
        <x:f>MAX(G2032,F2033)</x:f>
        <x:v>248490.544664</x:v>
      </x:c>
      <x:c r="H2033" s="14" t="n">
        <x:f>F2033/G2033-1</x:f>
        <x:v>-0.13782219317160838</x:v>
      </x:c>
      <x:c r="I2033" s="14" t="n">
        <x:f>F2033/F2032-1</x:f>
        <x:v>0.010847203242545955</x:v>
      </x:c>
      <x:c r="J2033" s="12" t="n">
        <x:v>0</x:v>
      </x:c>
      <x:c r="K2033" s="12" t="n">
        <x:v>0</x:v>
      </x:c>
      <x:c r="L2033" s="12" t="n">
        <x:v>0</x:v>
      </x:c>
      <x:c r="M2033" s="2" t="str">
        <x:v>持有</x:v>
      </x:c>
    </x:row>
    <x:row r="2034" ht="23" customHeight="1">
      <x:c r="A2034" s="11" t="d">
        <x:v>2023-01-24T00:00:00.000Z</x:v>
      </x:c>
      <x:c r="B2034" s="12" t="n">
        <x:v>19475.915216</x:v>
      </x:c>
      <x:c r="C2034" s="13" t="n">
        <x:v>484</x:v>
      </x:c>
      <x:c r="D2034" s="12" t="n">
        <x:v>193696.8</x:v>
      </x:c>
      <x:c r="E2034" s="12" t="n">
        <x:v>862.1976</x:v>
      </x:c>
      <x:c r="F2034" s="12" t="n">
        <x:f>SUM(B2034,D2034:E2034)</x:f>
        <x:v>214034.912816</x:v>
      </x:c>
      <x:c r="G2034" s="12" t="n">
        <x:f>MAX(G2033,F2034)</x:f>
        <x:v>248490.544664</x:v>
      </x:c>
      <x:c r="H2034" s="14" t="n">
        <x:f>F2034/G2034-1</x:f>
        <x:v>-0.1386597300697685</x:v>
      </x:c>
      <x:c r="I2034" s="14" t="n">
        <x:f>F2034/F2033-1</x:f>
        <x:v>-0.0009714201543195022</x:v>
      </x:c>
      <x:c r="J2034" s="12" t="n">
        <x:v>0</x:v>
      </x:c>
      <x:c r="K2034" s="12" t="n">
        <x:v>0</x:v>
      </x:c>
      <x:c r="L2034" s="12" t="n">
        <x:v>0</x:v>
      </x:c>
      <x:c r="M2034" s="2" t="str">
        <x:v>持有</x:v>
      </x:c>
    </x:row>
    <x:row r="2035" ht="23" customHeight="1">
      <x:c r="A2035" s="11" t="d">
        <x:v>2023-01-25T00:00:00.000Z</x:v>
      </x:c>
      <x:c r="B2035" s="12" t="n">
        <x:v>19475.915216</x:v>
      </x:c>
      <x:c r="C2035" s="13" t="n">
        <x:v>484</x:v>
      </x:c>
      <x:c r="D2035" s="12" t="n">
        <x:v>193769.40000000002</x:v>
      </x:c>
      <x:c r="E2035" s="12" t="n">
        <x:v>862.1976</x:v>
      </x:c>
      <x:c r="F2035" s="12" t="n">
        <x:f>SUM(B2035,D2035:E2035)</x:f>
        <x:v>214107.51281600003</x:v>
      </x:c>
      <x:c r="G2035" s="12" t="n">
        <x:f>MAX(G2034,F2035)</x:f>
        <x:v>248490.544664</x:v>
      </x:c>
      <x:c r="H2035" s="14" t="n">
        <x:f>F2035/G2035-1</x:f>
        <x:v>-0.13836756603552647</x:v>
      </x:c>
      <x:c r="I2035" s="14" t="n">
        <x:f>F2035/F2034-1</x:f>
        <x:v>0.0003391969984936072</x:v>
      </x:c>
      <x:c r="J2035" s="12" t="n">
        <x:v>0</x:v>
      </x:c>
      <x:c r="K2035" s="12" t="n">
        <x:v>0</x:v>
      </x:c>
      <x:c r="L2035" s="12" t="n">
        <x:v>0</x:v>
      </x:c>
      <x:c r="M2035" s="2" t="str">
        <x:v>持有</x:v>
      </x:c>
    </x:row>
    <x:row r="2036" ht="23" customHeight="1">
      <x:c r="A2036" s="11" t="d">
        <x:v>2023-01-26T00:00:00.000Z</x:v>
      </x:c>
      <x:c r="B2036" s="12" t="n">
        <x:v>19475.915216</x:v>
      </x:c>
      <x:c r="C2036" s="13" t="n">
        <x:v>484</x:v>
      </x:c>
      <x:c r="D2036" s="12" t="n">
        <x:v>195899</x:v>
      </x:c>
      <x:c r="E2036" s="12" t="n">
        <x:v>862.1976</x:v>
      </x:c>
      <x:c r="F2036" s="12" t="n">
        <x:f>SUM(B2036,D2036:E2036)</x:f>
        <x:v>216237.112816</x:v>
      </x:c>
      <x:c r="G2036" s="12" t="n">
        <x:f>MAX(G2035,F2036)</x:f>
        <x:v>248490.544664</x:v>
      </x:c>
      <x:c r="H2036" s="14" t="n">
        <x:f>F2036/G2036-1</x:f>
        <x:v>-0.1297974210310976</x:v>
      </x:c>
      <x:c r="I2036" s="14" t="n">
        <x:f>F2036/F2035-1</x:f>
        <x:v>0.00994640483181053</x:v>
      </x:c>
      <x:c r="J2036" s="12" t="n">
        <x:v>0</x:v>
      </x:c>
      <x:c r="K2036" s="12" t="n">
        <x:v>0</x:v>
      </x:c>
      <x:c r="L2036" s="12" t="n">
        <x:v>0</x:v>
      </x:c>
      <x:c r="M2036" s="2" t="str">
        <x:v>持有</x:v>
      </x:c>
    </x:row>
    <x:row r="2037" ht="23" customHeight="1">
      <x:c r="A2037" s="11" t="d">
        <x:v>2023-01-27T00:00:00.000Z</x:v>
      </x:c>
      <x:c r="B2037" s="12" t="n">
        <x:v>19475.915216</x:v>
      </x:c>
      <x:c r="C2037" s="13" t="n">
        <x:v>484</x:v>
      </x:c>
      <x:c r="D2037" s="12" t="n">
        <x:v>196349.12</x:v>
      </x:c>
      <x:c r="E2037" s="12" t="n">
        <x:v>862.1976</x:v>
      </x:c>
      <x:c r="F2037" s="12" t="n">
        <x:f>SUM(B2037,D2037:E2037)</x:f>
        <x:v>216687.232816</x:v>
      </x:c>
      <x:c r="G2037" s="12" t="n">
        <x:f>MAX(G2036,F2037)</x:f>
        <x:v>248490.544664</x:v>
      </x:c>
      <x:c r="H2037" s="14" t="n">
        <x:f>F2037/G2037-1</x:f>
        <x:v>-0.1279860040187979</x:v>
      </x:c>
      <x:c r="I2037" s="14" t="n">
        <x:f>F2037/F2036-1</x:f>
        <x:v>0.0020816038197060127</x:v>
      </x:c>
      <x:c r="J2037" s="12" t="n">
        <x:v>0</x:v>
      </x:c>
      <x:c r="K2037" s="12" t="n">
        <x:v>0</x:v>
      </x:c>
      <x:c r="L2037" s="12" t="n">
        <x:v>0</x:v>
      </x:c>
      <x:c r="M2037" s="2" t="str">
        <x:v>持有</x:v>
      </x:c>
    </x:row>
    <x:row r="2038" ht="23" customHeight="1">
      <x:c r="A2038" s="11" t="d">
        <x:v>2023-01-30T00:00:00.000Z</x:v>
      </x:c>
      <x:c r="B2038" s="12" t="n">
        <x:v>19475.915216</x:v>
      </x:c>
      <x:c r="C2038" s="13" t="n">
        <x:v>484</x:v>
      </x:c>
      <x:c r="D2038" s="12" t="n">
        <x:v>193885.56</x:v>
      </x:c>
      <x:c r="E2038" s="12" t="n">
        <x:v>862.1976</x:v>
      </x:c>
      <x:c r="F2038" s="12" t="n">
        <x:f>SUM(B2038,D2038:E2038)</x:f>
        <x:v>214223.672816</x:v>
      </x:c>
      <x:c r="G2038" s="12" t="n">
        <x:f>MAX(G2037,F2038)</x:f>
        <x:v>248490.544664</x:v>
      </x:c>
      <x:c r="H2038" s="14" t="n">
        <x:f>F2038/G2038-1</x:f>
        <x:v>-0.13790010358073956</x:v>
      </x:c>
      <x:c r="I2038" s="14" t="n">
        <x:f>F2038/F2037-1</x:f>
        <x:v>-0.011369197750990434</x:v>
      </x:c>
      <x:c r="J2038" s="12" t="n">
        <x:v>0</x:v>
      </x:c>
      <x:c r="K2038" s="12" t="n">
        <x:v>0</x:v>
      </x:c>
      <x:c r="L2038" s="12" t="n">
        <x:v>0</x:v>
      </x:c>
      <x:c r="M2038" s="2" t="str">
        <x:v>持有</x:v>
      </x:c>
    </x:row>
    <x:row r="2039" ht="23" customHeight="1">
      <x:c r="A2039" s="11" t="d">
        <x:v>2023-01-31T00:00:00.000Z</x:v>
      </x:c>
      <x:c r="B2039" s="12" t="n">
        <x:v>20338.112816</x:v>
      </x:c>
      <x:c r="C2039" s="13" t="n">
        <x:v>484</x:v>
      </x:c>
      <x:c r="D2039" s="12" t="n">
        <x:v>196736.32</x:v>
      </x:c>
      <x:c r="E2039" s="12" t="n">
        <x:v>0</x:v>
      </x:c>
      <x:c r="F2039" s="12" t="n">
        <x:f>SUM(B2039,D2039:E2039)</x:f>
        <x:v>217074.43281600002</x:v>
      </x:c>
      <x:c r="G2039" s="12" t="n">
        <x:f>MAX(G2038,F2039)</x:f>
        <x:v>248490.544664</x:v>
      </x:c>
      <x:c r="H2039" s="14" t="n">
        <x:f>F2039/G2039-1</x:f>
        <x:v>-0.12642779583617447</x:v>
      </x:c>
      <x:c r="I2039" s="14" t="n">
        <x:f>F2039/F2038-1</x:f>
        <x:v>0.0133073995162456</x:v>
      </x:c>
      <x:c r="J2039" s="12" t="n">
        <x:v>0</x:v>
      </x:c>
      <x:c r="K2039" s="12" t="n">
        <x:v>862.1976</x:v>
      </x:c>
      <x:c r="L2039" s="12" t="n">
        <x:v>0</x:v>
      </x:c>
      <x:c r="M2039" s="2" t="str">
        <x:v>持有</x:v>
      </x:c>
    </x:row>
    <x:row r="2040" ht="23" customHeight="1">
      <x:c r="A2040" s="11" t="d">
        <x:v>2023-02-01T00:00:00.000Z</x:v>
      </x:c>
      <x:c r="B2040" s="12" t="n">
        <x:v>20338.112816</x:v>
      </x:c>
      <x:c r="C2040" s="13" t="n">
        <x:v>484</x:v>
      </x:c>
      <x:c r="D2040" s="12" t="n">
        <x:v>198827.2</x:v>
      </x:c>
      <x:c r="E2040" s="12" t="n">
        <x:v>0</x:v>
      </x:c>
      <x:c r="F2040" s="12" t="n">
        <x:f>SUM(B2040,D2040:E2040)</x:f>
        <x:v>219165.31281600002</x:v>
      </x:c>
      <x:c r="G2040" s="12" t="n">
        <x:f>MAX(G2039,F2040)</x:f>
        <x:v>248490.544664</x:v>
      </x:c>
      <x:c r="H2040" s="14" t="n">
        <x:f>F2040/G2040-1</x:f>
        <x:v>-0.11801347165000786</x:v>
      </x:c>
      <x:c r="I2040" s="14" t="n">
        <x:f>F2040/F2039-1</x:f>
        <x:v>0.009632087818339796</x:v>
      </x:c>
      <x:c r="J2040" s="12" t="n">
        <x:v>0</x:v>
      </x:c>
      <x:c r="K2040" s="12" t="n">
        <x:v>0</x:v>
      </x:c>
      <x:c r="L2040" s="12" t="n">
        <x:v>0</x:v>
      </x:c>
      <x:c r="M2040" s="2" t="str">
        <x:v>持有</x:v>
      </x:c>
    </x:row>
    <x:row r="2041" ht="23" customHeight="1">
      <x:c r="A2041" s="11" t="d">
        <x:v>2023-02-02T00:00:00.000Z</x:v>
      </x:c>
      <x:c r="B2041" s="12" t="n">
        <x:v>20338.112816</x:v>
      </x:c>
      <x:c r="C2041" s="13" t="n">
        <x:v>484</x:v>
      </x:c>
      <x:c r="D2041" s="12" t="n">
        <x:v>201721.52</x:v>
      </x:c>
      <x:c r="E2041" s="12" t="n">
        <x:v>0</x:v>
      </x:c>
      <x:c r="F2041" s="12" t="n">
        <x:f>SUM(B2041,D2041:E2041)</x:f>
        <x:v>222059.632816</x:v>
      </x:c>
      <x:c r="G2041" s="12" t="n">
        <x:f>MAX(G2040,F2041)</x:f>
        <x:v>248490.544664</x:v>
      </x:c>
      <x:c r="H2041" s="14" t="n">
        <x:f>F2041/G2041-1</x:f>
        <x:v>-0.10636586548489768</x:v>
      </x:c>
      <x:c r="I2041" s="14" t="n">
        <x:f>F2041/F2040-1</x:f>
        <x:v>0.013206104391299878</x:v>
      </x:c>
      <x:c r="J2041" s="12" t="n">
        <x:v>0</x:v>
      </x:c>
      <x:c r="K2041" s="12" t="n">
        <x:v>0</x:v>
      </x:c>
      <x:c r="L2041" s="12" t="n">
        <x:v>0</x:v>
      </x:c>
      <x:c r="M2041" s="2" t="str">
        <x:v>持有</x:v>
      </x:c>
    </x:row>
    <x:row r="2042" ht="23" customHeight="1">
      <x:c r="A2042" s="11" t="d">
        <x:v>2023-02-03T00:00:00.000Z</x:v>
      </x:c>
      <x:c r="B2042" s="12" t="n">
        <x:v>20338.112816</x:v>
      </x:c>
      <x:c r="C2042" s="13" t="n">
        <x:v>484</x:v>
      </x:c>
      <x:c r="D2042" s="12" t="n">
        <x:v>199577.40000000002</x:v>
      </x:c>
      <x:c r="E2042" s="12" t="n">
        <x:v>0</x:v>
      </x:c>
      <x:c r="F2042" s="12" t="n">
        <x:f>SUM(B2042,D2042:E2042)</x:f>
        <x:v>219915.51281600003</x:v>
      </x:c>
      <x:c r="G2042" s="12" t="n">
        <x:f>MAX(G2041,F2042)</x:f>
        <x:v>248490.544664</x:v>
      </x:c>
      <x:c r="H2042" s="14" t="n">
        <x:f>F2042/G2042-1</x:f>
        <x:v>-0.11499444329617492</x:v>
      </x:c>
      <x:c r="I2042" s="14" t="n">
        <x:f>F2042/F2041-1</x:f>
        <x:v>-0.009655604545543817</x:v>
      </x:c>
      <x:c r="J2042" s="12" t="n">
        <x:v>0</x:v>
      </x:c>
      <x:c r="K2042" s="12" t="n">
        <x:v>0</x:v>
      </x:c>
      <x:c r="L2042" s="12" t="n">
        <x:v>0</x:v>
      </x:c>
      <x:c r="M2042" s="2" t="str">
        <x:v>持有</x:v>
      </x:c>
    </x:row>
    <x:row r="2043" ht="23" customHeight="1">
      <x:c r="A2043" s="11" t="d">
        <x:v>2023-02-06T00:00:00.000Z</x:v>
      </x:c>
      <x:c r="B2043" s="12" t="n">
        <x:v>20338.112816</x:v>
      </x:c>
      <x:c r="C2043" s="13" t="n">
        <x:v>484</x:v>
      </x:c>
      <x:c r="D2043" s="12" t="n">
        <x:v>198357.72</x:v>
      </x:c>
      <x:c r="E2043" s="12" t="n">
        <x:v>0</x:v>
      </x:c>
      <x:c r="F2043" s="12" t="n">
        <x:f>SUM(B2043,D2043:E2043)</x:f>
        <x:v>218695.832816</x:v>
      </x:c>
      <x:c r="G2043" s="12" t="n">
        <x:f>MAX(G2042,F2043)</x:f>
        <x:v>248490.544664</x:v>
      </x:c>
      <x:c r="H2043" s="14" t="n">
        <x:f>F2043/G2043-1</x:f>
        <x:v>-0.11990279907143875</x:v>
      </x:c>
      <x:c r="I2043" s="14" t="n">
        <x:f>F2043/F2042-1</x:f>
        <x:v>-0.0055461298949861515</x:v>
      </x:c>
      <x:c r="J2043" s="12" t="n">
        <x:v>0</x:v>
      </x:c>
      <x:c r="K2043" s="12" t="n">
        <x:v>0</x:v>
      </x:c>
      <x:c r="L2043" s="12" t="n">
        <x:v>0</x:v>
      </x:c>
      <x:c r="M2043" s="2" t="str">
        <x:v>持有</x:v>
      </x:c>
    </x:row>
    <x:row r="2044" ht="23" customHeight="1">
      <x:c r="A2044" s="11" t="d">
        <x:v>2023-02-07T00:00:00.000Z</x:v>
      </x:c>
      <x:c r="B2044" s="12" t="n">
        <x:v>20338.112816</x:v>
      </x:c>
      <x:c r="C2044" s="13" t="n">
        <x:v>484</x:v>
      </x:c>
      <x:c r="D2044" s="12" t="n">
        <x:v>200951.96</x:v>
      </x:c>
      <x:c r="E2044" s="12" t="n">
        <x:v>0</x:v>
      </x:c>
      <x:c r="F2044" s="12" t="n">
        <x:f>SUM(B2044,D2044:E2044)</x:f>
        <x:v>221290.072816</x:v>
      </x:c>
      <x:c r="G2044" s="12" t="n">
        <x:f>MAX(G2043,F2044)</x:f>
        <x:v>248490.544664</x:v>
      </x:c>
      <x:c r="H2044" s="14" t="n">
        <x:f>F2044/G2044-1</x:f>
        <x:v>-0.10946280424786181</x:v>
      </x:c>
      <x:c r="I2044" s="14" t="n">
        <x:f>F2044/F2043-1</x:f>
        <x:v>0.011862320221632361</x:v>
      </x:c>
      <x:c r="J2044" s="12" t="n">
        <x:v>0</x:v>
      </x:c>
      <x:c r="K2044" s="12" t="n">
        <x:v>0</x:v>
      </x:c>
      <x:c r="L2044" s="12" t="n">
        <x:v>0</x:v>
      </x:c>
      <x:c r="M2044" s="2" t="str">
        <x:v>持有</x:v>
      </x:c>
    </x:row>
    <x:row r="2045" ht="23" customHeight="1">
      <x:c r="A2045" s="11" t="d">
        <x:v>2023-02-08T00:00:00.000Z</x:v>
      </x:c>
      <x:c r="B2045" s="12" t="n">
        <x:v>20338.112816</x:v>
      </x:c>
      <x:c r="C2045" s="13" t="n">
        <x:v>484</x:v>
      </x:c>
      <x:c r="D2045" s="12" t="n">
        <x:v>198754.59999999998</x:v>
      </x:c>
      <x:c r="E2045" s="12" t="n">
        <x:v>0</x:v>
      </x:c>
      <x:c r="F2045" s="12" t="n">
        <x:f>SUM(B2045,D2045:E2045)</x:f>
        <x:v>219092.71281599998</x:v>
      </x:c>
      <x:c r="G2045" s="12" t="n">
        <x:f>MAX(G2044,F2045)</x:f>
        <x:v>248490.544664</x:v>
      </x:c>
      <x:c r="H2045" s="14" t="n">
        <x:f>F2045/G2045-1</x:f>
        <x:v>-0.1183056356842499</x:v>
      </x:c>
      <x:c r="I2045" s="14" t="n">
        <x:f>F2045/F2044-1</x:f>
        <x:v>-0.00992977214042079</x:v>
      </x:c>
      <x:c r="J2045" s="12" t="n">
        <x:v>0</x:v>
      </x:c>
      <x:c r="K2045" s="12" t="n">
        <x:v>0</x:v>
      </x:c>
      <x:c r="L2045" s="12" t="n">
        <x:v>0</x:v>
      </x:c>
      <x:c r="M2045" s="2" t="str">
        <x:v>持有</x:v>
      </x:c>
    </x:row>
    <x:row r="2046" ht="23" customHeight="1">
      <x:c r="A2046" s="11" t="d">
        <x:v>2023-02-09T00:00:00.000Z</x:v>
      </x:c>
      <x:c r="B2046" s="12" t="n">
        <x:v>20338.112816</x:v>
      </x:c>
      <x:c r="C2046" s="13" t="n">
        <x:v>484</x:v>
      </x:c>
      <x:c r="D2046" s="12" t="n">
        <x:v>197031.56</x:v>
      </x:c>
      <x:c r="E2046" s="12" t="n">
        <x:v>0</x:v>
      </x:c>
      <x:c r="F2046" s="12" t="n">
        <x:f>SUM(B2046,D2046:E2046)</x:f>
        <x:v>217369.672816</x:v>
      </x:c>
      <x:c r="G2046" s="12" t="n">
        <x:f>MAX(G2045,F2046)</x:f>
        <x:v>248490.544664</x:v>
      </x:c>
      <x:c r="H2046" s="14" t="n">
        <x:f>F2046/G2046-1</x:f>
        <x:v>-0.12523966209692405</x:v>
      </x:c>
      <x:c r="I2046" s="14" t="n">
        <x:f>F2046/F2045-1</x:f>
        <x:v>-0.00786443317924057</x:v>
      </x:c>
      <x:c r="J2046" s="12" t="n">
        <x:v>0</x:v>
      </x:c>
      <x:c r="K2046" s="12" t="n">
        <x:v>0</x:v>
      </x:c>
      <x:c r="L2046" s="12" t="n">
        <x:v>0</x:v>
      </x:c>
      <x:c r="M2046" s="2" t="str">
        <x:v>持有</x:v>
      </x:c>
    </x:row>
    <x:row r="2047" ht="23" customHeight="1">
      <x:c r="A2047" s="11" t="d">
        <x:v>2023-02-10T00:00:00.000Z</x:v>
      </x:c>
      <x:c r="B2047" s="12" t="n">
        <x:v>20338.112816</x:v>
      </x:c>
      <x:c r="C2047" s="13" t="n">
        <x:v>484</x:v>
      </x:c>
      <x:c r="D2047" s="12" t="n">
        <x:v>197491.36000000002</x:v>
      </x:c>
      <x:c r="E2047" s="12" t="n">
        <x:v>0</x:v>
      </x:c>
      <x:c r="F2047" s="12" t="n">
        <x:f>SUM(B2047,D2047:E2047)</x:f>
        <x:v>217829.47281600002</x:v>
      </x:c>
      <x:c r="G2047" s="12" t="n">
        <x:f>MAX(G2046,F2047)</x:f>
        <x:v>248490.544664</x:v>
      </x:c>
      <x:c r="H2047" s="14" t="n">
        <x:f>F2047/G2047-1</x:f>
        <x:v>-0.1233892898800587</x:v>
      </x:c>
      <x:c r="I2047" s="14" t="n">
        <x:f>F2047/F2046-1</x:f>
        <x:v>0.002115290482077592</x:v>
      </x:c>
      <x:c r="J2047" s="12" t="n">
        <x:v>0</x:v>
      </x:c>
      <x:c r="K2047" s="12" t="n">
        <x:v>0</x:v>
      </x:c>
      <x:c r="L2047" s="12" t="n">
        <x:v>0</x:v>
      </x:c>
      <x:c r="M2047" s="2" t="str">
        <x:v>持有</x:v>
      </x:c>
    </x:row>
    <x:row r="2048" ht="23" customHeight="1">
      <x:c r="A2048" s="11" t="d">
        <x:v>2023-02-13T00:00:00.000Z</x:v>
      </x:c>
      <x:c r="B2048" s="12" t="n">
        <x:v>20338.112816</x:v>
      </x:c>
      <x:c r="C2048" s="13" t="n">
        <x:v>484</x:v>
      </x:c>
      <x:c r="D2048" s="12" t="n">
        <x:v>199809.72</x:v>
      </x:c>
      <x:c r="E2048" s="12" t="n">
        <x:v>0</x:v>
      </x:c>
      <x:c r="F2048" s="12" t="n">
        <x:f>SUM(B2048,D2048:E2048)</x:f>
        <x:v>220147.832816</x:v>
      </x:c>
      <x:c r="G2048" s="12" t="n">
        <x:f>MAX(G2047,F2048)</x:f>
        <x:v>248490.544664</x:v>
      </x:c>
      <x:c r="H2048" s="14" t="n">
        <x:f>F2048/G2048-1</x:f>
        <x:v>-0.11405951838660089</x:v>
      </x:c>
      <x:c r="I2048" s="14" t="n">
        <x:f>F2048/F2047-1</x:f>
        <x:v>0.01064300422724851</x:v>
      </x:c>
      <x:c r="J2048" s="12" t="n">
        <x:v>0</x:v>
      </x:c>
      <x:c r="K2048" s="12" t="n">
        <x:v>0</x:v>
      </x:c>
      <x:c r="L2048" s="12" t="n">
        <x:v>0</x:v>
      </x:c>
      <x:c r="M2048" s="2" t="str">
        <x:v>持有</x:v>
      </x:c>
    </x:row>
    <x:row r="2049" ht="23" customHeight="1">
      <x:c r="A2049" s="11" t="d">
        <x:v>2023-02-14T00:00:00.000Z</x:v>
      </x:c>
      <x:c r="B2049" s="12" t="n">
        <x:v>20338.112816</x:v>
      </x:c>
      <x:c r="C2049" s="13" t="n">
        <x:v>484</x:v>
      </x:c>
      <x:c r="D2049" s="12" t="n">
        <x:v>199717.75999999998</x:v>
      </x:c>
      <x:c r="E2049" s="12" t="n">
        <x:v>0</x:v>
      </x:c>
      <x:c r="F2049" s="12" t="n">
        <x:f>SUM(B2049,D2049:E2049)</x:f>
        <x:v>220055.872816</x:v>
      </x:c>
      <x:c r="G2049" s="12" t="n">
        <x:f>MAX(G2048,F2049)</x:f>
        <x:v>248490.544664</x:v>
      </x:c>
      <x:c r="H2049" s="14" t="n">
        <x:f>F2049/G2049-1</x:f>
        <x:v>-0.114429592829974</x:v>
      </x:c>
      <x:c r="I2049" s="14" t="n">
        <x:f>F2049/F2048-1</x:f>
        <x:v>-0.0004177193062667728</x:v>
      </x:c>
      <x:c r="J2049" s="12" t="n">
        <x:v>0</x:v>
      </x:c>
      <x:c r="K2049" s="12" t="n">
        <x:v>0</x:v>
      </x:c>
      <x:c r="L2049" s="12" t="n">
        <x:v>0</x:v>
      </x:c>
      <x:c r="M2049" s="2" t="str">
        <x:v>持有</x:v>
      </x:c>
    </x:row>
    <x:row r="2050" ht="23" customHeight="1">
      <x:c r="A2050" s="11" t="d">
        <x:v>2023-02-15T00:00:00.000Z</x:v>
      </x:c>
      <x:c r="B2050" s="12" t="n">
        <x:v>20338.112816</x:v>
      </x:c>
      <x:c r="C2050" s="13" t="n">
        <x:v>484</x:v>
      </x:c>
      <x:c r="D2050" s="12" t="n">
        <x:v>200366.32</x:v>
      </x:c>
      <x:c r="E2050" s="12" t="n">
        <x:v>0</x:v>
      </x:c>
      <x:c r="F2050" s="12" t="n">
        <x:f>SUM(B2050,D2050:E2050)</x:f>
        <x:v>220704.43281600002</x:v>
      </x:c>
      <x:c r="G2050" s="12" t="n">
        <x:f>MAX(G2049,F2050)</x:f>
        <x:v>248490.544664</x:v>
      </x:c>
      <x:c r="H2050" s="14" t="n">
        <x:f>F2050/G2050-1</x:f>
        <x:v>-0.11181959412407971</x:v>
      </x:c>
      <x:c r="I2050" s="14" t="n">
        <x:f>F2050/F2049-1</x:f>
        <x:v>0.0029472514943618133</x:v>
      </x:c>
      <x:c r="J2050" s="12" t="n">
        <x:v>0</x:v>
      </x:c>
      <x:c r="K2050" s="12" t="n">
        <x:v>0</x:v>
      </x:c>
      <x:c r="L2050" s="12" t="n">
        <x:v>0</x:v>
      </x:c>
      <x:c r="M2050" s="2" t="str">
        <x:v>持有</x:v>
      </x:c>
    </x:row>
    <x:row r="2051" ht="23" customHeight="1">
      <x:c r="A2051" s="11" t="d">
        <x:v>2023-02-16T00:00:00.000Z</x:v>
      </x:c>
      <x:c r="B2051" s="12" t="n">
        <x:v>20338.112816</x:v>
      </x:c>
      <x:c r="C2051" s="13" t="n">
        <x:v>484</x:v>
      </x:c>
      <x:c r="D2051" s="12" t="n">
        <x:v>197607.52</x:v>
      </x:c>
      <x:c r="E2051" s="12" t="n">
        <x:v>0</x:v>
      </x:c>
      <x:c r="F2051" s="12" t="n">
        <x:f>SUM(B2051,D2051:E2051)</x:f>
        <x:v>217945.632816</x:v>
      </x:c>
      <x:c r="G2051" s="12" t="n">
        <x:f>MAX(G2050,F2051)</x:f>
        <x:v>248490.544664</x:v>
      </x:c>
      <x:c r="H2051" s="14" t="n">
        <x:f>F2051/G2051-1</x:f>
        <x:v>-0.1229218274252718</x:v>
      </x:c>
      <x:c r="I2051" s="14" t="n">
        <x:f>F2051/F2050-1</x:f>
        <x:v>-0.01249997548667281</x:v>
      </x:c>
      <x:c r="J2051" s="12" t="n">
        <x:v>0</x:v>
      </x:c>
      <x:c r="K2051" s="12" t="n">
        <x:v>0</x:v>
      </x:c>
      <x:c r="L2051" s="12" t="n">
        <x:v>0</x:v>
      </x:c>
      <x:c r="M2051" s="2" t="str">
        <x:v>持有</x:v>
      </x:c>
    </x:row>
    <x:row r="2052" ht="23" customHeight="1">
      <x:c r="A2052" s="11" t="d">
        <x:v>2023-02-17T00:00:00.000Z</x:v>
      </x:c>
      <x:c r="B2052" s="12" t="n">
        <x:v>20338.112816</x:v>
      </x:c>
      <x:c r="C2052" s="13" t="n">
        <x:v>484</x:v>
      </x:c>
      <x:c r="D2052" s="12" t="n">
        <x:v>197113.84</x:v>
      </x:c>
      <x:c r="E2052" s="12" t="n">
        <x:v>0</x:v>
      </x:c>
      <x:c r="F2052" s="12" t="n">
        <x:f>SUM(B2052,D2052:E2052)</x:f>
        <x:v>217451.952816</x:v>
      </x:c>
      <x:c r="G2052" s="12" t="n">
        <x:f>MAX(G2051,F2052)</x:f>
        <x:v>248490.544664</x:v>
      </x:c>
      <x:c r="H2052" s="14" t="n">
        <x:f>F2052/G2052-1</x:f>
        <x:v>-0.12490854285811659</x:v>
      </x:c>
      <x:c r="I2052" s="14" t="n">
        <x:f>F2052/F2051-1</x:f>
        <x:v>-0.002265152063940512</x:v>
      </x:c>
      <x:c r="J2052" s="12" t="n">
        <x:v>0</x:v>
      </x:c>
      <x:c r="K2052" s="12" t="n">
        <x:v>0</x:v>
      </x:c>
      <x:c r="L2052" s="12" t="n">
        <x:v>0</x:v>
      </x:c>
      <x:c r="M2052" s="2" t="str">
        <x:v>持有</x:v>
      </x:c>
    </x:row>
    <x:row r="2053" ht="23" customHeight="1">
      <x:c r="A2053" s="11" t="d">
        <x:v>2023-02-21T00:00:00.000Z</x:v>
      </x:c>
      <x:c r="B2053" s="12" t="n">
        <x:v>20338.112816</x:v>
      </x:c>
      <x:c r="C2053" s="13" t="n">
        <x:v>484</x:v>
      </x:c>
      <x:c r="D2053" s="12" t="n">
        <x:v>193159.56</x:v>
      </x:c>
      <x:c r="E2053" s="12" t="n">
        <x:v>0</x:v>
      </x:c>
      <x:c r="F2053" s="12" t="n">
        <x:f>SUM(B2053,D2053:E2053)</x:f>
        <x:v>213497.672816</x:v>
      </x:c>
      <x:c r="G2053" s="12" t="n">
        <x:f>MAX(G2052,F2053)</x:f>
        <x:v>248490.544664</x:v>
      </x:c>
      <x:c r="H2053" s="14" t="n">
        <x:f>F2053/G2053-1</x:f>
        <x:v>-0.1408217439231585</x:v>
      </x:c>
      <x:c r="I2053" s="14" t="n">
        <x:f>F2053/F2052-1</x:f>
        <x:v>-0.01818461480245237</x:v>
      </x:c>
      <x:c r="J2053" s="12" t="n">
        <x:v>0</x:v>
      </x:c>
      <x:c r="K2053" s="12" t="n">
        <x:v>0</x:v>
      </x:c>
      <x:c r="L2053" s="12" t="n">
        <x:v>0</x:v>
      </x:c>
      <x:c r="M2053" s="2" t="str">
        <x:v>持有</x:v>
      </x:c>
    </x:row>
    <x:row r="2054" ht="23" customHeight="1">
      <x:c r="A2054" s="11" t="d">
        <x:v>2023-02-22T00:00:00.000Z</x:v>
      </x:c>
      <x:c r="B2054" s="12" t="n">
        <x:v>20338.112816</x:v>
      </x:c>
      <x:c r="C2054" s="13" t="n">
        <x:v>484</x:v>
      </x:c>
      <x:c r="D2054" s="12" t="n">
        <x:v>192893.36000000002</x:v>
      </x:c>
      <x:c r="E2054" s="12" t="n">
        <x:v>0</x:v>
      </x:c>
      <x:c r="F2054" s="12" t="n">
        <x:f>SUM(B2054,D2054:E2054)</x:f>
        <x:v>213231.47281600002</x:v>
      </x:c>
      <x:c r="G2054" s="12" t="n">
        <x:f>MAX(G2053,F2054)</x:f>
        <x:v>248490.544664</x:v>
      </x:c>
      <x:c r="H2054" s="14" t="n">
        <x:f>F2054/G2054-1</x:f>
        <x:v>-0.14189301204871207</x:v>
      </x:c>
      <x:c r="I2054" s="14" t="n">
        <x:f>F2054/F2053-1</x:f>
        <x:v>-0.0012468519983793724</x:v>
      </x:c>
      <x:c r="J2054" s="12" t="n">
        <x:v>0</x:v>
      </x:c>
      <x:c r="K2054" s="12" t="n">
        <x:v>0</x:v>
      </x:c>
      <x:c r="L2054" s="12" t="n">
        <x:v>0</x:v>
      </x:c>
      <x:c r="M2054" s="2" t="str">
        <x:v>持有</x:v>
      </x:c>
    </x:row>
    <x:row r="2055" ht="23" customHeight="1">
      <x:c r="A2055" s="11" t="d">
        <x:v>2023-02-23T00:00:00.000Z</x:v>
      </x:c>
      <x:c r="B2055" s="12" t="n">
        <x:v>20338.112816</x:v>
      </x:c>
      <x:c r="C2055" s="13" t="n">
        <x:v>484</x:v>
      </x:c>
      <x:c r="D2055" s="12" t="n">
        <x:v>193919.44</x:v>
      </x:c>
      <x:c r="E2055" s="12" t="n">
        <x:v>0</x:v>
      </x:c>
      <x:c r="F2055" s="12" t="n">
        <x:f>SUM(B2055,D2055:E2055)</x:f>
        <x:v>214257.552816</x:v>
      </x:c>
      <x:c r="G2055" s="12" t="n">
        <x:f>MAX(G2054,F2055)</x:f>
        <x:v>248490.544664</x:v>
      </x:c>
      <x:c r="H2055" s="14" t="n">
        <x:f>F2055/G2055-1</x:f>
        <x:v>-0.13776376036476</x:v>
      </x:c>
      <x:c r="I2055" s="14" t="n">
        <x:f>F2055/F2054-1</x:f>
        <x:v>0.004812047614028314</x:v>
      </x:c>
      <x:c r="J2055" s="12" t="n">
        <x:v>0</x:v>
      </x:c>
      <x:c r="K2055" s="12" t="n">
        <x:v>0</x:v>
      </x:c>
      <x:c r="L2055" s="12" t="n">
        <x:v>0</x:v>
      </x:c>
      <x:c r="M2055" s="2" t="str">
        <x:v>持有</x:v>
      </x:c>
    </x:row>
    <x:row r="2056" ht="23" customHeight="1">
      <x:c r="A2056" s="11" t="d">
        <x:v>2023-02-24T00:00:00.000Z</x:v>
      </x:c>
      <x:c r="B2056" s="12" t="n">
        <x:v>20338.112816</x:v>
      </x:c>
      <x:c r="C2056" s="13" t="n">
        <x:v>484</x:v>
      </x:c>
      <x:c r="D2056" s="12" t="n">
        <x:v>191847.91999999998</x:v>
      </x:c>
      <x:c r="E2056" s="12" t="n">
        <x:v>0</x:v>
      </x:c>
      <x:c r="F2056" s="12" t="n">
        <x:f>SUM(B2056,D2056:E2056)</x:f>
        <x:v>212186.032816</x:v>
      </x:c>
      <x:c r="G2056" s="12" t="n">
        <x:f>MAX(G2055,F2056)</x:f>
        <x:v>248490.544664</x:v>
      </x:c>
      <x:c r="H2056" s="14" t="n">
        <x:f>F2056/G2056-1</x:f>
        <x:v>-0.14610017414179544</x:v>
      </x:c>
      <x:c r="I2056" s="14" t="n">
        <x:f>F2056/F2055-1</x:f>
        <x:v>-0.009668363951580217</x:v>
      </x:c>
      <x:c r="J2056" s="12" t="n">
        <x:v>0</x:v>
      </x:c>
      <x:c r="K2056" s="12" t="n">
        <x:v>0</x:v>
      </x:c>
      <x:c r="L2056" s="12" t="n">
        <x:v>0</x:v>
      </x:c>
      <x:c r="M2056" s="2" t="str">
        <x:v>持有</x:v>
      </x:c>
    </x:row>
    <x:row r="2057" ht="23" customHeight="1">
      <x:c r="A2057" s="11" t="d">
        <x:v>2023-02-27T00:00:00.000Z</x:v>
      </x:c>
      <x:c r="B2057" s="12" t="n">
        <x:v>20338.112816</x:v>
      </x:c>
      <x:c r="C2057" s="13" t="n">
        <x:v>484</x:v>
      </x:c>
      <x:c r="D2057" s="12" t="n">
        <x:v>192501.32</x:v>
      </x:c>
      <x:c r="E2057" s="12" t="n">
        <x:v>0</x:v>
      </x:c>
      <x:c r="F2057" s="12" t="n">
        <x:f>SUM(B2057,D2057:E2057)</x:f>
        <x:v>212839.43281600002</x:v>
      </x:c>
      <x:c r="G2057" s="12" t="n">
        <x:f>MAX(G2056,F2057)</x:f>
        <x:v>248490.544664</x:v>
      </x:c>
      <x:c r="H2057" s="14" t="n">
        <x:f>F2057/G2057-1</x:f>
        <x:v>-0.14347069783361832</x:v>
      </x:c>
      <x:c r="I2057" s="14" t="n">
        <x:f>F2057/F2056-1</x:f>
        <x:v>0.003079373280741038</x:v>
      </x:c>
      <x:c r="J2057" s="12" t="n">
        <x:v>0</x:v>
      </x:c>
      <x:c r="K2057" s="12" t="n">
        <x:v>0</x:v>
      </x:c>
      <x:c r="L2057" s="12" t="n">
        <x:v>0</x:v>
      </x:c>
      <x:c r="M2057" s="2" t="str">
        <x:v>持有</x:v>
      </x:c>
    </x:row>
    <x:row r="2058" ht="23" customHeight="1">
      <x:c r="A2058" s="11" t="d">
        <x:v>2023-02-28T00:00:00.000Z</x:v>
      </x:c>
      <x:c r="B2058" s="12" t="n">
        <x:v>20338.112816</x:v>
      </x:c>
      <x:c r="C2058" s="13" t="n">
        <x:v>484</x:v>
      </x:c>
      <x:c r="D2058" s="12" t="n">
        <x:v>191789.84</x:v>
      </x:c>
      <x:c r="E2058" s="12" t="n">
        <x:v>0</x:v>
      </x:c>
      <x:c r="F2058" s="12" t="n">
        <x:f>SUM(B2058,D2058:E2058)</x:f>
        <x:v>212127.952816</x:v>
      </x:c>
      <x:c r="G2058" s="12" t="n">
        <x:f>MAX(G2057,F2058)</x:f>
        <x:v>248490.544664</x:v>
      </x:c>
      <x:c r="H2058" s="14" t="n">
        <x:f>F2058/G2058-1</x:f>
        <x:v>-0.1463339053691889</x:v>
      </x:c>
      <x:c r="I2058" s="14" t="n">
        <x:f>F2058/F2057-1</x:f>
        <x:v>-0.003342801616160518</x:v>
      </x:c>
      <x:c r="J2058" s="12" t="n">
        <x:v>0</x:v>
      </x:c>
      <x:c r="K2058" s="12" t="n">
        <x:v>0</x:v>
      </x:c>
      <x:c r="L2058" s="12" t="n">
        <x:v>0</x:v>
      </x:c>
      <x:c r="M2058" s="2" t="str">
        <x:v>持有</x:v>
      </x:c>
    </x:row>
    <x:row r="2059" ht="23" customHeight="1">
      <x:c r="A2059" s="11" t="d">
        <x:v>2023-03-01T00:00:00.000Z</x:v>
      </x:c>
      <x:c r="B2059" s="12" t="n">
        <x:v>20338.112816</x:v>
      </x:c>
      <x:c r="C2059" s="13" t="n">
        <x:v>484</x:v>
      </x:c>
      <x:c r="D2059" s="12" t="n">
        <x:v>191054.16</x:v>
      </x:c>
      <x:c r="E2059" s="12" t="n">
        <x:v>0</x:v>
      </x:c>
      <x:c r="F2059" s="12" t="n">
        <x:f>SUM(B2059,D2059:E2059)</x:f>
        <x:v>211392.272816</x:v>
      </x:c>
      <x:c r="G2059" s="12" t="n">
        <x:f>MAX(G2058,F2059)</x:f>
        <x:v>248490.544664</x:v>
      </x:c>
      <x:c r="H2059" s="14" t="n">
        <x:f>F2059/G2059-1</x:f>
        <x:v>-0.14929450091617336</x:v>
      </x:c>
      <x:c r="I2059" s="14" t="n">
        <x:f>F2059/F2058-1</x:f>
        <x:v>-0.0034680955066687114</x:v>
      </x:c>
      <x:c r="J2059" s="12" t="n">
        <x:v>0</x:v>
      </x:c>
      <x:c r="K2059" s="12" t="n">
        <x:v>0</x:v>
      </x:c>
      <x:c r="L2059" s="12" t="n">
        <x:v>0</x:v>
      </x:c>
      <x:c r="M2059" s="2" t="str">
        <x:v>持有</x:v>
      </x:c>
    </x:row>
    <x:row r="2060" ht="23" customHeight="1">
      <x:c r="A2060" s="11" t="d">
        <x:v>2023-03-02T00:00:00.000Z</x:v>
      </x:c>
      <x:c r="B2060" s="12" t="n">
        <x:v>20338.112816</x:v>
      </x:c>
      <x:c r="C2060" s="13" t="n">
        <x:v>484</x:v>
      </x:c>
      <x:c r="D2060" s="12" t="n">
        <x:v>192540.04</x:v>
      </x:c>
      <x:c r="E2060" s="12" t="n">
        <x:v>0</x:v>
      </x:c>
      <x:c r="F2060" s="12" t="n">
        <x:f>SUM(B2060,D2060:E2060)</x:f>
        <x:v>212878.15281600002</x:v>
      </x:c>
      <x:c r="G2060" s="12" t="n">
        <x:f>MAX(G2059,F2060)</x:f>
        <x:v>248490.544664</x:v>
      </x:c>
      <x:c r="H2060" s="14" t="n">
        <x:f>F2060/G2060-1</x:f>
        <x:v>-0.14331487701535595</x:v>
      </x:c>
      <x:c r="I2060" s="14" t="n">
        <x:f>F2060/F2059-1</x:f>
        <x:v>0.007029017571012819</x:v>
      </x:c>
      <x:c r="J2060" s="12" t="n">
        <x:v>0</x:v>
      </x:c>
      <x:c r="K2060" s="12" t="n">
        <x:v>0</x:v>
      </x:c>
      <x:c r="L2060" s="12" t="n">
        <x:v>0</x:v>
      </x:c>
      <x:c r="M2060" s="2" t="str">
        <x:v>持有</x:v>
      </x:c>
    </x:row>
    <x:row r="2061" ht="23" customHeight="1">
      <x:c r="A2061" s="11" t="d">
        <x:v>2023-03-03T00:00:00.000Z</x:v>
      </x:c>
      <x:c r="B2061" s="12" t="n">
        <x:v>20338.112816</x:v>
      </x:c>
      <x:c r="C2061" s="13" t="n">
        <x:v>484</x:v>
      </x:c>
      <x:c r="D2061" s="12" t="n">
        <x:v>195627.96</x:v>
      </x:c>
      <x:c r="E2061" s="12" t="n">
        <x:v>0</x:v>
      </x:c>
      <x:c r="F2061" s="12" t="n">
        <x:f>SUM(B2061,D2061:E2061)</x:f>
        <x:v>215966.072816</x:v>
      </x:c>
      <x:c r="G2061" s="12" t="n">
        <x:f>MAX(G2060,F2061)</x:f>
        <x:v>248490.544664</x:v>
      </x:c>
      <x:c r="H2061" s="14" t="n">
        <x:f>F2061/G2061-1</x:f>
        <x:v>-0.1308881667589341</x:v>
      </x:c>
      <x:c r="I2061" s="14" t="n">
        <x:f>F2061/F2060-1</x:f>
        <x:v>0.014505574945818944</x:v>
      </x:c>
      <x:c r="J2061" s="12" t="n">
        <x:v>0</x:v>
      </x:c>
      <x:c r="K2061" s="12" t="n">
        <x:v>0</x:v>
      </x:c>
      <x:c r="L2061" s="12" t="n">
        <x:v>0</x:v>
      </x:c>
      <x:c r="M2061" s="2" t="str">
        <x:v>持有</x:v>
      </x:c>
    </x:row>
    <x:row r="2062" ht="23" customHeight="1">
      <x:c r="A2062" s="11" t="d">
        <x:v>2023-03-06T00:00:00.000Z</x:v>
      </x:c>
      <x:c r="B2062" s="12" t="n">
        <x:v>20338.112816</x:v>
      </x:c>
      <x:c r="C2062" s="13" t="n">
        <x:v>484</x:v>
      </x:c>
      <x:c r="D2062" s="12" t="n">
        <x:v>195763.48</x:v>
      </x:c>
      <x:c r="E2062" s="12" t="n">
        <x:v>0</x:v>
      </x:c>
      <x:c r="F2062" s="12" t="n">
        <x:f>SUM(B2062,D2062:E2062)</x:f>
        <x:v>216101.59281600002</x:v>
      </x:c>
      <x:c r="G2062" s="12" t="n">
        <x:f>MAX(G2061,F2062)</x:f>
        <x:v>248490.544664</x:v>
      </x:c>
      <x:c r="H2062" s="14" t="n">
        <x:f>F2062/G2062-1</x:f>
        <x:v>-0.1303427938950158</x:v>
      </x:c>
      <x:c r="I2062" s="14" t="n">
        <x:f>F2062/F2061-1</x:f>
        <x:v>0.0006275059699560881</x:v>
      </x:c>
      <x:c r="J2062" s="12" t="n">
        <x:v>0</x:v>
      </x:c>
      <x:c r="K2062" s="12" t="n">
        <x:v>0</x:v>
      </x:c>
      <x:c r="L2062" s="12" t="n">
        <x:v>0</x:v>
      </x:c>
      <x:c r="M2062" s="2" t="str">
        <x:v>持有</x:v>
      </x:c>
    </x:row>
    <x:row r="2063" ht="23" customHeight="1">
      <x:c r="A2063" s="11" t="d">
        <x:v>2023-03-07T00:00:00.000Z</x:v>
      </x:c>
      <x:c r="B2063" s="12" t="n">
        <x:v>20338.112816</x:v>
      </x:c>
      <x:c r="C2063" s="13" t="n">
        <x:v>484</x:v>
      </x:c>
      <x:c r="D2063" s="12" t="n">
        <x:v>192762.68</x:v>
      </x:c>
      <x:c r="E2063" s="12" t="n">
        <x:v>0</x:v>
      </x:c>
      <x:c r="F2063" s="12" t="n">
        <x:f>SUM(B2063,D2063:E2063)</x:f>
        <x:v>213100.792816</x:v>
      </x:c>
      <x:c r="G2063" s="12" t="n">
        <x:f>MAX(G2062,F2063)</x:f>
        <x:v>248490.544664</x:v>
      </x:c>
      <x:c r="H2063" s="14" t="n">
        <x:f>F2063/G2063-1</x:f>
        <x:v>-0.14241890731034756</x:v>
      </x:c>
      <x:c r="I2063" s="14" t="n">
        <x:f>F2063/F2062-1</x:f>
        <x:v>-0.013886061462559662</x:v>
      </x:c>
      <x:c r="J2063" s="12" t="n">
        <x:v>0</x:v>
      </x:c>
      <x:c r="K2063" s="12" t="n">
        <x:v>0</x:v>
      </x:c>
      <x:c r="L2063" s="12" t="n">
        <x:v>0</x:v>
      </x:c>
      <x:c r="M2063" s="2" t="str">
        <x:v>持有</x:v>
      </x:c>
    </x:row>
    <x:row r="2064" ht="23" customHeight="1">
      <x:c r="A2064" s="11" t="d">
        <x:v>2023-03-08T00:00:00.000Z</x:v>
      </x:c>
      <x:c r="B2064" s="12" t="n">
        <x:v>20338.112816</x:v>
      </x:c>
      <x:c r="C2064" s="13" t="n">
        <x:v>484</x:v>
      </x:c>
      <x:c r="D2064" s="12" t="n">
        <x:v>193077.28</x:v>
      </x:c>
      <x:c r="E2064" s="12" t="n">
        <x:v>0</x:v>
      </x:c>
      <x:c r="F2064" s="12" t="n">
        <x:f>SUM(B2064,D2064:E2064)</x:f>
        <x:v>213415.392816</x:v>
      </x:c>
      <x:c r="G2064" s="12" t="n">
        <x:f>MAX(G2063,F2064)</x:f>
        <x:v>248490.544664</x:v>
      </x:c>
      <x:c r="H2064" s="14" t="n">
        <x:f>F2064/G2064-1</x:f>
        <x:v>-0.14115286316196596</x:v>
      </x:c>
      <x:c r="I2064" s="14" t="n">
        <x:f>F2064/F2063-1</x:f>
        <x:v>0.001476296713131653</x:v>
      </x:c>
      <x:c r="J2064" s="12" t="n">
        <x:v>0</x:v>
      </x:c>
      <x:c r="K2064" s="12" t="n">
        <x:v>0</x:v>
      </x:c>
      <x:c r="L2064" s="12" t="n">
        <x:v>0</x:v>
      </x:c>
      <x:c r="M2064" s="2" t="str">
        <x:v>持有</x:v>
      </x:c>
    </x:row>
    <x:row r="2065" ht="23" customHeight="1">
      <x:c r="A2065" s="11" t="d">
        <x:v>2023-03-09T00:00:00.000Z</x:v>
      </x:c>
      <x:c r="B2065" s="12" t="n">
        <x:v>20338.112816</x:v>
      </x:c>
      <x:c r="C2065" s="13" t="n">
        <x:v>484</x:v>
      </x:c>
      <x:c r="D2065" s="12" t="n">
        <x:v>189515.04</x:v>
      </x:c>
      <x:c r="E2065" s="12" t="n">
        <x:v>0</x:v>
      </x:c>
      <x:c r="F2065" s="12" t="n">
        <x:f>SUM(B2065,D2065:E2065)</x:f>
        <x:v>209853.15281600002</x:v>
      </x:c>
      <x:c r="G2065" s="12" t="n">
        <x:f>MAX(G2064,F2065)</x:f>
        <x:v>248490.544664</x:v>
      </x:c>
      <x:c r="H2065" s="14" t="n">
        <x:f>F2065/G2065-1</x:f>
        <x:v>-0.1554883784421015</x:v>
      </x:c>
      <x:c r="I2065" s="14" t="n">
        <x:f>F2065/F2064-1</x:f>
        <x:v>-0.01669157952009226</x:v>
      </x:c>
      <x:c r="J2065" s="12" t="n">
        <x:v>0</x:v>
      </x:c>
      <x:c r="K2065" s="12" t="n">
        <x:v>0</x:v>
      </x:c>
      <x:c r="L2065" s="12" t="n">
        <x:v>0</x:v>
      </x:c>
      <x:c r="M2065" s="2" t="str">
        <x:v>持有</x:v>
      </x:c>
    </x:row>
    <x:row r="2066" ht="23" customHeight="1">
      <x:c r="A2066" s="11" t="d">
        <x:v>2023-03-10T00:00:00.000Z</x:v>
      </x:c>
      <x:c r="B2066" s="12" t="n">
        <x:v>20338.112816</x:v>
      </x:c>
      <x:c r="C2066" s="13" t="n">
        <x:v>484</x:v>
      </x:c>
      <x:c r="D2066" s="12" t="n">
        <x:v>186780.44</x:v>
      </x:c>
      <x:c r="E2066" s="12" t="n">
        <x:v>0</x:v>
      </x:c>
      <x:c r="F2066" s="12" t="n">
        <x:f>SUM(B2066,D2066:E2066)</x:f>
        <x:v>207118.552816</x:v>
      </x:c>
      <x:c r="G2066" s="12" t="n">
        <x:f>MAX(G2065,F2066)</x:f>
        <x:v>248490.544664</x:v>
      </x:c>
      <x:c r="H2066" s="14" t="n">
        <x:f>F2066/G2066-1</x:f>
        <x:v>-0.16649322373187958</x:v>
      </x:c>
      <x:c r="I2066" s="14" t="n">
        <x:f>F2066/F2065-1</x:f>
        <x:v>-0.013031016991189581</x:v>
      </x:c>
      <x:c r="J2066" s="12" t="n">
        <x:v>0</x:v>
      </x:c>
      <x:c r="K2066" s="12" t="n">
        <x:v>0</x:v>
      </x:c>
      <x:c r="L2066" s="12" t="n">
        <x:v>0</x:v>
      </x:c>
      <x:c r="M2066" s="2" t="str">
        <x:v>持有</x:v>
      </x:c>
    </x:row>
    <x:row r="2067" ht="23" customHeight="1">
      <x:c r="A2067" s="11" t="d">
        <x:v>2023-03-13T00:00:00.000Z</x:v>
      </x:c>
      <x:c r="B2067" s="12" t="n">
        <x:v>20338.112816</x:v>
      </x:c>
      <x:c r="C2067" s="13" t="n">
        <x:v>484</x:v>
      </x:c>
      <x:c r="D2067" s="12" t="n">
        <x:v>186514.24000000002</x:v>
      </x:c>
      <x:c r="E2067" s="12" t="n">
        <x:v>0</x:v>
      </x:c>
      <x:c r="F2067" s="12" t="n">
        <x:f>SUM(B2067,D2067:E2067)</x:f>
        <x:v>206852.35281600003</x:v>
      </x:c>
      <x:c r="G2067" s="12" t="n">
        <x:f>MAX(G2066,F2067)</x:f>
        <x:v>248490.544664</x:v>
      </x:c>
      <x:c r="H2067" s="14" t="n">
        <x:f>F2067/G2067-1</x:f>
        <x:v>-0.16756449185743316</x:v>
      </x:c>
      <x:c r="I2067" s="14" t="n">
        <x:f>F2067/F2066-1</x:f>
        <x:v>-0.0012852542487415963</x:v>
      </x:c>
      <x:c r="J2067" s="12" t="n">
        <x:v>0</x:v>
      </x:c>
      <x:c r="K2067" s="12" t="n">
        <x:v>0</x:v>
      </x:c>
      <x:c r="L2067" s="12" t="n">
        <x:v>0</x:v>
      </x:c>
      <x:c r="M2067" s="2" t="str">
        <x:v>持有</x:v>
      </x:c>
    </x:row>
    <x:row r="2068" ht="23" customHeight="1">
      <x:c r="A2068" s="11" t="d">
        <x:v>2023-03-14T00:00:00.000Z</x:v>
      </x:c>
      <x:c r="B2068" s="12" t="n">
        <x:v>20338.112816</x:v>
      </x:c>
      <x:c r="C2068" s="13" t="n">
        <x:v>484</x:v>
      </x:c>
      <x:c r="D2068" s="12" t="n">
        <x:v>189597.32</x:v>
      </x:c>
      <x:c r="E2068" s="12" t="n">
        <x:v>0</x:v>
      </x:c>
      <x:c r="F2068" s="12" t="n">
        <x:f>SUM(B2068,D2068:E2068)</x:f>
        <x:v>209935.43281600002</x:v>
      </x:c>
      <x:c r="G2068" s="12" t="n">
        <x:f>MAX(G2067,F2068)</x:f>
        <x:v>248490.544664</x:v>
      </x:c>
      <x:c r="H2068" s="14" t="n">
        <x:f>F2068/G2068-1</x:f>
        <x:v>-0.15515725920329404</x:v>
      </x:c>
      <x:c r="I2068" s="14" t="n">
        <x:f>F2068/F2067-1</x:f>
        <x:v>0.014904737403409918</x:v>
      </x:c>
      <x:c r="J2068" s="12" t="n">
        <x:v>0</x:v>
      </x:c>
      <x:c r="K2068" s="12" t="n">
        <x:v>0</x:v>
      </x:c>
      <x:c r="L2068" s="12" t="n">
        <x:v>0</x:v>
      </x:c>
      <x:c r="M2068" s="2" t="str">
        <x:v>持有</x:v>
      </x:c>
    </x:row>
    <x:row r="2069" ht="23" customHeight="1">
      <x:c r="A2069" s="11" t="d">
        <x:v>2023-03-15T00:00:00.000Z</x:v>
      </x:c>
      <x:c r="B2069" s="12" t="n">
        <x:v>20338.112816</x:v>
      </x:c>
      <x:c r="C2069" s="13" t="n">
        <x:v>484</x:v>
      </x:c>
      <x:c r="D2069" s="12" t="n">
        <x:v>188411.52</x:v>
      </x:c>
      <x:c r="E2069" s="12" t="n">
        <x:v>0</x:v>
      </x:c>
      <x:c r="F2069" s="12" t="n">
        <x:f>SUM(B2069,D2069:E2069)</x:f>
        <x:v>208749.632816</x:v>
      </x:c>
      <x:c r="G2069" s="12" t="n">
        <x:f>MAX(G2068,F2069)</x:f>
        <x:v>248490.544664</x:v>
      </x:c>
      <x:c r="H2069" s="14" t="n">
        <x:f>F2069/G2069-1</x:f>
        <x:v>-0.15992927176257843</x:v>
      </x:c>
      <x:c r="I2069" s="14" t="n">
        <x:f>F2069/F2068-1</x:f>
        <x:v>-0.005648403340465791</x:v>
      </x:c>
      <x:c r="J2069" s="12" t="n">
        <x:v>0</x:v>
      </x:c>
      <x:c r="K2069" s="12" t="n">
        <x:v>0</x:v>
      </x:c>
      <x:c r="L2069" s="12" t="n">
        <x:v>0</x:v>
      </x:c>
      <x:c r="M2069" s="2" t="str">
        <x:v>持有</x:v>
      </x:c>
    </x:row>
    <x:row r="2070" ht="23" customHeight="1">
      <x:c r="A2070" s="11" t="d">
        <x:v>2023-03-16T00:00:00.000Z</x:v>
      </x:c>
      <x:c r="B2070" s="12" t="n">
        <x:v>20338.112816</x:v>
      </x:c>
      <x:c r="C2070" s="13" t="n">
        <x:v>484</x:v>
      </x:c>
      <x:c r="D2070" s="12" t="n">
        <x:v>191717.24000000002</x:v>
      </x:c>
      <x:c r="E2070" s="12" t="n">
        <x:v>0</x:v>
      </x:c>
      <x:c r="F2070" s="12" t="n">
        <x:f>SUM(B2070,D2070:E2070)</x:f>
        <x:v>212055.35281600003</x:v>
      </x:c>
      <x:c r="G2070" s="12" t="n">
        <x:f>MAX(G2069,F2070)</x:f>
        <x:v>248490.544664</x:v>
      </x:c>
      <x:c r="H2070" s="14" t="n">
        <x:f>F2070/G2070-1</x:f>
        <x:v>-0.1466260694034307</x:v>
      </x:c>
      <x:c r="I2070" s="14" t="n">
        <x:f>F2070/F2069-1</x:f>
        <x:v>0.015835812285781792</x:v>
      </x:c>
      <x:c r="J2070" s="12" t="n">
        <x:v>0</x:v>
      </x:c>
      <x:c r="K2070" s="12" t="n">
        <x:v>0</x:v>
      </x:c>
      <x:c r="L2070" s="12" t="n">
        <x:v>0</x:v>
      </x:c>
      <x:c r="M2070" s="2" t="str">
        <x:v>持有</x:v>
      </x:c>
    </x:row>
    <x:row r="2071" ht="23" customHeight="1">
      <x:c r="A2071" s="11" t="d">
        <x:v>2023-03-17T00:00:00.000Z</x:v>
      </x:c>
      <x:c r="B2071" s="12" t="n">
        <x:v>20338.112816</x:v>
      </x:c>
      <x:c r="C2071" s="13" t="n">
        <x:v>484</x:v>
      </x:c>
      <x:c r="D2071" s="12" t="n">
        <x:v>188755.16</x:v>
      </x:c>
      <x:c r="E2071" s="12" t="n">
        <x:v>729.002736</x:v>
      </x:c>
      <x:c r="F2071" s="12" t="n">
        <x:f>SUM(B2071,D2071:E2071)</x:f>
        <x:v>209822.275552</x:v>
      </x:c>
      <x:c r="G2071" s="12" t="n">
        <x:f>MAX(G2070,F2071)</x:f>
        <x:v>248490.544664</x:v>
      </x:c>
      <x:c r="H2071" s="14" t="n">
        <x:f>F2071/G2071-1</x:f>
        <x:v>-0.15561263775362488</x:v>
      </x:c>
      <x:c r="I2071" s="14" t="n">
        <x:f>F2071/F2070-1</x:f>
        <x:v>-0.010530633791346222</x:v>
      </x:c>
      <x:c r="J2071" s="12" t="n">
        <x:v>729.002736</x:v>
      </x:c>
      <x:c r="K2071" s="12" t="n">
        <x:v>0</x:v>
      </x:c>
      <x:c r="L2071" s="12" t="n">
        <x:v>0</x:v>
      </x:c>
      <x:c r="M2071" s="2" t="str">
        <x:v>持有</x:v>
      </x:c>
    </x:row>
    <x:row r="2072" ht="23" customHeight="1">
      <x:c r="A2072" s="11" t="d">
        <x:v>2023-03-20T00:00:00.000Z</x:v>
      </x:c>
      <x:c r="B2072" s="12" t="n">
        <x:v>20338.112816</x:v>
      </x:c>
      <x:c r="C2072" s="13" t="n">
        <x:v>484</x:v>
      </x:c>
      <x:c r="D2072" s="12" t="n">
        <x:v>190570.16</x:v>
      </x:c>
      <x:c r="E2072" s="12" t="n">
        <x:v>729.002736</x:v>
      </x:c>
      <x:c r="F2072" s="12" t="n">
        <x:f>SUM(B2072,D2072:E2072)</x:f>
        <x:v>211637.275552</x:v>
      </x:c>
      <x:c r="G2072" s="12" t="n">
        <x:f>MAX(G2071,F2072)</x:f>
        <x:v>248490.544664</x:v>
      </x:c>
      <x:c r="H2072" s="14" t="n">
        <x:f>F2072/G2072-1</x:f>
        <x:v>-0.1483085368975775</x:v>
      </x:c>
      <x:c r="I2072" s="14" t="n">
        <x:f>F2072/F2071-1</x:f>
        <x:v>0.008650177848015028</x:v>
      </x:c>
      <x:c r="J2072" s="12" t="n">
        <x:v>0</x:v>
      </x:c>
      <x:c r="K2072" s="12" t="n">
        <x:v>0</x:v>
      </x:c>
      <x:c r="L2072" s="12" t="n">
        <x:v>0</x:v>
      </x:c>
      <x:c r="M2072" s="2" t="str">
        <x:v>持有</x:v>
      </x:c>
    </x:row>
    <x:row r="2073" ht="23" customHeight="1">
      <x:c r="A2073" s="11" t="d">
        <x:v>2023-03-21T00:00:00.000Z</x:v>
      </x:c>
      <x:c r="B2073" s="12" t="n">
        <x:v>20338.112816</x:v>
      </x:c>
      <x:c r="C2073" s="13" t="n">
        <x:v>484</x:v>
      </x:c>
      <x:c r="D2073" s="12" t="n">
        <x:v>193072.44</x:v>
      </x:c>
      <x:c r="E2073" s="12" t="n">
        <x:v>729.002736</x:v>
      </x:c>
      <x:c r="F2073" s="12" t="n">
        <x:f>SUM(B2073,D2073:E2073)</x:f>
        <x:v>214139.555552</x:v>
      </x:c>
      <x:c r="G2073" s="12" t="n">
        <x:f>MAX(G2072,F2073)</x:f>
        <x:v>248490.544664</x:v>
      </x:c>
      <x:c r="H2073" s="14" t="n">
        <x:f>F2073/G2073-1</x:f>
        <x:v>-0.13823861651737357</x:v>
      </x:c>
      <x:c r="I2073" s="14" t="n">
        <x:f>F2073/F2072-1</x:f>
        <x:v>0.011823437026740491</x:v>
      </x:c>
      <x:c r="J2073" s="12" t="n">
        <x:v>0</x:v>
      </x:c>
      <x:c r="K2073" s="12" t="n">
        <x:v>0</x:v>
      </x:c>
      <x:c r="L2073" s="12" t="n">
        <x:v>0</x:v>
      </x:c>
      <x:c r="M2073" s="2" t="str">
        <x:v>持有</x:v>
      </x:c>
    </x:row>
    <x:row r="2074" ht="23" customHeight="1">
      <x:c r="A2074" s="11" t="d">
        <x:v>2023-03-22T00:00:00.000Z</x:v>
      </x:c>
      <x:c r="B2074" s="12" t="n">
        <x:v>20338.112816</x:v>
      </x:c>
      <x:c r="C2074" s="13" t="n">
        <x:v>484</x:v>
      </x:c>
      <x:c r="D2074" s="12" t="n">
        <x:v>189781.24000000002</x:v>
      </x:c>
      <x:c r="E2074" s="12" t="n">
        <x:v>729.002736</x:v>
      </x:c>
      <x:c r="F2074" s="12" t="n">
        <x:f>SUM(B2074,D2074:E2074)</x:f>
        <x:v>210848.35555200002</x:v>
      </x:c>
      <x:c r="G2074" s="12" t="n">
        <x:f>MAX(G2073,F2074)</x:f>
        <x:v>248490.544664</x:v>
      </x:c>
      <x:c r="H2074" s="14" t="n">
        <x:f>F2074/G2074-1</x:f>
        <x:v>-0.1514833860696727</x:v>
      </x:c>
      <x:c r="I2074" s="14" t="n">
        <x:f>F2074/F2073-1</x:f>
        <x:v>-0.01536941641405798</x:v>
      </x:c>
      <x:c r="J2074" s="12" t="n">
        <x:v>0</x:v>
      </x:c>
      <x:c r="K2074" s="12" t="n">
        <x:v>0</x:v>
      </x:c>
      <x:c r="L2074" s="12" t="n">
        <x:v>0</x:v>
      </x:c>
      <x:c r="M2074" s="2" t="str">
        <x:v>持有</x:v>
      </x:c>
    </x:row>
    <x:row r="2075" ht="23" customHeight="1">
      <x:c r="A2075" s="11" t="d">
        <x:v>2023-03-23T00:00:00.000Z</x:v>
      </x:c>
      <x:c r="B2075" s="12" t="n">
        <x:v>20338.112816</x:v>
      </x:c>
      <x:c r="C2075" s="13" t="n">
        <x:v>484</x:v>
      </x:c>
      <x:c r="D2075" s="12" t="n">
        <x:v>190294.28</x:v>
      </x:c>
      <x:c r="E2075" s="12" t="n">
        <x:v>729.002736</x:v>
      </x:c>
      <x:c r="F2075" s="12" t="n">
        <x:f>SUM(B2075,D2075:E2075)</x:f>
        <x:v>211361.395552</x:v>
      </x:c>
      <x:c r="G2075" s="12" t="n">
        <x:f>MAX(G2074,F2075)</x:f>
        <x:v>248490.544664</x:v>
      </x:c>
      <x:c r="H2075" s="14" t="n">
        <x:f>F2075/G2075-1</x:f>
        <x:v>-0.14941876022769673</x:v>
      </x:c>
      <x:c r="I2075" s="14" t="n">
        <x:f>F2075/F2074-1</x:f>
        <x:v>0.0024332179336037374</x:v>
      </x:c>
      <x:c r="J2075" s="12" t="n">
        <x:v>0</x:v>
      </x:c>
      <x:c r="K2075" s="12" t="n">
        <x:v>0</x:v>
      </x:c>
      <x:c r="L2075" s="12" t="n">
        <x:v>0</x:v>
      </x:c>
      <x:c r="M2075" s="2" t="str">
        <x:v>持有</x:v>
      </x:c>
    </x:row>
    <x:row r="2076" ht="23" customHeight="1">
      <x:c r="A2076" s="11" t="d">
        <x:v>2023-03-24T00:00:00.000Z</x:v>
      </x:c>
      <x:c r="B2076" s="12" t="n">
        <x:v>20338.112816</x:v>
      </x:c>
      <x:c r="C2076" s="13" t="n">
        <x:v>484</x:v>
      </x:c>
      <x:c r="D2076" s="12" t="n">
        <x:v>191543</x:v>
      </x:c>
      <x:c r="E2076" s="12" t="n">
        <x:v>729.002736</x:v>
      </x:c>
      <x:c r="F2076" s="12" t="n">
        <x:f>SUM(B2076,D2076:E2076)</x:f>
        <x:v>212610.115552</x:v>
      </x:c>
      <x:c r="G2076" s="12" t="n">
        <x:f>MAX(G2075,F2076)</x:f>
        <x:v>248490.544664</x:v>
      </x:c>
      <x:c r="H2076" s="14" t="n">
        <x:f>F2076/G2076-1</x:f>
        <x:v>-0.14439353883873618</x:v>
      </x:c>
      <x:c r="I2076" s="14" t="n">
        <x:f>F2076/F2075-1</x:f>
        <x:v>0.0059079852152696954</x:v>
      </x:c>
      <x:c r="J2076" s="12" t="n">
        <x:v>0</x:v>
      </x:c>
      <x:c r="K2076" s="12" t="n">
        <x:v>0</x:v>
      </x:c>
      <x:c r="L2076" s="12" t="n">
        <x:v>0</x:v>
      </x:c>
      <x:c r="M2076" s="2" t="str">
        <x:v>持有</x:v>
      </x:c>
    </x:row>
    <x:row r="2077" ht="23" customHeight="1">
      <x:c r="A2077" s="11" t="d">
        <x:v>2023-03-27T00:00:00.000Z</x:v>
      </x:c>
      <x:c r="B2077" s="12" t="n">
        <x:v>20338.112816</x:v>
      </x:c>
      <x:c r="C2077" s="13" t="n">
        <x:v>484</x:v>
      </x:c>
      <x:c r="D2077" s="12" t="n">
        <x:v>191901.16</x:v>
      </x:c>
      <x:c r="E2077" s="12" t="n">
        <x:v>729.002736</x:v>
      </x:c>
      <x:c r="F2077" s="12" t="n">
        <x:f>SUM(B2077,D2077:E2077)</x:f>
        <x:v>212968.275552</x:v>
      </x:c>
      <x:c r="G2077" s="12" t="n">
        <x:f>MAX(G2076,F2077)</x:f>
        <x:v>248490.544664</x:v>
      </x:c>
      <x:c r="H2077" s="14" t="n">
        <x:f>F2077/G2077-1</x:f>
        <x:v>-0.14295219626980948</x:v>
      </x:c>
      <x:c r="I2077" s="14" t="n">
        <x:f>F2077/F2076-1</x:f>
        <x:v>0.001684585886565726</x:v>
      </x:c>
      <x:c r="J2077" s="12" t="n">
        <x:v>0</x:v>
      </x:c>
      <x:c r="K2077" s="12" t="n">
        <x:v>0</x:v>
      </x:c>
      <x:c r="L2077" s="12" t="n">
        <x:v>0</x:v>
      </x:c>
      <x:c r="M2077" s="2" t="str">
        <x:v>持有</x:v>
      </x:c>
    </x:row>
    <x:row r="2078" ht="23" customHeight="1">
      <x:c r="A2078" s="11" t="d">
        <x:v>2023-03-28T00:00:00.000Z</x:v>
      </x:c>
      <x:c r="B2078" s="12" t="n">
        <x:v>20338.112816</x:v>
      </x:c>
      <x:c r="C2078" s="13" t="n">
        <x:v>484</x:v>
      </x:c>
      <x:c r="D2078" s="12" t="n">
        <x:v>191470.40000000002</x:v>
      </x:c>
      <x:c r="E2078" s="12" t="n">
        <x:v>729.002736</x:v>
      </x:c>
      <x:c r="F2078" s="12" t="n">
        <x:f>SUM(B2078,D2078:E2078)</x:f>
        <x:v>212537.51555200003</x:v>
      </x:c>
      <x:c r="G2078" s="12" t="n">
        <x:f>MAX(G2077,F2078)</x:f>
        <x:v>248490.544664</x:v>
      </x:c>
      <x:c r="H2078" s="14" t="n">
        <x:f>F2078/G2078-1</x:f>
        <x:v>-0.144685702872978</x:v>
      </x:c>
      <x:c r="I2078" s="14" t="n">
        <x:f>F2078/F2077-1</x:f>
        <x:v>-0.0020226486732988214</x:v>
      </x:c>
      <x:c r="J2078" s="12" t="n">
        <x:v>0</x:v>
      </x:c>
      <x:c r="K2078" s="12" t="n">
        <x:v>0</x:v>
      </x:c>
      <x:c r="L2078" s="12" t="n">
        <x:v>0</x:v>
      </x:c>
      <x:c r="M2078" s="2" t="str">
        <x:v>持有</x:v>
      </x:c>
    </x:row>
    <x:row r="2079" ht="23" customHeight="1">
      <x:c r="A2079" s="11" t="d">
        <x:v>2023-03-29T00:00:00.000Z</x:v>
      </x:c>
      <x:c r="B2079" s="12" t="n">
        <x:v>20338.112816</x:v>
      </x:c>
      <x:c r="C2079" s="13" t="n">
        <x:v>484</x:v>
      </x:c>
      <x:c r="D2079" s="12" t="n">
        <x:v>194253.40000000002</x:v>
      </x:c>
      <x:c r="E2079" s="12" t="n">
        <x:v>729.002736</x:v>
      </x:c>
      <x:c r="F2079" s="12" t="n">
        <x:f>SUM(B2079,D2079:E2079)</x:f>
        <x:v>215320.51555200003</x:v>
      </x:c>
      <x:c r="G2079" s="12" t="n">
        <x:f>MAX(G2078,F2079)</x:f>
        <x:v>248490.544664</x:v>
      </x:c>
      <x:c r="H2079" s="14" t="n">
        <x:f>F2079/G2079-1</x:f>
        <x:v>-0.133486081560372</x:v>
      </x:c>
      <x:c r="I2079" s="14" t="n">
        <x:f>F2079/F2078-1</x:f>
        <x:v>0.01309415889600496</x:v>
      </x:c>
      <x:c r="J2079" s="12" t="n">
        <x:v>0</x:v>
      </x:c>
      <x:c r="K2079" s="12" t="n">
        <x:v>0</x:v>
      </x:c>
      <x:c r="L2079" s="12" t="n">
        <x:v>0</x:v>
      </x:c>
      <x:c r="M2079" s="2" t="str">
        <x:v>持有</x:v>
      </x:c>
    </x:row>
    <x:row r="2080" ht="23" customHeight="1">
      <x:c r="A2080" s="11" t="d">
        <x:v>2023-03-30T00:00:00.000Z</x:v>
      </x:c>
      <x:c r="B2080" s="12" t="n">
        <x:v>20338.112816</x:v>
      </x:c>
      <x:c r="C2080" s="13" t="n">
        <x:v>484</x:v>
      </x:c>
      <x:c r="D2080" s="12" t="n">
        <x:v>195390.8</x:v>
      </x:c>
      <x:c r="E2080" s="12" t="n">
        <x:v>729.002736</x:v>
      </x:c>
      <x:c r="F2080" s="12" t="n">
        <x:f>SUM(B2080,D2080:E2080)</x:f>
        <x:v>216457.915552</x:v>
      </x:c>
      <x:c r="G2080" s="12" t="n">
        <x:f>MAX(G2079,F2080)</x:f>
        <x:v>248490.544664</x:v>
      </x:c>
      <x:c r="H2080" s="14" t="n">
        <x:f>F2080/G2080-1</x:f>
        <x:v>-0.12890884502391575</x:v>
      </x:c>
      <x:c r="I2080" s="14" t="n">
        <x:f>F2080/F2079-1</x:f>
        <x:v>0.005282357777586233</x:v>
      </x:c>
      <x:c r="J2080" s="12" t="n">
        <x:v>0</x:v>
      </x:c>
      <x:c r="K2080" s="12" t="n">
        <x:v>0</x:v>
      </x:c>
      <x:c r="L2080" s="12" t="n">
        <x:v>0</x:v>
      </x:c>
      <x:c r="M2080" s="2" t="str">
        <x:v>持有</x:v>
      </x:c>
    </x:row>
    <x:row r="2081" ht="23" customHeight="1">
      <x:c r="A2081" s="11" t="d">
        <x:v>2023-03-31T00:00:00.000Z</x:v>
      </x:c>
      <x:c r="B2081" s="12" t="n">
        <x:v>20338.112816</x:v>
      </x:c>
      <x:c r="C2081" s="13" t="n">
        <x:v>484</x:v>
      </x:c>
      <x:c r="D2081" s="12" t="n">
        <x:v>198144.75999999998</x:v>
      </x:c>
      <x:c r="E2081" s="12" t="n">
        <x:v>729.002736</x:v>
      </x:c>
      <x:c r="F2081" s="12" t="n">
        <x:f>SUM(B2081,D2081:E2081)</x:f>
        <x:v>219211.87555199998</x:v>
      </x:c>
      <x:c r="G2081" s="12" t="n">
        <x:f>MAX(G2080,F2081)</x:f>
        <x:v>248490.544664</x:v>
      </x:c>
      <x:c r="H2081" s="14" t="n">
        <x:f>F2081/G2081-1</x:f>
        <x:v>-0.1178260893250066</x:v>
      </x:c>
      <x:c r="I2081" s="14" t="n">
        <x:f>F2081/F2080-1</x:f>
        <x:v>0.012722842650392252</x:v>
      </x:c>
      <x:c r="J2081" s="12" t="n">
        <x:v>0</x:v>
      </x:c>
      <x:c r="K2081" s="12" t="n">
        <x:v>0</x:v>
      </x:c>
      <x:c r="L2081" s="12" t="n">
        <x:v>0</x:v>
      </x:c>
      <x:c r="M2081" s="2" t="str">
        <x:v>持有</x:v>
      </x:c>
    </x:row>
    <x:row r="2082" ht="23" customHeight="1">
      <x:c r="A2082" s="11" t="d">
        <x:v>2023-04-03T00:00:00.000Z</x:v>
      </x:c>
      <x:c r="B2082" s="12" t="n">
        <x:v>20338.112816</x:v>
      </x:c>
      <x:c r="C2082" s="13" t="n">
        <x:v>484</x:v>
      </x:c>
      <x:c r="D2082" s="12" t="n">
        <x:v>198899.8</x:v>
      </x:c>
      <x:c r="E2082" s="12" t="n">
        <x:v>729.002736</x:v>
      </x:c>
      <x:c r="F2082" s="12" t="n">
        <x:f>SUM(B2082,D2082:E2082)</x:f>
        <x:v>219966.915552</x:v>
      </x:c>
      <x:c r="G2082" s="12" t="n">
        <x:f>MAX(G2081,F2082)</x:f>
        <x:v>248490.544664</x:v>
      </x:c>
      <x:c r="H2082" s="14" t="n">
        <x:f>F2082/G2082-1</x:f>
        <x:v>-0.11478758336889083</x:v>
      </x:c>
      <x:c r="I2082" s="14" t="n">
        <x:f>F2082/F2081-1</x:f>
        <x:v>0.0034443389442233574</x:v>
      </x:c>
      <x:c r="J2082" s="12" t="n">
        <x:v>0</x:v>
      </x:c>
      <x:c r="K2082" s="12" t="n">
        <x:v>0</x:v>
      </x:c>
      <x:c r="L2082" s="12" t="n">
        <x:v>0</x:v>
      </x:c>
      <x:c r="M2082" s="2" t="str">
        <x:v>持有</x:v>
      </x:c>
    </x:row>
    <x:row r="2083" ht="23" customHeight="1">
      <x:c r="A2083" s="11" t="d">
        <x:v>2023-04-04T00:00:00.000Z</x:v>
      </x:c>
      <x:c r="B2083" s="12" t="n">
        <x:v>20338.112816</x:v>
      </x:c>
      <x:c r="C2083" s="13" t="n">
        <x:v>484</x:v>
      </x:c>
      <x:c r="D2083" s="12" t="n">
        <x:v>197796.28</x:v>
      </x:c>
      <x:c r="E2083" s="12" t="n">
        <x:v>729.002736</x:v>
      </x:c>
      <x:c r="F2083" s="12" t="n">
        <x:f>SUM(B2083,D2083:E2083)</x:f>
        <x:v>218863.395552</x:v>
      </x:c>
      <x:c r="G2083" s="12" t="n">
        <x:f>MAX(G2082,F2083)</x:f>
        <x:v>248490.544664</x:v>
      </x:c>
      <x:c r="H2083" s="14" t="n">
        <x:f>F2083/G2083-1</x:f>
        <x:v>-0.11922847668936765</x:v>
      </x:c>
      <x:c r="I2083" s="14" t="n">
        <x:f>F2083/F2082-1</x:f>
        <x:v>-0.0050167544388697305</x:v>
      </x:c>
      <x:c r="J2083" s="12" t="n">
        <x:v>0</x:v>
      </x:c>
      <x:c r="K2083" s="12" t="n">
        <x:v>0</x:v>
      </x:c>
      <x:c r="L2083" s="12" t="n">
        <x:v>0</x:v>
      </x:c>
      <x:c r="M2083" s="2" t="str">
        <x:v>持有</x:v>
      </x:c>
    </x:row>
    <x:row r="2084" ht="23" customHeight="1">
      <x:c r="A2084" s="11" t="d">
        <x:v>2023-04-05T00:00:00.000Z</x:v>
      </x:c>
      <x:c r="B2084" s="12" t="n">
        <x:v>20338.112816</x:v>
      </x:c>
      <x:c r="C2084" s="13" t="n">
        <x:v>484</x:v>
      </x:c>
      <x:c r="D2084" s="12" t="n">
        <x:v>197278.40000000002</x:v>
      </x:c>
      <x:c r="E2084" s="12" t="n">
        <x:v>729.002736</x:v>
      </x:c>
      <x:c r="F2084" s="12" t="n">
        <x:f>SUM(B2084,D2084:E2084)</x:f>
        <x:v>218345.51555200003</x:v>
      </x:c>
      <x:c r="G2084" s="12" t="n">
        <x:f>MAX(G2083,F2084)</x:f>
        <x:v>248490.544664</x:v>
      </x:c>
      <x:c r="H2084" s="14" t="n">
        <x:f>F2084/G2084-1</x:f>
        <x:v>-0.12131258013362634</x:v>
      </x:c>
      <x:c r="I2084" s="14" t="n">
        <x:f>F2084/F2083-1</x:f>
        <x:v>-0.0023662248257357854</x:v>
      </x:c>
      <x:c r="J2084" s="12" t="n">
        <x:v>0</x:v>
      </x:c>
      <x:c r="K2084" s="12" t="n">
        <x:v>0</x:v>
      </x:c>
      <x:c r="L2084" s="12" t="n">
        <x:v>0</x:v>
      </x:c>
      <x:c r="M2084" s="2" t="str">
        <x:v>持有</x:v>
      </x:c>
    </x:row>
    <x:row r="2085" ht="23" customHeight="1">
      <x:c r="A2085" s="11" t="d">
        <x:v>2023-04-06T00:00:00.000Z</x:v>
      </x:c>
      <x:c r="B2085" s="12" t="n">
        <x:v>20338.112816</x:v>
      </x:c>
      <x:c r="C2085" s="13" t="n">
        <x:v>484</x:v>
      </x:c>
      <x:c r="D2085" s="12" t="n">
        <x:v>198047.96</x:v>
      </x:c>
      <x:c r="E2085" s="12" t="n">
        <x:v>729.002736</x:v>
      </x:c>
      <x:c r="F2085" s="12" t="n">
        <x:f>SUM(B2085,D2085:E2085)</x:f>
        <x:v>219115.075552</x:v>
      </x:c>
      <x:c r="G2085" s="12" t="n">
        <x:f>MAX(G2084,F2085)</x:f>
        <x:v>248490.544664</x:v>
      </x:c>
      <x:c r="H2085" s="14" t="n">
        <x:f>F2085/G2085-1</x:f>
        <x:v>-0.11821564137066243</x:v>
      </x:c>
      <x:c r="I2085" s="14" t="n">
        <x:f>F2085/F2084-1</x:f>
        <x:v>0.003524505635274622</x:v>
      </x:c>
      <x:c r="J2085" s="12" t="n">
        <x:v>0</x:v>
      </x:c>
      <x:c r="K2085" s="12" t="n">
        <x:v>0</x:v>
      </x:c>
      <x:c r="L2085" s="12" t="n">
        <x:v>0</x:v>
      </x:c>
      <x:c r="M2085" s="2" t="str">
        <x:v>持有</x:v>
      </x:c>
    </x:row>
    <x:row r="2086" ht="23" customHeight="1">
      <x:c r="A2086" s="11" t="d">
        <x:v>2023-04-10T00:00:00.000Z</x:v>
      </x:c>
      <x:c r="B2086" s="12" t="n">
        <x:v>20338.112816</x:v>
      </x:c>
      <x:c r="C2086" s="13" t="n">
        <x:v>484</x:v>
      </x:c>
      <x:c r="D2086" s="12" t="n">
        <x:v>198251.24000000002</x:v>
      </x:c>
      <x:c r="E2086" s="12" t="n">
        <x:v>729.002736</x:v>
      </x:c>
      <x:c r="F2086" s="12" t="n">
        <x:f>SUM(B2086,D2086:E2086)</x:f>
        <x:v>219318.35555200002</x:v>
      </x:c>
      <x:c r="G2086" s="12" t="n">
        <x:f>MAX(G2085,F2086)</x:f>
        <x:v>248490.544664</x:v>
      </x:c>
      <x:c r="H2086" s="14" t="n">
        <x:f>F2086/G2086-1</x:f>
        <x:v>-0.11739758207478501</x:v>
      </x:c>
      <x:c r="I2086" s="14" t="n">
        <x:f>F2086/F2085-1</x:f>
        <x:v>0.0009277316929834356</x:v>
      </x:c>
      <x:c r="J2086" s="12" t="n">
        <x:v>0</x:v>
      </x:c>
      <x:c r="K2086" s="12" t="n">
        <x:v>0</x:v>
      </x:c>
      <x:c r="L2086" s="12" t="n">
        <x:v>0</x:v>
      </x:c>
      <x:c r="M2086" s="2" t="str">
        <x:v>持有</x:v>
      </x:c>
    </x:row>
    <x:row r="2087" ht="23" customHeight="1">
      <x:c r="A2087" s="11" t="d">
        <x:v>2023-04-11T00:00:00.000Z</x:v>
      </x:c>
      <x:c r="B2087" s="12" t="n">
        <x:v>20338.112816</x:v>
      </x:c>
      <x:c r="C2087" s="13" t="n">
        <x:v>484</x:v>
      </x:c>
      <x:c r="D2087" s="12" t="n">
        <x:v>198304.48</x:v>
      </x:c>
      <x:c r="E2087" s="12" t="n">
        <x:v>729.002736</x:v>
      </x:c>
      <x:c r="F2087" s="12" t="n">
        <x:f>SUM(B2087,D2087:E2087)</x:f>
        <x:v>219371.595552</x:v>
      </x:c>
      <x:c r="G2087" s="12" t="n">
        <x:f>MAX(G2086,F2087)</x:f>
        <x:v>248490.544664</x:v>
      </x:c>
      <x:c r="H2087" s="14" t="n">
        <x:f>F2087/G2087-1</x:f>
        <x:v>-0.11718332844967427</x:v>
      </x:c>
      <x:c r="I2087" s="14" t="n">
        <x:f>F2087/F2086-1</x:f>
        <x:v>0.00024275213930913253</x:v>
      </x:c>
      <x:c r="J2087" s="12" t="n">
        <x:v>0</x:v>
      </x:c>
      <x:c r="K2087" s="12" t="n">
        <x:v>0</x:v>
      </x:c>
      <x:c r="L2087" s="12" t="n">
        <x:v>0</x:v>
      </x:c>
      <x:c r="M2087" s="2" t="str">
        <x:v>持有</x:v>
      </x:c>
    </x:row>
    <x:row r="2088" ht="23" customHeight="1">
      <x:c r="A2088" s="11" t="d">
        <x:v>2023-04-12T00:00:00.000Z</x:v>
      </x:c>
      <x:c r="B2088" s="12" t="n">
        <x:v>20338.112816</x:v>
      </x:c>
      <x:c r="C2088" s="13" t="n">
        <x:v>484</x:v>
      </x:c>
      <x:c r="D2088" s="12" t="n">
        <x:v>197496.2</x:v>
      </x:c>
      <x:c r="E2088" s="12" t="n">
        <x:v>729.002736</x:v>
      </x:c>
      <x:c r="F2088" s="12" t="n">
        <x:f>SUM(B2088,D2088:E2088)</x:f>
        <x:v>218563.31555200001</x:v>
      </x:c>
      <x:c r="G2088" s="12" t="n">
        <x:f>MAX(G2087,F2088)</x:f>
        <x:v>248490.544664</x:v>
      </x:c>
      <x:c r="H2088" s="14" t="n">
        <x:f>F2088/G2088-1</x:f>
        <x:v>-0.12043608803090078</x:v>
      </x:c>
      <x:c r="I2088" s="14" t="n">
        <x:f>F2088/F2087-1</x:f>
        <x:v>-0.003684524416053714</x:v>
      </x:c>
      <x:c r="J2088" s="12" t="n">
        <x:v>0</x:v>
      </x:c>
      <x:c r="K2088" s="12" t="n">
        <x:v>0</x:v>
      </x:c>
      <x:c r="L2088" s="12" t="n">
        <x:v>0</x:v>
      </x:c>
      <x:c r="M2088" s="2" t="str">
        <x:v>持有</x:v>
      </x:c>
    </x:row>
    <x:row r="2089" ht="23" customHeight="1">
      <x:c r="A2089" s="11" t="d">
        <x:v>2023-04-13T00:00:00.000Z</x:v>
      </x:c>
      <x:c r="B2089" s="12" t="n">
        <x:v>20338.112816</x:v>
      </x:c>
      <x:c r="C2089" s="13" t="n">
        <x:v>484</x:v>
      </x:c>
      <x:c r="D2089" s="12" t="n">
        <x:v>200119.48</x:v>
      </x:c>
      <x:c r="E2089" s="12" t="n">
        <x:v>729.002736</x:v>
      </x:c>
      <x:c r="F2089" s="12" t="n">
        <x:f>SUM(B2089,D2089:E2089)</x:f>
        <x:v>221186.595552</x:v>
      </x:c>
      <x:c r="G2089" s="12" t="n">
        <x:f>MAX(G2088,F2089)</x:f>
        <x:v>248490.544664</x:v>
      </x:c>
      <x:c r="H2089" s="14" t="n">
        <x:f>F2089/G2089-1</x:f>
        <x:v>-0.1098792275936269</x:v>
      </x:c>
      <x:c r="I2089" s="14" t="n">
        <x:f>F2089/F2088-1</x:f>
        <x:v>0.0120023801495448</x:v>
      </x:c>
      <x:c r="J2089" s="12" t="n">
        <x:v>0</x:v>
      </x:c>
      <x:c r="K2089" s="12" t="n">
        <x:v>0</x:v>
      </x:c>
      <x:c r="L2089" s="12" t="n">
        <x:v>0</x:v>
      </x:c>
      <x:c r="M2089" s="2" t="str">
        <x:v>持有</x:v>
      </x:c>
    </x:row>
    <x:row r="2090" ht="23" customHeight="1">
      <x:c r="A2090" s="11" t="d">
        <x:v>2023-04-14T00:00:00.000Z</x:v>
      </x:c>
      <x:c r="B2090" s="12" t="n">
        <x:v>20338.112816</x:v>
      </x:c>
      <x:c r="C2090" s="13" t="n">
        <x:v>484</x:v>
      </x:c>
      <x:c r="D2090" s="12" t="n">
        <x:v>199630.63999999998</x:v>
      </x:c>
      <x:c r="E2090" s="12" t="n">
        <x:v>729.002736</x:v>
      </x:c>
      <x:c r="F2090" s="12" t="n">
        <x:f>SUM(B2090,D2090:E2090)</x:f>
        <x:v>220697.755552</x:v>
      </x:c>
      <x:c r="G2090" s="12" t="n">
        <x:f>MAX(G2089,F2090)</x:f>
        <x:v>248490.544664</x:v>
      </x:c>
      <x:c r="H2090" s="14" t="n">
        <x:f>F2090/G2090-1</x:f>
        <x:v>-0.11184646542418908</x:v>
      </x:c>
      <x:c r="I2090" s="14" t="n">
        <x:f>F2090/F2089-1</x:f>
        <x:v>-0.002210079678563126</x:v>
      </x:c>
      <x:c r="J2090" s="12" t="n">
        <x:v>0</x:v>
      </x:c>
      <x:c r="K2090" s="12" t="n">
        <x:v>0</x:v>
      </x:c>
      <x:c r="L2090" s="12" t="n">
        <x:v>0</x:v>
      </x:c>
      <x:c r="M2090" s="2" t="str">
        <x:v>持有</x:v>
      </x:c>
    </x:row>
    <x:row r="2091" ht="23" customHeight="1">
      <x:c r="A2091" s="11" t="d">
        <x:v>2023-04-17T00:00:00.000Z</x:v>
      </x:c>
      <x:c r="B2091" s="12" t="n">
        <x:v>20338.112816</x:v>
      </x:c>
      <x:c r="C2091" s="13" t="n">
        <x:v>484</x:v>
      </x:c>
      <x:c r="D2091" s="12" t="n">
        <x:v>200346.96</x:v>
      </x:c>
      <x:c r="E2091" s="12" t="n">
        <x:v>729.002736</x:v>
      </x:c>
      <x:c r="F2091" s="12" t="n">
        <x:f>SUM(B2091,D2091:E2091)</x:f>
        <x:v>221414.075552</x:v>
      </x:c>
      <x:c r="G2091" s="12" t="n">
        <x:f>MAX(G2090,F2091)</x:f>
        <x:v>248490.544664</x:v>
      </x:c>
      <x:c r="H2091" s="14" t="n">
        <x:f>F2091/G2091-1</x:f>
        <x:v>-0.10896378028633569</x:v>
      </x:c>
      <x:c r="I2091" s="14" t="n">
        <x:f>F2091/F2090-1</x:f>
        <x:v>0.0032457058668693417</x:v>
      </x:c>
      <x:c r="J2091" s="12" t="n">
        <x:v>0</x:v>
      </x:c>
      <x:c r="K2091" s="12" t="n">
        <x:v>0</x:v>
      </x:c>
      <x:c r="L2091" s="12" t="n">
        <x:v>0</x:v>
      </x:c>
      <x:c r="M2091" s="2" t="str">
        <x:v>持有</x:v>
      </x:c>
    </x:row>
    <x:row r="2092" ht="23" customHeight="1">
      <x:c r="A2092" s="11" t="d">
        <x:v>2023-04-18T00:00:00.000Z</x:v>
      </x:c>
      <x:c r="B2092" s="12" t="n">
        <x:v>20338.112816</x:v>
      </x:c>
      <x:c r="C2092" s="13" t="n">
        <x:v>484</x:v>
      </x:c>
      <x:c r="D2092" s="12" t="n">
        <x:v>200477.63999999998</x:v>
      </x:c>
      <x:c r="E2092" s="12" t="n">
        <x:v>729.002736</x:v>
      </x:c>
      <x:c r="F2092" s="12" t="n">
        <x:f>SUM(B2092,D2092:E2092)</x:f>
        <x:v>221544.755552</x:v>
      </x:c>
      <x:c r="G2092" s="12" t="n">
        <x:f>MAX(G2091,F2092)</x:f>
        <x:v>248490.544664</x:v>
      </x:c>
      <x:c r="H2092" s="14" t="n">
        <x:f>F2092/G2092-1</x:f>
        <x:v>-0.10843788502470031</x:v>
      </x:c>
      <x:c r="I2092" s="14" t="n">
        <x:f>F2092/F2091-1</x:f>
        <x:v>0.0005902063799430035</x:v>
      </x:c>
      <x:c r="J2092" s="12" t="n">
        <x:v>0</x:v>
      </x:c>
      <x:c r="K2092" s="12" t="n">
        <x:v>0</x:v>
      </x:c>
      <x:c r="L2092" s="12" t="n">
        <x:v>0</x:v>
      </x:c>
      <x:c r="M2092" s="2" t="str">
        <x:v>持有</x:v>
      </x:c>
    </x:row>
    <x:row r="2093" ht="23" customHeight="1">
      <x:c r="A2093" s="11" t="d">
        <x:v>2023-04-19T00:00:00.000Z</x:v>
      </x:c>
      <x:c r="B2093" s="12" t="n">
        <x:v>20338.112816</x:v>
      </x:c>
      <x:c r="C2093" s="13" t="n">
        <x:v>484</x:v>
      </x:c>
      <x:c r="D2093" s="12" t="n">
        <x:v>200443.75999999998</x:v>
      </x:c>
      <x:c r="E2093" s="12" t="n">
        <x:v>729.002736</x:v>
      </x:c>
      <x:c r="F2093" s="12" t="n">
        <x:f>SUM(B2093,D2093:E2093)</x:f>
        <x:v>221510.87555199998</x:v>
      </x:c>
      <x:c r="G2093" s="12" t="n">
        <x:f>MAX(G2092,F2093)</x:f>
        <x:v>248490.544664</x:v>
      </x:c>
      <x:c r="H2093" s="14" t="n">
        <x:f>F2093/G2093-1</x:f>
        <x:v>-0.10857422824067997</x:v>
      </x:c>
      <x:c r="I2093" s="14" t="n">
        <x:f>F2093/F2092-1</x:f>
        <x:v>-0.00015292621084883606</x:v>
      </x:c>
      <x:c r="J2093" s="12" t="n">
        <x:v>0</x:v>
      </x:c>
      <x:c r="K2093" s="12" t="n">
        <x:v>0</x:v>
      </x:c>
      <x:c r="L2093" s="12" t="n">
        <x:v>0</x:v>
      </x:c>
      <x:c r="M2093" s="2" t="str">
        <x:v>持有</x:v>
      </x:c>
    </x:row>
    <x:row r="2094" ht="23" customHeight="1">
      <x:c r="A2094" s="11" t="d">
        <x:v>2023-04-20T00:00:00.000Z</x:v>
      </x:c>
      <x:c r="B2094" s="12" t="n">
        <x:v>20338.112816</x:v>
      </x:c>
      <x:c r="C2094" s="13" t="n">
        <x:v>484</x:v>
      </x:c>
      <x:c r="D2094" s="12" t="n">
        <x:v>199349.91999999998</x:v>
      </x:c>
      <x:c r="E2094" s="12" t="n">
        <x:v>729.002736</x:v>
      </x:c>
      <x:c r="F2094" s="12" t="n">
        <x:f>SUM(B2094,D2094:E2094)</x:f>
        <x:v>220417.035552</x:v>
      </x:c>
      <x:c r="G2094" s="12" t="n">
        <x:f>MAX(G2093,F2094)</x:f>
        <x:v>248490.544664</x:v>
      </x:c>
      <x:c r="H2094" s="14" t="n">
        <x:f>F2094/G2094-1</x:f>
        <x:v>-0.11297616635659113</x:v>
      </x:c>
      <x:c r="I2094" s="14" t="n">
        <x:f>F2094/F2093-1</x:f>
        <x:v>-0.004938087113213641</x:v>
      </x:c>
      <x:c r="J2094" s="12" t="n">
        <x:v>0</x:v>
      </x:c>
      <x:c r="K2094" s="12" t="n">
        <x:v>0</x:v>
      </x:c>
      <x:c r="L2094" s="12" t="n">
        <x:v>0</x:v>
      </x:c>
      <x:c r="M2094" s="2" t="str">
        <x:v>持有</x:v>
      </x:c>
    </x:row>
    <x:row r="2095" ht="23" customHeight="1">
      <x:c r="A2095" s="11" t="d">
        <x:v>2023-04-21T00:00:00.000Z</x:v>
      </x:c>
      <x:c r="B2095" s="12" t="n">
        <x:v>20338.112816</x:v>
      </x:c>
      <x:c r="C2095" s="13" t="n">
        <x:v>484</x:v>
      </x:c>
      <x:c r="D2095" s="12" t="n">
        <x:v>199504.8</x:v>
      </x:c>
      <x:c r="E2095" s="12" t="n">
        <x:v>729.002736</x:v>
      </x:c>
      <x:c r="F2095" s="12" t="n">
        <x:f>SUM(B2095,D2095:E2095)</x:f>
        <x:v>220571.915552</x:v>
      </x:c>
      <x:c r="G2095" s="12" t="n">
        <x:f>MAX(G2094,F2095)</x:f>
        <x:v>248490.544664</x:v>
      </x:c>
      <x:c r="H2095" s="14" t="n">
        <x:f>F2095/G2095-1</x:f>
        <x:v>-0.11235288308354174</x:v>
      </x:c>
      <x:c r="I2095" s="14" t="n">
        <x:f>F2095/F2094-1</x:f>
        <x:v>0.0007026680111732464</x:v>
      </x:c>
      <x:c r="J2095" s="12" t="n">
        <x:v>0</x:v>
      </x:c>
      <x:c r="K2095" s="12" t="n">
        <x:v>0</x:v>
      </x:c>
      <x:c r="L2095" s="12" t="n">
        <x:v>0</x:v>
      </x:c>
      <x:c r="M2095" s="2" t="str">
        <x:v>持有</x:v>
      </x:c>
    </x:row>
    <x:row r="2096" ht="23" customHeight="1">
      <x:c r="A2096" s="11" t="d">
        <x:v>2023-04-24T00:00:00.000Z</x:v>
      </x:c>
      <x:c r="B2096" s="12" t="n">
        <x:v>20338.112816</x:v>
      </x:c>
      <x:c r="C2096" s="13" t="n">
        <x:v>484</x:v>
      </x:c>
      <x:c r="D2096" s="12" t="n">
        <x:v>199712.91999999998</x:v>
      </x:c>
      <x:c r="E2096" s="12" t="n">
        <x:v>729.002736</x:v>
      </x:c>
      <x:c r="F2096" s="12" t="n">
        <x:f>SUM(B2096,D2096:E2096)</x:f>
        <x:v>220780.035552</x:v>
      </x:c>
      <x:c r="G2096" s="12" t="n">
        <x:f>MAX(G2095,F2096)</x:f>
        <x:v>248490.544664</x:v>
      </x:c>
      <x:c r="H2096" s="14" t="n">
        <x:f>F2096/G2096-1</x:f>
        <x:v>-0.11151534618538161</x:v>
      </x:c>
      <x:c r="I2096" s="14" t="n">
        <x:f>F2096/F2095-1</x:f>
        <x:v>0.0009435471396217476</x:v>
      </x:c>
      <x:c r="J2096" s="12" t="n">
        <x:v>0</x:v>
      </x:c>
      <x:c r="K2096" s="12" t="n">
        <x:v>0</x:v>
      </x:c>
      <x:c r="L2096" s="12" t="n">
        <x:v>0</x:v>
      </x:c>
      <x:c r="M2096" s="2" t="str">
        <x:v>持有</x:v>
      </x:c>
    </x:row>
    <x:row r="2097" ht="23" customHeight="1">
      <x:c r="A2097" s="11" t="d">
        <x:v>2023-04-25T00:00:00.000Z</x:v>
      </x:c>
      <x:c r="B2097" s="12" t="n">
        <x:v>20338.112816</x:v>
      </x:c>
      <x:c r="C2097" s="13" t="n">
        <x:v>484</x:v>
      </x:c>
      <x:c r="D2097" s="12" t="n">
        <x:v>196542.72</x:v>
      </x:c>
      <x:c r="E2097" s="12" t="n">
        <x:v>729.002736</x:v>
      </x:c>
      <x:c r="F2097" s="12" t="n">
        <x:f>SUM(B2097,D2097:E2097)</x:f>
        <x:v>217609.835552</x:v>
      </x:c>
      <x:c r="G2097" s="12" t="n">
        <x:f>MAX(G2096,F2097)</x:f>
        <x:v>248490.544664</x:v>
      </x:c>
      <x:c r="H2097" s="14" t="n">
        <x:f>F2097/G2097-1</x:f>
        <x:v>-0.12427317568061103</x:v>
      </x:c>
      <x:c r="I2097" s="14" t="n">
        <x:f>F2097/F2096-1</x:f>
        <x:v>-0.014359088185096791</x:v>
      </x:c>
      <x:c r="J2097" s="12" t="n">
        <x:v>0</x:v>
      </x:c>
      <x:c r="K2097" s="12" t="n">
        <x:v>0</x:v>
      </x:c>
      <x:c r="L2097" s="12" t="n">
        <x:v>0</x:v>
      </x:c>
      <x:c r="M2097" s="2" t="str">
        <x:v>持有</x:v>
      </x:c>
    </x:row>
    <x:row r="2098" ht="23" customHeight="1">
      <x:c r="A2098" s="11" t="d">
        <x:v>2023-04-26T00:00:00.000Z</x:v>
      </x:c>
      <x:c r="B2098" s="12" t="n">
        <x:v>20338.112816</x:v>
      </x:c>
      <x:c r="C2098" s="13" t="n">
        <x:v>484</x:v>
      </x:c>
      <x:c r="D2098" s="12" t="n">
        <x:v>195710.24000000002</x:v>
      </x:c>
      <x:c r="E2098" s="12" t="n">
        <x:v>729.002736</x:v>
      </x:c>
      <x:c r="F2098" s="12" t="n">
        <x:f>SUM(B2098,D2098:E2098)</x:f>
        <x:v>216777.35555200002</x:v>
      </x:c>
      <x:c r="G2098" s="12" t="n">
        <x:f>MAX(G2097,F2098)</x:f>
        <x:v>248490.544664</x:v>
      </x:c>
      <x:c r="H2098" s="14" t="n">
        <x:f>F2098/G2098-1</x:f>
        <x:v>-0.12762332327325132</x:v>
      </x:c>
      <x:c r="I2098" s="14" t="n">
        <x:f>F2098/F2097-1</x:f>
        <x:v>-0.003825562378135472</x:v>
      </x:c>
      <x:c r="J2098" s="12" t="n">
        <x:v>0</x:v>
      </x:c>
      <x:c r="K2098" s="12" t="n">
        <x:v>0</x:v>
      </x:c>
      <x:c r="L2098" s="12" t="n">
        <x:v>0</x:v>
      </x:c>
      <x:c r="M2098" s="2" t="str">
        <x:v>持有</x:v>
      </x:c>
    </x:row>
    <x:row r="2099" ht="23" customHeight="1">
      <x:c r="A2099" s="11" t="d">
        <x:v>2023-04-27T00:00:00.000Z</x:v>
      </x:c>
      <x:c r="B2099" s="12" t="n">
        <x:v>20338.112816</x:v>
      </x:c>
      <x:c r="C2099" s="13" t="n">
        <x:v>484</x:v>
      </x:c>
      <x:c r="D2099" s="12" t="n">
        <x:v>199606.44</x:v>
      </x:c>
      <x:c r="E2099" s="12" t="n">
        <x:v>729.002736</x:v>
      </x:c>
      <x:c r="F2099" s="12" t="n">
        <x:f>SUM(B2099,D2099:E2099)</x:f>
        <x:v>220673.555552</x:v>
      </x:c>
      <x:c r="G2099" s="12" t="n">
        <x:f>MAX(G2098,F2099)</x:f>
        <x:v>248490.544664</x:v>
      </x:c>
      <x:c r="H2099" s="14" t="n">
        <x:f>F2099/G2099-1</x:f>
        <x:v>-0.11194385343560298</x:v>
      </x:c>
      <x:c r="I2099" s="14" t="n">
        <x:f>F2099/F2098-1</x:f>
        <x:v>0.017973279497199846</x:v>
      </x:c>
      <x:c r="J2099" s="12" t="n">
        <x:v>0</x:v>
      </x:c>
      <x:c r="K2099" s="12" t="n">
        <x:v>0</x:v>
      </x:c>
      <x:c r="L2099" s="12" t="n">
        <x:v>0</x:v>
      </x:c>
      <x:c r="M2099" s="2" t="str">
        <x:v>持有</x:v>
      </x:c>
    </x:row>
    <x:row r="2100" ht="23" customHeight="1">
      <x:c r="A2100" s="11" t="d">
        <x:v>2023-04-28T00:00:00.000Z</x:v>
      </x:c>
      <x:c r="B2100" s="12" t="n">
        <x:v>21067.115552</x:v>
      </x:c>
      <x:c r="C2100" s="13" t="n">
        <x:v>484</x:v>
      </x:c>
      <x:c r="D2100" s="12" t="n">
        <x:v>201310.12</x:v>
      </x:c>
      <x:c r="E2100" s="12" t="n">
        <x:v>0</x:v>
      </x:c>
      <x:c r="F2100" s="12" t="n">
        <x:f>SUM(B2100,D2100:E2100)</x:f>
        <x:v>222377.235552</x:v>
      </x:c>
      <x:c r="G2100" s="12" t="n">
        <x:f>MAX(G2099,F2100)</x:f>
        <x:v>248490.544664</x:v>
      </x:c>
      <x:c r="H2100" s="14" t="n">
        <x:f>F2100/G2100-1</x:f>
        <x:v>-0.1050877374320599</x:v>
      </x:c>
      <x:c r="I2100" s="14" t="n">
        <x:f>F2100/F2099-1</x:f>
        <x:v>0.007720363211343395</x:v>
      </x:c>
      <x:c r="J2100" s="12" t="n">
        <x:v>0</x:v>
      </x:c>
      <x:c r="K2100" s="12" t="n">
        <x:v>729.002736</x:v>
      </x:c>
      <x:c r="L2100" s="12" t="n">
        <x:v>0</x:v>
      </x:c>
      <x:c r="M2100" s="2" t="str">
        <x:v>持有</x:v>
      </x:c>
    </x:row>
    <x:row r="2101" ht="23" customHeight="1">
      <x:c r="A2101" s="11" t="d">
        <x:v>2023-05-01T00:00:00.000Z</x:v>
      </x:c>
      <x:c r="B2101" s="12" t="n">
        <x:v>21067.115552</x:v>
      </x:c>
      <x:c r="C2101" s="13" t="n">
        <x:v>484</x:v>
      </x:c>
      <x:c r="D2101" s="12" t="n">
        <x:v>201106.84</x:v>
      </x:c>
      <x:c r="E2101" s="12" t="n">
        <x:v>0</x:v>
      </x:c>
      <x:c r="F2101" s="12" t="n">
        <x:f>SUM(B2101,D2101:E2101)</x:f>
        <x:v>222173.955552</x:v>
      </x:c>
      <x:c r="G2101" s="12" t="n">
        <x:f>MAX(G2100,F2101)</x:f>
        <x:v>248490.544664</x:v>
      </x:c>
      <x:c r="H2101" s="14" t="n">
        <x:f>F2101/G2101-1</x:f>
        <x:v>-0.10590579672793721</x:v>
      </x:c>
      <x:c r="I2101" s="14" t="n">
        <x:f>F2101/F2100-1</x:f>
        <x:v>-0.0009141223448317914</x:v>
      </x:c>
      <x:c r="J2101" s="12" t="n">
        <x:v>0</x:v>
      </x:c>
      <x:c r="K2101" s="12" t="n">
        <x:v>0</x:v>
      </x:c>
      <x:c r="L2101" s="12" t="n">
        <x:v>0</x:v>
      </x:c>
      <x:c r="M2101" s="2" t="str">
        <x:v>持有</x:v>
      </x:c>
    </x:row>
    <x:row r="2102" ht="23" customHeight="1">
      <x:c r="A2102" s="11" t="d">
        <x:v>2023-05-02T00:00:00.000Z</x:v>
      </x:c>
      <x:c r="B2102" s="12" t="n">
        <x:v>21067.115552</x:v>
      </x:c>
      <x:c r="C2102" s="13" t="n">
        <x:v>484</x:v>
      </x:c>
      <x:c r="D2102" s="12" t="n">
        <x:v>198846.56</x:v>
      </x:c>
      <x:c r="E2102" s="12" t="n">
        <x:v>0</x:v>
      </x:c>
      <x:c r="F2102" s="12" t="n">
        <x:f>SUM(B2102,D2102:E2102)</x:f>
        <x:v>219913.675552</x:v>
      </x:c>
      <x:c r="G2102" s="12" t="n">
        <x:f>MAX(G2101,F2102)</x:f>
        <x:v>248490.544664</x:v>
      </x:c>
      <x:c r="H2102" s="14" t="n">
        <x:f>F2102/G2102-1</x:f>
        <x:v>-0.11500183699400157</x:v>
      </x:c>
      <x:c r="I2102" s="14" t="n">
        <x:f>F2102/F2101-1</x:f>
        <x:v>-0.01017346967777677</x:v>
      </x:c>
      <x:c r="J2102" s="12" t="n">
        <x:v>0</x:v>
      </x:c>
      <x:c r="K2102" s="12" t="n">
        <x:v>0</x:v>
      </x:c>
      <x:c r="L2102" s="12" t="n">
        <x:v>0</x:v>
      </x:c>
      <x:c r="M2102" s="2" t="str">
        <x:v>持有</x:v>
      </x:c>
    </x:row>
    <x:row r="2103" ht="23" customHeight="1">
      <x:c r="A2103" s="11" t="d">
        <x:v>2023-05-03T00:00:00.000Z</x:v>
      </x:c>
      <x:c r="B2103" s="12" t="n">
        <x:v>21067.115552</x:v>
      </x:c>
      <x:c r="C2103" s="13" t="n">
        <x:v>484</x:v>
      </x:c>
      <x:c r="D2103" s="12" t="n">
        <x:v>197481.68</x:v>
      </x:c>
      <x:c r="E2103" s="12" t="n">
        <x:v>0</x:v>
      </x:c>
      <x:c r="F2103" s="12" t="n">
        <x:f>SUM(B2103,D2103:E2103)</x:f>
        <x:v>218548.795552</x:v>
      </x:c>
      <x:c r="G2103" s="12" t="n">
        <x:f>MAX(G2102,F2103)</x:f>
        <x:v>248490.544664</x:v>
      </x:c>
      <x:c r="H2103" s="14" t="n">
        <x:f>F2103/G2103-1</x:f>
        <x:v>-0.12049452083774914</x:v>
      </x:c>
      <x:c r="I2103" s="14" t="n">
        <x:f>F2103/F2102-1</x:f>
        <x:v>-0.0062064353050079735</x:v>
      </x:c>
      <x:c r="J2103" s="12" t="n">
        <x:v>0</x:v>
      </x:c>
      <x:c r="K2103" s="12" t="n">
        <x:v>0</x:v>
      </x:c>
      <x:c r="L2103" s="12" t="n">
        <x:v>0</x:v>
      </x:c>
      <x:c r="M2103" s="2" t="str">
        <x:v>持有</x:v>
      </x:c>
    </x:row>
    <x:row r="2104" ht="23" customHeight="1">
      <x:c r="A2104" s="11" t="d">
        <x:v>2023-05-04T00:00:00.000Z</x:v>
      </x:c>
      <x:c r="B2104" s="12" t="n">
        <x:v>21067.115552</x:v>
      </x:c>
      <x:c r="C2104" s="13" t="n">
        <x:v>484</x:v>
      </x:c>
      <x:c r="D2104" s="12" t="n">
        <x:v>196082.91999999998</x:v>
      </x:c>
      <x:c r="E2104" s="12" t="n">
        <x:v>0</x:v>
      </x:c>
      <x:c r="F2104" s="12" t="n">
        <x:f>SUM(B2104,D2104:E2104)</x:f>
        <x:v>217150.035552</x:v>
      </x:c>
      <x:c r="G2104" s="12" t="n">
        <x:f>MAX(G2103,F2104)</x:f>
        <x:v>248490.544664</x:v>
      </x:c>
      <x:c r="H2104" s="14" t="n">
        <x:f>F2104/G2104-1</x:f>
        <x:v>-0.12612354789747637</x:v>
      </x:c>
      <x:c r="I2104" s="14" t="n">
        <x:f>F2104/F2103-1</x:f>
        <x:v>-0.006400218296637505</x:v>
      </x:c>
      <x:c r="J2104" s="12" t="n">
        <x:v>0</x:v>
      </x:c>
      <x:c r="K2104" s="12" t="n">
        <x:v>0</x:v>
      </x:c>
      <x:c r="L2104" s="12" t="n">
        <x:v>0</x:v>
      </x:c>
      <x:c r="M2104" s="2" t="str">
        <x:v>持有</x:v>
      </x:c>
    </x:row>
    <x:row r="2105" ht="23" customHeight="1">
      <x:c r="A2105" s="11" t="d">
        <x:v>2023-05-05T00:00:00.000Z</x:v>
      </x:c>
      <x:c r="B2105" s="12" t="n">
        <x:v>21067.115552</x:v>
      </x:c>
      <x:c r="C2105" s="13" t="n">
        <x:v>484</x:v>
      </x:c>
      <x:c r="D2105" s="12" t="n">
        <x:v>199712.91999999998</x:v>
      </x:c>
      <x:c r="E2105" s="12" t="n">
        <x:v>0</x:v>
      </x:c>
      <x:c r="F2105" s="12" t="n">
        <x:f>SUM(B2105,D2105:E2105)</x:f>
        <x:v>220780.035552</x:v>
      </x:c>
      <x:c r="G2105" s="12" t="n">
        <x:f>MAX(G2104,F2105)</x:f>
        <x:v>248490.544664</x:v>
      </x:c>
      <x:c r="H2105" s="14" t="n">
        <x:f>F2105/G2105-1</x:f>
        <x:v>-0.11151534618538161</x:v>
      </x:c>
      <x:c r="I2105" s="14" t="n">
        <x:f>F2105/F2104-1</x:f>
        <x:v>0.016716552639618243</x:v>
      </x:c>
      <x:c r="J2105" s="12" t="n">
        <x:v>0</x:v>
      </x:c>
      <x:c r="K2105" s="12" t="n">
        <x:v>0</x:v>
      </x:c>
      <x:c r="L2105" s="12" t="n">
        <x:v>0</x:v>
      </x:c>
      <x:c r="M2105" s="2" t="str">
        <x:v>持有</x:v>
      </x:c>
    </x:row>
    <x:row r="2106" ht="23" customHeight="1">
      <x:c r="A2106" s="11" t="d">
        <x:v>2023-05-08T00:00:00.000Z</x:v>
      </x:c>
      <x:c r="B2106" s="12" t="n">
        <x:v>21067.115552</x:v>
      </x:c>
      <x:c r="C2106" s="13" t="n">
        <x:v>484</x:v>
      </x:c>
      <x:c r="D2106" s="12" t="n">
        <x:v>199766.16</x:v>
      </x:c>
      <x:c r="E2106" s="12" t="n">
        <x:v>0</x:v>
      </x:c>
      <x:c r="F2106" s="12" t="n">
        <x:f>SUM(B2106,D2106:E2106)</x:f>
        <x:v>220833.275552</x:v>
      </x:c>
      <x:c r="G2106" s="12" t="n">
        <x:f>MAX(G2105,F2106)</x:f>
        <x:v>248490.544664</x:v>
      </x:c>
      <x:c r="H2106" s="14" t="n">
        <x:f>F2106/G2106-1</x:f>
        <x:v>-0.11130109256027088</x:v>
      </x:c>
      <x:c r="I2106" s="14" t="n">
        <x:f>F2106/F2105-1</x:f>
        <x:v>0.0002411449924215603</x:v>
      </x:c>
      <x:c r="J2106" s="12" t="n">
        <x:v>0</x:v>
      </x:c>
      <x:c r="K2106" s="12" t="n">
        <x:v>0</x:v>
      </x:c>
      <x:c r="L2106" s="12" t="n">
        <x:v>0</x:v>
      </x:c>
      <x:c r="M2106" s="2" t="str">
        <x:v>持有</x:v>
      </x:c>
    </x:row>
    <x:row r="2107" ht="23" customHeight="1">
      <x:c r="A2107" s="11" t="d">
        <x:v>2023-05-09T00:00:00.000Z</x:v>
      </x:c>
      <x:c r="B2107" s="12" t="n">
        <x:v>21067.115552</x:v>
      </x:c>
      <x:c r="C2107" s="13" t="n">
        <x:v>484</x:v>
      </x:c>
      <x:c r="D2107" s="12" t="n">
        <x:v>198890.12</x:v>
      </x:c>
      <x:c r="E2107" s="12" t="n">
        <x:v>0</x:v>
      </x:c>
      <x:c r="F2107" s="12" t="n">
        <x:f>SUM(B2107,D2107:E2107)</x:f>
        <x:v>219957.235552</x:v>
      </x:c>
      <x:c r="G2107" s="12" t="n">
        <x:f>MAX(G2106,F2107)</x:f>
        <x:v>248490.544664</x:v>
      </x:c>
      <x:c r="H2107" s="14" t="n">
        <x:f>F2107/G2107-1</x:f>
        <x:v>-0.11482653857345637</x:v>
      </x:c>
      <x:c r="I2107" s="14" t="n">
        <x:f>F2107/F2106-1</x:f>
        <x:v>-0.003966974622869879</x:v>
      </x:c>
      <x:c r="J2107" s="12" t="n">
        <x:v>0</x:v>
      </x:c>
      <x:c r="K2107" s="12" t="n">
        <x:v>0</x:v>
      </x:c>
      <x:c r="L2107" s="12" t="n">
        <x:v>0</x:v>
      </x:c>
      <x:c r="M2107" s="2" t="str">
        <x:v>持有</x:v>
      </x:c>
    </x:row>
    <x:row r="2108" ht="23" customHeight="1">
      <x:c r="A2108" s="11" t="d">
        <x:v>2023-05-10T00:00:00.000Z</x:v>
      </x:c>
      <x:c r="B2108" s="12" t="n">
        <x:v>21067.115552</x:v>
      </x:c>
      <x:c r="C2108" s="13" t="n">
        <x:v>484</x:v>
      </x:c>
      <x:c r="D2108" s="12" t="n">
        <x:v>199819.40000000002</x:v>
      </x:c>
      <x:c r="E2108" s="12" t="n">
        <x:v>0</x:v>
      </x:c>
      <x:c r="F2108" s="12" t="n">
        <x:f>SUM(B2108,D2108:E2108)</x:f>
        <x:v>220886.51555200003</x:v>
      </x:c>
      <x:c r="G2108" s="12" t="n">
        <x:f>MAX(G2107,F2108)</x:f>
        <x:v>248490.544664</x:v>
      </x:c>
      <x:c r="H2108" s="14" t="n">
        <x:f>F2108/G2108-1</x:f>
        <x:v>-0.11108683893516003</x:v>
      </x:c>
      <x:c r="I2108" s="14" t="n">
        <x:f>F2108/F2107-1</x:f>
        <x:v>0.004224821237037046</x:v>
      </x:c>
      <x:c r="J2108" s="12" t="n">
        <x:v>0</x:v>
      </x:c>
      <x:c r="K2108" s="12" t="n">
        <x:v>0</x:v>
      </x:c>
      <x:c r="L2108" s="12" t="n">
        <x:v>0</x:v>
      </x:c>
      <x:c r="M2108" s="2" t="str">
        <x:v>持有</x:v>
      </x:c>
    </x:row>
    <x:row r="2109" ht="23" customHeight="1">
      <x:c r="A2109" s="11" t="d">
        <x:v>2023-05-11T00:00:00.000Z</x:v>
      </x:c>
      <x:c r="B2109" s="12" t="n">
        <x:v>21067.115552</x:v>
      </x:c>
      <x:c r="C2109" s="13" t="n">
        <x:v>484</x:v>
      </x:c>
      <x:c r="D2109" s="12" t="n">
        <x:v>199470.91999999998</x:v>
      </x:c>
      <x:c r="E2109" s="12" t="n">
        <x:v>0</x:v>
      </x:c>
      <x:c r="F2109" s="12" t="n">
        <x:f>SUM(B2109,D2109:E2109)</x:f>
        <x:v>220538.035552</x:v>
      </x:c>
      <x:c r="G2109" s="12" t="n">
        <x:f>MAX(G2108,F2109)</x:f>
        <x:v>248490.544664</x:v>
      </x:c>
      <x:c r="H2109" s="14" t="n">
        <x:f>F2109/G2109-1</x:f>
        <x:v>-0.1124892262995213</x:v>
      </x:c>
      <x:c r="I2109" s="14" t="n">
        <x:f>F2109/F2108-1</x:f>
        <x:v>-0.0015776427054824405</x:v>
      </x:c>
      <x:c r="J2109" s="12" t="n">
        <x:v>0</x:v>
      </x:c>
      <x:c r="K2109" s="12" t="n">
        <x:v>0</x:v>
      </x:c>
      <x:c r="L2109" s="12" t="n">
        <x:v>0</x:v>
      </x:c>
      <x:c r="M2109" s="2" t="str">
        <x:v>持有</x:v>
      </x:c>
    </x:row>
    <x:row r="2110" ht="23" customHeight="1">
      <x:c r="A2110" s="11" t="d">
        <x:v>2023-05-12T00:00:00.000Z</x:v>
      </x:c>
      <x:c r="B2110" s="12" t="n">
        <x:v>21067.115552</x:v>
      </x:c>
      <x:c r="C2110" s="13" t="n">
        <x:v>484</x:v>
      </x:c>
      <x:c r="D2110" s="12" t="n">
        <x:v>199209.56</x:v>
      </x:c>
      <x:c r="E2110" s="12" t="n">
        <x:v>0</x:v>
      </x:c>
      <x:c r="F2110" s="12" t="n">
        <x:f>SUM(B2110,D2110:E2110)</x:f>
        <x:v>220276.675552</x:v>
      </x:c>
      <x:c r="G2110" s="12" t="n">
        <x:f>MAX(G2109,F2110)</x:f>
        <x:v>248490.544664</x:v>
      </x:c>
      <x:c r="H2110" s="14" t="n">
        <x:f>F2110/G2110-1</x:f>
        <x:v>-0.11354101682279205</x:v>
      </x:c>
      <x:c r="I2110" s="14" t="n">
        <x:f>F2110/F2109-1</x:f>
        <x:v>-0.0011851016961578198</x:v>
      </x:c>
      <x:c r="J2110" s="12" t="n">
        <x:v>0</x:v>
      </x:c>
      <x:c r="K2110" s="12" t="n">
        <x:v>0</x:v>
      </x:c>
      <x:c r="L2110" s="12" t="n">
        <x:v>0</x:v>
      </x:c>
      <x:c r="M2110" s="2" t="str">
        <x:v>持有</x:v>
      </x:c>
    </x:row>
    <x:row r="2111" ht="23" customHeight="1">
      <x:c r="A2111" s="11" t="d">
        <x:v>2023-05-15T00:00:00.000Z</x:v>
      </x:c>
      <x:c r="B2111" s="12" t="n">
        <x:v>21067.115552</x:v>
      </x:c>
      <x:c r="C2111" s="13" t="n">
        <x:v>484</x:v>
      </x:c>
      <x:c r="D2111" s="12" t="n">
        <x:v>199896.84</x:v>
      </x:c>
      <x:c r="E2111" s="12" t="n">
        <x:v>0</x:v>
      </x:c>
      <x:c r="F2111" s="12" t="n">
        <x:f>SUM(B2111,D2111:E2111)</x:f>
        <x:v>220963.955552</x:v>
      </x:c>
      <x:c r="G2111" s="12" t="n">
        <x:f>MAX(G2110,F2111)</x:f>
        <x:v>248490.544664</x:v>
      </x:c>
      <x:c r="H2111" s="14" t="n">
        <x:f>F2111/G2111-1</x:f>
        <x:v>-0.1107751972986355</x:v>
      </x:c>
      <x:c r="I2111" s="14" t="n">
        <x:f>F2111/F2110-1</x:f>
        <x:v>0.0031200761418690437</x:v>
      </x:c>
      <x:c r="J2111" s="12" t="n">
        <x:v>0</x:v>
      </x:c>
      <x:c r="K2111" s="12" t="n">
        <x:v>0</x:v>
      </x:c>
      <x:c r="L2111" s="12" t="n">
        <x:v>0</x:v>
      </x:c>
      <x:c r="M2111" s="2" t="str">
        <x:v>持有</x:v>
      </x:c>
    </x:row>
    <x:row r="2112" ht="23" customHeight="1">
      <x:c r="A2112" s="11" t="d">
        <x:v>2023-05-16T00:00:00.000Z</x:v>
      </x:c>
      <x:c r="B2112" s="12" t="n">
        <x:v>21067.115552</x:v>
      </x:c>
      <x:c r="C2112" s="13" t="n">
        <x:v>484</x:v>
      </x:c>
      <x:c r="D2112" s="12" t="n">
        <x:v>198561</x:v>
      </x:c>
      <x:c r="E2112" s="12" t="n">
        <x:v>0</x:v>
      </x:c>
      <x:c r="F2112" s="12" t="n">
        <x:f>SUM(B2112,D2112:E2112)</x:f>
        <x:v>219628.115552</x:v>
      </x:c>
      <x:c r="G2112" s="12" t="n">
        <x:f>MAX(G2111,F2112)</x:f>
        <x:v>248490.544664</x:v>
      </x:c>
      <x:c r="H2112" s="14" t="n">
        <x:f>F2112/G2112-1</x:f>
        <x:v>-0.11615101552868634</x:v>
      </x:c>
      <x:c r="I2112" s="14" t="n">
        <x:f>F2112/F2111-1</x:f>
        <x:v>-0.006045510891868666</x:v>
      </x:c>
      <x:c r="J2112" s="12" t="n">
        <x:v>0</x:v>
      </x:c>
      <x:c r="K2112" s="12" t="n">
        <x:v>0</x:v>
      </x:c>
      <x:c r="L2112" s="12" t="n">
        <x:v>0</x:v>
      </x:c>
      <x:c r="M2112" s="2" t="str">
        <x:v>持有</x:v>
      </x:c>
    </x:row>
    <x:row r="2113" ht="23" customHeight="1">
      <x:c r="A2113" s="11" t="d">
        <x:v>2023-05-17T00:00:00.000Z</x:v>
      </x:c>
      <x:c r="B2113" s="12" t="n">
        <x:v>21067.115552</x:v>
      </x:c>
      <x:c r="C2113" s="13" t="n">
        <x:v>484</x:v>
      </x:c>
      <x:c r="D2113" s="12" t="n">
        <x:v>200971.32</x:v>
      </x:c>
      <x:c r="E2113" s="12" t="n">
        <x:v>0</x:v>
      </x:c>
      <x:c r="F2113" s="12" t="n">
        <x:f>SUM(B2113,D2113:E2113)</x:f>
        <x:v>222038.435552</x:v>
      </x:c>
      <x:c r="G2113" s="12" t="n">
        <x:f>MAX(G2112,F2113)</x:f>
        <x:v>248490.544664</x:v>
      </x:c>
      <x:c r="H2113" s="14" t="n">
        <x:f>F2113/G2113-1</x:f>
        <x:v>-0.10645116959185541</x:v>
      </x:c>
      <x:c r="I2113" s="14" t="n">
        <x:f>F2113/F2112-1</x:f>
        <x:v>0.01097455120416635</x:v>
      </x:c>
      <x:c r="J2113" s="12" t="n">
        <x:v>0</x:v>
      </x:c>
      <x:c r="K2113" s="12" t="n">
        <x:v>0</x:v>
      </x:c>
      <x:c r="L2113" s="12" t="n">
        <x:v>0</x:v>
      </x:c>
      <x:c r="M2113" s="2" t="str">
        <x:v>持有</x:v>
      </x:c>
    </x:row>
    <x:row r="2114" ht="23" customHeight="1">
      <x:c r="A2114" s="11" t="d">
        <x:v>2023-05-18T00:00:00.000Z</x:v>
      </x:c>
      <x:c r="B2114" s="12" t="n">
        <x:v>21067.115552</x:v>
      </x:c>
      <x:c r="C2114" s="13" t="n">
        <x:v>484</x:v>
      </x:c>
      <x:c r="D2114" s="12" t="n">
        <x:v>202907.32</x:v>
      </x:c>
      <x:c r="E2114" s="12" t="n">
        <x:v>0</x:v>
      </x:c>
      <x:c r="F2114" s="12" t="n">
        <x:f>SUM(B2114,D2114:E2114)</x:f>
        <x:v>223974.435552</x:v>
      </x:c>
      <x:c r="G2114" s="12" t="n">
        <x:f>MAX(G2113,F2114)</x:f>
        <x:v>248490.544664</x:v>
      </x:c>
      <x:c r="H2114" s="14" t="n">
        <x:f>F2114/G2114-1</x:f>
        <x:v>-0.09866012867873819</x:v>
      </x:c>
      <x:c r="I2114" s="14" t="n">
        <x:f>F2114/F2113-1</x:f>
        <x:v>0.008719211136517746</x:v>
      </x:c>
      <x:c r="J2114" s="12" t="n">
        <x:v>0</x:v>
      </x:c>
      <x:c r="K2114" s="12" t="n">
        <x:v>0</x:v>
      </x:c>
      <x:c r="L2114" s="12" t="n">
        <x:v>0</x:v>
      </x:c>
      <x:c r="M2114" s="2" t="str">
        <x:v>持有</x:v>
      </x:c>
    </x:row>
    <x:row r="2115" ht="23" customHeight="1">
      <x:c r="A2115" s="11" t="d">
        <x:v>2023-05-19T00:00:00.000Z</x:v>
      </x:c>
      <x:c r="B2115" s="12" t="n">
        <x:v>21067.115552</x:v>
      </x:c>
      <x:c r="C2115" s="13" t="n">
        <x:v>484</x:v>
      </x:c>
      <x:c r="D2115" s="12" t="n">
        <x:v>202612.08000000002</x:v>
      </x:c>
      <x:c r="E2115" s="12" t="n">
        <x:v>0</x:v>
      </x:c>
      <x:c r="F2115" s="12" t="n">
        <x:f>SUM(B2115,D2115:E2115)</x:f>
        <x:v>223679.19555200002</x:v>
      </x:c>
      <x:c r="G2115" s="12" t="n">
        <x:f>MAX(G2114,F2115)</x:f>
        <x:v>248490.544664</x:v>
      </x:c>
      <x:c r="H2115" s="14" t="n">
        <x:f>F2115/G2115-1</x:f>
        <x:v>-0.0998482624179885</x:v>
      </x:c>
      <x:c r="I2115" s="14" t="n">
        <x:f>F2115/F2114-1</x:f>
        <x:v>-0.0013181861549169671</x:v>
      </x:c>
      <x:c r="J2115" s="12" t="n">
        <x:v>0</x:v>
      </x:c>
      <x:c r="K2115" s="12" t="n">
        <x:v>0</x:v>
      </x:c>
      <x:c r="L2115" s="12" t="n">
        <x:v>0</x:v>
      </x:c>
      <x:c r="M2115" s="2" t="str">
        <x:v>持有</x:v>
      </x:c>
    </x:row>
    <x:row r="2116" ht="23" customHeight="1">
      <x:c r="A2116" s="11" t="d">
        <x:v>2023-05-22T00:00:00.000Z</x:v>
      </x:c>
      <x:c r="B2116" s="12" t="n">
        <x:v>21067.115552</x:v>
      </x:c>
      <x:c r="C2116" s="13" t="n">
        <x:v>484</x:v>
      </x:c>
      <x:c r="D2116" s="12" t="n">
        <x:v>202694.36000000002</x:v>
      </x:c>
      <x:c r="E2116" s="12" t="n">
        <x:v>0</x:v>
      </x:c>
      <x:c r="F2116" s="12" t="n">
        <x:f>SUM(B2116,D2116:E2116)</x:f>
        <x:v>223761.47555200002</x:v>
      </x:c>
      <x:c r="G2116" s="12" t="n">
        <x:f>MAX(G2115,F2116)</x:f>
        <x:v>248490.544664</x:v>
      </x:c>
      <x:c r="H2116" s="14" t="n">
        <x:f>F2116/G2116-1</x:f>
        <x:v>-0.09951714317918103</x:v>
      </x:c>
      <x:c r="I2116" s="14" t="n">
        <x:f>F2116/F2115-1</x:f>
        <x:v>0.00036784824711544317</x:v>
      </x:c>
      <x:c r="J2116" s="12" t="n">
        <x:v>0</x:v>
      </x:c>
      <x:c r="K2116" s="12" t="n">
        <x:v>0</x:v>
      </x:c>
      <x:c r="L2116" s="12" t="n">
        <x:v>0</x:v>
      </x:c>
      <x:c r="M2116" s="2" t="str">
        <x:v>持有</x:v>
      </x:c>
    </x:row>
    <x:row r="2117" ht="23" customHeight="1">
      <x:c r="A2117" s="11" t="d">
        <x:v>2023-05-23T00:00:00.000Z</x:v>
      </x:c>
      <x:c r="B2117" s="12" t="n">
        <x:v>21067.115552</x:v>
      </x:c>
      <x:c r="C2117" s="13" t="n">
        <x:v>484</x:v>
      </x:c>
      <x:c r="D2117" s="12" t="n">
        <x:v>200419.56</x:v>
      </x:c>
      <x:c r="E2117" s="12" t="n">
        <x:v>0</x:v>
      </x:c>
      <x:c r="F2117" s="12" t="n">
        <x:f>SUM(B2117,D2117:E2117)</x:f>
        <x:v>221486.675552</x:v>
      </x:c>
      <x:c r="G2117" s="12" t="n">
        <x:f>MAX(G2116,F2117)</x:f>
        <x:v>248490.544664</x:v>
      </x:c>
      <x:c r="H2117" s="14" t="n">
        <x:f>F2117/G2117-1</x:f>
        <x:v>-0.10867161625209387</x:v>
      </x:c>
      <x:c r="I2117" s="14" t="n">
        <x:f>F2117/F2116-1</x:f>
        <x:v>-0.010166182513715927</x:v>
      </x:c>
      <x:c r="J2117" s="12" t="n">
        <x:v>0</x:v>
      </x:c>
      <x:c r="K2117" s="12" t="n">
        <x:v>0</x:v>
      </x:c>
      <x:c r="L2117" s="12" t="n">
        <x:v>0</x:v>
      </x:c>
      <x:c r="M2117" s="2" t="str">
        <x:v>持有</x:v>
      </x:c>
    </x:row>
    <x:row r="2118" ht="23" customHeight="1">
      <x:c r="A2118" s="11" t="d">
        <x:v>2023-05-24T00:00:00.000Z</x:v>
      </x:c>
      <x:c r="B2118" s="12" t="n">
        <x:v>21067.115552</x:v>
      </x:c>
      <x:c r="C2118" s="13" t="n">
        <x:v>484</x:v>
      </x:c>
      <x:c r="D2118" s="12" t="n">
        <x:v>198967.56</x:v>
      </x:c>
      <x:c r="E2118" s="12" t="n">
        <x:v>0</x:v>
      </x:c>
      <x:c r="F2118" s="12" t="n">
        <x:f>SUM(B2118,D2118:E2118)</x:f>
        <x:v>220034.675552</x:v>
      </x:c>
      <x:c r="G2118" s="12" t="n">
        <x:f>MAX(G2117,F2118)</x:f>
        <x:v>248490.544664</x:v>
      </x:c>
      <x:c r="H2118" s="14" t="n">
        <x:f>F2118/G2118-1</x:f>
        <x:v>-0.11451489693693173</x:v>
      </x:c>
      <x:c r="I2118" s="14" t="n">
        <x:f>F2118/F2117-1</x:f>
        <x:v>-0.006555699101904233</x:v>
      </x:c>
      <x:c r="J2118" s="12" t="n">
        <x:v>0</x:v>
      </x:c>
      <x:c r="K2118" s="12" t="n">
        <x:v>0</x:v>
      </x:c>
      <x:c r="L2118" s="12" t="n">
        <x:v>0</x:v>
      </x:c>
      <x:c r="M2118" s="2" t="str">
        <x:v>持有</x:v>
      </x:c>
    </x:row>
    <x:row r="2119" ht="23" customHeight="1">
      <x:c r="A2119" s="11" t="d">
        <x:v>2023-05-25T00:00:00.000Z</x:v>
      </x:c>
      <x:c r="B2119" s="12" t="n">
        <x:v>21067.115552</x:v>
      </x:c>
      <x:c r="C2119" s="13" t="n">
        <x:v>484</x:v>
      </x:c>
      <x:c r="D2119" s="12" t="n">
        <x:v>200690.59999999998</x:v>
      </x:c>
      <x:c r="E2119" s="12" t="n">
        <x:v>0</x:v>
      </x:c>
      <x:c r="F2119" s="12" t="n">
        <x:f>SUM(B2119,D2119:E2119)</x:f>
        <x:v>221757.71555199998</x:v>
      </x:c>
      <x:c r="G2119" s="12" t="n">
        <x:f>MAX(G2118,F2119)</x:f>
        <x:v>248490.544664</x:v>
      </x:c>
      <x:c r="H2119" s="14" t="n">
        <x:f>F2119/G2119-1</x:f>
        <x:v>-0.10758087052425747</x:v>
      </x:c>
      <x:c r="I2119" s="14" t="n">
        <x:f>F2119/F2118-1</x:f>
        <x:v>0.00783076574488728</x:v>
      </x:c>
      <x:c r="J2119" s="12" t="n">
        <x:v>0</x:v>
      </x:c>
      <x:c r="K2119" s="12" t="n">
        <x:v>0</x:v>
      </x:c>
      <x:c r="L2119" s="12" t="n">
        <x:v>0</x:v>
      </x:c>
      <x:c r="M2119" s="2" t="str">
        <x:v>持有</x:v>
      </x:c>
    </x:row>
    <x:row r="2120" ht="23" customHeight="1">
      <x:c r="A2120" s="11" t="d">
        <x:v>2023-05-26T00:00:00.000Z</x:v>
      </x:c>
      <x:c r="B2120" s="12" t="n">
        <x:v>21067.115552</x:v>
      </x:c>
      <x:c r="C2120" s="13" t="n">
        <x:v>484</x:v>
      </x:c>
      <x:c r="D2120" s="12" t="n">
        <x:v>203289.68</x:v>
      </x:c>
      <x:c r="E2120" s="12" t="n">
        <x:v>0</x:v>
      </x:c>
      <x:c r="F2120" s="12" t="n">
        <x:f>SUM(B2120,D2120:E2120)</x:f>
        <x:v>224356.795552</x:v>
      </x:c>
      <x:c r="G2120" s="12" t="n">
        <x:f>MAX(G2119,F2120)</x:f>
        <x:v>248490.544664</x:v>
      </x:c>
      <x:c r="H2120" s="14" t="n">
        <x:f>F2120/G2120-1</x:f>
        <x:v>-0.0971213980983976</x:v>
      </x:c>
      <x:c r="I2120" s="14" t="n">
        <x:f>F2120/F2119-1</x:f>
        <x:v>0.011720358831846633</x:v>
      </x:c>
      <x:c r="J2120" s="12" t="n">
        <x:v>0</x:v>
      </x:c>
      <x:c r="K2120" s="12" t="n">
        <x:v>0</x:v>
      </x:c>
      <x:c r="L2120" s="12" t="n">
        <x:v>0</x:v>
      </x:c>
      <x:c r="M2120" s="2" t="str">
        <x:v>持有</x:v>
      </x:c>
    </x:row>
    <x:row r="2121" ht="23" customHeight="1">
      <x:c r="A2121" s="11" t="d">
        <x:v>2023-05-30T00:00:00.000Z</x:v>
      </x:c>
      <x:c r="B2121" s="12" t="n">
        <x:v>21067.115552</x:v>
      </x:c>
      <x:c r="C2121" s="13" t="n">
        <x:v>484</x:v>
      </x:c>
      <x:c r="D2121" s="12" t="n">
        <x:v>203367.12</x:v>
      </x:c>
      <x:c r="E2121" s="12" t="n">
        <x:v>0</x:v>
      </x:c>
      <x:c r="F2121" s="12" t="n">
        <x:f>SUM(B2121,D2121:E2121)</x:f>
        <x:v>224434.235552</x:v>
      </x:c>
      <x:c r="G2121" s="12" t="n">
        <x:f>MAX(G2120,F2121)</x:f>
        <x:v>248490.544664</x:v>
      </x:c>
      <x:c r="H2121" s="14" t="n">
        <x:f>F2121/G2121-1</x:f>
        <x:v>-0.09680975646187284</x:v>
      </x:c>
      <x:c r="I2121" s="14" t="n">
        <x:f>F2121/F2120-1</x:f>
        <x:v>0.00034516449483712464</x:v>
      </x:c>
      <x:c r="J2121" s="12" t="n">
        <x:v>0</x:v>
      </x:c>
      <x:c r="K2121" s="12" t="n">
        <x:v>0</x:v>
      </x:c>
      <x:c r="L2121" s="12" t="n">
        <x:v>0</x:v>
      </x:c>
      <x:c r="M2121" s="2" t="str">
        <x:v>持有</x:v>
      </x:c>
    </x:row>
    <x:row r="2122" ht="23" customHeight="1">
      <x:c r="A2122" s="11" t="d">
        <x:v>2023-05-31T00:00:00.000Z</x:v>
      </x:c>
      <x:c r="B2122" s="12" t="n">
        <x:v>21067.115552</x:v>
      </x:c>
      <x:c r="C2122" s="13" t="n">
        <x:v>484</x:v>
      </x:c>
      <x:c r="D2122" s="12" t="n">
        <x:v>202239.40000000002</x:v>
      </x:c>
      <x:c r="E2122" s="12" t="n">
        <x:v>0</x:v>
      </x:c>
      <x:c r="F2122" s="12" t="n">
        <x:f>SUM(B2122,D2122:E2122)</x:f>
        <x:v>223306.51555200003</x:v>
      </x:c>
      <x:c r="G2122" s="12" t="n">
        <x:f>MAX(G2121,F2122)</x:f>
        <x:v>248490.544664</x:v>
      </x:c>
      <x:c r="H2122" s="14" t="n">
        <x:f>F2122/G2122-1</x:f>
        <x:v>-0.10134803779376356</x:v>
      </x:c>
      <x:c r="I2122" s="14" t="n">
        <x:f>F2122/F2121-1</x:f>
        <x:v>-0.005024723599883596</x:v>
      </x:c>
      <x:c r="J2122" s="12" t="n">
        <x:v>0</x:v>
      </x:c>
      <x:c r="K2122" s="12" t="n">
        <x:v>0</x:v>
      </x:c>
      <x:c r="L2122" s="12" t="n">
        <x:v>0</x:v>
      </x:c>
      <x:c r="M2122" s="2" t="str">
        <x:v>持有</x:v>
      </x:c>
    </x:row>
    <x:row r="2123" ht="23" customHeight="1">
      <x:c r="A2123" s="11" t="d">
        <x:v>2023-06-01T00:00:00.000Z</x:v>
      </x:c>
      <x:c r="B2123" s="12" t="n">
        <x:v>21067.115552</x:v>
      </x:c>
      <x:c r="C2123" s="13" t="n">
        <x:v>484</x:v>
      </x:c>
      <x:c r="D2123" s="12" t="n">
        <x:v>204160.88</x:v>
      </x:c>
      <x:c r="E2123" s="12" t="n">
        <x:v>0</x:v>
      </x:c>
      <x:c r="F2123" s="12" t="n">
        <x:f>SUM(B2123,D2123:E2123)</x:f>
        <x:v>225227.995552</x:v>
      </x:c>
      <x:c r="G2123" s="12" t="n">
        <x:f>MAX(G2122,F2123)</x:f>
        <x:v>248490.544664</x:v>
      </x:c>
      <x:c r="H2123" s="14" t="n">
        <x:f>F2123/G2123-1</x:f>
        <x:v>-0.09361542968749481</x:v>
      </x:c>
      <x:c r="I2123" s="14" t="n">
        <x:f>F2123/F2122-1</x:f>
        <x:v>0.008604675037135356</x:v>
      </x:c>
      <x:c r="J2123" s="12" t="n">
        <x:v>0</x:v>
      </x:c>
      <x:c r="K2123" s="12" t="n">
        <x:v>0</x:v>
      </x:c>
      <x:c r="L2123" s="12" t="n">
        <x:v>0</x:v>
      </x:c>
      <x:c r="M2123" s="2" t="str">
        <x:v>持有</x:v>
      </x:c>
    </x:row>
    <x:row r="2124" ht="23" customHeight="1">
      <x:c r="A2124" s="11" t="d">
        <x:v>2023-06-02T00:00:00.000Z</x:v>
      </x:c>
      <x:c r="B2124" s="12" t="n">
        <x:v>21067.115552</x:v>
      </x:c>
      <x:c r="C2124" s="13" t="n">
        <x:v>484</x:v>
      </x:c>
      <x:c r="D2124" s="12" t="n">
        <x:v>207113.28</x:v>
      </x:c>
      <x:c r="E2124" s="12" t="n">
        <x:v>0</x:v>
      </x:c>
      <x:c r="F2124" s="12" t="n">
        <x:f>SUM(B2124,D2124:E2124)</x:f>
        <x:v>228180.395552</x:v>
      </x:c>
      <x:c r="G2124" s="12" t="n">
        <x:f>MAX(G2123,F2124)</x:f>
        <x:v>248490.544664</x:v>
      </x:c>
      <x:c r="H2124" s="14" t="n">
        <x:f>F2124/G2124-1</x:f>
        <x:v>-0.08173409229499107</x:v>
      </x:c>
      <x:c r="I2124" s="14" t="n">
        <x:f>F2124/F2123-1</x:f>
        <x:v>0.013108494762225753</x:v>
      </x:c>
      <x:c r="J2124" s="12" t="n">
        <x:v>0</x:v>
      </x:c>
      <x:c r="K2124" s="12" t="n">
        <x:v>0</x:v>
      </x:c>
      <x:c r="L2124" s="12" t="n">
        <x:v>0</x:v>
      </x:c>
      <x:c r="M2124" s="2" t="str">
        <x:v>持有</x:v>
      </x:c>
    </x:row>
    <x:row r="2125" ht="23" customHeight="1">
      <x:c r="A2125" s="11" t="d">
        <x:v>2023-06-05T00:00:00.000Z</x:v>
      </x:c>
      <x:c r="B2125" s="12" t="n">
        <x:v>21067.115552</x:v>
      </x:c>
      <x:c r="C2125" s="13" t="n">
        <x:v>484</x:v>
      </x:c>
      <x:c r="D2125" s="12" t="n">
        <x:v>206716.40000000002</x:v>
      </x:c>
      <x:c r="E2125" s="12" t="n">
        <x:v>0</x:v>
      </x:c>
      <x:c r="F2125" s="12" t="n">
        <x:f>SUM(B2125,D2125:E2125)</x:f>
        <x:v>227783.51555200003</x:v>
      </x:c>
      <x:c r="G2125" s="12" t="n">
        <x:f>MAX(G2124,F2125)</x:f>
        <x:v>248490.544664</x:v>
      </x:c>
      <x:c r="H2125" s="14" t="n">
        <x:f>F2125/G2125-1</x:f>
        <x:v>-0.08333125568218003</x:v>
      </x:c>
      <x:c r="I2125" s="14" t="n">
        <x:f>F2125/F2124-1</x:f>
        <x:v>-0.0017393255850918221</x:v>
      </x:c>
      <x:c r="J2125" s="12" t="n">
        <x:v>0</x:v>
      </x:c>
      <x:c r="K2125" s="12" t="n">
        <x:v>0</x:v>
      </x:c>
      <x:c r="L2125" s="12" t="n">
        <x:v>0</x:v>
      </x:c>
      <x:c r="M2125" s="2" t="str">
        <x:v>持有</x:v>
      </x:c>
    </x:row>
    <x:row r="2126" ht="23" customHeight="1">
      <x:c r="A2126" s="11" t="d">
        <x:v>2023-06-06T00:00:00.000Z</x:v>
      </x:c>
      <x:c r="B2126" s="12" t="n">
        <x:v>21067.115552</x:v>
      </x:c>
      <x:c r="C2126" s="13" t="n">
        <x:v>484</x:v>
      </x:c>
      <x:c r="D2126" s="12" t="n">
        <x:v>207166.52</x:v>
      </x:c>
      <x:c r="E2126" s="12" t="n">
        <x:v>0</x:v>
      </x:c>
      <x:c r="F2126" s="12" t="n">
        <x:f>SUM(B2126,D2126:E2126)</x:f>
        <x:v>228233.635552</x:v>
      </x:c>
      <x:c r="G2126" s="12" t="n">
        <x:f>MAX(G2125,F2126)</x:f>
        <x:v>248490.544664</x:v>
      </x:c>
      <x:c r="H2126" s="14" t="n">
        <x:f>F2126/G2126-1</x:f>
        <x:v>-0.08151983866988044</x:v>
      </x:c>
      <x:c r="I2126" s="14" t="n">
        <x:f>F2126/F2125-1</x:f>
        <x:v>0.0019760868072880022</x:v>
      </x:c>
      <x:c r="J2126" s="12" t="n">
        <x:v>0</x:v>
      </x:c>
      <x:c r="K2126" s="12" t="n">
        <x:v>0</x:v>
      </x:c>
      <x:c r="L2126" s="12" t="n">
        <x:v>0</x:v>
      </x:c>
      <x:c r="M2126" s="2" t="str">
        <x:v>持有</x:v>
      </x:c>
    </x:row>
    <x:row r="2127" ht="23" customHeight="1">
      <x:c r="A2127" s="11" t="d">
        <x:v>2023-06-07T00:00:00.000Z</x:v>
      </x:c>
      <x:c r="B2127" s="12" t="n">
        <x:v>21067.115552</x:v>
      </x:c>
      <x:c r="C2127" s="13" t="n">
        <x:v>484</x:v>
      </x:c>
      <x:c r="D2127" s="12" t="n">
        <x:v>206450.2</x:v>
      </x:c>
      <x:c r="E2127" s="12" t="n">
        <x:v>0</x:v>
      </x:c>
      <x:c r="F2127" s="12" t="n">
        <x:f>SUM(B2127,D2127:E2127)</x:f>
        <x:v>227517.31555200001</x:v>
      </x:c>
      <x:c r="G2127" s="12" t="n">
        <x:f>MAX(G2126,F2127)</x:f>
        <x:v>248490.544664</x:v>
      </x:c>
      <x:c r="H2127" s="14" t="n">
        <x:f>F2127/G2127-1</x:f>
        <x:v>-0.08440252380773372</x:v>
      </x:c>
      <x:c r="I2127" s="14" t="n">
        <x:f>F2127/F2126-1</x:f>
        <x:v>-0.0031385382713967624</x:v>
      </x:c>
      <x:c r="J2127" s="12" t="n">
        <x:v>0</x:v>
      </x:c>
      <x:c r="K2127" s="12" t="n">
        <x:v>0</x:v>
      </x:c>
      <x:c r="L2127" s="12" t="n">
        <x:v>0</x:v>
      </x:c>
      <x:c r="M2127" s="2" t="str">
        <x:v>持有</x:v>
      </x:c>
    </x:row>
    <x:row r="2128" ht="23" customHeight="1">
      <x:c r="A2128" s="11" t="d">
        <x:v>2023-06-08T00:00:00.000Z</x:v>
      </x:c>
      <x:c r="B2128" s="12" t="n">
        <x:v>21067.115552</x:v>
      </x:c>
      <x:c r="C2128" s="13" t="n">
        <x:v>484</x:v>
      </x:c>
      <x:c r="D2128" s="12" t="n">
        <x:v>207698.91999999998</x:v>
      </x:c>
      <x:c r="E2128" s="12" t="n">
        <x:v>0</x:v>
      </x:c>
      <x:c r="F2128" s="12" t="n">
        <x:f>SUM(B2128,D2128:E2128)</x:f>
        <x:v>228766.035552</x:v>
      </x:c>
      <x:c r="G2128" s="12" t="n">
        <x:f>MAX(G2127,F2128)</x:f>
        <x:v>248490.544664</x:v>
      </x:c>
      <x:c r="H2128" s="14" t="n">
        <x:f>F2128/G2128-1</x:f>
        <x:v>-0.07937730241877317</x:v>
      </x:c>
      <x:c r="I2128" s="14" t="n">
        <x:f>F2128/F2127-1</x:f>
        <x:v>0.0054884613813692695</x:v>
      </x:c>
      <x:c r="J2128" s="12" t="n">
        <x:v>0</x:v>
      </x:c>
      <x:c r="K2128" s="12" t="n">
        <x:v>0</x:v>
      </x:c>
      <x:c r="L2128" s="12" t="n">
        <x:v>0</x:v>
      </x:c>
      <x:c r="M2128" s="2" t="str">
        <x:v>持有</x:v>
      </x:c>
    </x:row>
    <x:row r="2129" ht="23" customHeight="1">
      <x:c r="A2129" s="11" t="d">
        <x:v>2023-06-09T00:00:00.000Z</x:v>
      </x:c>
      <x:c r="B2129" s="12" t="n">
        <x:v>21067.115552</x:v>
      </x:c>
      <x:c r="C2129" s="13" t="n">
        <x:v>484</x:v>
      </x:c>
      <x:c r="D2129" s="12" t="n">
        <x:v>208071.59999999998</x:v>
      </x:c>
      <x:c r="E2129" s="12" t="n">
        <x:v>0</x:v>
      </x:c>
      <x:c r="F2129" s="12" t="n">
        <x:f>SUM(B2129,D2129:E2129)</x:f>
        <x:v>229138.71555199998</x:v>
      </x:c>
      <x:c r="G2129" s="12" t="n">
        <x:f>MAX(G2128,F2129)</x:f>
        <x:v>248490.544664</x:v>
      </x:c>
      <x:c r="H2129" s="14" t="n">
        <x:f>F2129/G2129-1</x:f>
        <x:v>-0.07787752704299822</x:v>
      </x:c>
      <x:c r="I2129" s="14" t="n">
        <x:f>F2129/F2128-1</x:f>
        <x:v>0.0016290879854639062</x:v>
      </x:c>
      <x:c r="J2129" s="12" t="n">
        <x:v>0</x:v>
      </x:c>
      <x:c r="K2129" s="12" t="n">
        <x:v>0</x:v>
      </x:c>
      <x:c r="L2129" s="12" t="n">
        <x:v>0</x:v>
      </x:c>
      <x:c r="M2129" s="2" t="str">
        <x:v>持有</x:v>
      </x:c>
    </x:row>
    <x:row r="2130" ht="23" customHeight="1">
      <x:c r="A2130" s="11" t="d">
        <x:v>2023-06-12T00:00:00.000Z</x:v>
      </x:c>
      <x:c r="B2130" s="12" t="n">
        <x:v>21067.115552</x:v>
      </x:c>
      <x:c r="C2130" s="13" t="n">
        <x:v>484</x:v>
      </x:c>
      <x:c r="D2130" s="12" t="n">
        <x:v>209959.2</x:v>
      </x:c>
      <x:c r="E2130" s="12" t="n">
        <x:v>0</x:v>
      </x:c>
      <x:c r="F2130" s="12" t="n">
        <x:f>SUM(B2130,D2130:E2130)</x:f>
        <x:v>231026.31555200001</x:v>
      </x:c>
      <x:c r="G2130" s="12" t="n">
        <x:f>MAX(G2129,F2130)</x:f>
        <x:v>248490.544664</x:v>
      </x:c>
      <x:c r="H2130" s="14" t="n">
        <x:f>F2130/G2130-1</x:f>
        <x:v>-0.0702812621527088</x:v>
      </x:c>
      <x:c r="I2130" s="14" t="n">
        <x:f>F2130/F2129-1</x:f>
        <x:v>0.00823780475269209</x:v>
      </x:c>
      <x:c r="J2130" s="12" t="n">
        <x:v>0</x:v>
      </x:c>
      <x:c r="K2130" s="12" t="n">
        <x:v>0</x:v>
      </x:c>
      <x:c r="L2130" s="12" t="n">
        <x:v>0</x:v>
      </x:c>
      <x:c r="M2130" s="2" t="str">
        <x:v>持有</x:v>
      </x:c>
    </x:row>
    <x:row r="2131" ht="23" customHeight="1">
      <x:c r="A2131" s="11" t="d">
        <x:v>2023-06-13T00:00:00.000Z</x:v>
      </x:c>
      <x:c r="B2131" s="12" t="n">
        <x:v>21067.115552</x:v>
      </x:c>
      <x:c r="C2131" s="13" t="n">
        <x:v>484</x:v>
      </x:c>
      <x:c r="D2131" s="12" t="n">
        <x:v>211343.44</x:v>
      </x:c>
      <x:c r="E2131" s="12" t="n">
        <x:v>0</x:v>
      </x:c>
      <x:c r="F2131" s="12" t="n">
        <x:f>SUM(B2131,D2131:E2131)</x:f>
        <x:v>232410.555552</x:v>
      </x:c>
      <x:c r="G2131" s="12" t="n">
        <x:f>MAX(G2130,F2131)</x:f>
        <x:v>248490.544664</x:v>
      </x:c>
      <x:c r="H2131" s="14" t="n">
        <x:f>F2131/G2131-1</x:f>
        <x:v>-0.06471066789983004</x:v>
      </x:c>
      <x:c r="I2131" s="14" t="n">
        <x:f>F2131/F2130-1</x:f>
        <x:v>0.005991698377271648</x:v>
      </x:c>
      <x:c r="J2131" s="12" t="n">
        <x:v>0</x:v>
      </x:c>
      <x:c r="K2131" s="12" t="n">
        <x:v>0</x:v>
      </x:c>
      <x:c r="L2131" s="12" t="n">
        <x:v>0</x:v>
      </x:c>
      <x:c r="M2131" s="2" t="str">
        <x:v>持有</x:v>
      </x:c>
    </x:row>
    <x:row r="2132" ht="23" customHeight="1">
      <x:c r="A2132" s="11" t="d">
        <x:v>2023-06-14T00:00:00.000Z</x:v>
      </x:c>
      <x:c r="B2132" s="12" t="n">
        <x:v>21067.115552</x:v>
      </x:c>
      <x:c r="C2132" s="13" t="n">
        <x:v>484</x:v>
      </x:c>
      <x:c r="D2132" s="12" t="n">
        <x:v>211595.12</x:v>
      </x:c>
      <x:c r="E2132" s="12" t="n">
        <x:v>0</x:v>
      </x:c>
      <x:c r="F2132" s="12" t="n">
        <x:f>SUM(B2132,D2132:E2132)</x:f>
        <x:v>232662.235552</x:v>
      </x:c>
      <x:c r="G2132" s="12" t="n">
        <x:f>MAX(G2131,F2132)</x:f>
        <x:v>248490.544664</x:v>
      </x:c>
      <x:c r="H2132" s="14" t="n">
        <x:f>F2132/G2132-1</x:f>
        <x:v>-0.06369783258112482</x:v>
      </x:c>
      <x:c r="I2132" s="14" t="n">
        <x:f>F2132/F2131-1</x:f>
        <x:v>0.0010829112275139163</x:v>
      </x:c>
      <x:c r="J2132" s="12" t="n">
        <x:v>0</x:v>
      </x:c>
      <x:c r="K2132" s="12" t="n">
        <x:v>0</x:v>
      </x:c>
      <x:c r="L2132" s="12" t="n">
        <x:v>0</x:v>
      </x:c>
      <x:c r="M2132" s="2" t="str">
        <x:v>持有</x:v>
      </x:c>
    </x:row>
    <x:row r="2133" ht="23" customHeight="1">
      <x:c r="A2133" s="11" t="d">
        <x:v>2023-06-15T00:00:00.000Z</x:v>
      </x:c>
      <x:c r="B2133" s="12" t="n">
        <x:v>21067.115552</x:v>
      </x:c>
      <x:c r="C2133" s="13" t="n">
        <x:v>484</x:v>
      </x:c>
      <x:c r="D2133" s="12" t="n">
        <x:v>214218.40000000002</x:v>
      </x:c>
      <x:c r="E2133" s="12" t="n">
        <x:v>0</x:v>
      </x:c>
      <x:c r="F2133" s="12" t="n">
        <x:f>SUM(B2133,D2133:E2133)</x:f>
        <x:v>235285.51555200003</x:v>
      </x:c>
      <x:c r="G2133" s="12" t="n">
        <x:f>MAX(G2132,F2133)</x:f>
        <x:v>248490.544664</x:v>
      </x:c>
      <x:c r="H2133" s="14" t="n">
        <x:f>F2133/G2133-1</x:f>
        <x:v>-0.05314097214385094</x:v>
      </x:c>
      <x:c r="I2133" s="14" t="n">
        <x:f>F2133/F2132-1</x:f>
        <x:v>0.011275057139273903</x:v>
      </x:c>
      <x:c r="J2133" s="12" t="n">
        <x:v>0</x:v>
      </x:c>
      <x:c r="K2133" s="12" t="n">
        <x:v>0</x:v>
      </x:c>
      <x:c r="L2133" s="12" t="n">
        <x:v>0</x:v>
      </x:c>
      <x:c r="M2133" s="2" t="str">
        <x:v>持有</x:v>
      </x:c>
    </x:row>
    <x:row r="2134" ht="23" customHeight="1">
      <x:c r="A2134" s="11" t="d">
        <x:v>2023-06-16T00:00:00.000Z</x:v>
      </x:c>
      <x:c r="B2134" s="12" t="n">
        <x:v>21067.115552</x:v>
      </x:c>
      <x:c r="C2134" s="13" t="n">
        <x:v>484</x:v>
      </x:c>
      <x:c r="D2134" s="12" t="n">
        <x:v>212698.63999999998</x:v>
      </x:c>
      <x:c r="E2134" s="12" t="n">
        <x:v>792.969628</x:v>
      </x:c>
      <x:c r="F2134" s="12" t="n">
        <x:f>SUM(B2134,D2134:E2134)</x:f>
        <x:v>234558.72517999998</x:v>
      </x:c>
      <x:c r="G2134" s="12" t="n">
        <x:f>MAX(G2133,F2134)</x:f>
        <x:v>248490.544664</x:v>
      </x:c>
      <x:c r="H2134" s="14" t="n">
        <x:f>F2134/G2134-1</x:f>
        <x:v>-0.056065793178722845</x:v>
      </x:c>
      <x:c r="I2134" s="14" t="n">
        <x:f>F2134/F2133-1</x:f>
        <x:v>-0.0030889720104313456</x:v>
      </x:c>
      <x:c r="J2134" s="12" t="n">
        <x:v>792.969628</x:v>
      </x:c>
      <x:c r="K2134" s="12" t="n">
        <x:v>0</x:v>
      </x:c>
      <x:c r="L2134" s="12" t="n">
        <x:v>0</x:v>
      </x:c>
      <x:c r="M2134" s="2" t="str">
        <x:v>持有</x:v>
      </x:c>
    </x:row>
    <x:row r="2135" ht="23" customHeight="1">
      <x:c r="A2135" s="11" t="d">
        <x:v>2023-06-20T00:00:00.000Z</x:v>
      </x:c>
      <x:c r="B2135" s="12" t="n">
        <x:v>21067.115552</x:v>
      </x:c>
      <x:c r="C2135" s="13" t="n">
        <x:v>484</x:v>
      </x:c>
      <x:c r="D2135" s="12" t="n">
        <x:v>211595.12</x:v>
      </x:c>
      <x:c r="E2135" s="12" t="n">
        <x:v>792.969628</x:v>
      </x:c>
      <x:c r="F2135" s="12" t="n">
        <x:f>SUM(B2135,D2135:E2135)</x:f>
        <x:v>233455.20518</x:v>
      </x:c>
      <x:c r="G2135" s="12" t="n">
        <x:f>MAX(G2134,F2135)</x:f>
        <x:v>248490.544664</x:v>
      </x:c>
      <x:c r="H2135" s="14" t="n">
        <x:f>F2135/G2135-1</x:f>
        <x:v>-0.06050668649919955</x:v>
      </x:c>
      <x:c r="I2135" s="14" t="n">
        <x:f>F2135/F2134-1</x:f>
        <x:v>-0.0047046640416089636</x:v>
      </x:c>
      <x:c r="J2135" s="12" t="n">
        <x:v>0</x:v>
      </x:c>
      <x:c r="K2135" s="12" t="n">
        <x:v>0</x:v>
      </x:c>
      <x:c r="L2135" s="12" t="n">
        <x:v>0</x:v>
      </x:c>
      <x:c r="M2135" s="2" t="str">
        <x:v>持有</x:v>
      </x:c>
    </x:row>
    <x:row r="2136" ht="23" customHeight="1">
      <x:c r="A2136" s="11" t="d">
        <x:v>2023-06-21T00:00:00.000Z</x:v>
      </x:c>
      <x:c r="B2136" s="12" t="n">
        <x:v>21067.115552</x:v>
      </x:c>
      <x:c r="C2136" s="13" t="n">
        <x:v>484</x:v>
      </x:c>
      <x:c r="D2136" s="12" t="n">
        <x:v>210510.96</x:v>
      </x:c>
      <x:c r="E2136" s="12" t="n">
        <x:v>792.969628</x:v>
      </x:c>
      <x:c r="F2136" s="12" t="n">
        <x:f>SUM(B2136,D2136:E2136)</x:f>
        <x:v>232371.04518</x:v>
      </x:c>
      <x:c r="G2136" s="12" t="n">
        <x:f>MAX(G2135,F2136)</x:f>
        <x:v>248490.544664</x:v>
      </x:c>
      <x:c r="H2136" s="14" t="n">
        <x:f>F2136/G2136-1</x:f>
        <x:v>-0.06486966941054517</x:v>
      </x:c>
      <x:c r="I2136" s="14" t="n">
        <x:f>F2136/F2135-1</x:f>
        <x:v>-0.004643974415409091</x:v>
      </x:c>
      <x:c r="J2136" s="12" t="n">
        <x:v>0</x:v>
      </x:c>
      <x:c r="K2136" s="12" t="n">
        <x:v>0</x:v>
      </x:c>
      <x:c r="L2136" s="12" t="n">
        <x:v>0</x:v>
      </x:c>
      <x:c r="M2136" s="2" t="str">
        <x:v>持有</x:v>
      </x:c>
    </x:row>
    <x:row r="2137" ht="23" customHeight="1">
      <x:c r="A2137" s="11" t="d">
        <x:v>2023-06-22T00:00:00.000Z</x:v>
      </x:c>
      <x:c r="B2137" s="12" t="n">
        <x:v>21067.115552</x:v>
      </x:c>
      <x:c r="C2137" s="13" t="n">
        <x:v>484</x:v>
      </x:c>
      <x:c r="D2137" s="12" t="n">
        <x:v>211270.84</x:v>
      </x:c>
      <x:c r="E2137" s="12" t="n">
        <x:v>792.969628</x:v>
      </x:c>
      <x:c r="F2137" s="12" t="n">
        <x:f>SUM(B2137,D2137:E2137)</x:f>
        <x:v>233130.92518</x:v>
      </x:c>
      <x:c r="G2137" s="12" t="n">
        <x:f>MAX(G2136,F2137)</x:f>
        <x:v>248490.544664</x:v>
      </x:c>
      <x:c r="H2137" s="14" t="n">
        <x:f>F2137/G2137-1</x:f>
        <x:v>-0.06181168585214669</x:v>
      </x:c>
      <x:c r="I2137" s="14" t="n">
        <x:f>F2137/F2136-1</x:f>
        <x:v>0.0032701148261022883</x:v>
      </x:c>
      <x:c r="J2137" s="12" t="n">
        <x:v>0</x:v>
      </x:c>
      <x:c r="K2137" s="12" t="n">
        <x:v>0</x:v>
      </x:c>
      <x:c r="L2137" s="12" t="n">
        <x:v>0</x:v>
      </x:c>
      <x:c r="M2137" s="2" t="str">
        <x:v>持有</x:v>
      </x:c>
    </x:row>
    <x:row r="2138" ht="23" customHeight="1">
      <x:c r="A2138" s="11" t="d">
        <x:v>2023-06-23T00:00:00.000Z</x:v>
      </x:c>
      <x:c r="B2138" s="12" t="n">
        <x:v>21067.115552</x:v>
      </x:c>
      <x:c r="C2138" s="13" t="n">
        <x:v>484</x:v>
      </x:c>
      <x:c r="D2138" s="12" t="n">
        <x:v>209673.63999999998</x:v>
      </x:c>
      <x:c r="E2138" s="12" t="n">
        <x:v>792.969628</x:v>
      </x:c>
      <x:c r="F2138" s="12" t="n">
        <x:f>SUM(B2138,D2138:E2138)</x:f>
        <x:v>231533.72517999998</x:v>
      </x:c>
      <x:c r="G2138" s="12" t="n">
        <x:f>MAX(G2137,F2138)</x:f>
        <x:v>248490.544664</x:v>
      </x:c>
      <x:c r="H2138" s="14" t="n">
        <x:f>F2138/G2138-1</x:f>
        <x:v>-0.0682392946054684</x:v>
      </x:c>
      <x:c r="I2138" s="14" t="n">
        <x:f>F2138/F2137-1</x:f>
        <x:v>-0.00685108592421535</x:v>
      </x:c>
      <x:c r="J2138" s="12" t="n">
        <x:v>0</x:v>
      </x:c>
      <x:c r="K2138" s="12" t="n">
        <x:v>0</x:v>
      </x:c>
      <x:c r="L2138" s="12" t="n">
        <x:v>0</x:v>
      </x:c>
      <x:c r="M2138" s="2" t="str">
        <x:v>持有</x:v>
      </x:c>
    </x:row>
    <x:row r="2139" ht="23" customHeight="1">
      <x:c r="A2139" s="11" t="d">
        <x:v>2023-06-26T00:00:00.000Z</x:v>
      </x:c>
      <x:c r="B2139" s="12" t="n">
        <x:v>21067.115552</x:v>
      </x:c>
      <x:c r="C2139" s="13" t="n">
        <x:v>484</x:v>
      </x:c>
      <x:c r="D2139" s="12" t="n">
        <x:v>208816.96</x:v>
      </x:c>
      <x:c r="E2139" s="12" t="n">
        <x:v>792.969628</x:v>
      </x:c>
      <x:c r="F2139" s="12" t="n">
        <x:f>SUM(B2139,D2139:E2139)</x:f>
        <x:v>230677.04518</x:v>
      </x:c>
      <x:c r="G2139" s="12" t="n">
        <x:f>MAX(G2138,F2139)</x:f>
        <x:v>248490.544664</x:v>
      </x:c>
      <x:c r="H2139" s="14" t="n">
        <x:f>F2139/G2139-1</x:f>
        <x:v>-0.07168683020952271</x:v>
      </x:c>
      <x:c r="I2139" s="14" t="n">
        <x:f>F2139/F2138-1</x:f>
        <x:v>-0.0037000225316375923</x:v>
      </x:c>
      <x:c r="J2139" s="12" t="n">
        <x:v>0</x:v>
      </x:c>
      <x:c r="K2139" s="12" t="n">
        <x:v>0</x:v>
      </x:c>
      <x:c r="L2139" s="12" t="n">
        <x:v>0</x:v>
      </x:c>
      <x:c r="M2139" s="2" t="str">
        <x:v>持有</x:v>
      </x:c>
    </x:row>
    <x:row r="2140" ht="23" customHeight="1">
      <x:c r="A2140" s="11" t="d">
        <x:v>2023-06-27T00:00:00.000Z</x:v>
      </x:c>
      <x:c r="B2140" s="12" t="n">
        <x:v>21067.115552</x:v>
      </x:c>
      <x:c r="C2140" s="13" t="n">
        <x:v>484</x:v>
      </x:c>
      <x:c r="D2140" s="12" t="n">
        <x:v>211106.28</x:v>
      </x:c>
      <x:c r="E2140" s="12" t="n">
        <x:v>792.969628</x:v>
      </x:c>
      <x:c r="F2140" s="12" t="n">
        <x:f>SUM(B2140,D2140:E2140)</x:f>
        <x:v>232966.36518</x:v>
      </x:c>
      <x:c r="G2140" s="12" t="n">
        <x:f>MAX(G2139,F2140)</x:f>
        <x:v>248490.544664</x:v>
      </x:c>
      <x:c r="H2140" s="14" t="n">
        <x:f>F2140/G2140-1</x:f>
        <x:v>-0.06247392432976162</x:v>
      </x:c>
      <x:c r="I2140" s="14" t="n">
        <x:f>F2140/F2139-1</x:f>
        <x:v>0.009924351156022526</x:v>
      </x:c>
      <x:c r="J2140" s="12" t="n">
        <x:v>0</x:v>
      </x:c>
      <x:c r="K2140" s="12" t="n">
        <x:v>0</x:v>
      </x:c>
      <x:c r="L2140" s="12" t="n">
        <x:v>0</x:v>
      </x:c>
      <x:c r="M2140" s="2" t="str">
        <x:v>持有</x:v>
      </x:c>
    </x:row>
    <x:row r="2141" ht="23" customHeight="1">
      <x:c r="A2141" s="11" t="d">
        <x:v>2023-06-28T00:00:00.000Z</x:v>
      </x:c>
      <x:c r="B2141" s="12" t="n">
        <x:v>21067.115552</x:v>
      </x:c>
      <x:c r="C2141" s="13" t="n">
        <x:v>484</x:v>
      </x:c>
      <x:c r="D2141" s="12" t="n">
        <x:v>211212.75999999998</x:v>
      </x:c>
      <x:c r="E2141" s="12" t="n">
        <x:v>792.969628</x:v>
      </x:c>
      <x:c r="F2141" s="12" t="n">
        <x:f>SUM(B2141,D2141:E2141)</x:f>
        <x:v>233072.84517999997</x:v>
      </x:c>
      <x:c r="G2141" s="12" t="n">
        <x:f>MAX(G2140,F2141)</x:f>
        <x:v>248490.544664</x:v>
      </x:c>
      <x:c r="H2141" s="14" t="n">
        <x:f>F2141/G2141-1</x:f>
        <x:v>-0.062045417079540255</x:v>
      </x:c>
      <x:c r="I2141" s="14" t="n">
        <x:f>F2141/F2140-1</x:f>
        <x:v>0.0004570616875003708</x:v>
      </x:c>
      <x:c r="J2141" s="12" t="n">
        <x:v>0</x:v>
      </x:c>
      <x:c r="K2141" s="12" t="n">
        <x:v>0</x:v>
      </x:c>
      <x:c r="L2141" s="12" t="n">
        <x:v>0</x:v>
      </x:c>
      <x:c r="M2141" s="2" t="str">
        <x:v>持有</x:v>
      </x:c>
    </x:row>
    <x:row r="2142" ht="23" customHeight="1">
      <x:c r="A2142" s="11" t="d">
        <x:v>2023-06-29T00:00:00.000Z</x:v>
      </x:c>
      <x:c r="B2142" s="12" t="n">
        <x:v>21067.115552</x:v>
      </x:c>
      <x:c r="C2142" s="13" t="n">
        <x:v>484</x:v>
      </x:c>
      <x:c r="D2142" s="12" t="n">
        <x:v>212045.24000000002</x:v>
      </x:c>
      <x:c r="E2142" s="12" t="n">
        <x:v>792.969628</x:v>
      </x:c>
      <x:c r="F2142" s="12" t="n">
        <x:f>SUM(B2142,D2142:E2142)</x:f>
        <x:v>233905.32518</x:v>
      </x:c>
      <x:c r="G2142" s="12" t="n">
        <x:f>MAX(G2141,F2142)</x:f>
        <x:v>248490.544664</x:v>
      </x:c>
      <x:c r="H2142" s="14" t="n">
        <x:f>F2142/G2142-1</x:f>
        <x:v>-0.05869526948689974</x:v>
      </x:c>
      <x:c r="I2142" s="14" t="n">
        <x:f>F2142/F2141-1</x:f>
        <x:v>0.0035717588608707995</x:v>
      </x:c>
      <x:c r="J2142" s="12" t="n">
        <x:v>0</x:v>
      </x:c>
      <x:c r="K2142" s="12" t="n">
        <x:v>0</x:v>
      </x:c>
      <x:c r="L2142" s="12" t="n">
        <x:v>0</x:v>
      </x:c>
      <x:c r="M2142" s="2" t="str">
        <x:v>持有</x:v>
      </x:c>
    </x:row>
    <x:row r="2143" ht="23" customHeight="1">
      <x:c r="A2143" s="11" t="d">
        <x:v>2023-06-30T00:00:00.000Z</x:v>
      </x:c>
      <x:c r="B2143" s="12" t="n">
        <x:v>21067.115552</x:v>
      </x:c>
      <x:c r="C2143" s="13" t="n">
        <x:v>484</x:v>
      </x:c>
      <x:c r="D2143" s="12" t="n">
        <x:v>214547.52</x:v>
      </x:c>
      <x:c r="E2143" s="12" t="n">
        <x:v>792.969628</x:v>
      </x:c>
      <x:c r="F2143" s="12" t="n">
        <x:f>SUM(B2143,D2143:E2143)</x:f>
        <x:v>236407.60517999998</x:v>
      </x:c>
      <x:c r="G2143" s="12" t="n">
        <x:f>MAX(G2142,F2143)</x:f>
        <x:v>248490.544664</x:v>
      </x:c>
      <x:c r="H2143" s="14" t="n">
        <x:f>F2143/G2143-1</x:f>
        <x:v>-0.048625349106695914</x:v>
      </x:c>
      <x:c r="I2143" s="14" t="n">
        <x:f>F2143/F2142-1</x:f>
        <x:v>0.01069783254431833</x:v>
      </x:c>
      <x:c r="J2143" s="12" t="n">
        <x:v>0</x:v>
      </x:c>
      <x:c r="K2143" s="12" t="n">
        <x:v>0</x:v>
      </x:c>
      <x:c r="L2143" s="12" t="n">
        <x:v>0</x:v>
      </x:c>
      <x:c r="M2143" s="2" t="str">
        <x:v>持有</x:v>
      </x:c>
    </x:row>
    <x:row r="2144" ht="23" customHeight="1">
      <x:c r="A2144" s="11" t="d">
        <x:v>2023-07-03T00:00:00.000Z</x:v>
      </x:c>
      <x:c r="B2144" s="12" t="n">
        <x:v>21067.115552</x:v>
      </x:c>
      <x:c r="C2144" s="13" t="n">
        <x:v>484</x:v>
      </x:c>
      <x:c r="D2144" s="12" t="n">
        <x:v>214794.36000000002</x:v>
      </x:c>
      <x:c r="E2144" s="12" t="n">
        <x:v>792.969628</x:v>
      </x:c>
      <x:c r="F2144" s="12" t="n">
        <x:f>SUM(B2144,D2144:E2144)</x:f>
        <x:v>236654.44518</x:v>
      </x:c>
      <x:c r="G2144" s="12" t="n">
        <x:f>MAX(G2143,F2144)</x:f>
        <x:v>248490.544664</x:v>
      </x:c>
      <x:c r="H2144" s="14" t="n">
        <x:f>F2144/G2144-1</x:f>
        <x:v>-0.0476319913902733</x:v>
      </x:c>
      <x:c r="I2144" s="14" t="n">
        <x:f>F2144/F2143-1</x:f>
        <x:v>0.0010441288460754095</x:v>
      </x:c>
      <x:c r="J2144" s="12" t="n">
        <x:v>0</x:v>
      </x:c>
      <x:c r="K2144" s="12" t="n">
        <x:v>0</x:v>
      </x:c>
      <x:c r="L2144" s="12" t="n">
        <x:v>0</x:v>
      </x:c>
      <x:c r="M2144" s="2" t="str">
        <x:v>持有</x:v>
      </x:c>
    </x:row>
    <x:row r="2145" ht="23" customHeight="1">
      <x:c r="A2145" s="11" t="d">
        <x:v>2023-07-05T00:00:00.000Z</x:v>
      </x:c>
      <x:c r="B2145" s="12" t="n">
        <x:v>21067.115552</x:v>
      </x:c>
      <x:c r="C2145" s="13" t="n">
        <x:v>484</x:v>
      </x:c>
      <x:c r="D2145" s="12" t="n">
        <x:v>214474.91999999998</x:v>
      </x:c>
      <x:c r="E2145" s="12" t="n">
        <x:v>792.969628</x:v>
      </x:c>
      <x:c r="F2145" s="12" t="n">
        <x:f>SUM(B2145,D2145:E2145)</x:f>
        <x:v>236335.00517999998</x:v>
      </x:c>
      <x:c r="G2145" s="12" t="n">
        <x:f>MAX(G2144,F2145)</x:f>
        <x:v>248490.544664</x:v>
      </x:c>
      <x:c r="H2145" s="14" t="n">
        <x:f>F2145/G2145-1</x:f>
        <x:v>-0.04891751314093784</x:v>
      </x:c>
      <x:c r="I2145" s="14" t="n">
        <x:f>F2145/F2144-1</x:f>
        <x:v>-0.0013498161834951672</x:v>
      </x:c>
      <x:c r="J2145" s="12" t="n">
        <x:v>0</x:v>
      </x:c>
      <x:c r="K2145" s="12" t="n">
        <x:v>0</x:v>
      </x:c>
      <x:c r="L2145" s="12" t="n">
        <x:v>0</x:v>
      </x:c>
      <x:c r="M2145" s="2" t="str">
        <x:v>持有</x:v>
      </x:c>
    </x:row>
    <x:row r="2146" ht="23" customHeight="1">
      <x:c r="A2146" s="11" t="d">
        <x:v>2023-07-06T00:00:00.000Z</x:v>
      </x:c>
      <x:c r="B2146" s="12" t="n">
        <x:v>21067.115552</x:v>
      </x:c>
      <x:c r="C2146" s="13" t="n">
        <x:v>484</x:v>
      </x:c>
      <x:c r="D2146" s="12" t="n">
        <x:v>212795.44</x:v>
      </x:c>
      <x:c r="E2146" s="12" t="n">
        <x:v>792.969628</x:v>
      </x:c>
      <x:c r="F2146" s="12" t="n">
        <x:f>SUM(B2146,D2146:E2146)</x:f>
        <x:v>234655.52518</x:v>
      </x:c>
      <x:c r="G2146" s="12" t="n">
        <x:f>MAX(G2145,F2146)</x:f>
        <x:v>248490.544664</x:v>
      </x:c>
      <x:c r="H2146" s="14" t="n">
        <x:f>F2146/G2146-1</x:f>
        <x:v>-0.055676241133066906</x:v>
      </x:c>
      <x:c r="I2146" s="14" t="n">
        <x:f>F2146/F2145-1</x:f>
        <x:v>-0.00710635311396568</x:v>
      </x:c>
      <x:c r="J2146" s="12" t="n">
        <x:v>0</x:v>
      </x:c>
      <x:c r="K2146" s="12" t="n">
        <x:v>0</x:v>
      </x:c>
      <x:c r="L2146" s="12" t="n">
        <x:v>0</x:v>
      </x:c>
      <x:c r="M2146" s="2" t="str">
        <x:v>持有</x:v>
      </x:c>
    </x:row>
    <x:row r="2147" ht="23" customHeight="1">
      <x:c r="A2147" s="11" t="d">
        <x:v>2023-07-07T00:00:00.000Z</x:v>
      </x:c>
      <x:c r="B2147" s="12" t="n">
        <x:v>21067.115552</x:v>
      </x:c>
      <x:c r="C2147" s="13" t="n">
        <x:v>484</x:v>
      </x:c>
      <x:c r="D2147" s="12" t="n">
        <x:v>212258.2</x:v>
      </x:c>
      <x:c r="E2147" s="12" t="n">
        <x:v>792.969628</x:v>
      </x:c>
      <x:c r="F2147" s="12" t="n">
        <x:f>SUM(B2147,D2147:E2147)</x:f>
        <x:v>234118.28518</x:v>
      </x:c>
      <x:c r="G2147" s="12" t="n">
        <x:f>MAX(G2146,F2147)</x:f>
        <x:v>248490.544664</x:v>
      </x:c>
      <x:c r="H2147" s="14" t="n">
        <x:f>F2147/G2147-1</x:f>
        <x:v>-0.057838254986456894</x:v>
      </x:c>
      <x:c r="I2147" s="14" t="n">
        <x:f>F2147/F2146-1</x:f>
        <x:v>-0.0022894836999379775</x:v>
      </x:c>
      <x:c r="J2147" s="12" t="n">
        <x:v>0</x:v>
      </x:c>
      <x:c r="K2147" s="12" t="n">
        <x:v>0</x:v>
      </x:c>
      <x:c r="L2147" s="12" t="n">
        <x:v>0</x:v>
      </x:c>
      <x:c r="M2147" s="2" t="str">
        <x:v>持有</x:v>
      </x:c>
    </x:row>
    <x:row r="2148" ht="23" customHeight="1">
      <x:c r="A2148" s="11" t="d">
        <x:v>2023-07-10T00:00:00.000Z</x:v>
      </x:c>
      <x:c r="B2148" s="12" t="n">
        <x:v>21067.115552</x:v>
      </x:c>
      <x:c r="C2148" s="13" t="n">
        <x:v>484</x:v>
      </x:c>
      <x:c r="D2148" s="12" t="n">
        <x:v>212795.44</x:v>
      </x:c>
      <x:c r="E2148" s="12" t="n">
        <x:v>792.969628</x:v>
      </x:c>
      <x:c r="F2148" s="12" t="n">
        <x:f>SUM(B2148,D2148:E2148)</x:f>
        <x:v>234655.52518</x:v>
      </x:c>
      <x:c r="G2148" s="12" t="n">
        <x:f>MAX(G2147,F2148)</x:f>
        <x:v>248490.544664</x:v>
      </x:c>
      <x:c r="H2148" s="14" t="n">
        <x:f>F2148/G2148-1</x:f>
        <x:v>-0.055676241133066906</x:v>
      </x:c>
      <x:c r="I2148" s="14" t="n">
        <x:f>F2148/F2147-1</x:f>
        <x:v>0.0022947374639572526</x:v>
      </x:c>
      <x:c r="J2148" s="12" t="n">
        <x:v>0</x:v>
      </x:c>
      <x:c r="K2148" s="12" t="n">
        <x:v>0</x:v>
      </x:c>
      <x:c r="L2148" s="12" t="n">
        <x:v>0</x:v>
      </x:c>
      <x:c r="M2148" s="2" t="str">
        <x:v>持有</x:v>
      </x:c>
    </x:row>
    <x:row r="2149" ht="23" customHeight="1">
      <x:c r="A2149" s="11" t="d">
        <x:v>2023-07-11T00:00:00.000Z</x:v>
      </x:c>
      <x:c r="B2149" s="12" t="n">
        <x:v>21067.115552</x:v>
      </x:c>
      <x:c r="C2149" s="13" t="n">
        <x:v>484</x:v>
      </x:c>
      <x:c r="D2149" s="12" t="n">
        <x:v>214150.63999999998</x:v>
      </x:c>
      <x:c r="E2149" s="12" t="n">
        <x:v>792.969628</x:v>
      </x:c>
      <x:c r="F2149" s="12" t="n">
        <x:f>SUM(B2149,D2149:E2149)</x:f>
        <x:v>236010.72517999998</x:v>
      </x:c>
      <x:c r="G2149" s="12" t="n">
        <x:f>MAX(G2148,F2149)</x:f>
        <x:v>248490.544664</x:v>
      </x:c>
      <x:c r="H2149" s="14" t="n">
        <x:f>F2149/G2149-1</x:f>
        <x:v>-0.050222512493884874</x:v>
      </x:c>
      <x:c r="I2149" s="14" t="n">
        <x:f>F2149/F2148-1</x:f>
        <x:v>0.005775274198041691</x:v>
      </x:c>
      <x:c r="J2149" s="12" t="n">
        <x:v>0</x:v>
      </x:c>
      <x:c r="K2149" s="12" t="n">
        <x:v>0</x:v>
      </x:c>
      <x:c r="L2149" s="12" t="n">
        <x:v>0</x:v>
      </x:c>
      <x:c r="M2149" s="2" t="str">
        <x:v>持有</x:v>
      </x:c>
    </x:row>
    <x:row r="2150" ht="23" customHeight="1">
      <x:c r="A2150" s="11" t="d">
        <x:v>2023-07-12T00:00:00.000Z</x:v>
      </x:c>
      <x:c r="B2150" s="12" t="n">
        <x:v>21067.115552</x:v>
      </x:c>
      <x:c r="C2150" s="13" t="n">
        <x:v>484</x:v>
      </x:c>
      <x:c r="D2150" s="12" t="n">
        <x:v>215873.68</x:v>
      </x:c>
      <x:c r="E2150" s="12" t="n">
        <x:v>792.969628</x:v>
      </x:c>
      <x:c r="F2150" s="12" t="n">
        <x:f>SUM(B2150,D2150:E2150)</x:f>
        <x:v>237733.76518</x:v>
      </x:c>
      <x:c r="G2150" s="12" t="n">
        <x:f>MAX(G2149,F2150)</x:f>
        <x:v>248490.544664</x:v>
      </x:c>
      <x:c r="H2150" s="14" t="n">
        <x:f>F2150/G2150-1</x:f>
        <x:v>-0.04328848608121061</x:v>
      </x:c>
      <x:c r="I2150" s="14" t="n">
        <x:f>F2150/F2149-1</x:f>
        <x:v>0.007300685164565612</x:v>
      </x:c>
      <x:c r="J2150" s="12" t="n">
        <x:v>0</x:v>
      </x:c>
      <x:c r="K2150" s="12" t="n">
        <x:v>0</x:v>
      </x:c>
      <x:c r="L2150" s="12" t="n">
        <x:v>0</x:v>
      </x:c>
      <x:c r="M2150" s="2" t="str">
        <x:v>持有</x:v>
      </x:c>
    </x:row>
    <x:row r="2151" ht="23" customHeight="1">
      <x:c r="A2151" s="11" t="d">
        <x:v>2023-07-13T00:00:00.000Z</x:v>
      </x:c>
      <x:c r="B2151" s="12" t="n">
        <x:v>21067.115552</x:v>
      </x:c>
      <x:c r="C2151" s="13" t="n">
        <x:v>484</x:v>
      </x:c>
      <x:c r="D2151" s="12" t="n">
        <x:v>217587.04</x:v>
      </x:c>
      <x:c r="E2151" s="12" t="n">
        <x:v>792.969628</x:v>
      </x:c>
      <x:c r="F2151" s="12" t="n">
        <x:f>SUM(B2151,D2151:E2151)</x:f>
        <x:v>239447.12518</x:v>
      </x:c>
      <x:c r="G2151" s="12" t="n">
        <x:f>MAX(G2150,F2151)</x:f>
        <x:v>248490.544664</x:v>
      </x:c>
      <x:c r="H2151" s="14" t="n">
        <x:f>F2151/G2151-1</x:f>
        <x:v>-0.03639341487310177</x:v>
      </x:c>
      <x:c r="I2151" s="14" t="n">
        <x:f>F2151/F2150-1</x:f>
        <x:v>0.0072070536497108595</x:v>
      </x:c>
      <x:c r="J2151" s="12" t="n">
        <x:v>0</x:v>
      </x:c>
      <x:c r="K2151" s="12" t="n">
        <x:v>0</x:v>
      </x:c>
      <x:c r="L2151" s="12" t="n">
        <x:v>0</x:v>
      </x:c>
      <x:c r="M2151" s="2" t="str">
        <x:v>持有</x:v>
      </x:c>
    </x:row>
    <x:row r="2152" ht="23" customHeight="1">
      <x:c r="A2152" s="11" t="d">
        <x:v>2023-07-14T00:00:00.000Z</x:v>
      </x:c>
      <x:c r="B2152" s="12" t="n">
        <x:v>21067.115552</x:v>
      </x:c>
      <x:c r="C2152" s="13" t="n">
        <x:v>484</x:v>
      </x:c>
      <x:c r="D2152" s="12" t="n">
        <x:v>217451.52</x:v>
      </x:c>
      <x:c r="E2152" s="12" t="n">
        <x:v>792.969628</x:v>
      </x:c>
      <x:c r="F2152" s="12" t="n">
        <x:f>SUM(B2152,D2152:E2152)</x:f>
        <x:v>239311.60517999998</x:v>
      </x:c>
      <x:c r="G2152" s="12" t="n">
        <x:f>MAX(G2151,F2152)</x:f>
        <x:v>248490.544664</x:v>
      </x:c>
      <x:c r="H2152" s="14" t="n">
        <x:f>F2152/G2152-1</x:f>
        <x:v>-0.036938787737020085</x:v>
      </x:c>
      <x:c r="I2152" s="14" t="n">
        <x:f>F2152/F2151-1</x:f>
        <x:v>-0.00056597046173823</x:v>
      </x:c>
      <x:c r="J2152" s="12" t="n">
        <x:v>0</x:v>
      </x:c>
      <x:c r="K2152" s="12" t="n">
        <x:v>0</x:v>
      </x:c>
      <x:c r="L2152" s="12" t="n">
        <x:v>0</x:v>
      </x:c>
      <x:c r="M2152" s="2" t="str">
        <x:v>持有</x:v>
      </x:c>
    </x:row>
    <x:row r="2153" ht="23" customHeight="1">
      <x:c r="A2153" s="11" t="d">
        <x:v>2023-07-17T00:00:00.000Z</x:v>
      </x:c>
      <x:c r="B2153" s="12" t="n">
        <x:v>21067.115552</x:v>
      </x:c>
      <x:c r="C2153" s="13" t="n">
        <x:v>484</x:v>
      </x:c>
      <x:c r="D2153" s="12" t="n">
        <x:v>218206.56</x:v>
      </x:c>
      <x:c r="E2153" s="12" t="n">
        <x:v>792.969628</x:v>
      </x:c>
      <x:c r="F2153" s="12" t="n">
        <x:f>SUM(B2153,D2153:E2153)</x:f>
        <x:v>240066.64518</x:v>
      </x:c>
      <x:c r="G2153" s="12" t="n">
        <x:f>MAX(G2152,F2153)</x:f>
        <x:v>248490.544664</x:v>
      </x:c>
      <x:c r="H2153" s="14" t="n">
        <x:f>F2153/G2153-1</x:f>
        <x:v>-0.03390028178090432</x:v>
      </x:c>
      <x:c r="I2153" s="14" t="n">
        <x:f>F2153/F2152-1</x:f>
        <x:v>0.003155049666028864</x:v>
      </x:c>
      <x:c r="J2153" s="12" t="n">
        <x:v>0</x:v>
      </x:c>
      <x:c r="K2153" s="12" t="n">
        <x:v>0</x:v>
      </x:c>
      <x:c r="L2153" s="12" t="n">
        <x:v>0</x:v>
      </x:c>
      <x:c r="M2153" s="2" t="str">
        <x:v>持有</x:v>
      </x:c>
    </x:row>
    <x:row r="2154" ht="23" customHeight="1">
      <x:c r="A2154" s="11" t="d">
        <x:v>2023-07-18T00:00:00.000Z</x:v>
      </x:c>
      <x:c r="B2154" s="12" t="n">
        <x:v>21067.115552</x:v>
      </x:c>
      <x:c r="C2154" s="13" t="n">
        <x:v>484</x:v>
      </x:c>
      <x:c r="D2154" s="12" t="n">
        <x:v>219827.96</x:v>
      </x:c>
      <x:c r="E2154" s="12" t="n">
        <x:v>792.969628</x:v>
      </x:c>
      <x:c r="F2154" s="12" t="n">
        <x:f>SUM(B2154,D2154:E2154)</x:f>
        <x:v>241688.04518</x:v>
      </x:c>
      <x:c r="G2154" s="12" t="n">
        <x:f>MAX(G2153,F2154)</x:f>
        <x:v>248490.544664</x:v>
      </x:c>
      <x:c r="H2154" s="14" t="n">
        <x:f>F2154/G2154-1</x:f>
        <x:v>-0.027375285016168704</x:v>
      </x:c>
      <x:c r="I2154" s="14" t="n">
        <x:f>F2154/F2153-1</x:f>
        <x:v>0.006753957838600444</x:v>
      </x:c>
      <x:c r="J2154" s="12" t="n">
        <x:v>0</x:v>
      </x:c>
      <x:c r="K2154" s="12" t="n">
        <x:v>0</x:v>
      </x:c>
      <x:c r="L2154" s="12" t="n">
        <x:v>0</x:v>
      </x:c>
      <x:c r="M2154" s="2" t="str">
        <x:v>持有</x:v>
      </x:c>
    </x:row>
    <x:row r="2155" ht="23" customHeight="1">
      <x:c r="A2155" s="11" t="d">
        <x:v>2023-07-19T00:00:00.000Z</x:v>
      </x:c>
      <x:c r="B2155" s="12" t="n">
        <x:v>21067.115552</x:v>
      </x:c>
      <x:c r="C2155" s="13" t="n">
        <x:v>484</x:v>
      </x:c>
      <x:c r="D2155" s="12" t="n">
        <x:v>220316.8</x:v>
      </x:c>
      <x:c r="E2155" s="12" t="n">
        <x:v>792.969628</x:v>
      </x:c>
      <x:c r="F2155" s="12" t="n">
        <x:f>SUM(B2155,D2155:E2155)</x:f>
        <x:v>242176.88517999998</x:v>
      </x:c>
      <x:c r="G2155" s="12" t="n">
        <x:f>MAX(G2154,F2155)</x:f>
        <x:v>248490.544664</x:v>
      </x:c>
      <x:c r="H2155" s="14" t="n">
        <x:f>F2155/G2155-1</x:f>
        <x:v>-0.02540804718560663</x:v>
      </x:c>
      <x:c r="I2155" s="14" t="n">
        <x:f>F2155/F2154-1</x:f>
        <x:v>0.002022607281365163</x:v>
      </x:c>
      <x:c r="J2155" s="12" t="n">
        <x:v>0</x:v>
      </x:c>
      <x:c r="K2155" s="12" t="n">
        <x:v>0</x:v>
      </x:c>
      <x:c r="L2155" s="12" t="n">
        <x:v>0</x:v>
      </x:c>
      <x:c r="M2155" s="2" t="str">
        <x:v>持有</x:v>
      </x:c>
    </x:row>
    <x:row r="2156" ht="23" customHeight="1">
      <x:c r="A2156" s="11" t="d">
        <x:v>2023-07-20T00:00:00.000Z</x:v>
      </x:c>
      <x:c r="B2156" s="12" t="n">
        <x:v>21067.115552</x:v>
      </x:c>
      <x:c r="C2156" s="13" t="n">
        <x:v>484</x:v>
      </x:c>
      <x:c r="D2156" s="12" t="n">
        <x:v>218855.12</x:v>
      </x:c>
      <x:c r="E2156" s="12" t="n">
        <x:v>792.969628</x:v>
      </x:c>
      <x:c r="F2156" s="12" t="n">
        <x:f>SUM(B2156,D2156:E2156)</x:f>
        <x:v>240715.20518</x:v>
      </x:c>
      <x:c r="G2156" s="12" t="n">
        <x:f>MAX(G2155,F2156)</x:f>
        <x:v>248490.544664</x:v>
      </x:c>
      <x:c r="H2156" s="14" t="n">
        <x:f>F2156/G2156-1</x:f>
        <x:v>-0.03129028307501014</x:v>
      </x:c>
      <x:c r="I2156" s="14" t="n">
        <x:f>F2156/F2155-1</x:f>
        <x:v>-0.006035588404374681</x:v>
      </x:c>
      <x:c r="J2156" s="12" t="n">
        <x:v>0</x:v>
      </x:c>
      <x:c r="K2156" s="12" t="n">
        <x:v>0</x:v>
      </x:c>
      <x:c r="L2156" s="12" t="n">
        <x:v>0</x:v>
      </x:c>
      <x:c r="M2156" s="2" t="str">
        <x:v>持有</x:v>
      </x:c>
    </x:row>
    <x:row r="2157" ht="23" customHeight="1">
      <x:c r="A2157" s="11" t="d">
        <x:v>2023-07-21T00:00:00.000Z</x:v>
      </x:c>
      <x:c r="B2157" s="12" t="n">
        <x:v>21067.115552</x:v>
      </x:c>
      <x:c r="C2157" s="13" t="n">
        <x:v>484</x:v>
      </x:c>
      <x:c r="D2157" s="12" t="n">
        <x:v>218855.12</x:v>
      </x:c>
      <x:c r="E2157" s="12" t="n">
        <x:v>792.969628</x:v>
      </x:c>
      <x:c r="F2157" s="12" t="n">
        <x:f>SUM(B2157,D2157:E2157)</x:f>
        <x:v>240715.20518</x:v>
      </x:c>
      <x:c r="G2157" s="12" t="n">
        <x:f>MAX(G2156,F2157)</x:f>
        <x:v>248490.544664</x:v>
      </x:c>
      <x:c r="H2157" s="14" t="n">
        <x:f>F2157/G2157-1</x:f>
        <x:v>-0.03129028307501014</x:v>
      </x:c>
      <x:c r="I2157" s="14" t="n">
        <x:f>F2157/F2156-1</x:f>
        <x:v>0</x:v>
      </x:c>
      <x:c r="J2157" s="12" t="n">
        <x:v>0</x:v>
      </x:c>
      <x:c r="K2157" s="12" t="n">
        <x:v>0</x:v>
      </x:c>
      <x:c r="L2157" s="12" t="n">
        <x:v>0</x:v>
      </x:c>
      <x:c r="M2157" s="2" t="str">
        <x:v>持有</x:v>
      </x:c>
    </x:row>
    <x:row r="2158" ht="23" customHeight="1">
      <x:c r="A2158" s="11" t="d">
        <x:v>2023-07-24T00:00:00.000Z</x:v>
      </x:c>
      <x:c r="B2158" s="12" t="n">
        <x:v>21067.115552</x:v>
      </x:c>
      <x:c r="C2158" s="13" t="n">
        <x:v>484</x:v>
      </x:c>
      <x:c r="D2158" s="12" t="n">
        <x:v>219832.8</x:v>
      </x:c>
      <x:c r="E2158" s="12" t="n">
        <x:v>792.969628</x:v>
      </x:c>
      <x:c r="F2158" s="12" t="n">
        <x:f>SUM(B2158,D2158:E2158)</x:f>
        <x:v>241692.88517999998</x:v>
      </x:c>
      <x:c r="G2158" s="12" t="n">
        <x:f>MAX(G2157,F2158)</x:f>
        <x:v>248490.544664</x:v>
      </x:c>
      <x:c r="H2158" s="14" t="n">
        <x:f>F2158/G2158-1</x:f>
        <x:v>-0.02735580741388588</x:v>
      </x:c>
      <x:c r="I2158" s="14" t="n">
        <x:f>F2158/F2157-1</x:f>
        <x:v>0.004061563120904221</x:v>
      </x:c>
      <x:c r="J2158" s="12" t="n">
        <x:v>0</x:v>
      </x:c>
      <x:c r="K2158" s="12" t="n">
        <x:v>0</x:v>
      </x:c>
      <x:c r="L2158" s="12" t="n">
        <x:v>0</x:v>
      </x:c>
      <x:c r="M2158" s="2" t="str">
        <x:v>持有</x:v>
      </x:c>
    </x:row>
    <x:row r="2159" ht="23" customHeight="1">
      <x:c r="A2159" s="11" t="d">
        <x:v>2023-07-25T00:00:00.000Z</x:v>
      </x:c>
      <x:c r="B2159" s="12" t="n">
        <x:v>21067.115552</x:v>
      </x:c>
      <x:c r="C2159" s="13" t="n">
        <x:v>484</x:v>
      </x:c>
      <x:c r="D2159" s="12" t="n">
        <x:v>220432.96</x:v>
      </x:c>
      <x:c r="E2159" s="12" t="n">
        <x:v>792.969628</x:v>
      </x:c>
      <x:c r="F2159" s="12" t="n">
        <x:f>SUM(B2159,D2159:E2159)</x:f>
        <x:v>242293.04518</x:v>
      </x:c>
      <x:c r="G2159" s="12" t="n">
        <x:f>MAX(G2158,F2159)</x:f>
        <x:v>248490.544664</x:v>
      </x:c>
      <x:c r="H2159" s="14" t="n">
        <x:f>F2159/G2159-1</x:f>
        <x:v>-0.024940584730819615</x:v>
      </x:c>
      <x:c r="I2159" s="14" t="n">
        <x:f>F2159/F2158-1</x:f>
        <x:v>0.0024831512915783893</x:v>
      </x:c>
      <x:c r="J2159" s="12" t="n">
        <x:v>0</x:v>
      </x:c>
      <x:c r="K2159" s="12" t="n">
        <x:v>0</x:v>
      </x:c>
      <x:c r="L2159" s="12" t="n">
        <x:v>0</x:v>
      </x:c>
      <x:c r="M2159" s="2" t="str">
        <x:v>持有</x:v>
      </x:c>
    </x:row>
    <x:row r="2160" ht="23" customHeight="1">
      <x:c r="A2160" s="11" t="d">
        <x:v>2023-07-26T00:00:00.000Z</x:v>
      </x:c>
      <x:c r="B2160" s="12" t="n">
        <x:v>21067.115552</x:v>
      </x:c>
      <x:c r="C2160" s="13" t="n">
        <x:v>484</x:v>
      </x:c>
      <x:c r="D2160" s="12" t="n">
        <x:v>220466.84</x:v>
      </x:c>
      <x:c r="E2160" s="12" t="n">
        <x:v>792.969628</x:v>
      </x:c>
      <x:c r="F2160" s="12" t="n">
        <x:f>SUM(B2160,D2160:E2160)</x:f>
        <x:v>242326.92518</x:v>
      </x:c>
      <x:c r="G2160" s="12" t="n">
        <x:f>MAX(G2159,F2160)</x:f>
        <x:v>248490.544664</x:v>
      </x:c>
      <x:c r="H2160" s="14" t="n">
        <x:f>F2160/G2160-1</x:f>
        <x:v>-0.024804241514840064</x:v>
      </x:c>
      <x:c r="I2160" s="14" t="n">
        <x:f>F2160/F2159-1</x:f>
        <x:v>0.00013983067477174593</x:v>
      </x:c>
      <x:c r="J2160" s="12" t="n">
        <x:v>0</x:v>
      </x:c>
      <x:c r="K2160" s="12" t="n">
        <x:v>0</x:v>
      </x:c>
      <x:c r="L2160" s="12" t="n">
        <x:v>0</x:v>
      </x:c>
      <x:c r="M2160" s="2" t="str">
        <x:v>持有</x:v>
      </x:c>
    </x:row>
    <x:row r="2161" ht="23" customHeight="1">
      <x:c r="A2161" s="11" t="d">
        <x:v>2023-07-27T00:00:00.000Z</x:v>
      </x:c>
      <x:c r="B2161" s="12" t="n">
        <x:v>21067.115552</x:v>
      </x:c>
      <x:c r="C2161" s="13" t="n">
        <x:v>484</x:v>
      </x:c>
      <x:c r="D2161" s="12" t="n">
        <x:v>219005.16</x:v>
      </x:c>
      <x:c r="E2161" s="12" t="n">
        <x:v>792.969628</x:v>
      </x:c>
      <x:c r="F2161" s="12" t="n">
        <x:f>SUM(B2161,D2161:E2161)</x:f>
        <x:v>240865.24518</x:v>
      </x:c>
      <x:c r="G2161" s="12" t="n">
        <x:f>MAX(G2160,F2161)</x:f>
        <x:v>248490.544664</x:v>
      </x:c>
      <x:c r="H2161" s="14" t="n">
        <x:f>F2161/G2161-1</x:f>
        <x:v>-0.030686477404243462</x:v>
      </x:c>
      <x:c r="I2161" s="14" t="n">
        <x:f>F2161/F2160-1</x:f>
        <x:v>-0.006031851388013321</x:v>
      </x:c>
      <x:c r="J2161" s="12" t="n">
        <x:v>0</x:v>
      </x:c>
      <x:c r="K2161" s="12" t="n">
        <x:v>0</x:v>
      </x:c>
      <x:c r="L2161" s="12" t="n">
        <x:v>0</x:v>
      </x:c>
      <x:c r="M2161" s="2" t="str">
        <x:v>持有</x:v>
      </x:c>
    </x:row>
    <x:row r="2162" ht="23" customHeight="1">
      <x:c r="A2162" s="11" t="d">
        <x:v>2023-07-28T00:00:00.000Z</x:v>
      </x:c>
      <x:c r="B2162" s="12" t="n">
        <x:v>21067.115552</x:v>
      </x:c>
      <x:c r="C2162" s="13" t="n">
        <x:v>484</x:v>
      </x:c>
      <x:c r="D2162" s="12" t="n">
        <x:v>221149.28</x:v>
      </x:c>
      <x:c r="E2162" s="12" t="n">
        <x:v>792.969628</x:v>
      </x:c>
      <x:c r="F2162" s="12" t="n">
        <x:f>SUM(B2162,D2162:E2162)</x:f>
        <x:v>243009.36518</x:v>
      </x:c>
      <x:c r="G2162" s="12" t="n">
        <x:f>MAX(G2161,F2162)</x:f>
        <x:v>248490.544664</x:v>
      </x:c>
      <x:c r="H2162" s="14" t="n">
        <x:f>F2162/G2162-1</x:f>
        <x:v>-0.022057899592966224</x:v>
      </x:c>
      <x:c r="I2162" s="14" t="n">
        <x:f>F2162/F2161-1</x:f>
        <x:v>0.008901740881702036</x:v>
      </x:c>
      <x:c r="J2162" s="12" t="n">
        <x:v>0</x:v>
      </x:c>
      <x:c r="K2162" s="12" t="n">
        <x:v>0</x:v>
      </x:c>
      <x:c r="L2162" s="12" t="n">
        <x:v>0</x:v>
      </x:c>
      <x:c r="M2162" s="2" t="str">
        <x:v>持有</x:v>
      </x:c>
    </x:row>
    <x:row r="2163" ht="23" customHeight="1">
      <x:c r="A2163" s="11" t="d">
        <x:v>2023-07-31T00:00:00.000Z</x:v>
      </x:c>
      <x:c r="B2163" s="12" t="n">
        <x:v>21860.08518</x:v>
      </x:c>
      <x:c r="C2163" s="13" t="n">
        <x:v>484</x:v>
      </x:c>
      <x:c r="D2163" s="12" t="n">
        <x:v>221570.36000000002</x:v>
      </x:c>
      <x:c r="E2163" s="12" t="n">
        <x:v>0</x:v>
      </x:c>
      <x:c r="F2163" s="12" t="n">
        <x:f>SUM(B2163,D2163:E2163)</x:f>
        <x:v>243430.44518</x:v>
      </x:c>
      <x:c r="G2163" s="12" t="n">
        <x:f>MAX(G2162,F2163)</x:f>
        <x:v>248490.544664</x:v>
      </x:c>
      <x:c r="H2163" s="14" t="n">
        <x:f>F2163/G2163-1</x:f>
        <x:v>-0.02036334819436314</x:v>
      </x:c>
      <x:c r="I2163" s="14" t="n">
        <x:f>F2163/F2162-1</x:f>
        <x:v>0.0017327727253972913</x:v>
      </x:c>
      <x:c r="J2163" s="12" t="n">
        <x:v>0</x:v>
      </x:c>
      <x:c r="K2163" s="12" t="n">
        <x:v>792.969628</x:v>
      </x:c>
      <x:c r="L2163" s="12" t="n">
        <x:v>0</x:v>
      </x:c>
      <x:c r="M2163" s="2" t="str">
        <x:v>持有</x:v>
      </x:c>
    </x:row>
    <x:row r="2164" ht="23" customHeight="1">
      <x:c r="A2164" s="11" t="d">
        <x:v>2023-08-01T00:00:00.000Z</x:v>
      </x:c>
      <x:c r="B2164" s="12" t="n">
        <x:v>21860.08518</x:v>
      </x:c>
      <x:c r="C2164" s="13" t="n">
        <x:v>484</x:v>
      </x:c>
      <x:c r="D2164" s="12" t="n">
        <x:v>220936.32</x:v>
      </x:c>
      <x:c r="E2164" s="12" t="n">
        <x:v>0</x:v>
      </x:c>
      <x:c r="F2164" s="12" t="n">
        <x:f>SUM(B2164,D2164:E2164)</x:f>
        <x:v>242796.40518</x:v>
      </x:c>
      <x:c r="G2164" s="12" t="n">
        <x:f>MAX(G2163,F2164)</x:f>
        <x:v>248490.544664</x:v>
      </x:c>
      <x:c r="H2164" s="14" t="n">
        <x:f>F2164/G2164-1</x:f>
        <x:v>-0.022914914093409067</x:v>
      </x:c>
      <x:c r="I2164" s="14" t="n">
        <x:f>F2164/F2163-1</x:f>
        <x:v>-0.002604604364631502</x:v>
      </x:c>
      <x:c r="J2164" s="12" t="n">
        <x:v>0</x:v>
      </x:c>
      <x:c r="K2164" s="12" t="n">
        <x:v>0</x:v>
      </x:c>
      <x:c r="L2164" s="12" t="n">
        <x:v>0</x:v>
      </x:c>
      <x:c r="M2164" s="2" t="str">
        <x:v>持有</x:v>
      </x:c>
    </x:row>
    <x:row r="2165" ht="23" customHeight="1">
      <x:c r="A2165" s="11" t="d">
        <x:v>2023-08-02T00:00:00.000Z</x:v>
      </x:c>
      <x:c r="B2165" s="12" t="n">
        <x:v>21860.08518</x:v>
      </x:c>
      <x:c r="C2165" s="13" t="n">
        <x:v>484</x:v>
      </x:c>
      <x:c r="D2165" s="12" t="n">
        <x:v>217862.91999999998</x:v>
      </x:c>
      <x:c r="E2165" s="12" t="n">
        <x:v>0</x:v>
      </x:c>
      <x:c r="F2165" s="12" t="n">
        <x:f>SUM(B2165,D2165:E2165)</x:f>
        <x:v>239723.00517999998</x:v>
      </x:c>
      <x:c r="G2165" s="12" t="n">
        <x:f>MAX(G2164,F2165)</x:f>
        <x:v>248490.544664</x:v>
      </x:c>
      <x:c r="H2165" s="14" t="n">
        <x:f>F2165/G2165-1</x:f>
        <x:v>-0.03528319154298265</x:v>
      </x:c>
      <x:c r="I2165" s="14" t="n">
        <x:f>F2165/F2164-1</x:f>
        <x:v>-0.012658342275378875</x:v>
      </x:c>
      <x:c r="J2165" s="12" t="n">
        <x:v>0</x:v>
      </x:c>
      <x:c r="K2165" s="12" t="n">
        <x:v>0</x:v>
      </x:c>
      <x:c r="L2165" s="12" t="n">
        <x:v>0</x:v>
      </x:c>
      <x:c r="M2165" s="2" t="str">
        <x:v>持有</x:v>
      </x:c>
    </x:row>
    <x:row r="2166" ht="23" customHeight="1">
      <x:c r="A2166" s="11" t="d">
        <x:v>2023-08-03T00:00:00.000Z</x:v>
      </x:c>
      <x:c r="B2166" s="12" t="n">
        <x:v>21860.08518</x:v>
      </x:c>
      <x:c r="C2166" s="13" t="n">
        <x:v>484</x:v>
      </x:c>
      <x:c r="D2166" s="12" t="n">
        <x:v>217238.56</x:v>
      </x:c>
      <x:c r="E2166" s="12" t="n">
        <x:v>0</x:v>
      </x:c>
      <x:c r="F2166" s="12" t="n">
        <x:f>SUM(B2166,D2166:E2166)</x:f>
        <x:v>239098.64518</x:v>
      </x:c>
      <x:c r="G2166" s="12" t="n">
        <x:f>MAX(G2165,F2166)</x:f>
        <x:v>248490.544664</x:v>
      </x:c>
      <x:c r="H2166" s="14" t="n">
        <x:f>F2166/G2166-1</x:f>
        <x:v>-0.03779580223746293</x:v>
      </x:c>
      <x:c r="I2166" s="14" t="n">
        <x:f>F2166/F2165-1</x:f>
        <x:v>-0.002604505977768734</x:v>
      </x:c>
      <x:c r="J2166" s="12" t="n">
        <x:v>0</x:v>
      </x:c>
      <x:c r="K2166" s="12" t="n">
        <x:v>0</x:v>
      </x:c>
      <x:c r="L2166" s="12" t="n">
        <x:v>0</x:v>
      </x:c>
      <x:c r="M2166" s="2" t="str">
        <x:v>持有</x:v>
      </x:c>
    </x:row>
    <x:row r="2167" ht="23" customHeight="1">
      <x:c r="A2167" s="11" t="d">
        <x:v>2023-08-04T00:00:00.000Z</x:v>
      </x:c>
      <x:c r="B2167" s="12" t="n">
        <x:v>21860.08518</x:v>
      </x:c>
      <x:c r="C2167" s="13" t="n">
        <x:v>484</x:v>
      </x:c>
      <x:c r="D2167" s="12" t="n">
        <x:v>216256.04</x:v>
      </x:c>
      <x:c r="E2167" s="12" t="n">
        <x:v>0</x:v>
      </x:c>
      <x:c r="F2167" s="12" t="n">
        <x:f>SUM(B2167,D2167:E2167)</x:f>
        <x:v>238116.12518</x:v>
      </x:c>
      <x:c r="G2167" s="12" t="n">
        <x:f>MAX(G2166,F2167)</x:f>
        <x:v>248490.544664</x:v>
      </x:c>
      <x:c r="H2167" s="14" t="n">
        <x:f>F2167/G2167-1</x:f>
        <x:v>-0.0417497555008699</x:v>
      </x:c>
      <x:c r="I2167" s="14" t="n">
        <x:f>F2167/F2166-1</x:f>
        <x:v>-0.004109266279030188</x:v>
      </x:c>
      <x:c r="J2167" s="12" t="n">
        <x:v>0</x:v>
      </x:c>
      <x:c r="K2167" s="12" t="n">
        <x:v>0</x:v>
      </x:c>
      <x:c r="L2167" s="12" t="n">
        <x:v>0</x:v>
      </x:c>
      <x:c r="M2167" s="2" t="str">
        <x:v>持有</x:v>
      </x:c>
    </x:row>
    <x:row r="2168" ht="23" customHeight="1">
      <x:c r="A2168" s="11" t="d">
        <x:v>2023-08-07T00:00:00.000Z</x:v>
      </x:c>
      <x:c r="B2168" s="12" t="n">
        <x:v>21860.08518</x:v>
      </x:c>
      <x:c r="C2168" s="13" t="n">
        <x:v>484</x:v>
      </x:c>
      <x:c r="D2168" s="12" t="n">
        <x:v>218143.63999999998</x:v>
      </x:c>
      <x:c r="E2168" s="12" t="n">
        <x:v>0</x:v>
      </x:c>
      <x:c r="F2168" s="12" t="n">
        <x:f>SUM(B2168,D2168:E2168)</x:f>
        <x:v>240003.72517999998</x:v>
      </x:c>
      <x:c r="G2168" s="12" t="n">
        <x:f>MAX(G2167,F2168)</x:f>
        <x:v>248490.544664</x:v>
      </x:c>
      <x:c r="H2168" s="14" t="n">
        <x:f>F2168/G2168-1</x:f>
        <x:v>-0.034153490610580706</x:v>
      </x:c>
      <x:c r="I2168" s="14" t="n">
        <x:f>F2168/F2167-1</x:f>
        <x:v>0.007927224578230696</x:v>
      </x:c>
      <x:c r="J2168" s="12" t="n">
        <x:v>0</x:v>
      </x:c>
      <x:c r="K2168" s="12" t="n">
        <x:v>0</x:v>
      </x:c>
      <x:c r="L2168" s="12" t="n">
        <x:v>0</x:v>
      </x:c>
      <x:c r="M2168" s="2" t="str">
        <x:v>持有</x:v>
      </x:c>
    </x:row>
    <x:row r="2169" ht="23" customHeight="1">
      <x:c r="A2169" s="11" t="d">
        <x:v>2023-08-08T00:00:00.000Z</x:v>
      </x:c>
      <x:c r="B2169" s="12" t="n">
        <x:v>21860.08518</x:v>
      </x:c>
      <x:c r="C2169" s="13" t="n">
        <x:v>484</x:v>
      </x:c>
      <x:c r="D2169" s="12" t="n">
        <x:v>217195</x:v>
      </x:c>
      <x:c r="E2169" s="12" t="n">
        <x:v>0</x:v>
      </x:c>
      <x:c r="F2169" s="12" t="n">
        <x:f>SUM(B2169,D2169:E2169)</x:f>
        <x:v>239055.08518</x:v>
      </x:c>
      <x:c r="G2169" s="12" t="n">
        <x:f>MAX(G2168,F2169)</x:f>
        <x:v>248490.544664</x:v>
      </x:c>
      <x:c r="H2169" s="14" t="n">
        <x:f>F2169/G2169-1</x:f>
        <x:v>-0.03797110065800802</x:v>
      </x:c>
      <x:c r="I2169" s="14" t="n">
        <x:f>F2169/F2168-1</x:f>
        <x:v>-0.003952605315973856</x:v>
      </x:c>
      <x:c r="J2169" s="12" t="n">
        <x:v>0</x:v>
      </x:c>
      <x:c r="K2169" s="12" t="n">
        <x:v>0</x:v>
      </x:c>
      <x:c r="L2169" s="12" t="n">
        <x:v>0</x:v>
      </x:c>
      <x:c r="M2169" s="2" t="str">
        <x:v>持有</x:v>
      </x:c>
    </x:row>
    <x:row r="2170" ht="23" customHeight="1">
      <x:c r="A2170" s="11" t="d">
        <x:v>2023-08-09T00:00:00.000Z</x:v>
      </x:c>
      <x:c r="B2170" s="12" t="n">
        <x:v>21860.08518</x:v>
      </x:c>
      <x:c r="C2170" s="13" t="n">
        <x:v>484</x:v>
      </x:c>
      <x:c r="D2170" s="12" t="n">
        <x:v>215743</x:v>
      </x:c>
      <x:c r="E2170" s="12" t="n">
        <x:v>0</x:v>
      </x:c>
      <x:c r="F2170" s="12" t="n">
        <x:f>SUM(B2170,D2170:E2170)</x:f>
        <x:v>237603.08518</x:v>
      </x:c>
      <x:c r="G2170" s="12" t="n">
        <x:f>MAX(G2169,F2170)</x:f>
        <x:v>248490.544664</x:v>
      </x:c>
      <x:c r="H2170" s="14" t="n">
        <x:f>F2170/G2170-1</x:f>
        <x:v>-0.04381438134284599</x:v>
      </x:c>
      <x:c r="I2170" s="14" t="n">
        <x:f>F2170/F2169-1</x:f>
        <x:v>-0.006073913880169868</x:v>
      </x:c>
      <x:c r="J2170" s="12" t="n">
        <x:v>0</x:v>
      </x:c>
      <x:c r="K2170" s="12" t="n">
        <x:v>0</x:v>
      </x:c>
      <x:c r="L2170" s="12" t="n">
        <x:v>0</x:v>
      </x:c>
      <x:c r="M2170" s="2" t="str">
        <x:v>持有</x:v>
      </x:c>
    </x:row>
    <x:row r="2171" ht="23" customHeight="1">
      <x:c r="A2171" s="11" t="d">
        <x:v>2023-08-10T00:00:00.000Z</x:v>
      </x:c>
      <x:c r="B2171" s="12" t="n">
        <x:v>21860.08518</x:v>
      </x:c>
      <x:c r="C2171" s="13" t="n">
        <x:v>484</x:v>
      </x:c>
      <x:c r="D2171" s="12" t="n">
        <x:v>215820.44</x:v>
      </x:c>
      <x:c r="E2171" s="12" t="n">
        <x:v>0</x:v>
      </x:c>
      <x:c r="F2171" s="12" t="n">
        <x:f>SUM(B2171,D2171:E2171)</x:f>
        <x:v>237680.52518</x:v>
      </x:c>
      <x:c r="G2171" s="12" t="n">
        <x:f>MAX(G2170,F2171)</x:f>
        <x:v>248490.544664</x:v>
      </x:c>
      <x:c r="H2171" s="14" t="n">
        <x:f>F2171/G2171-1</x:f>
        <x:v>-0.043502739706321236</x:v>
      </x:c>
      <x:c r="I2171" s="14" t="n">
        <x:f>F2171/F2170-1</x:f>
        <x:v>0.00032592169390954773</x:v>
      </x:c>
      <x:c r="J2171" s="12" t="n">
        <x:v>0</x:v>
      </x:c>
      <x:c r="K2171" s="12" t="n">
        <x:v>0</x:v>
      </x:c>
      <x:c r="L2171" s="12" t="n">
        <x:v>0</x:v>
      </x:c>
      <x:c r="M2171" s="2" t="str">
        <x:v>持有</x:v>
      </x:c>
    </x:row>
    <x:row r="2172" ht="23" customHeight="1">
      <x:c r="A2172" s="11" t="d">
        <x:v>2023-08-11T00:00:00.000Z</x:v>
      </x:c>
      <x:c r="B2172" s="12" t="n">
        <x:v>21860.08518</x:v>
      </x:c>
      <x:c r="C2172" s="13" t="n">
        <x:v>484</x:v>
      </x:c>
      <x:c r="D2172" s="12" t="n">
        <x:v>215694.59999999998</x:v>
      </x:c>
      <x:c r="E2172" s="12" t="n">
        <x:v>0</x:v>
      </x:c>
      <x:c r="F2172" s="12" t="n">
        <x:f>SUM(B2172,D2172:E2172)</x:f>
        <x:v>237554.68517999997</x:v>
      </x:c>
      <x:c r="G2172" s="12" t="n">
        <x:f>MAX(G2171,F2172)</x:f>
        <x:v>248490.544664</x:v>
      </x:c>
      <x:c r="H2172" s="14" t="n">
        <x:f>F2172/G2172-1</x:f>
        <x:v>-0.04400915736567401</x:v>
      </x:c>
      <x:c r="I2172" s="14" t="n">
        <x:f>F2172/F2171-1</x:f>
        <x:v>-0.0005294501932993079</x:v>
      </x:c>
      <x:c r="J2172" s="12" t="n">
        <x:v>0</x:v>
      </x:c>
      <x:c r="K2172" s="12" t="n">
        <x:v>0</x:v>
      </x:c>
      <x:c r="L2172" s="12" t="n">
        <x:v>0</x:v>
      </x:c>
      <x:c r="M2172" s="2" t="str">
        <x:v>持有</x:v>
      </x:c>
    </x:row>
    <x:row r="2173" ht="23" customHeight="1">
      <x:c r="A2173" s="11" t="d">
        <x:v>2023-08-14T00:00:00.000Z</x:v>
      </x:c>
      <x:c r="B2173" s="12" t="n">
        <x:v>21860.08518</x:v>
      </x:c>
      <x:c r="C2173" s="13" t="n">
        <x:v>484</x:v>
      </x:c>
      <x:c r="D2173" s="12" t="n">
        <x:v>216885.24000000002</x:v>
      </x:c>
      <x:c r="E2173" s="12" t="n">
        <x:v>0</x:v>
      </x:c>
      <x:c r="F2173" s="12" t="n">
        <x:f>SUM(B2173,D2173:E2173)</x:f>
        <x:v>238745.32518</x:v>
      </x:c>
      <x:c r="G2173" s="12" t="n">
        <x:f>MAX(G2172,F2173)</x:f>
        <x:v>248490.544664</x:v>
      </x:c>
      <x:c r="H2173" s="14" t="n">
        <x:f>F2173/G2173-1</x:f>
        <x:v>-0.03921766720410669</x:v>
      </x:c>
      <x:c r="I2173" s="14" t="n">
        <x:f>F2173/F2172-1</x:f>
        <x:v>0.005012067007215126</x:v>
      </x:c>
      <x:c r="J2173" s="12" t="n">
        <x:v>0</x:v>
      </x:c>
      <x:c r="K2173" s="12" t="n">
        <x:v>0</x:v>
      </x:c>
      <x:c r="L2173" s="12" t="n">
        <x:v>0</x:v>
      </x:c>
      <x:c r="M2173" s="2" t="str">
        <x:v>持有</x:v>
      </x:c>
    </x:row>
    <x:row r="2174" ht="23" customHeight="1">
      <x:c r="A2174" s="11" t="d">
        <x:v>2023-08-15T00:00:00.000Z</x:v>
      </x:c>
      <x:c r="B2174" s="12" t="n">
        <x:v>21860.08518</x:v>
      </x:c>
      <x:c r="C2174" s="13" t="n">
        <x:v>484</x:v>
      </x:c>
      <x:c r="D2174" s="12" t="n">
        <x:v>214358.75999999998</x:v>
      </x:c>
      <x:c r="E2174" s="12" t="n">
        <x:v>0</x:v>
      </x:c>
      <x:c r="F2174" s="12" t="n">
        <x:f>SUM(B2174,D2174:E2174)</x:f>
        <x:v>236218.84517999997</x:v>
      </x:c>
      <x:c r="G2174" s="12" t="n">
        <x:f>MAX(G2173,F2174)</x:f>
        <x:v>248490.544664</x:v>
      </x:c>
      <x:c r="H2174" s="14" t="n">
        <x:f>F2174/G2174-1</x:f>
        <x:v>-0.049384975595724856</x:v>
      </x:c>
      <x:c r="I2174" s="14" t="n">
        <x:f>F2174/F2173-1</x:f>
        <x:v>-0.010582322389329435</x:v>
      </x:c>
      <x:c r="J2174" s="12" t="n">
        <x:v>0</x:v>
      </x:c>
      <x:c r="K2174" s="12" t="n">
        <x:v>0</x:v>
      </x:c>
      <x:c r="L2174" s="12" t="n">
        <x:v>0</x:v>
      </x:c>
      <x:c r="M2174" s="2" t="str">
        <x:v>持有</x:v>
      </x:c>
    </x:row>
    <x:row r="2175" ht="23" customHeight="1">
      <x:c r="A2175" s="11" t="d">
        <x:v>2023-08-16T00:00:00.000Z</x:v>
      </x:c>
      <x:c r="B2175" s="12" t="n">
        <x:v>21860.08518</x:v>
      </x:c>
      <x:c r="C2175" s="13" t="n">
        <x:v>484</x:v>
      </x:c>
      <x:c r="D2175" s="12" t="n">
        <x:v>212785.75999999998</x:v>
      </x:c>
      <x:c r="E2175" s="12" t="n">
        <x:v>0</x:v>
      </x:c>
      <x:c r="F2175" s="12" t="n">
        <x:f>SUM(B2175,D2175:E2175)</x:f>
        <x:v>234645.84517999997</x:v>
      </x:c>
      <x:c r="G2175" s="12" t="n">
        <x:f>MAX(G2174,F2175)</x:f>
        <x:v>248490.544664</x:v>
      </x:c>
      <x:c r="H2175" s="14" t="n">
        <x:f>F2175/G2175-1</x:f>
        <x:v>-0.055715196337632555</x:v>
      </x:c>
      <x:c r="I2175" s="14" t="n">
        <x:f>F2175/F2174-1</x:f>
        <x:v>-0.006659079205985297</x:v>
      </x:c>
      <x:c r="J2175" s="12" t="n">
        <x:v>0</x:v>
      </x:c>
      <x:c r="K2175" s="12" t="n">
        <x:v>0</x:v>
      </x:c>
      <x:c r="L2175" s="12" t="n">
        <x:v>0</x:v>
      </x:c>
      <x:c r="M2175" s="2" t="str">
        <x:v>持有</x:v>
      </x:c>
    </x:row>
    <x:row r="2176" ht="23" customHeight="1">
      <x:c r="A2176" s="11" t="d">
        <x:v>2023-08-17T00:00:00.000Z</x:v>
      </x:c>
      <x:c r="B2176" s="12" t="n">
        <x:v>21860.08518</x:v>
      </x:c>
      <x:c r="C2176" s="13" t="n">
        <x:v>484</x:v>
      </x:c>
      <x:c r="D2176" s="12" t="n">
        <x:v>211164.36000000002</x:v>
      </x:c>
      <x:c r="E2176" s="12" t="n">
        <x:v>0</x:v>
      </x:c>
      <x:c r="F2176" s="12" t="n">
        <x:f>SUM(B2176,D2176:E2176)</x:f>
        <x:v>233024.44518</x:v>
      </x:c>
      <x:c r="G2176" s="12" t="n">
        <x:f>MAX(G2175,F2176)</x:f>
        <x:v>248490.544664</x:v>
      </x:c>
      <x:c r="H2176" s="14" t="n">
        <x:f>F2176/G2176-1</x:f>
        <x:v>-0.06224019310236806</x:v>
      </x:c>
      <x:c r="I2176" s="14" t="n">
        <x:f>F2176/F2175-1</x:f>
        <x:v>-0.006909988108914411</x:v>
      </x:c>
      <x:c r="J2176" s="12" t="n">
        <x:v>0</x:v>
      </x:c>
      <x:c r="K2176" s="12" t="n">
        <x:v>0</x:v>
      </x:c>
      <x:c r="L2176" s="12" t="n">
        <x:v>0</x:v>
      </x:c>
      <x:c r="M2176" s="2" t="str">
        <x:v>持有</x:v>
      </x:c>
    </x:row>
    <x:row r="2177" ht="23" customHeight="1">
      <x:c r="A2177" s="11" t="d">
        <x:v>2023-08-18T00:00:00.000Z</x:v>
      </x:c>
      <x:c r="B2177" s="12" t="n">
        <x:v>21860.08518</x:v>
      </x:c>
      <x:c r="C2177" s="13" t="n">
        <x:v>484</x:v>
      </x:c>
      <x:c r="D2177" s="12" t="n">
        <x:v>211266</x:v>
      </x:c>
      <x:c r="E2177" s="12" t="n">
        <x:v>0</x:v>
      </x:c>
      <x:c r="F2177" s="12" t="n">
        <x:f>SUM(B2177,D2177:E2177)</x:f>
        <x:v>233126.08518</x:v>
      </x:c>
      <x:c r="G2177" s="12" t="n">
        <x:f>MAX(G2176,F2177)</x:f>
        <x:v>248490.544664</x:v>
      </x:c>
      <x:c r="H2177" s="14" t="n">
        <x:f>F2177/G2177-1</x:f>
        <x:v>-0.061831163454429516</x:v>
      </x:c>
      <x:c r="I2177" s="14" t="n">
        <x:f>F2177/F2176-1</x:f>
        <x:v>0.00043617741444035296</x:v>
      </x:c>
      <x:c r="J2177" s="12" t="n">
        <x:v>0</x:v>
      </x:c>
      <x:c r="K2177" s="12" t="n">
        <x:v>0</x:v>
      </x:c>
      <x:c r="L2177" s="12" t="n">
        <x:v>0</x:v>
      </x:c>
      <x:c r="M2177" s="2" t="str">
        <x:v>持有</x:v>
      </x:c>
    </x:row>
    <x:row r="2178" ht="23" customHeight="1">
      <x:c r="A2178" s="11" t="d">
        <x:v>2023-08-21T00:00:00.000Z</x:v>
      </x:c>
      <x:c r="B2178" s="12" t="n">
        <x:v>21860.08518</x:v>
      </x:c>
      <x:c r="C2178" s="13" t="n">
        <x:v>484</x:v>
      </x:c>
      <x:c r="D2178" s="12" t="n">
        <x:v>212640.56</x:v>
      </x:c>
      <x:c r="E2178" s="12" t="n">
        <x:v>0</x:v>
      </x:c>
      <x:c r="F2178" s="12" t="n">
        <x:f>SUM(B2178,D2178:E2178)</x:f>
        <x:v>234500.64518</x:v>
      </x:c>
      <x:c r="G2178" s="12" t="n">
        <x:f>MAX(G2177,F2178)</x:f>
        <x:v>248490.544664</x:v>
      </x:c>
      <x:c r="H2178" s="14" t="n">
        <x:f>F2178/G2178-1</x:f>
        <x:v>-0.0562995244061163</x:v>
      </x:c>
      <x:c r="I2178" s="14" t="n">
        <x:f>F2178/F2177-1</x:f>
        <x:v>0.005896208478509246</x:v>
      </x:c>
      <x:c r="J2178" s="12" t="n">
        <x:v>0</x:v>
      </x:c>
      <x:c r="K2178" s="12" t="n">
        <x:v>0</x:v>
      </x:c>
      <x:c r="L2178" s="12" t="n">
        <x:v>0</x:v>
      </x:c>
      <x:c r="M2178" s="2" t="str">
        <x:v>持有</x:v>
      </x:c>
    </x:row>
    <x:row r="2179" ht="23" customHeight="1">
      <x:c r="A2179" s="11" t="d">
        <x:v>2023-08-22T00:00:00.000Z</x:v>
      </x:c>
      <x:c r="B2179" s="12" t="n">
        <x:v>21860.08518</x:v>
      </x:c>
      <x:c r="C2179" s="13" t="n">
        <x:v>484</x:v>
      </x:c>
      <x:c r="D2179" s="12" t="n">
        <x:v>212064.59999999998</x:v>
      </x:c>
      <x:c r="E2179" s="12" t="n">
        <x:v>0</x:v>
      </x:c>
      <x:c r="F2179" s="12" t="n">
        <x:f>SUM(B2179,D2179:E2179)</x:f>
        <x:v>233924.68517999997</x:v>
      </x:c>
      <x:c r="G2179" s="12" t="n">
        <x:f>MAX(G2178,F2179)</x:f>
        <x:v>248490.544664</x:v>
      </x:c>
      <x:c r="H2179" s="14" t="n">
        <x:f>F2179/G2179-1</x:f>
        <x:v>-0.05861735907776877</x:v>
      </x:c>
      <x:c r="I2179" s="14" t="n">
        <x:f>F2179/F2178-1</x:f>
        <x:v>-0.0024561126454808457</x:v>
      </x:c>
      <x:c r="J2179" s="12" t="n">
        <x:v>0</x:v>
      </x:c>
      <x:c r="K2179" s="12" t="n">
        <x:v>0</x:v>
      </x:c>
      <x:c r="L2179" s="12" t="n">
        <x:v>0</x:v>
      </x:c>
      <x:c r="M2179" s="2" t="str">
        <x:v>持有</x:v>
      </x:c>
    </x:row>
    <x:row r="2180" ht="23" customHeight="1">
      <x:c r="A2180" s="11" t="d">
        <x:v>2023-08-23T00:00:00.000Z</x:v>
      </x:c>
      <x:c r="B2180" s="12" t="n">
        <x:v>21860.08518</x:v>
      </x:c>
      <x:c r="C2180" s="13" t="n">
        <x:v>484</x:v>
      </x:c>
      <x:c r="D2180" s="12" t="n">
        <x:v>214426.52</x:v>
      </x:c>
      <x:c r="E2180" s="12" t="n">
        <x:v>0</x:v>
      </x:c>
      <x:c r="F2180" s="12" t="n">
        <x:f>SUM(B2180,D2180:E2180)</x:f>
        <x:v>236286.60517999998</x:v>
      </x:c>
      <x:c r="G2180" s="12" t="n">
        <x:f>MAX(G2179,F2180)</x:f>
        <x:v>248490.544664</x:v>
      </x:c>
      <x:c r="H2180" s="14" t="n">
        <x:f>F2180/G2180-1</x:f>
        <x:v>-0.04911228916376564</x:v>
      </x:c>
      <x:c r="I2180" s="14" t="n">
        <x:f>F2180/F2179-1</x:f>
        <x:v>0.010096924991830347</x:v>
      </x:c>
      <x:c r="J2180" s="12" t="n">
        <x:v>0</x:v>
      </x:c>
      <x:c r="K2180" s="12" t="n">
        <x:v>0</x:v>
      </x:c>
      <x:c r="L2180" s="12" t="n">
        <x:v>0</x:v>
      </x:c>
      <x:c r="M2180" s="2" t="str">
        <x:v>持有</x:v>
      </x:c>
    </x:row>
    <x:row r="2181" ht="23" customHeight="1">
      <x:c r="A2181" s="11" t="d">
        <x:v>2023-08-24T00:00:00.000Z</x:v>
      </x:c>
      <x:c r="B2181" s="12" t="n">
        <x:v>21860.08518</x:v>
      </x:c>
      <x:c r="C2181" s="13" t="n">
        <x:v>484</x:v>
      </x:c>
      <x:c r="D2181" s="12" t="n">
        <x:v>211454.75999999998</x:v>
      </x:c>
      <x:c r="E2181" s="12" t="n">
        <x:v>0</x:v>
      </x:c>
      <x:c r="F2181" s="12" t="n">
        <x:f>SUM(B2181,D2181:E2181)</x:f>
        <x:v>233314.84517999997</x:v>
      </x:c>
      <x:c r="G2181" s="12" t="n">
        <x:f>MAX(G2180,F2181)</x:f>
        <x:v>248490.544664</x:v>
      </x:c>
      <x:c r="H2181" s="14" t="n">
        <x:f>F2181/G2181-1</x:f>
        <x:v>-0.061071536965400686</x:v>
      </x:c>
      <x:c r="I2181" s="14" t="n">
        <x:f>F2181/F2180-1</x:f>
        <x:v>-0.01257692960519774</x:v>
      </x:c>
      <x:c r="J2181" s="12" t="n">
        <x:v>0</x:v>
      </x:c>
      <x:c r="K2181" s="12" t="n">
        <x:v>0</x:v>
      </x:c>
      <x:c r="L2181" s="12" t="n">
        <x:v>0</x:v>
      </x:c>
      <x:c r="M2181" s="2" t="str">
        <x:v>持有</x:v>
      </x:c>
    </x:row>
    <x:row r="2182" ht="23" customHeight="1">
      <x:c r="A2182" s="11" t="d">
        <x:v>2023-08-25T00:00:00.000Z</x:v>
      </x:c>
      <x:c r="B2182" s="12" t="n">
        <x:v>21860.08518</x:v>
      </x:c>
      <x:c r="C2182" s="13" t="n">
        <x:v>484</x:v>
      </x:c>
      <x:c r="D2182" s="12" t="n">
        <x:v>212945.48</x:v>
      </x:c>
      <x:c r="E2182" s="12" t="n">
        <x:v>0</x:v>
      </x:c>
      <x:c r="F2182" s="12" t="n">
        <x:f>SUM(B2182,D2182:E2182)</x:f>
        <x:v>234805.56518</x:v>
      </x:c>
      <x:c r="G2182" s="12" t="n">
        <x:f>MAX(G2181,F2182)</x:f>
        <x:v>248490.544664</x:v>
      </x:c>
      <x:c r="H2182" s="14" t="n">
        <x:f>F2182/G2182-1</x:f>
        <x:v>-0.05507243546230023</x:v>
      </x:c>
      <x:c r="I2182" s="14" t="n">
        <x:f>F2182/F2181-1</x:f>
        <x:v>0.006389306256316285</x:v>
      </x:c>
      <x:c r="J2182" s="12" t="n">
        <x:v>0</x:v>
      </x:c>
      <x:c r="K2182" s="12" t="n">
        <x:v>0</x:v>
      </x:c>
      <x:c r="L2182" s="12" t="n">
        <x:v>0</x:v>
      </x:c>
      <x:c r="M2182" s="2" t="str">
        <x:v>持有</x:v>
      </x:c>
    </x:row>
    <x:row r="2183" ht="23" customHeight="1">
      <x:c r="A2183" s="11" t="d">
        <x:v>2023-08-28T00:00:00.000Z</x:v>
      </x:c>
      <x:c r="B2183" s="12" t="n">
        <x:v>21860.08518</x:v>
      </x:c>
      <x:c r="C2183" s="13" t="n">
        <x:v>484</x:v>
      </x:c>
      <x:c r="D2183" s="12" t="n">
        <x:v>214295.84</x:v>
      </x:c>
      <x:c r="E2183" s="12" t="n">
        <x:v>0</x:v>
      </x:c>
      <x:c r="F2183" s="12" t="n">
        <x:f>SUM(B2183,D2183:E2183)</x:f>
        <x:v>236155.92518</x:v>
      </x:c>
      <x:c r="G2183" s="12" t="n">
        <x:f>MAX(G2182,F2183)</x:f>
        <x:v>248490.544664</x:v>
      </x:c>
      <x:c r="H2183" s="14" t="n">
        <x:f>F2183/G2183-1</x:f>
        <x:v>-0.04963818442540113</x:v>
      </x:c>
      <x:c r="I2183" s="14" t="n">
        <x:f>F2183/F2182-1</x:f>
        <x:v>0.005750971017083106</x:v>
      </x:c>
      <x:c r="J2183" s="12" t="n">
        <x:v>0</x:v>
      </x:c>
      <x:c r="K2183" s="12" t="n">
        <x:v>0</x:v>
      </x:c>
      <x:c r="L2183" s="12" t="n">
        <x:v>0</x:v>
      </x:c>
      <x:c r="M2183" s="2" t="str">
        <x:v>持有</x:v>
      </x:c>
    </x:row>
    <x:row r="2184" ht="23" customHeight="1">
      <x:c r="A2184" s="11" t="d">
        <x:v>2023-08-29T00:00:00.000Z</x:v>
      </x:c>
      <x:c r="B2184" s="12" t="n">
        <x:v>21860.08518</x:v>
      </x:c>
      <x:c r="C2184" s="13" t="n">
        <x:v>484</x:v>
      </x:c>
      <x:c r="D2184" s="12" t="n">
        <x:v>217393.44</x:v>
      </x:c>
      <x:c r="E2184" s="12" t="n">
        <x:v>0</x:v>
      </x:c>
      <x:c r="F2184" s="12" t="n">
        <x:f>SUM(B2184,D2184:E2184)</x:f>
        <x:v>239253.52518</x:v>
      </x:c>
      <x:c r="G2184" s="12" t="n">
        <x:f>MAX(G2183,F2184)</x:f>
        <x:v>248490.544664</x:v>
      </x:c>
      <x:c r="H2184" s="14" t="n">
        <x:f>F2184/G2184-1</x:f>
        <x:v>-0.03717251896441354</x:v>
      </x:c>
      <x:c r="I2184" s="14" t="n">
        <x:f>F2184/F2183-1</x:f>
        <x:v>0.013116757488252695</x:v>
      </x:c>
      <x:c r="J2184" s="12" t="n">
        <x:v>0</x:v>
      </x:c>
      <x:c r="K2184" s="12" t="n">
        <x:v>0</x:v>
      </x:c>
      <x:c r="L2184" s="12" t="n">
        <x:v>0</x:v>
      </x:c>
      <x:c r="M2184" s="2" t="str">
        <x:v>持有</x:v>
      </x:c>
    </x:row>
    <x:row r="2185" ht="23" customHeight="1">
      <x:c r="A2185" s="11" t="d">
        <x:v>2023-08-30T00:00:00.000Z</x:v>
      </x:c>
      <x:c r="B2185" s="12" t="n">
        <x:v>21860.08518</x:v>
      </x:c>
      <x:c r="C2185" s="13" t="n">
        <x:v>484</x:v>
      </x:c>
      <x:c r="D2185" s="12" t="n">
        <x:v>218288.84</x:v>
      </x:c>
      <x:c r="E2185" s="12" t="n">
        <x:v>0</x:v>
      </x:c>
      <x:c r="F2185" s="12" t="n">
        <x:f>SUM(B2185,D2185:E2185)</x:f>
        <x:v>240148.92518</x:v>
      </x:c>
      <x:c r="G2185" s="12" t="n">
        <x:f>MAX(G2184,F2185)</x:f>
        <x:v>248490.544664</x:v>
      </x:c>
      <x:c r="H2185" s="14" t="n">
        <x:f>F2185/G2185-1</x:f>
        <x:v>-0.03356916254209685</x:v>
      </x:c>
      <x:c r="I2185" s="14" t="n">
        <x:f>F2185/F2184-1</x:f>
        <x:v>0.0037424735929234565</x:v>
      </x:c>
      <x:c r="J2185" s="12" t="n">
        <x:v>0</x:v>
      </x:c>
      <x:c r="K2185" s="12" t="n">
        <x:v>0</x:v>
      </x:c>
      <x:c r="L2185" s="12" t="n">
        <x:v>0</x:v>
      </x:c>
      <x:c r="M2185" s="2" t="str">
        <x:v>持有</x:v>
      </x:c>
    </x:row>
    <x:row r="2186" ht="23" customHeight="1">
      <x:c r="A2186" s="11" t="d">
        <x:v>2023-08-31T00:00:00.000Z</x:v>
      </x:c>
      <x:c r="B2186" s="12" t="n">
        <x:v>21860.08518</x:v>
      </x:c>
      <x:c r="C2186" s="13" t="n">
        <x:v>484</x:v>
      </x:c>
      <x:c r="D2186" s="12" t="n">
        <x:v>217969.40000000002</x:v>
      </x:c>
      <x:c r="E2186" s="12" t="n">
        <x:v>0</x:v>
      </x:c>
      <x:c r="F2186" s="12" t="n">
        <x:f>SUM(B2186,D2186:E2186)</x:f>
        <x:v>239829.48518000002</x:v>
      </x:c>
      <x:c r="G2186" s="12" t="n">
        <x:f>MAX(G2185,F2186)</x:f>
        <x:v>248490.544664</x:v>
      </x:c>
      <x:c r="H2186" s="14" t="n">
        <x:f>F2186/G2186-1</x:f>
        <x:v>-0.03485468429276106</x:v>
      </x:c>
      <x:c r="I2186" s="14" t="n">
        <x:f>F2186/F2185-1</x:f>
        <x:v>-0.0013301745979522606</x:v>
      </x:c>
      <x:c r="J2186" s="12" t="n">
        <x:v>0</x:v>
      </x:c>
      <x:c r="K2186" s="12" t="n">
        <x:v>0</x:v>
      </x:c>
      <x:c r="L2186" s="12" t="n">
        <x:v>0</x:v>
      </x:c>
      <x:c r="M2186" s="2" t="str">
        <x:v>持有</x:v>
      </x:c>
    </x:row>
    <x:row r="2187" ht="23" customHeight="1">
      <x:c r="A2187" s="11" t="d">
        <x:v>2023-09-01T00:00:00.000Z</x:v>
      </x:c>
      <x:c r="B2187" s="12" t="n">
        <x:v>21860.08518</x:v>
      </x:c>
      <x:c r="C2187" s="13" t="n">
        <x:v>484</x:v>
      </x:c>
      <x:c r="D2187" s="12" t="n">
        <x:v>218375.96</x:v>
      </x:c>
      <x:c r="E2187" s="12" t="n">
        <x:v>0</x:v>
      </x:c>
      <x:c r="F2187" s="12" t="n">
        <x:f>SUM(B2187,D2187:E2187)</x:f>
        <x:v>240236.04518</x:v>
      </x:c>
      <x:c r="G2187" s="12" t="n">
        <x:f>MAX(G2186,F2187)</x:f>
        <x:v>248490.544664</x:v>
      </x:c>
      <x:c r="H2187" s="14" t="n">
        <x:f>F2187/G2187-1</x:f>
        <x:v>-0.033218565701006564</x:v>
      </x:c>
      <x:c r="I2187" s="14" t="n">
        <x:f>F2187/F2186-1</x:f>
        <x:v>0.0016952044061422367</x:v>
      </x:c>
      <x:c r="J2187" s="12" t="n">
        <x:v>0</x:v>
      </x:c>
      <x:c r="K2187" s="12" t="n">
        <x:v>0</x:v>
      </x:c>
      <x:c r="L2187" s="12" t="n">
        <x:v>0</x:v>
      </x:c>
      <x:c r="M2187" s="2" t="str">
        <x:v>持有</x:v>
      </x:c>
    </x:row>
    <x:row r="2188" ht="23" customHeight="1">
      <x:c r="A2188" s="11" t="d">
        <x:v>2023-09-05T00:00:00.000Z</x:v>
      </x:c>
      <x:c r="B2188" s="12" t="n">
        <x:v>21860.08518</x:v>
      </x:c>
      <x:c r="C2188" s="13" t="n">
        <x:v>484</x:v>
      </x:c>
      <x:c r="D2188" s="12" t="n">
        <x:v>217432.16</x:v>
      </x:c>
      <x:c r="E2188" s="12" t="n">
        <x:v>0</x:v>
      </x:c>
      <x:c r="F2188" s="12" t="n">
        <x:f>SUM(B2188,D2188:E2188)</x:f>
        <x:v>239292.24518</x:v>
      </x:c>
      <x:c r="G2188" s="12" t="n">
        <x:f>MAX(G2187,F2188)</x:f>
        <x:v>248490.544664</x:v>
      </x:c>
      <x:c r="H2188" s="14" t="n">
        <x:f>F2188/G2188-1</x:f>
        <x:v>-0.03701669814615116</x:v>
      </x:c>
      <x:c r="I2188" s="14" t="n">
        <x:f>F2188/F2187-1</x:f>
        <x:v>-0.003928636101600991</x:v>
      </x:c>
      <x:c r="J2188" s="12" t="n">
        <x:v>0</x:v>
      </x:c>
      <x:c r="K2188" s="12" t="n">
        <x:v>0</x:v>
      </x:c>
      <x:c r="L2188" s="12" t="n">
        <x:v>0</x:v>
      </x:c>
      <x:c r="M2188" s="2" t="str">
        <x:v>持有</x:v>
      </x:c>
    </x:row>
    <x:row r="2189" ht="23" customHeight="1">
      <x:c r="A2189" s="11" t="d">
        <x:v>2023-09-06T00:00:00.000Z</x:v>
      </x:c>
      <x:c r="B2189" s="12" t="n">
        <x:v>21860.08518</x:v>
      </x:c>
      <x:c r="C2189" s="13" t="n">
        <x:v>484</x:v>
      </x:c>
      <x:c r="D2189" s="12" t="n">
        <x:v>215970.48</x:v>
      </x:c>
      <x:c r="E2189" s="12" t="n">
        <x:v>0</x:v>
      </x:c>
      <x:c r="F2189" s="12" t="n">
        <x:f>SUM(B2189,D2189:E2189)</x:f>
        <x:v>237830.56518</x:v>
      </x:c>
      <x:c r="G2189" s="12" t="n">
        <x:f>MAX(G2188,F2189)</x:f>
        <x:v>248490.544664</x:v>
      </x:c>
      <x:c r="H2189" s="14" t="n">
        <x:f>F2189/G2189-1</x:f>
        <x:v>-0.04289893403555467</x:v>
      </x:c>
      <x:c r="I2189" s="14" t="n">
        <x:f>F2189/F2188-1</x:f>
        <x:v>-0.006108346715960167</x:v>
      </x:c>
      <x:c r="J2189" s="12" t="n">
        <x:v>0</x:v>
      </x:c>
      <x:c r="K2189" s="12" t="n">
        <x:v>0</x:v>
      </x:c>
      <x:c r="L2189" s="12" t="n">
        <x:v>0</x:v>
      </x:c>
      <x:c r="M2189" s="2" t="str">
        <x:v>持有</x:v>
      </x:c>
    </x:row>
    <x:row r="2190" ht="23" customHeight="1">
      <x:c r="A2190" s="11" t="d">
        <x:v>2023-09-07T00:00:00.000Z</x:v>
      </x:c>
      <x:c r="B2190" s="12" t="n">
        <x:v>21860.08518</x:v>
      </x:c>
      <x:c r="C2190" s="13" t="n">
        <x:v>484</x:v>
      </x:c>
      <x:c r="D2190" s="12" t="n">
        <x:v>215307.40000000002</x:v>
      </x:c>
      <x:c r="E2190" s="12" t="n">
        <x:v>0</x:v>
      </x:c>
      <x:c r="F2190" s="12" t="n">
        <x:f>SUM(B2190,D2190:E2190)</x:f>
        <x:v>237167.48518000002</x:v>
      </x:c>
      <x:c r="G2190" s="12" t="n">
        <x:f>MAX(G2189,F2190)</x:f>
        <x:v>248490.544664</x:v>
      </x:c>
      <x:c r="H2190" s="14" t="n">
        <x:f>F2190/G2190-1</x:f>
        <x:v>-0.04556736554829721</x:v>
      </x:c>
      <x:c r="I2190" s="14" t="n">
        <x:f>F2190/F2189-1</x:f>
        <x:v>-0.002788035253156518</x:v>
      </x:c>
      <x:c r="J2190" s="12" t="n">
        <x:v>0</x:v>
      </x:c>
      <x:c r="K2190" s="12" t="n">
        <x:v>0</x:v>
      </x:c>
      <x:c r="L2190" s="12" t="n">
        <x:v>0</x:v>
      </x:c>
      <x:c r="M2190" s="2" t="str">
        <x:v>持有</x:v>
      </x:c>
    </x:row>
    <x:row r="2191" ht="23" customHeight="1">
      <x:c r="A2191" s="11" t="d">
        <x:v>2023-09-08T00:00:00.000Z</x:v>
      </x:c>
      <x:c r="B2191" s="12" t="n">
        <x:v>21860.08518</x:v>
      </x:c>
      <x:c r="C2191" s="13" t="n">
        <x:v>484</x:v>
      </x:c>
      <x:c r="D2191" s="12" t="n">
        <x:v>215631.68</x:v>
      </x:c>
      <x:c r="E2191" s="12" t="n">
        <x:v>0</x:v>
      </x:c>
      <x:c r="F2191" s="12" t="n">
        <x:f>SUM(B2191,D2191:E2191)</x:f>
        <x:v>237491.76518</x:v>
      </x:c>
      <x:c r="G2191" s="12" t="n">
        <x:f>MAX(G2190,F2191)</x:f>
        <x:v>248490.544664</x:v>
      </x:c>
      <x:c r="H2191" s="14" t="n">
        <x:f>F2191/G2191-1</x:f>
        <x:v>-0.04426236619535018</x:v>
      </x:c>
      <x:c r="I2191" s="14" t="n">
        <x:f>F2191/F2190-1</x:f>
        <x:v>0.001367303784301832</x:v>
      </x:c>
      <x:c r="J2191" s="12" t="n">
        <x:v>0</x:v>
      </x:c>
      <x:c r="K2191" s="12" t="n">
        <x:v>0</x:v>
      </x:c>
      <x:c r="L2191" s="12" t="n">
        <x:v>0</x:v>
      </x:c>
      <x:c r="M2191" s="2" t="str">
        <x:v>持有</x:v>
      </x:c>
    </x:row>
    <x:row r="2192" ht="23" customHeight="1">
      <x:c r="A2192" s="11" t="d">
        <x:v>2023-09-11T00:00:00.000Z</x:v>
      </x:c>
      <x:c r="B2192" s="12" t="n">
        <x:v>21860.08518</x:v>
      </x:c>
      <x:c r="C2192" s="13" t="n">
        <x:v>484</x:v>
      </x:c>
      <x:c r="D2192" s="12" t="n">
        <x:v>217049.8</x:v>
      </x:c>
      <x:c r="E2192" s="12" t="n">
        <x:v>0</x:v>
      </x:c>
      <x:c r="F2192" s="12" t="n">
        <x:f>SUM(B2192,D2192:E2192)</x:f>
        <x:v>238909.88517999998</x:v>
      </x:c>
      <x:c r="G2192" s="12" t="n">
        <x:f>MAX(G2191,F2192)</x:f>
        <x:v>248490.544664</x:v>
      </x:c>
      <x:c r="H2192" s="14" t="n">
        <x:f>F2192/G2192-1</x:f>
        <x:v>-0.03855542872649187</x:v>
      </x:c>
      <x:c r="I2192" s="14" t="n">
        <x:f>F2192/F2191-1</x:f>
        <x:v>0.005971238619264074</x:v>
      </x:c>
      <x:c r="J2192" s="12" t="n">
        <x:v>0</x:v>
      </x:c>
      <x:c r="K2192" s="12" t="n">
        <x:v>0</x:v>
      </x:c>
      <x:c r="L2192" s="12" t="n">
        <x:v>0</x:v>
      </x:c>
      <x:c r="M2192" s="2" t="str">
        <x:v>持有</x:v>
      </x:c>
    </x:row>
    <x:row r="2193" ht="23" customHeight="1">
      <x:c r="A2193" s="11" t="d">
        <x:v>2023-09-12T00:00:00.000Z</x:v>
      </x:c>
      <x:c r="B2193" s="12" t="n">
        <x:v>21860.08518</x:v>
      </x:c>
      <x:c r="C2193" s="13" t="n">
        <x:v>484</x:v>
      </x:c>
      <x:c r="D2193" s="12" t="n">
        <x:v>215859.16</x:v>
      </x:c>
      <x:c r="E2193" s="12" t="n">
        <x:v>0</x:v>
      </x:c>
      <x:c r="F2193" s="12" t="n">
        <x:f>SUM(B2193,D2193:E2193)</x:f>
        <x:v>237719.24518</x:v>
      </x:c>
      <x:c r="G2193" s="12" t="n">
        <x:f>MAX(G2192,F2193)</x:f>
        <x:v>248490.544664</x:v>
      </x:c>
      <x:c r="H2193" s="14" t="n">
        <x:f>F2193/G2193-1</x:f>
        <x:v>-0.04334691888805886</x:v>
      </x:c>
      <x:c r="I2193" s="14" t="n">
        <x:f>F2193/F2192-1</x:f>
        <x:v>-0.004983636399569336</x:v>
      </x:c>
      <x:c r="J2193" s="12" t="n">
        <x:v>0</x:v>
      </x:c>
      <x:c r="K2193" s="12" t="n">
        <x:v>0</x:v>
      </x:c>
      <x:c r="L2193" s="12" t="n">
        <x:v>0</x:v>
      </x:c>
      <x:c r="M2193" s="2" t="str">
        <x:v>持有</x:v>
      </x:c>
    </x:row>
    <x:row r="2194" ht="23" customHeight="1">
      <x:c r="A2194" s="11" t="d">
        <x:v>2023-09-13T00:00:00.000Z</x:v>
      </x:c>
      <x:c r="B2194" s="12" t="n">
        <x:v>21860.08518</x:v>
      </x:c>
      <x:c r="C2194" s="13" t="n">
        <x:v>484</x:v>
      </x:c>
      <x:c r="D2194" s="12" t="n">
        <x:v>216110.84</x:v>
      </x:c>
      <x:c r="E2194" s="12" t="n">
        <x:v>0</x:v>
      </x:c>
      <x:c r="F2194" s="12" t="n">
        <x:f>SUM(B2194,D2194:E2194)</x:f>
        <x:v>237970.92518</x:v>
      </x:c>
      <x:c r="G2194" s="12" t="n">
        <x:f>MAX(G2193,F2194)</x:f>
        <x:v>248490.544664</x:v>
      </x:c>
      <x:c r="H2194" s="14" t="n">
        <x:f>F2194/G2194-1</x:f>
        <x:v>-0.04233408356935375</x:v>
      </x:c>
      <x:c r="I2194" s="14" t="n">
        <x:f>F2194/F2193-1</x:f>
        <x:v>0.0010587279116145432</x:v>
      </x:c>
      <x:c r="J2194" s="12" t="n">
        <x:v>0</x:v>
      </x:c>
      <x:c r="K2194" s="12" t="n">
        <x:v>0</x:v>
      </x:c>
      <x:c r="L2194" s="12" t="n">
        <x:v>0</x:v>
      </x:c>
      <x:c r="M2194" s="2" t="str">
        <x:v>持有</x:v>
      </x:c>
    </x:row>
    <x:row r="2195" ht="23" customHeight="1">
      <x:c r="A2195" s="11" t="d">
        <x:v>2023-09-14T00:00:00.000Z</x:v>
      </x:c>
      <x:c r="B2195" s="12" t="n">
        <x:v>21860.08518</x:v>
      </x:c>
      <x:c r="C2195" s="13" t="n">
        <x:v>484</x:v>
      </x:c>
      <x:c r="D2195" s="12" t="n">
        <x:v>217974.24000000002</x:v>
      </x:c>
      <x:c r="E2195" s="12" t="n">
        <x:v>0</x:v>
      </x:c>
      <x:c r="F2195" s="12" t="n">
        <x:f>SUM(B2195,D2195:E2195)</x:f>
        <x:v>239834.32518</x:v>
      </x:c>
      <x:c r="G2195" s="12" t="n">
        <x:f>MAX(G2194,F2195)</x:f>
        <x:v>248490.544664</x:v>
      </x:c>
      <x:c r="H2195" s="14" t="n">
        <x:f>F2195/G2195-1</x:f>
        <x:v>-0.03483520669047835</x:v>
      </x:c>
      <x:c r="I2195" s="14" t="n">
        <x:f>F2195/F2194-1</x:f>
        <x:v>0.007830368346849692</x:v>
      </x:c>
      <x:c r="J2195" s="12" t="n">
        <x:v>0</x:v>
      </x:c>
      <x:c r="K2195" s="12" t="n">
        <x:v>0</x:v>
      </x:c>
      <x:c r="L2195" s="12" t="n">
        <x:v>0</x:v>
      </x:c>
      <x:c r="M2195" s="2" t="str">
        <x:v>持有</x:v>
      </x:c>
    </x:row>
    <x:row r="2196" ht="23" customHeight="1">
      <x:c r="A2196" s="11" t="d">
        <x:v>2023-09-15T00:00:00.000Z</x:v>
      </x:c>
      <x:c r="B2196" s="12" t="n">
        <x:v>21860.08518</x:v>
      </x:c>
      <x:c r="C2196" s="13" t="n">
        <x:v>484</x:v>
      </x:c>
      <x:c r="D2196" s="12" t="n">
        <x:v>214591.08000000002</x:v>
      </x:c>
      <x:c r="E2196" s="12" t="n">
        <x:v>766.253796</x:v>
      </x:c>
      <x:c r="F2196" s="12" t="n">
        <x:f>SUM(B2196,D2196:E2196)</x:f>
        <x:v>237217.41897600002</x:v>
      </x:c>
      <x:c r="G2196" s="12" t="n">
        <x:f>MAX(G2195,F2196)</x:f>
        <x:v>248490.544664</x:v>
      </x:c>
      <x:c r="H2196" s="14" t="n">
        <x:f>F2196/G2196-1</x:f>
        <x:v>-0.04536641707330591</x:v>
      </x:c>
      <x:c r="I2196" s="14" t="n">
        <x:f>F2196/F2195-1</x:f>
        <x:v>-0.010911308054157631</x:v>
      </x:c>
      <x:c r="J2196" s="12" t="n">
        <x:v>766.253796</x:v>
      </x:c>
      <x:c r="K2196" s="12" t="n">
        <x:v>0</x:v>
      </x:c>
      <x:c r="L2196" s="12" t="n">
        <x:v>0</x:v>
      </x:c>
      <x:c r="M2196" s="2" t="str">
        <x:v>持有</x:v>
      </x:c>
    </x:row>
    <x:row r="2197" ht="23" customHeight="1">
      <x:c r="A2197" s="11" t="d">
        <x:v>2023-09-18T00:00:00.000Z</x:v>
      </x:c>
      <x:c r="B2197" s="12" t="n">
        <x:v>21860.08518</x:v>
      </x:c>
      <x:c r="C2197" s="13" t="n">
        <x:v>484</x:v>
      </x:c>
      <x:c r="D2197" s="12" t="n">
        <x:v>214716.91999999998</x:v>
      </x:c>
      <x:c r="E2197" s="12" t="n">
        <x:v>766.253796</x:v>
      </x:c>
      <x:c r="F2197" s="12" t="n">
        <x:f>SUM(B2197,D2197:E2197)</x:f>
        <x:v>237343.25897599998</x:v>
      </x:c>
      <x:c r="G2197" s="12" t="n">
        <x:f>MAX(G2196,F2197)</x:f>
        <x:v>248490.544664</x:v>
      </x:c>
      <x:c r="H2197" s="14" t="n">
        <x:f>F2197/G2197-1</x:f>
        <x:v>-0.044859999413953466</x:v>
      </x:c>
      <x:c r="I2197" s="14" t="n">
        <x:f>F2197/F2196-1</x:f>
        <x:v>0.0005304838090860464</x:v>
      </x:c>
      <x:c r="J2197" s="12" t="n">
        <x:v>0</x:v>
      </x:c>
      <x:c r="K2197" s="12" t="n">
        <x:v>0</x:v>
      </x:c>
      <x:c r="L2197" s="12" t="n">
        <x:v>0</x:v>
      </x:c>
      <x:c r="M2197" s="2" t="str">
        <x:v>持有</x:v>
      </x:c>
    </x:row>
    <x:row r="2198" ht="23" customHeight="1">
      <x:c r="A2198" s="11" t="d">
        <x:v>2023-09-19T00:00:00.000Z</x:v>
      </x:c>
      <x:c r="B2198" s="12" t="n">
        <x:v>21860.08518</x:v>
      </x:c>
      <x:c r="C2198" s="13" t="n">
        <x:v>484</x:v>
      </x:c>
      <x:c r="D2198" s="12" t="n">
        <x:v>214271.63999999998</x:v>
      </x:c>
      <x:c r="E2198" s="12" t="n">
        <x:v>766.253796</x:v>
      </x:c>
      <x:c r="F2198" s="12" t="n">
        <x:f>SUM(B2198,D2198:E2198)</x:f>
        <x:v>236897.97897599998</x:v>
      </x:c>
      <x:c r="G2198" s="12" t="n">
        <x:f>MAX(G2197,F2198)</x:f>
        <x:v>248490.544664</x:v>
      </x:c>
      <x:c r="H2198" s="14" t="n">
        <x:f>F2198/G2198-1</x:f>
        <x:v>-0.04665193882397034</x:v>
      </x:c>
      <x:c r="I2198" s="14" t="n">
        <x:f>F2198/F2197-1</x:f>
        <x:v>-0.0018761013138570704</x:v>
      </x:c>
      <x:c r="J2198" s="12" t="n">
        <x:v>0</x:v>
      </x:c>
      <x:c r="K2198" s="12" t="n">
        <x:v>0</x:v>
      </x:c>
      <x:c r="L2198" s="12" t="n">
        <x:v>0</x:v>
      </x:c>
      <x:c r="M2198" s="2" t="str">
        <x:v>持有</x:v>
      </x:c>
    </x:row>
    <x:row r="2199" ht="23" customHeight="1">
      <x:c r="A2199" s="11" t="d">
        <x:v>2023-09-20T00:00:00.000Z</x:v>
      </x:c>
      <x:c r="B2199" s="12" t="n">
        <x:v>21860.08518</x:v>
      </x:c>
      <x:c r="C2199" s="13" t="n">
        <x:v>484</x:v>
      </x:c>
      <x:c r="D2199" s="12" t="n">
        <x:v>212301.75999999998</x:v>
      </x:c>
      <x:c r="E2199" s="12" t="n">
        <x:v>766.253796</x:v>
      </x:c>
      <x:c r="F2199" s="12" t="n">
        <x:f>SUM(B2199,D2199:E2199)</x:f>
        <x:v>234928.09897599998</x:v>
      </x:c>
      <x:c r="G2199" s="12" t="n">
        <x:f>MAX(G2198,F2199)</x:f>
        <x:v>248490.544664</x:v>
      </x:c>
      <x:c r="H2199" s="14" t="n">
        <x:f>F2199/G2199-1</x:f>
        <x:v>-0.05457932295306711</x:v>
      </x:c>
      <x:c r="I2199" s="14" t="n">
        <x:f>F2199/F2198-1</x:f>
        <x:v>-0.00831530943621761</x:v>
      </x:c>
      <x:c r="J2199" s="12" t="n">
        <x:v>0</x:v>
      </x:c>
      <x:c r="K2199" s="12" t="n">
        <x:v>0</x:v>
      </x:c>
      <x:c r="L2199" s="12" t="n">
        <x:v>0</x:v>
      </x:c>
      <x:c r="M2199" s="2" t="str">
        <x:v>持有</x:v>
      </x:c>
    </x:row>
    <x:row r="2200" ht="23" customHeight="1">
      <x:c r="A2200" s="11" t="d">
        <x:v>2023-09-21T00:00:00.000Z</x:v>
      </x:c>
      <x:c r="B2200" s="12" t="n">
        <x:v>21860.08518</x:v>
      </x:c>
      <x:c r="C2200" s="13" t="n">
        <x:v>484</x:v>
      </x:c>
      <x:c r="D2200" s="12" t="n">
        <x:v>208792.75999999998</x:v>
      </x:c>
      <x:c r="E2200" s="12" t="n">
        <x:v>766.253796</x:v>
      </x:c>
      <x:c r="F2200" s="12" t="n">
        <x:f>SUM(B2200,D2200:E2200)</x:f>
        <x:v>231419.09897599998</x:v>
      </x:c>
      <x:c r="G2200" s="12" t="n">
        <x:f>MAX(G2199,F2200)</x:f>
        <x:v>248490.544664</x:v>
      </x:c>
      <x:c r="H2200" s="14" t="n">
        <x:f>F2200/G2200-1</x:f>
        <x:v>-0.06870058460809203</x:v>
      </x:c>
      <x:c r="I2200" s="14" t="n">
        <x:f>F2200/F2199-1</x:f>
        <x:v>-0.014936484887482449</x:v>
      </x:c>
      <x:c r="J2200" s="12" t="n">
        <x:v>0</x:v>
      </x:c>
      <x:c r="K2200" s="12" t="n">
        <x:v>0</x:v>
      </x:c>
      <x:c r="L2200" s="12" t="n">
        <x:v>0</x:v>
      </x:c>
      <x:c r="M2200" s="2" t="str">
        <x:v>持有</x:v>
      </x:c>
    </x:row>
    <x:row r="2201" ht="23" customHeight="1">
      <x:c r="A2201" s="11" t="d">
        <x:v>2023-09-22T00:00:00.000Z</x:v>
      </x:c>
      <x:c r="B2201" s="12" t="n">
        <x:v>21860.08518</x:v>
      </x:c>
      <x:c r="C2201" s="13" t="n">
        <x:v>484</x:v>
      </x:c>
      <x:c r="D2201" s="12" t="n">
        <x:v>208323.28</x:v>
      </x:c>
      <x:c r="E2201" s="12" t="n">
        <x:v>766.253796</x:v>
      </x:c>
      <x:c r="F2201" s="12" t="n">
        <x:f>SUM(B2201,D2201:E2201)</x:f>
        <x:v>230949.618976</x:v>
      </x:c>
      <x:c r="G2201" s="12" t="n">
        <x:f>MAX(G2200,F2201)</x:f>
        <x:v>248490.544664</x:v>
      </x:c>
      <x:c r="H2201" s="14" t="n">
        <x:f>F2201/G2201-1</x:f>
        <x:v>-0.07058991202952292</x:v>
      </x:c>
      <x:c r="I2201" s="14" t="n">
        <x:f>F2201/F2200-1</x:f>
        <x:v>-0.0020287003193658615</x:v>
      </x:c>
      <x:c r="J2201" s="12" t="n">
        <x:v>0</x:v>
      </x:c>
      <x:c r="K2201" s="12" t="n">
        <x:v>0</x:v>
      </x:c>
      <x:c r="L2201" s="12" t="n">
        <x:v>0</x:v>
      </x:c>
      <x:c r="M2201" s="2" t="str">
        <x:v>持有</x:v>
      </x:c>
    </x:row>
    <x:row r="2202" ht="23" customHeight="1">
      <x:c r="A2202" s="11" t="d">
        <x:v>2023-09-25T00:00:00.000Z</x:v>
      </x:c>
      <x:c r="B2202" s="12" t="n">
        <x:v>21860.08518</x:v>
      </x:c>
      <x:c r="C2202" s="13" t="n">
        <x:v>484</x:v>
      </x:c>
      <x:c r="D2202" s="12" t="n">
        <x:v>209199.32</x:v>
      </x:c>
      <x:c r="E2202" s="12" t="n">
        <x:v>766.253796</x:v>
      </x:c>
      <x:c r="F2202" s="12" t="n">
        <x:f>SUM(B2202,D2202:E2202)</x:f>
        <x:v>231825.658976</x:v>
      </x:c>
      <x:c r="G2202" s="12" t="n">
        <x:f>MAX(G2201,F2202)</x:f>
        <x:v>248490.544664</x:v>
      </x:c>
      <x:c r="H2202" s="14" t="n">
        <x:f>F2202/G2202-1</x:f>
        <x:v>-0.06706446601633731</x:v>
      </x:c>
      <x:c r="I2202" s="14" t="n">
        <x:f>F2202/F2201-1</x:f>
        <x:v>0.003793208249852409</x:v>
      </x:c>
      <x:c r="J2202" s="12" t="n">
        <x:v>0</x:v>
      </x:c>
      <x:c r="K2202" s="12" t="n">
        <x:v>0</x:v>
      </x:c>
      <x:c r="L2202" s="12" t="n">
        <x:v>0</x:v>
      </x:c>
      <x:c r="M2202" s="2" t="str">
        <x:v>持有</x:v>
      </x:c>
    </x:row>
    <x:row r="2203" ht="23" customHeight="1">
      <x:c r="A2203" s="11" t="d">
        <x:v>2023-09-26T00:00:00.000Z</x:v>
      </x:c>
      <x:c r="B2203" s="12" t="n">
        <x:v>21860.08518</x:v>
      </x:c>
      <x:c r="C2203" s="13" t="n">
        <x:v>484</x:v>
      </x:c>
      <x:c r="D2203" s="12" t="n">
        <x:v>206125.91999999998</x:v>
      </x:c>
      <x:c r="E2203" s="12" t="n">
        <x:v>766.253796</x:v>
      </x:c>
      <x:c r="F2203" s="12" t="n">
        <x:f>SUM(B2203,D2203:E2203)</x:f>
        <x:v>228752.25897599998</x:v>
      </x:c>
      <x:c r="G2203" s="12" t="n">
        <x:f>MAX(G2202,F2203)</x:f>
        <x:v>248490.544664</x:v>
      </x:c>
      <x:c r="H2203" s="14" t="n">
        <x:f>F2203/G2203-1</x:f>
        <x:v>-0.079432743465911</x:v>
      </x:c>
      <x:c r="I2203" s="14" t="n">
        <x:f>F2203/F2202-1</x:f>
        <x:v>-0.013257376312767022</x:v>
      </x:c>
      <x:c r="J2203" s="12" t="n">
        <x:v>0</x:v>
      </x:c>
      <x:c r="K2203" s="12" t="n">
        <x:v>0</x:v>
      </x:c>
      <x:c r="L2203" s="12" t="n">
        <x:v>0</x:v>
      </x:c>
      <x:c r="M2203" s="2" t="str">
        <x:v>持有</x:v>
      </x:c>
    </x:row>
    <x:row r="2204" ht="23" customHeight="1">
      <x:c r="A2204" s="11" t="d">
        <x:v>2023-09-27T00:00:00.000Z</x:v>
      </x:c>
      <x:c r="B2204" s="12" t="n">
        <x:v>21860.08518</x:v>
      </x:c>
      <x:c r="C2204" s="13" t="n">
        <x:v>484</x:v>
      </x:c>
      <x:c r="D2204" s="12" t="n">
        <x:v>206208.2</x:v>
      </x:c>
      <x:c r="E2204" s="12" t="n">
        <x:v>766.253796</x:v>
      </x:c>
      <x:c r="F2204" s="12" t="n">
        <x:f>SUM(B2204,D2204:E2204)</x:f>
        <x:v>228834.538976</x:v>
      </x:c>
      <x:c r="G2204" s="12" t="n">
        <x:f>MAX(G2203,F2204)</x:f>
        <x:v>248490.544664</x:v>
      </x:c>
      <x:c r="H2204" s="14" t="n">
        <x:f>F2204/G2204-1</x:f>
        <x:v>-0.07910162422710343</x:v>
      </x:c>
      <x:c r="I2204" s="14" t="n">
        <x:f>F2204/F2203-1</x:f>
        <x:v>0.00035969043701844505</x:v>
      </x:c>
      <x:c r="J2204" s="12" t="n">
        <x:v>0</x:v>
      </x:c>
      <x:c r="K2204" s="12" t="n">
        <x:v>0</x:v>
      </x:c>
      <x:c r="L2204" s="12" t="n">
        <x:v>0</x:v>
      </x:c>
      <x:c r="M2204" s="2" t="str">
        <x:v>持有</x:v>
      </x:c>
    </x:row>
    <x:row r="2205" ht="23" customHeight="1">
      <x:c r="A2205" s="11" t="d">
        <x:v>2023-09-28T00:00:00.000Z</x:v>
      </x:c>
      <x:c r="B2205" s="12" t="n">
        <x:v>21860.08518</x:v>
      </x:c>
      <x:c r="C2205" s="13" t="n">
        <x:v>484</x:v>
      </x:c>
      <x:c r="D2205" s="12" t="n">
        <x:v>207403.68</x:v>
      </x:c>
      <x:c r="E2205" s="12" t="n">
        <x:v>766.253796</x:v>
      </x:c>
      <x:c r="F2205" s="12" t="n">
        <x:f>SUM(B2205,D2205:E2205)</x:f>
        <x:v>230030.018976</x:v>
      </x:c>
      <x:c r="G2205" s="12" t="n">
        <x:f>MAX(G2204,F2205)</x:f>
        <x:v>248490.544664</x:v>
      </x:c>
      <x:c r="H2205" s="14" t="n">
        <x:f>F2205/G2205-1</x:f>
        <x:v>-0.07429065646325361</x:v>
      </x:c>
      <x:c r="I2205" s="14" t="n">
        <x:f>F2205/F2204-1</x:f>
        <x:v>0.00522421136839557</x:v>
      </x:c>
      <x:c r="J2205" s="12" t="n">
        <x:v>0</x:v>
      </x:c>
      <x:c r="K2205" s="12" t="n">
        <x:v>0</x:v>
      </x:c>
      <x:c r="L2205" s="12" t="n">
        <x:v>0</x:v>
      </x:c>
      <x:c r="M2205" s="2" t="str">
        <x:v>持有</x:v>
      </x:c>
    </x:row>
    <x:row r="2206" ht="23" customHeight="1">
      <x:c r="A2206" s="11" t="d">
        <x:v>2023-09-29T00:00:00.000Z</x:v>
      </x:c>
      <x:c r="B2206" s="12" t="n">
        <x:v>21860.08518</x:v>
      </x:c>
      <x:c r="C2206" s="13" t="n">
        <x:v>484</x:v>
      </x:c>
      <x:c r="D2206" s="12" t="n">
        <x:v>206900.32</x:v>
      </x:c>
      <x:c r="E2206" s="12" t="n">
        <x:v>766.253796</x:v>
      </x:c>
      <x:c r="F2206" s="12" t="n">
        <x:f>SUM(B2206,D2206:E2206)</x:f>
        <x:v>229526.658976</x:v>
      </x:c>
      <x:c r="G2206" s="12" t="n">
        <x:f>MAX(G2205,F2206)</x:f>
        <x:v>248490.544664</x:v>
      </x:c>
      <x:c r="H2206" s="14" t="n">
        <x:f>F2206/G2206-1</x:f>
        <x:v>-0.07631632710066405</x:v>
      </x:c>
      <x:c r="I2206" s="14" t="n">
        <x:f>F2206/F2205-1</x:f>
        <x:v>-0.0021882361364866654</x:v>
      </x:c>
      <x:c r="J2206" s="12" t="n">
        <x:v>0</x:v>
      </x:c>
      <x:c r="K2206" s="12" t="n">
        <x:v>0</x:v>
      </x:c>
      <x:c r="L2206" s="12" t="n">
        <x:v>0</x:v>
      </x:c>
      <x:c r="M2206" s="2" t="str">
        <x:v>持有</x:v>
      </x:c>
    </x:row>
    <x:row r="2207" ht="23" customHeight="1">
      <x:c r="A2207" s="11" t="d">
        <x:v>2023-10-02T00:00:00.000Z</x:v>
      </x:c>
      <x:c r="B2207" s="12" t="n">
        <x:v>21860.08518</x:v>
      </x:c>
      <x:c r="C2207" s="13" t="n">
        <x:v>484</x:v>
      </x:c>
      <x:c r="D2207" s="12" t="n">
        <x:v>206818.04</x:v>
      </x:c>
      <x:c r="E2207" s="12" t="n">
        <x:v>766.253796</x:v>
      </x:c>
      <x:c r="F2207" s="12" t="n">
        <x:f>SUM(B2207,D2207:E2207)</x:f>
        <x:v>229444.378976</x:v>
      </x:c>
      <x:c r="G2207" s="12" t="n">
        <x:f>MAX(G2206,F2207)</x:f>
        <x:v>248490.544664</x:v>
      </x:c>
      <x:c r="H2207" s="14" t="n">
        <x:f>F2207/G2207-1</x:f>
        <x:v>-0.07664744633947151</x:v>
      </x:c>
      <x:c r="I2207" s="14" t="n">
        <x:f>F2207/F2206-1</x:f>
        <x:v>-0.00035847687744461343</x:v>
      </x:c>
      <x:c r="J2207" s="12" t="n">
        <x:v>0</x:v>
      </x:c>
      <x:c r="K2207" s="12" t="n">
        <x:v>0</x:v>
      </x:c>
      <x:c r="L2207" s="12" t="n">
        <x:v>0</x:v>
      </x:c>
      <x:c r="M2207" s="2" t="str">
        <x:v>持有</x:v>
      </x:c>
    </x:row>
    <x:row r="2208" ht="23" customHeight="1">
      <x:c r="A2208" s="11" t="d">
        <x:v>2023-10-03T00:00:00.000Z</x:v>
      </x:c>
      <x:c r="B2208" s="12" t="n">
        <x:v>21860.08518</x:v>
      </x:c>
      <x:c r="C2208" s="13" t="n">
        <x:v>484</x:v>
      </x:c>
      <x:c r="D2208" s="12" t="n">
        <x:v>204049.56</x:v>
      </x:c>
      <x:c r="E2208" s="12" t="n">
        <x:v>766.253796</x:v>
      </x:c>
      <x:c r="F2208" s="12" t="n">
        <x:f>SUM(B2208,D2208:E2208)</x:f>
        <x:v>226675.898976</x:v>
      </x:c>
      <x:c r="G2208" s="12" t="n">
        <x:f>MAX(G2207,F2208)</x:f>
        <x:v>248490.544664</x:v>
      </x:c>
      <x:c r="H2208" s="14" t="n">
        <x:f>F2208/G2208-1</x:f>
        <x:v>-0.08778863484522914</x:v>
      </x:c>
      <x:c r="I2208" s="14" t="n">
        <x:f>F2208/F2207-1</x:f>
        <x:v>-0.01206601797069784</x:v>
      </x:c>
      <x:c r="J2208" s="12" t="n">
        <x:v>0</x:v>
      </x:c>
      <x:c r="K2208" s="12" t="n">
        <x:v>0</x:v>
      </x:c>
      <x:c r="L2208" s="12" t="n">
        <x:v>0</x:v>
      </x:c>
      <x:c r="M2208" s="2" t="str">
        <x:v>持有</x:v>
      </x:c>
    </x:row>
    <x:row r="2209" ht="23" customHeight="1">
      <x:c r="A2209" s="11" t="d">
        <x:v>2023-10-04T00:00:00.000Z</x:v>
      </x:c>
      <x:c r="B2209" s="12" t="n">
        <x:v>21860.08518</x:v>
      </x:c>
      <x:c r="C2209" s="13" t="n">
        <x:v>484</x:v>
      </x:c>
      <x:c r="D2209" s="12" t="n">
        <x:v>205535.44</x:v>
      </x:c>
      <x:c r="E2209" s="12" t="n">
        <x:v>766.253796</x:v>
      </x:c>
      <x:c r="F2209" s="12" t="n">
        <x:f>SUM(B2209,D2209:E2209)</x:f>
        <x:v>228161.778976</x:v>
      </x:c>
      <x:c r="G2209" s="12" t="n">
        <x:f>MAX(G2208,F2209)</x:f>
        <x:v>248490.544664</x:v>
      </x:c>
      <x:c r="H2209" s="14" t="n">
        <x:f>F2209/G2209-1</x:f>
        <x:v>-0.08180901094441162</x:v>
      </x:c>
      <x:c r="I2209" s="14" t="n">
        <x:f>F2209/F2208-1</x:f>
        <x:v>0.0065550859474359235</x:v>
      </x:c>
      <x:c r="J2209" s="12" t="n">
        <x:v>0</x:v>
      </x:c>
      <x:c r="K2209" s="12" t="n">
        <x:v>0</x:v>
      </x:c>
      <x:c r="L2209" s="12" t="n">
        <x:v>0</x:v>
      </x:c>
      <x:c r="M2209" s="2" t="str">
        <x:v>持有</x:v>
      </x:c>
    </x:row>
    <x:row r="2210" ht="23" customHeight="1">
      <x:c r="A2210" s="11" t="d">
        <x:v>2023-10-05T00:00:00.000Z</x:v>
      </x:c>
      <x:c r="B2210" s="12" t="n">
        <x:v>21860.08518</x:v>
      </x:c>
      <x:c r="C2210" s="13" t="n">
        <x:v>484</x:v>
      </x:c>
      <x:c r="D2210" s="12" t="n">
        <x:v>205458</x:v>
      </x:c>
      <x:c r="E2210" s="12" t="n">
        <x:v>766.253796</x:v>
      </x:c>
      <x:c r="F2210" s="12" t="n">
        <x:f>SUM(B2210,D2210:E2210)</x:f>
        <x:v>228084.338976</x:v>
      </x:c>
      <x:c r="G2210" s="12" t="n">
        <x:f>MAX(G2209,F2210)</x:f>
        <x:v>248490.544664</x:v>
      </x:c>
      <x:c r="H2210" s="14" t="n">
        <x:f>F2210/G2210-1</x:f>
        <x:v>-0.08212065258093637</x:v>
      </x:c>
      <x:c r="I2210" s="14" t="n">
        <x:f>F2210/F2209-1</x:f>
        <x:v>-0.0003394082933064757</x:v>
      </x:c>
      <x:c r="J2210" s="12" t="n">
        <x:v>0</x:v>
      </x:c>
      <x:c r="K2210" s="12" t="n">
        <x:v>0</x:v>
      </x:c>
      <x:c r="L2210" s="12" t="n">
        <x:v>0</x:v>
      </x:c>
      <x:c r="M2210" s="2" t="str">
        <x:v>持有</x:v>
      </x:c>
    </x:row>
    <x:row r="2211" ht="23" customHeight="1">
      <x:c r="A2211" s="11" t="d">
        <x:v>2023-10-06T00:00:00.000Z</x:v>
      </x:c>
      <x:c r="B2211" s="12" t="n">
        <x:v>21860.08518</x:v>
      </x:c>
      <x:c r="C2211" s="13" t="n">
        <x:v>484</x:v>
      </x:c>
      <x:c r="D2211" s="12" t="n">
        <x:v>207897.36000000002</x:v>
      </x:c>
      <x:c r="E2211" s="12" t="n">
        <x:v>766.253796</x:v>
      </x:c>
      <x:c r="F2211" s="12" t="n">
        <x:f>SUM(B2211,D2211:E2211)</x:f>
        <x:v>230523.698976</x:v>
      </x:c>
      <x:c r="G2211" s="12" t="n">
        <x:f>MAX(G2210,F2211)</x:f>
        <x:v>248490.544664</x:v>
      </x:c>
      <x:c r="H2211" s="14" t="n">
        <x:f>F2211/G2211-1</x:f>
        <x:v>-0.0723039410304086</x:v>
      </x:c>
      <x:c r="I2211" s="14" t="n">
        <x:f>F2211/F2210-1</x:f>
        <x:v>0.010694991207864879</x:v>
      </x:c>
      <x:c r="J2211" s="12" t="n">
        <x:v>0</x:v>
      </x:c>
      <x:c r="K2211" s="12" t="n">
        <x:v>0</x:v>
      </x:c>
      <x:c r="L2211" s="12" t="n">
        <x:v>0</x:v>
      </x:c>
      <x:c r="M2211" s="2" t="str">
        <x:v>持有</x:v>
      </x:c>
    </x:row>
    <x:row r="2212" ht="23" customHeight="1">
      <x:c r="A2212" s="11" t="d">
        <x:v>2023-10-09T00:00:00.000Z</x:v>
      </x:c>
      <x:c r="B2212" s="12" t="n">
        <x:v>21860.08518</x:v>
      </x:c>
      <x:c r="C2212" s="13" t="n">
        <x:v>484</x:v>
      </x:c>
      <x:c r="D2212" s="12" t="n">
        <x:v>209228.36000000002</x:v>
      </x:c>
      <x:c r="E2212" s="12" t="n">
        <x:v>766.253796</x:v>
      </x:c>
      <x:c r="F2212" s="12" t="n">
        <x:f>SUM(B2212,D2212:E2212)</x:f>
        <x:v>231854.698976</x:v>
      </x:c>
      <x:c r="G2212" s="12" t="n">
        <x:f>MAX(G2211,F2212)</x:f>
        <x:v>248490.544664</x:v>
      </x:c>
      <x:c r="H2212" s="14" t="n">
        <x:f>F2212/G2212-1</x:f>
        <x:v>-0.06694760040264058</x:v>
      </x:c>
      <x:c r="I2212" s="14" t="n">
        <x:f>F2212/F2211-1</x:f>
        <x:v>0.005773809833489407</x:v>
      </x:c>
      <x:c r="J2212" s="12" t="n">
        <x:v>0</x:v>
      </x:c>
      <x:c r="K2212" s="12" t="n">
        <x:v>0</x:v>
      </x:c>
      <x:c r="L2212" s="12" t="n">
        <x:v>0</x:v>
      </x:c>
      <x:c r="M2212" s="2" t="str">
        <x:v>持有</x:v>
      </x:c>
    </x:row>
    <x:row r="2213" ht="23" customHeight="1">
      <x:c r="A2213" s="11" t="d">
        <x:v>2023-10-10T00:00:00.000Z</x:v>
      </x:c>
      <x:c r="B2213" s="12" t="n">
        <x:v>21860.08518</x:v>
      </x:c>
      <x:c r="C2213" s="13" t="n">
        <x:v>484</x:v>
      </x:c>
      <x:c r="D2213" s="12" t="n">
        <x:v>210317.36000000002</x:v>
      </x:c>
      <x:c r="E2213" s="12" t="n">
        <x:v>766.253796</x:v>
      </x:c>
      <x:c r="F2213" s="12" t="n">
        <x:f>SUM(B2213,D2213:E2213)</x:f>
        <x:v>232943.698976</x:v>
      </x:c>
      <x:c r="G2213" s="12" t="n">
        <x:f>MAX(G2212,F2213)</x:f>
        <x:v>248490.544664</x:v>
      </x:c>
      <x:c r="H2213" s="14" t="n">
        <x:f>F2213/G2213-1</x:f>
        <x:v>-0.06256513988901213</x:v>
      </x:c>
      <x:c r="I2213" s="14" t="n">
        <x:f>F2213/F2212-1</x:f>
        <x:v>0.004696907178546095</x:v>
      </x:c>
      <x:c r="J2213" s="12" t="n">
        <x:v>0</x:v>
      </x:c>
      <x:c r="K2213" s="12" t="n">
        <x:v>0</x:v>
      </x:c>
      <x:c r="L2213" s="12" t="n">
        <x:v>0</x:v>
      </x:c>
      <x:c r="M2213" s="2" t="str">
        <x:v>持有</x:v>
      </x:c>
    </x:row>
    <x:row r="2214" ht="23" customHeight="1">
      <x:c r="A2214" s="11" t="d">
        <x:v>2023-10-11T00:00:00.000Z</x:v>
      </x:c>
      <x:c r="B2214" s="12" t="n">
        <x:v>21860.08518</x:v>
      </x:c>
      <x:c r="C2214" s="13" t="n">
        <x:v>484</x:v>
      </x:c>
      <x:c r="D2214" s="12" t="n">
        <x:v>211178.88</x:v>
      </x:c>
      <x:c r="E2214" s="12" t="n">
        <x:v>766.253796</x:v>
      </x:c>
      <x:c r="F2214" s="12" t="n">
        <x:f>SUM(B2214,D2214:E2214)</x:f>
        <x:v>233805.218976</x:v>
      </x:c>
      <x:c r="G2214" s="12" t="n">
        <x:f>MAX(G2213,F2214)</x:f>
        <x:v>248490.544664</x:v>
      </x:c>
      <x:c r="H2214" s="14" t="n">
        <x:f>F2214/G2214-1</x:f>
        <x:v>-0.059098126682675</x:v>
      </x:c>
      <x:c r="I2214" s="14" t="n">
        <x:f>F2214/F2213-1</x:f>
        <x:v>0.003698404394654853</x:v>
      </x:c>
      <x:c r="J2214" s="12" t="n">
        <x:v>0</x:v>
      </x:c>
      <x:c r="K2214" s="12" t="n">
        <x:v>0</x:v>
      </x:c>
      <x:c r="L2214" s="12" t="n">
        <x:v>0</x:v>
      </x:c>
      <x:c r="M2214" s="2" t="str">
        <x:v>持有</x:v>
      </x:c>
    </x:row>
    <x:row r="2215" ht="23" customHeight="1">
      <x:c r="A2215" s="11" t="d">
        <x:v>2023-10-12T00:00:00.000Z</x:v>
      </x:c>
      <x:c r="B2215" s="12" t="n">
        <x:v>21860.08518</x:v>
      </x:c>
      <x:c r="C2215" s="13" t="n">
        <x:v>484</x:v>
      </x:c>
      <x:c r="D2215" s="12" t="n">
        <x:v>209891.44</x:v>
      </x:c>
      <x:c r="E2215" s="12" t="n">
        <x:v>766.253796</x:v>
      </x:c>
      <x:c r="F2215" s="12" t="n">
        <x:f>SUM(B2215,D2215:E2215)</x:f>
        <x:v>232517.778976</x:v>
      </x:c>
      <x:c r="G2215" s="12" t="n">
        <x:f>MAX(G2214,F2215)</x:f>
        <x:v>248490.544664</x:v>
      </x:c>
      <x:c r="H2215" s="14" t="n">
        <x:f>F2215/G2215-1</x:f>
        <x:v>-0.06427916888989793</x:v>
      </x:c>
      <x:c r="I2215" s="14" t="n">
        <x:f>F2215/F2214-1</x:f>
        <x:v>-0.005506463908883763</x:v>
      </x:c>
      <x:c r="J2215" s="12" t="n">
        <x:v>0</x:v>
      </x:c>
      <x:c r="K2215" s="12" t="n">
        <x:v>0</x:v>
      </x:c>
      <x:c r="L2215" s="12" t="n">
        <x:v>0</x:v>
      </x:c>
      <x:c r="M2215" s="2" t="str">
        <x:v>持有</x:v>
      </x:c>
    </x:row>
    <x:row r="2216" ht="23" customHeight="1">
      <x:c r="A2216" s="11" t="d">
        <x:v>2023-10-13T00:00:00.000Z</x:v>
      </x:c>
      <x:c r="B2216" s="12" t="n">
        <x:v>21860.08518</x:v>
      </x:c>
      <x:c r="C2216" s="13" t="n">
        <x:v>484</x:v>
      </x:c>
      <x:c r="D2216" s="12" t="n">
        <x:v>208846</x:v>
      </x:c>
      <x:c r="E2216" s="12" t="n">
        <x:v>766.253796</x:v>
      </x:c>
      <x:c r="F2216" s="12" t="n">
        <x:f>SUM(B2216,D2216:E2216)</x:f>
        <x:v>231472.338976</x:v>
      </x:c>
      <x:c r="G2216" s="12" t="n">
        <x:f>MAX(G2215,F2216)</x:f>
        <x:v>248490.544664</x:v>
      </x:c>
      <x:c r="H2216" s="14" t="n">
        <x:f>F2216/G2216-1</x:f>
        <x:v>-0.06848633098298129</x:v>
      </x:c>
      <x:c r="I2216" s="14" t="n">
        <x:f>F2216/F2215-1</x:f>
        <x:v>-0.004496172312517754</x:v>
      </x:c>
      <x:c r="J2216" s="12" t="n">
        <x:v>0</x:v>
      </x:c>
      <x:c r="K2216" s="12" t="n">
        <x:v>0</x:v>
      </x:c>
      <x:c r="L2216" s="12" t="n">
        <x:v>0</x:v>
      </x:c>
      <x:c r="M2216" s="2" t="str">
        <x:v>持有</x:v>
      </x:c>
    </x:row>
    <x:row r="2217" ht="23" customHeight="1">
      <x:c r="A2217" s="11" t="d">
        <x:v>2023-10-16T00:00:00.000Z</x:v>
      </x:c>
      <x:c r="B2217" s="12" t="n">
        <x:v>21860.08518</x:v>
      </x:c>
      <x:c r="C2217" s="13" t="n">
        <x:v>484</x:v>
      </x:c>
      <x:c r="D2217" s="12" t="n">
        <x:v>211043.36000000002</x:v>
      </x:c>
      <x:c r="E2217" s="12" t="n">
        <x:v>766.253796</x:v>
      </x:c>
      <x:c r="F2217" s="12" t="n">
        <x:f>SUM(B2217,D2217:E2217)</x:f>
        <x:v>233669.698976</x:v>
      </x:c>
      <x:c r="G2217" s="12" t="n">
        <x:f>MAX(G2216,F2217)</x:f>
        <x:v>248490.544664</x:v>
      </x:c>
      <x:c r="H2217" s="14" t="n">
        <x:f>F2217/G2217-1</x:f>
        <x:v>-0.059643499546593204</x:v>
      </x:c>
      <x:c r="I2217" s="14" t="n">
        <x:f>F2217/F2216-1</x:f>
        <x:v>0.00949297013077599</x:v>
      </x:c>
      <x:c r="J2217" s="12" t="n">
        <x:v>0</x:v>
      </x:c>
      <x:c r="K2217" s="12" t="n">
        <x:v>0</x:v>
      </x:c>
      <x:c r="L2217" s="12" t="n">
        <x:v>0</x:v>
      </x:c>
      <x:c r="M2217" s="2" t="str">
        <x:v>持有</x:v>
      </x:c>
    </x:row>
    <x:row r="2218" ht="23" customHeight="1">
      <x:c r="A2218" s="11" t="d">
        <x:v>2023-10-17T00:00:00.000Z</x:v>
      </x:c>
      <x:c r="B2218" s="12" t="n">
        <x:v>21860.08518</x:v>
      </x:c>
      <x:c r="C2218" s="13" t="n">
        <x:v>484</x:v>
      </x:c>
      <x:c r="D2218" s="12" t="n">
        <x:v>211033.68</x:v>
      </x:c>
      <x:c r="E2218" s="12" t="n">
        <x:v>766.253796</x:v>
      </x:c>
      <x:c r="F2218" s="12" t="n">
        <x:f>SUM(B2218,D2218:E2218)</x:f>
        <x:v>233660.018976</x:v>
      </x:c>
      <x:c r="G2218" s="12" t="n">
        <x:f>MAX(G2217,F2218)</x:f>
        <x:v>248490.544664</x:v>
      </x:c>
      <x:c r="H2218" s="14" t="n">
        <x:f>F2218/G2218-1</x:f>
        <x:v>-0.05968245475115885</x:v>
      </x:c>
      <x:c r="I2218" s="14" t="n">
        <x:f>F2218/F2217-1</x:f>
        <x:v>-0.00004142599593548457</x:v>
      </x:c>
      <x:c r="J2218" s="12" t="n">
        <x:v>0</x:v>
      </x:c>
      <x:c r="K2218" s="12" t="n">
        <x:v>0</x:v>
      </x:c>
      <x:c r="L2218" s="12" t="n">
        <x:v>0</x:v>
      </x:c>
      <x:c r="M2218" s="2" t="str">
        <x:v>持有</x:v>
      </x:c>
    </x:row>
    <x:row r="2219" ht="23" customHeight="1">
      <x:c r="A2219" s="11" t="d">
        <x:v>2023-10-18T00:00:00.000Z</x:v>
      </x:c>
      <x:c r="B2219" s="12" t="n">
        <x:v>21860.08518</x:v>
      </x:c>
      <x:c r="C2219" s="13" t="n">
        <x:v>484</x:v>
      </x:c>
      <x:c r="D2219" s="12" t="n">
        <x:v>208221.63999999998</x:v>
      </x:c>
      <x:c r="E2219" s="12" t="n">
        <x:v>766.253796</x:v>
      </x:c>
      <x:c r="F2219" s="12" t="n">
        <x:f>SUM(B2219,D2219:E2219)</x:f>
        <x:v>230847.97897599998</x:v>
      </x:c>
      <x:c r="G2219" s="12" t="n">
        <x:f>MAX(G2218,F2219)</x:f>
        <x:v>248490.544664</x:v>
      </x:c>
      <x:c r="H2219" s="14" t="n">
        <x:f>F2219/G2219-1</x:f>
        <x:v>-0.07099894167746157</x:v>
      </x:c>
      <x:c r="I2219" s="14" t="n">
        <x:f>F2219/F2218-1</x:f>
        <x:v>-0.012034750370746305</x:v>
      </x:c>
      <x:c r="J2219" s="12" t="n">
        <x:v>0</x:v>
      </x:c>
      <x:c r="K2219" s="12" t="n">
        <x:v>0</x:v>
      </x:c>
      <x:c r="L2219" s="12" t="n">
        <x:v>0</x:v>
      </x:c>
      <x:c r="M2219" s="2" t="str">
        <x:v>持有</x:v>
      </x:c>
    </x:row>
    <x:row r="2220" ht="23" customHeight="1">
      <x:c r="A2220" s="11" t="d">
        <x:v>2023-10-19T00:00:00.000Z</x:v>
      </x:c>
      <x:c r="B2220" s="12" t="n">
        <x:v>21860.08518</x:v>
      </x:c>
      <x:c r="C2220" s="13" t="n">
        <x:v>484</x:v>
      </x:c>
      <x:c r="D2220" s="12" t="n">
        <x:v>206392.12</x:v>
      </x:c>
      <x:c r="E2220" s="12" t="n">
        <x:v>766.253796</x:v>
      </x:c>
      <x:c r="F2220" s="12" t="n">
        <x:f>SUM(B2220,D2220:E2220)</x:f>
        <x:v>229018.458976</x:v>
      </x:c>
      <x:c r="G2220" s="12" t="n">
        <x:f>MAX(G2219,F2220)</x:f>
        <x:v>248490.544664</x:v>
      </x:c>
      <x:c r="H2220" s="14" t="n">
        <x:f>F2220/G2220-1</x:f>
        <x:v>-0.07836147534035731</x:v>
      </x:c>
      <x:c r="I2220" s="14" t="n">
        <x:f>F2220/F2219-1</x:f>
        <x:v>-0.007925215581766842</x:v>
      </x:c>
      <x:c r="J2220" s="12" t="n">
        <x:v>0</x:v>
      </x:c>
      <x:c r="K2220" s="12" t="n">
        <x:v>0</x:v>
      </x:c>
      <x:c r="L2220" s="12" t="n">
        <x:v>0</x:v>
      </x:c>
      <x:c r="M2220" s="2" t="str">
        <x:v>持有</x:v>
      </x:c>
    </x:row>
    <x:row r="2221" ht="23" customHeight="1">
      <x:c r="A2221" s="11" t="d">
        <x:v>2023-10-20T00:00:00.000Z</x:v>
      </x:c>
      <x:c r="B2221" s="12" t="n">
        <x:v>21860.08518</x:v>
      </x:c>
      <x:c r="C2221" s="13" t="n">
        <x:v>484</x:v>
      </x:c>
      <x:c r="D2221" s="12" t="n">
        <x:v>203855.96</x:v>
      </x:c>
      <x:c r="E2221" s="12" t="n">
        <x:v>766.253796</x:v>
      </x:c>
      <x:c r="F2221" s="12" t="n">
        <x:f>SUM(B2221,D2221:E2221)</x:f>
        <x:v>226482.298976</x:v>
      </x:c>
      <x:c r="G2221" s="12" t="n">
        <x:f>MAX(G2220,F2221)</x:f>
        <x:v>248490.544664</x:v>
      </x:c>
      <x:c r="H2221" s="14" t="n">
        <x:f>F2221/G2221-1</x:f>
        <x:v>-0.08856773893654091</x:v>
      </x:c>
      <x:c r="I2221" s="14" t="n">
        <x:f>F2221/F2220-1</x:f>
        <x:v>-0.01107404185383054</x:v>
      </x:c>
      <x:c r="J2221" s="12" t="n">
        <x:v>0</x:v>
      </x:c>
      <x:c r="K2221" s="12" t="n">
        <x:v>0</x:v>
      </x:c>
      <x:c r="L2221" s="12" t="n">
        <x:v>0</x:v>
      </x:c>
      <x:c r="M2221" s="2" t="str">
        <x:v>持有</x:v>
      </x:c>
    </x:row>
    <x:row r="2222" ht="23" customHeight="1">
      <x:c r="A2222" s="11" t="d">
        <x:v>2023-10-23T00:00:00.000Z</x:v>
      </x:c>
      <x:c r="B2222" s="12" t="n">
        <x:v>21860.08518</x:v>
      </x:c>
      <x:c r="C2222" s="13" t="n">
        <x:v>484</x:v>
      </x:c>
      <x:c r="D2222" s="12" t="n">
        <x:v>203502.63999999998</x:v>
      </x:c>
      <x:c r="E2222" s="12" t="n">
        <x:v>766.253796</x:v>
      </x:c>
      <x:c r="F2222" s="12" t="n">
        <x:f>SUM(B2222,D2222:E2222)</x:f>
        <x:v>226128.97897599998</x:v>
      </x:c>
      <x:c r="G2222" s="12" t="n">
        <x:f>MAX(G2221,F2222)</x:f>
        <x:v>248490.544664</x:v>
      </x:c>
      <x:c r="H2222" s="14" t="n">
        <x:f>F2222/G2222-1</x:f>
        <x:v>-0.08998960390318478</x:v>
      </x:c>
      <x:c r="I2222" s="14" t="n">
        <x:f>F2222/F2221-1</x:f>
        <x:v>-0.00156003361674395</x:v>
      </x:c>
      <x:c r="J2222" s="12" t="n">
        <x:v>0</x:v>
      </x:c>
      <x:c r="K2222" s="12" t="n">
        <x:v>0</x:v>
      </x:c>
      <x:c r="L2222" s="12" t="n">
        <x:v>0</x:v>
      </x:c>
      <x:c r="M2222" s="2" t="str">
        <x:v>持有</x:v>
      </x:c>
    </x:row>
    <x:row r="2223" ht="23" customHeight="1">
      <x:c r="A2223" s="11" t="d">
        <x:v>2023-10-24T00:00:00.000Z</x:v>
      </x:c>
      <x:c r="B2223" s="12" t="n">
        <x:v>21860.08518</x:v>
      </x:c>
      <x:c r="C2223" s="13" t="n">
        <x:v>484</x:v>
      </x:c>
      <x:c r="D2223" s="12" t="n">
        <x:v>205036.91999999998</x:v>
      </x:c>
      <x:c r="E2223" s="12" t="n">
        <x:v>766.253796</x:v>
      </x:c>
      <x:c r="F2223" s="12" t="n">
        <x:f>SUM(B2223,D2223:E2223)</x:f>
        <x:v>227663.25897599998</x:v>
      </x:c>
      <x:c r="G2223" s="12" t="n">
        <x:f>MAX(G2222,F2223)</x:f>
        <x:v>248490.544664</x:v>
      </x:c>
      <x:c r="H2223" s="14" t="n">
        <x:f>F2223/G2223-1</x:f>
        <x:v>-0.08381520397953934</x:v>
      </x:c>
      <x:c r="I2223" s="14" t="n">
        <x:f>F2223/F2222-1</x:f>
        <x:v>0.00678497734765271</x:v>
      </x:c>
      <x:c r="J2223" s="12" t="n">
        <x:v>0</x:v>
      </x:c>
      <x:c r="K2223" s="12" t="n">
        <x:v>0</x:v>
      </x:c>
      <x:c r="L2223" s="12" t="n">
        <x:v>0</x:v>
      </x:c>
      <x:c r="M2223" s="2" t="str">
        <x:v>持有</x:v>
      </x:c>
    </x:row>
    <x:row r="2224" ht="23" customHeight="1">
      <x:c r="A2224" s="11" t="d">
        <x:v>2023-10-25T00:00:00.000Z</x:v>
      </x:c>
      <x:c r="B2224" s="12" t="n">
        <x:v>21860.08518</x:v>
      </x:c>
      <x:c r="C2224" s="13" t="n">
        <x:v>484</x:v>
      </x:c>
      <x:c r="D2224" s="12" t="n">
        <x:v>202094.2</x:v>
      </x:c>
      <x:c r="E2224" s="12" t="n">
        <x:v>766.253796</x:v>
      </x:c>
      <x:c r="F2224" s="12" t="n">
        <x:f>SUM(B2224,D2224:E2224)</x:f>
        <x:v>224720.538976</x:v>
      </x:c>
      <x:c r="G2224" s="12" t="n">
        <x:f>MAX(G2223,F2224)</x:f>
        <x:v>248490.544664</x:v>
      </x:c>
      <x:c r="H2224" s="14" t="n">
        <x:f>F2224/G2224-1</x:f>
        <x:v>-0.09565758616747744</x:v>
      </x:c>
      <x:c r="I2224" s="14" t="n">
        <x:f>F2224/F2223-1</x:f>
        <x:v>-0.012925757160975104</x:v>
      </x:c>
      <x:c r="J2224" s="12" t="n">
        <x:v>0</x:v>
      </x:c>
      <x:c r="K2224" s="12" t="n">
        <x:v>0</x:v>
      </x:c>
      <x:c r="L2224" s="12" t="n">
        <x:v>0</x:v>
      </x:c>
      <x:c r="M2224" s="2" t="str">
        <x:v>持有</x:v>
      </x:c>
    </x:row>
    <x:row r="2225" ht="23" customHeight="1">
      <x:c r="A2225" s="11" t="d">
        <x:v>2023-10-26T00:00:00.000Z</x:v>
      </x:c>
      <x:c r="B2225" s="12" t="n">
        <x:v>21860.08518</x:v>
      </x:c>
      <x:c r="C2225" s="13" t="n">
        <x:v>484</x:v>
      </x:c>
      <x:c r="D2225" s="12" t="n">
        <x:v>199674.2</x:v>
      </x:c>
      <x:c r="E2225" s="12" t="n">
        <x:v>766.253796</x:v>
      </x:c>
      <x:c r="F2225" s="12" t="n">
        <x:f>SUM(B2225,D2225:E2225)</x:f>
        <x:v>222300.538976</x:v>
      </x:c>
      <x:c r="G2225" s="12" t="n">
        <x:f>MAX(G2224,F2225)</x:f>
        <x:v>248490.544664</x:v>
      </x:c>
      <x:c r="H2225" s="14" t="n">
        <x:f>F2225/G2225-1</x:f>
        <x:v>-0.1053963873088739</x:v>
      </x:c>
      <x:c r="I2225" s="14" t="n">
        <x:f>F2225/F2224-1</x:f>
        <x:v>-0.01076893109560606</x:v>
      </x:c>
      <x:c r="J2225" s="12" t="n">
        <x:v>0</x:v>
      </x:c>
      <x:c r="K2225" s="12" t="n">
        <x:v>0</x:v>
      </x:c>
      <x:c r="L2225" s="12" t="n">
        <x:v>0</x:v>
      </x:c>
      <x:c r="M2225" s="2" t="str">
        <x:v>持有</x:v>
      </x:c>
    </x:row>
    <x:row r="2226" ht="23" customHeight="1">
      <x:c r="A2226" s="11" t="d">
        <x:v>2023-10-27T00:00:00.000Z</x:v>
      </x:c>
      <x:c r="B2226" s="12" t="n">
        <x:v>21860.08518</x:v>
      </x:c>
      <x:c r="C2226" s="13" t="n">
        <x:v>484</x:v>
      </x:c>
      <x:c r="D2226" s="12" t="n">
        <x:v>198769.12</x:v>
      </x:c>
      <x:c r="E2226" s="12" t="n">
        <x:v>766.253796</x:v>
      </x:c>
      <x:c r="F2226" s="12" t="n">
        <x:f>SUM(B2226,D2226:E2226)</x:f>
        <x:v>221395.458976</x:v>
      </x:c>
      <x:c r="G2226" s="12" t="n">
        <x:f>MAX(G2225,F2226)</x:f>
        <x:v>248490.544664</x:v>
      </x:c>
      <x:c r="H2226" s="14" t="n">
        <x:f>F2226/G2226-1</x:f>
        <x:v>-0.10903869893575624</x:v>
      </x:c>
      <x:c r="I2226" s="14" t="n">
        <x:f>F2226/F2225-1</x:f>
        <x:v>-0.004071425126403905</x:v>
      </x:c>
      <x:c r="J2226" s="12" t="n">
        <x:v>0</x:v>
      </x:c>
      <x:c r="K2226" s="12" t="n">
        <x:v>0</x:v>
      </x:c>
      <x:c r="L2226" s="12" t="n">
        <x:v>0</x:v>
      </x:c>
      <x:c r="M2226" s="2" t="str">
        <x:v>持有</x:v>
      </x:c>
    </x:row>
    <x:row r="2227" ht="23" customHeight="1">
      <x:c r="A2227" s="11" t="d">
        <x:v>2023-10-30T00:00:00.000Z</x:v>
      </x:c>
      <x:c r="B2227" s="12" t="n">
        <x:v>21860.08518</x:v>
      </x:c>
      <x:c r="C2227" s="13" t="n">
        <x:v>484</x:v>
      </x:c>
      <x:c r="D2227" s="12" t="n">
        <x:v>201145.56</x:v>
      </x:c>
      <x:c r="E2227" s="12" t="n">
        <x:v>766.253796</x:v>
      </x:c>
      <x:c r="F2227" s="12" t="n">
        <x:f>SUM(B2227,D2227:E2227)</x:f>
        <x:v>223771.898976</x:v>
      </x:c>
      <x:c r="G2227" s="12" t="n">
        <x:f>MAX(G2226,F2227)</x:f>
        <x:v>248490.544664</x:v>
      </x:c>
      <x:c r="H2227" s="14" t="n">
        <x:f>F2227/G2227-1</x:f>
        <x:v>-0.09947519621490486</x:v>
      </x:c>
      <x:c r="I2227" s="14" t="n">
        <x:f>F2227/F2226-1</x:f>
        <x:v>0.010733914828206181</x:v>
      </x:c>
      <x:c r="J2227" s="12" t="n">
        <x:v>0</x:v>
      </x:c>
      <x:c r="K2227" s="12" t="n">
        <x:v>0</x:v>
      </x:c>
      <x:c r="L2227" s="12" t="n">
        <x:v>0</x:v>
      </x:c>
      <x:c r="M2227" s="2" t="str">
        <x:v>持有</x:v>
      </x:c>
    </x:row>
    <x:row r="2228" ht="23" customHeight="1">
      <x:c r="A2228" s="11" t="d">
        <x:v>2023-10-31T00:00:00.000Z</x:v>
      </x:c>
      <x:c r="B2228" s="12" t="n">
        <x:v>22626.338976</x:v>
      </x:c>
      <x:c r="C2228" s="13" t="n">
        <x:v>484</x:v>
      </x:c>
      <x:c r="D2228" s="12" t="n">
        <x:v>202408.8</x:v>
      </x:c>
      <x:c r="E2228" s="12" t="n">
        <x:v>0</x:v>
      </x:c>
      <x:c r="F2228" s="12" t="n">
        <x:f>SUM(B2228,D2228:E2228)</x:f>
        <x:v>225035.138976</x:v>
      </x:c>
      <x:c r="G2228" s="12" t="n">
        <x:f>MAX(G2227,F2228)</x:f>
        <x:v>248490.544664</x:v>
      </x:c>
      <x:c r="H2228" s="14" t="n">
        <x:f>F2228/G2228-1</x:f>
        <x:v>-0.09439154201909594</x:v>
      </x:c>
      <x:c r="I2228" s="14" t="n">
        <x:f>F2228/F2227-1</x:f>
        <x:v>0.0056452128519295375</x:v>
      </x:c>
      <x:c r="J2228" s="12" t="n">
        <x:v>0</x:v>
      </x:c>
      <x:c r="K2228" s="12" t="n">
        <x:v>766.253796</x:v>
      </x:c>
      <x:c r="L2228" s="12" t="n">
        <x:v>0</x:v>
      </x:c>
      <x:c r="M2228" s="2" t="str">
        <x:v>持有</x:v>
      </x:c>
    </x:row>
    <x:row r="2229" ht="23" customHeight="1">
      <x:c r="A2229" s="11" t="d">
        <x:v>2023-11-01T00:00:00.000Z</x:v>
      </x:c>
      <x:c r="B2229" s="12" t="n">
        <x:v>22626.338976</x:v>
      </x:c>
      <x:c r="C2229" s="13" t="n">
        <x:v>484</x:v>
      </x:c>
      <x:c r="D2229" s="12" t="n">
        <x:v>204567.44</x:v>
      </x:c>
      <x:c r="E2229" s="12" t="n">
        <x:v>0</x:v>
      </x:c>
      <x:c r="F2229" s="12" t="n">
        <x:f>SUM(B2229,D2229:E2229)</x:f>
        <x:v>227193.778976</x:v>
      </x:c>
      <x:c r="G2229" s="12" t="n">
        <x:f>MAX(G2228,F2229)</x:f>
        <x:v>248490.544664</x:v>
      </x:c>
      <x:c r="H2229" s="14" t="n">
        <x:f>F2229/G2229-1</x:f>
        <x:v>-0.08570453140097023</x:v>
      </x:c>
      <x:c r="I2229" s="14" t="n">
        <x:f>F2229/F2228-1</x:f>
        <x:v>0.009592457470520843</x:v>
      </x:c>
      <x:c r="J2229" s="12" t="n">
        <x:v>0</x:v>
      </x:c>
      <x:c r="K2229" s="12" t="n">
        <x:v>0</x:v>
      </x:c>
      <x:c r="L2229" s="12" t="n">
        <x:v>0</x:v>
      </x:c>
      <x:c r="M2229" s="2" t="str">
        <x:v>持有</x:v>
      </x:c>
    </x:row>
    <x:row r="2230" ht="23" customHeight="1">
      <x:c r="A2230" s="11" t="d">
        <x:v>2023-11-02T00:00:00.000Z</x:v>
      </x:c>
      <x:c r="B2230" s="12" t="n">
        <x:v>22626.338976</x:v>
      </x:c>
      <x:c r="C2230" s="13" t="n">
        <x:v>484</x:v>
      </x:c>
      <x:c r="D2230" s="12" t="n">
        <x:v>208487.84</x:v>
      </x:c>
      <x:c r="E2230" s="12" t="n">
        <x:v>0</x:v>
      </x:c>
      <x:c r="F2230" s="12" t="n">
        <x:f>SUM(B2230,D2230:E2230)</x:f>
        <x:v>231114.178976</x:v>
      </x:c>
      <x:c r="G2230" s="12" t="n">
        <x:f>MAX(G2229,F2230)</x:f>
        <x:v>248490.544664</x:v>
      </x:c>
      <x:c r="H2230" s="14" t="n">
        <x:f>F2230/G2230-1</x:f>
        <x:v>-0.06992767355190799</x:v>
      </x:c>
      <x:c r="I2230" s="14" t="n">
        <x:f>F2230/F2229-1</x:f>
        <x:v>0.01725575417456371</x:v>
      </x:c>
      <x:c r="J2230" s="12" t="n">
        <x:v>0</x:v>
      </x:c>
      <x:c r="K2230" s="12" t="n">
        <x:v>0</x:v>
      </x:c>
      <x:c r="L2230" s="12" t="n">
        <x:v>0</x:v>
      </x:c>
      <x:c r="M2230" s="2" t="str">
        <x:v>持有</x:v>
      </x:c>
    </x:row>
    <x:row r="2231" ht="23" customHeight="1">
      <x:c r="A2231" s="11" t="d">
        <x:v>2023-11-03T00:00:00.000Z</x:v>
      </x:c>
      <x:c r="B2231" s="12" t="n">
        <x:v>22626.338976</x:v>
      </x:c>
      <x:c r="C2231" s="13" t="n">
        <x:v>484</x:v>
      </x:c>
      <x:c r="D2231" s="12" t="n">
        <x:v>210389.96</x:v>
      </x:c>
      <x:c r="E2231" s="12" t="n">
        <x:v>0</x:v>
      </x:c>
      <x:c r="F2231" s="12" t="n">
        <x:f>SUM(B2231,D2231:E2231)</x:f>
        <x:v>233016.298976</x:v>
      </x:c>
      <x:c r="G2231" s="12" t="n">
        <x:f>MAX(G2230,F2231)</x:f>
        <x:v>248490.544664</x:v>
      </x:c>
      <x:c r="H2231" s="14" t="n">
        <x:f>F2231/G2231-1</x:f>
        <x:v>-0.06227297585477032</x:v>
      </x:c>
      <x:c r="I2231" s="14" t="n">
        <x:f>F2231/F2230-1</x:f>
        <x:v>0.008230217671748807</x:v>
      </x:c>
      <x:c r="J2231" s="12" t="n">
        <x:v>0</x:v>
      </x:c>
      <x:c r="K2231" s="12" t="n">
        <x:v>0</x:v>
      </x:c>
      <x:c r="L2231" s="12" t="n">
        <x:v>0</x:v>
      </x:c>
      <x:c r="M2231" s="2" t="str">
        <x:v>持有</x:v>
      </x:c>
    </x:row>
    <x:row r="2232" ht="23" customHeight="1">
      <x:c r="A2232" s="11" t="d">
        <x:v>2023-11-06T00:00:00.000Z</x:v>
      </x:c>
      <x:c r="B2232" s="12" t="n">
        <x:v>22626.338976</x:v>
      </x:c>
      <x:c r="C2232" s="13" t="n">
        <x:v>484</x:v>
      </x:c>
      <x:c r="D2232" s="12" t="n">
        <x:v>210873.96</x:v>
      </x:c>
      <x:c r="E2232" s="12" t="n">
        <x:v>0</x:v>
      </x:c>
      <x:c r="F2232" s="12" t="n">
        <x:f>SUM(B2232,D2232:E2232)</x:f>
        <x:v>233500.298976</x:v>
      </x:c>
      <x:c r="G2232" s="12" t="n">
        <x:f>MAX(G2231,F2232)</x:f>
        <x:v>248490.544664</x:v>
      </x:c>
      <x:c r="H2232" s="14" t="n">
        <x:f>F2232/G2232-1</x:f>
        <x:v>-0.06032521562649107</x:v>
      </x:c>
      <x:c r="I2232" s="14" t="n">
        <x:f>F2232/F2231-1</x:f>
        <x:v>0.0020771079196046927</x:v>
      </x:c>
      <x:c r="J2232" s="12" t="n">
        <x:v>0</x:v>
      </x:c>
      <x:c r="K2232" s="12" t="n">
        <x:v>0</x:v>
      </x:c>
      <x:c r="L2232" s="12" t="n">
        <x:v>0</x:v>
      </x:c>
      <x:c r="M2232" s="2" t="str">
        <x:v>持有</x:v>
      </x:c>
    </x:row>
    <x:row r="2233" ht="23" customHeight="1">
      <x:c r="A2233" s="11" t="d">
        <x:v>2023-11-07T00:00:00.000Z</x:v>
      </x:c>
      <x:c r="B2233" s="12" t="n">
        <x:v>22626.338976</x:v>
      </x:c>
      <x:c r="C2233" s="13" t="n">
        <x:v>484</x:v>
      </x:c>
      <x:c r="D2233" s="12" t="n">
        <x:v>211474.12</x:v>
      </x:c>
      <x:c r="E2233" s="12" t="n">
        <x:v>0</x:v>
      </x:c>
      <x:c r="F2233" s="12" t="n">
        <x:f>SUM(B2233,D2233:E2233)</x:f>
        <x:v>234100.458976</x:v>
      </x:c>
      <x:c r="G2233" s="12" t="n">
        <x:f>MAX(G2232,F2233)</x:f>
        <x:v>248490.544664</x:v>
      </x:c>
      <x:c r="H2233" s="14" t="n">
        <x:f>F2233/G2233-1</x:f>
        <x:v>-0.05790999294342469</x:v>
      </x:c>
      <x:c r="I2233" s="14" t="n">
        <x:f>F2233/F2232-1</x:f>
        <x:v>0.0025702750815821407</x:v>
      </x:c>
      <x:c r="J2233" s="12" t="n">
        <x:v>0</x:v>
      </x:c>
      <x:c r="K2233" s="12" t="n">
        <x:v>0</x:v>
      </x:c>
      <x:c r="L2233" s="12" t="n">
        <x:v>0</x:v>
      </x:c>
      <x:c r="M2233" s="2" t="str">
        <x:v>持有</x:v>
      </x:c>
    </x:row>
    <x:row r="2234" ht="23" customHeight="1">
      <x:c r="A2234" s="11" t="d">
        <x:v>2023-11-08T00:00:00.000Z</x:v>
      </x:c>
      <x:c r="B2234" s="12" t="n">
        <x:v>22626.338976</x:v>
      </x:c>
      <x:c r="C2234" s="13" t="n">
        <x:v>484</x:v>
      </x:c>
      <x:c r="D2234" s="12" t="n">
        <x:v>211629</x:v>
      </x:c>
      <x:c r="E2234" s="12" t="n">
        <x:v>0</x:v>
      </x:c>
      <x:c r="F2234" s="12" t="n">
        <x:f>SUM(B2234,D2234:E2234)</x:f>
        <x:v>234255.338976</x:v>
      </x:c>
      <x:c r="G2234" s="12" t="n">
        <x:f>MAX(G2233,F2234)</x:f>
        <x:v>248490.544664</x:v>
      </x:c>
      <x:c r="H2234" s="14" t="n">
        <x:f>F2234/G2234-1</x:f>
        <x:v>-0.0572867096703753</x:v>
      </x:c>
      <x:c r="I2234" s="14" t="n">
        <x:f>F2234/F2233-1</x:f>
        <x:v>0.0006615963107354794</x:v>
      </x:c>
      <x:c r="J2234" s="12" t="n">
        <x:v>0</x:v>
      </x:c>
      <x:c r="K2234" s="12" t="n">
        <x:v>0</x:v>
      </x:c>
      <x:c r="L2234" s="12" t="n">
        <x:v>0</x:v>
      </x:c>
      <x:c r="M2234" s="2" t="str">
        <x:v>持有</x:v>
      </x:c>
    </x:row>
    <x:row r="2235" ht="23" customHeight="1">
      <x:c r="A2235" s="11" t="d">
        <x:v>2023-11-09T00:00:00.000Z</x:v>
      </x:c>
      <x:c r="B2235" s="12" t="n">
        <x:v>22626.338976</x:v>
      </x:c>
      <x:c r="C2235" s="13" t="n">
        <x:v>484</x:v>
      </x:c>
      <x:c r="D2235" s="12" t="n">
        <x:v>209978.56</x:v>
      </x:c>
      <x:c r="E2235" s="12" t="n">
        <x:v>0</x:v>
      </x:c>
      <x:c r="F2235" s="12" t="n">
        <x:f>SUM(B2235,D2235:E2235)</x:f>
        <x:v>232604.898976</x:v>
      </x:c>
      <x:c r="G2235" s="12" t="n">
        <x:f>MAX(G2234,F2235)</x:f>
        <x:v>248490.544664</x:v>
      </x:c>
      <x:c r="H2235" s="14" t="n">
        <x:f>F2235/G2235-1</x:f>
        <x:v>-0.06392857204880764</x:v>
      </x:c>
      <x:c r="I2235" s="14" t="n">
        <x:f>F2235/F2234-1</x:f>
        <x:v>-0.007045474426386922</x:v>
      </x:c>
      <x:c r="J2235" s="12" t="n">
        <x:v>0</x:v>
      </x:c>
      <x:c r="K2235" s="12" t="n">
        <x:v>0</x:v>
      </x:c>
      <x:c r="L2235" s="12" t="n">
        <x:v>0</x:v>
      </x:c>
      <x:c r="M2235" s="2" t="str">
        <x:v>持有</x:v>
      </x:c>
    </x:row>
    <x:row r="2236" ht="23" customHeight="1">
      <x:c r="A2236" s="11" t="d">
        <x:v>2023-11-10T00:00:00.000Z</x:v>
      </x:c>
      <x:c r="B2236" s="12" t="n">
        <x:v>22626.338976</x:v>
      </x:c>
      <x:c r="C2236" s="13" t="n">
        <x:v>484</x:v>
      </x:c>
      <x:c r="D2236" s="12" t="n">
        <x:v>213255.24000000002</x:v>
      </x:c>
      <x:c r="E2236" s="12" t="n">
        <x:v>0</x:v>
      </x:c>
      <x:c r="F2236" s="12" t="n">
        <x:f>SUM(B2236,D2236:E2236)</x:f>
        <x:v>235881.57897600002</x:v>
      </x:c>
      <x:c r="G2236" s="12" t="n">
        <x:f>MAX(G2235,F2236)</x:f>
        <x:v>248490.544664</x:v>
      </x:c>
      <x:c r="H2236" s="14" t="n">
        <x:f>F2236/G2236-1</x:f>
        <x:v>-0.05074223530335675</x:v>
      </x:c>
      <x:c r="I2236" s="14" t="n">
        <x:f>F2236/F2235-1</x:f>
        <x:v>0.01408689161073129</x:v>
      </x:c>
      <x:c r="J2236" s="12" t="n">
        <x:v>0</x:v>
      </x:c>
      <x:c r="K2236" s="12" t="n">
        <x:v>0</x:v>
      </x:c>
      <x:c r="L2236" s="12" t="n">
        <x:v>0</x:v>
      </x:c>
      <x:c r="M2236" s="2" t="str">
        <x:v>持有</x:v>
      </x:c>
    </x:row>
    <x:row r="2237" ht="23" customHeight="1">
      <x:c r="A2237" s="11" t="d">
        <x:v>2023-11-13T00:00:00.000Z</x:v>
      </x:c>
      <x:c r="B2237" s="12" t="n">
        <x:v>22626.338976</x:v>
      </x:c>
      <x:c r="C2237" s="13" t="n">
        <x:v>484</x:v>
      </x:c>
      <x:c r="D2237" s="12" t="n">
        <x:v>213051.96</x:v>
      </x:c>
      <x:c r="E2237" s="12" t="n">
        <x:v>0</x:v>
      </x:c>
      <x:c r="F2237" s="12" t="n">
        <x:f>SUM(B2237,D2237:E2237)</x:f>
        <x:v>235678.298976</x:v>
      </x:c>
      <x:c r="G2237" s="12" t="n">
        <x:f>MAX(G2236,F2237)</x:f>
        <x:v>248490.544664</x:v>
      </x:c>
      <x:c r="H2237" s="14" t="n">
        <x:f>F2237/G2237-1</x:f>
        <x:v>-0.05156029459923417</x:v>
      </x:c>
      <x:c r="I2237" s="14" t="n">
        <x:f>F2237/F2236-1</x:f>
        <x:v>-0.0008617883638158963</x:v>
      </x:c>
      <x:c r="J2237" s="12" t="n">
        <x:v>0</x:v>
      </x:c>
      <x:c r="K2237" s="12" t="n">
        <x:v>0</x:v>
      </x:c>
      <x:c r="L2237" s="12" t="n">
        <x:v>0</x:v>
      </x:c>
      <x:c r="M2237" s="2" t="str">
        <x:v>持有</x:v>
      </x:c>
    </x:row>
    <x:row r="2238" ht="23" customHeight="1">
      <x:c r="A2238" s="11" t="d">
        <x:v>2023-11-14T00:00:00.000Z</x:v>
      </x:c>
      <x:c r="B2238" s="12" t="n">
        <x:v>22626.338976</x:v>
      </x:c>
      <x:c r="C2238" s="13" t="n">
        <x:v>484</x:v>
      </x:c>
      <x:c r="D2238" s="12" t="n">
        <x:v>217185.32</x:v>
      </x:c>
      <x:c r="E2238" s="12" t="n">
        <x:v>0</x:v>
      </x:c>
      <x:c r="F2238" s="12" t="n">
        <x:f>SUM(B2238,D2238:E2238)</x:f>
        <x:v>239811.658976</x:v>
      </x:c>
      <x:c r="G2238" s="12" t="n">
        <x:f>MAX(G2237,F2238)</x:f>
        <x:v>248490.544664</x:v>
      </x:c>
      <x:c r="H2238" s="14" t="n">
        <x:f>F2238/G2238-1</x:f>
        <x:v>-0.03492642224972886</x:v>
      </x:c>
      <x:c r="I2238" s="14" t="n">
        <x:f>F2238/F2237-1</x:f>
        <x:v>0.01753814423287614</x:v>
      </x:c>
      <x:c r="J2238" s="12" t="n">
        <x:v>0</x:v>
      </x:c>
      <x:c r="K2238" s="12" t="n">
        <x:v>0</x:v>
      </x:c>
      <x:c r="L2238" s="12" t="n">
        <x:v>0</x:v>
      </x:c>
      <x:c r="M2238" s="2" t="str">
        <x:v>持有</x:v>
      </x:c>
    </x:row>
    <x:row r="2239" ht="23" customHeight="1">
      <x:c r="A2239" s="11" t="d">
        <x:v>2023-11-15T00:00:00.000Z</x:v>
      </x:c>
      <x:c r="B2239" s="12" t="n">
        <x:v>22626.338976</x:v>
      </x:c>
      <x:c r="C2239" s="13" t="n">
        <x:v>484</x:v>
      </x:c>
      <x:c r="D2239" s="12" t="n">
        <x:v>217645.12</x:v>
      </x:c>
      <x:c r="E2239" s="12" t="n">
        <x:v>0</x:v>
      </x:c>
      <x:c r="F2239" s="12" t="n">
        <x:f>SUM(B2239,D2239:E2239)</x:f>
        <x:v>240271.458976</x:v>
      </x:c>
      <x:c r="G2239" s="12" t="n">
        <x:f>MAX(G2238,F2239)</x:f>
        <x:v>248490.544664</x:v>
      </x:c>
      <x:c r="H2239" s="14" t="n">
        <x:f>F2239/G2239-1</x:f>
        <x:v>-0.033076050032863624</x:v>
      </x:c>
      <x:c r="I2239" s="14" t="n">
        <x:f>F2239/F2238-1</x:f>
        <x:v>0.0019173379724879425</x:v>
      </x:c>
      <x:c r="J2239" s="12" t="n">
        <x:v>0</x:v>
      </x:c>
      <x:c r="K2239" s="12" t="n">
        <x:v>0</x:v>
      </x:c>
      <x:c r="L2239" s="12" t="n">
        <x:v>0</x:v>
      </x:c>
      <x:c r="M2239" s="2" t="str">
        <x:v>持有</x:v>
      </x:c>
    </x:row>
    <x:row r="2240" ht="23" customHeight="1">
      <x:c r="A2240" s="11" t="d">
        <x:v>2023-11-16T00:00:00.000Z</x:v>
      </x:c>
      <x:c r="B2240" s="12" t="n">
        <x:v>22626.338976</x:v>
      </x:c>
      <x:c r="C2240" s="13" t="n">
        <x:v>484</x:v>
      </x:c>
      <x:c r="D2240" s="12" t="n">
        <x:v>217911.32</x:v>
      </x:c>
      <x:c r="E2240" s="12" t="n">
        <x:v>0</x:v>
      </x:c>
      <x:c r="F2240" s="12" t="n">
        <x:f>SUM(B2240,D2240:E2240)</x:f>
        <x:v>240537.658976</x:v>
      </x:c>
      <x:c r="G2240" s="12" t="n">
        <x:f>MAX(G2239,F2240)</x:f>
        <x:v>248490.544664</x:v>
      </x:c>
      <x:c r="H2240" s="14" t="n">
        <x:f>F2240/G2240-1</x:f>
        <x:v>-0.03200478190730993</x:v>
      </x:c>
      <x:c r="I2240" s="14" t="n">
        <x:f>F2240/F2239-1</x:f>
        <x:v>0.001107913528866522</x:v>
      </x:c>
      <x:c r="J2240" s="12" t="n">
        <x:v>0</x:v>
      </x:c>
      <x:c r="K2240" s="12" t="n">
        <x:v>0</x:v>
      </x:c>
      <x:c r="L2240" s="12" t="n">
        <x:v>0</x:v>
      </x:c>
      <x:c r="M2240" s="2" t="str">
        <x:v>持有</x:v>
      </x:c>
    </x:row>
    <x:row r="2241" ht="23" customHeight="1">
      <x:c r="A2241" s="11" t="d">
        <x:v>2023-11-17T00:00:00.000Z</x:v>
      </x:c>
      <x:c r="B2241" s="12" t="n">
        <x:v>22626.338976</x:v>
      </x:c>
      <x:c r="C2241" s="13" t="n">
        <x:v>484</x:v>
      </x:c>
      <x:c r="D2241" s="12" t="n">
        <x:v>218182.36000000002</x:v>
      </x:c>
      <x:c r="E2241" s="12" t="n">
        <x:v>0</x:v>
      </x:c>
      <x:c r="F2241" s="12" t="n">
        <x:f>SUM(B2241,D2241:E2241)</x:f>
        <x:v>240808.698976</x:v>
      </x:c>
      <x:c r="G2241" s="12" t="n">
        <x:f>MAX(G2240,F2241)</x:f>
        <x:v>248490.544664</x:v>
      </x:c>
      <x:c r="H2241" s="14" t="n">
        <x:f>F2241/G2241-1</x:f>
        <x:v>-0.030914036179473525</x:v>
      </x:c>
      <x:c r="I2241" s="14" t="n">
        <x:f>F2241/F2240-1</x:f>
        <x:v>0.0011268090042693135</x:v>
      </x:c>
      <x:c r="J2241" s="12" t="n">
        <x:v>0</x:v>
      </x:c>
      <x:c r="K2241" s="12" t="n">
        <x:v>0</x:v>
      </x:c>
      <x:c r="L2241" s="12" t="n">
        <x:v>0</x:v>
      </x:c>
      <x:c r="M2241" s="2" t="str">
        <x:v>持有</x:v>
      </x:c>
    </x:row>
    <x:row r="2242" ht="23" customHeight="1">
      <x:c r="A2242" s="11" t="d">
        <x:v>2023-11-20T00:00:00.000Z</x:v>
      </x:c>
      <x:c r="B2242" s="12" t="n">
        <x:v>22626.338976</x:v>
      </x:c>
      <x:c r="C2242" s="13" t="n">
        <x:v>484</x:v>
      </x:c>
      <x:c r="D2242" s="12" t="n">
        <x:v>219861.84</x:v>
      </x:c>
      <x:c r="E2242" s="12" t="n">
        <x:v>0</x:v>
      </x:c>
      <x:c r="F2242" s="12" t="n">
        <x:f>SUM(B2242,D2242:E2242)</x:f>
        <x:v>242488.178976</x:v>
      </x:c>
      <x:c r="G2242" s="12" t="n">
        <x:f>MAX(G2241,F2242)</x:f>
        <x:v>248490.544664</x:v>
      </x:c>
      <x:c r="H2242" s="14" t="n">
        <x:f>F2242/G2242-1</x:f>
        <x:v>-0.02415530818734446</x:v>
      </x:c>
      <x:c r="I2242" s="14" t="n">
        <x:f>F2242/F2241-1</x:f>
        <x:v>0.006974332767635483</x:v>
      </x:c>
      <x:c r="J2242" s="12" t="n">
        <x:v>0</x:v>
      </x:c>
      <x:c r="K2242" s="12" t="n">
        <x:v>0</x:v>
      </x:c>
      <x:c r="L2242" s="12" t="n">
        <x:v>0</x:v>
      </x:c>
      <x:c r="M2242" s="2" t="str">
        <x:v>持有</x:v>
      </x:c>
    </x:row>
    <x:row r="2243" ht="23" customHeight="1">
      <x:c r="A2243" s="11" t="d">
        <x:v>2023-11-21T00:00:00.000Z</x:v>
      </x:c>
      <x:c r="B2243" s="12" t="n">
        <x:v>22626.338976</x:v>
      </x:c>
      <x:c r="C2243" s="13" t="n">
        <x:v>484</x:v>
      </x:c>
      <x:c r="D2243" s="12" t="n">
        <x:v>219382.68</x:v>
      </x:c>
      <x:c r="E2243" s="12" t="n">
        <x:v>0</x:v>
      </x:c>
      <x:c r="F2243" s="12" t="n">
        <x:f>SUM(B2243,D2243:E2243)</x:f>
        <x:v>242009.018976</x:v>
      </x:c>
      <x:c r="G2243" s="12" t="n">
        <x:f>MAX(G2242,F2243)</x:f>
        <x:v>248490.544664</x:v>
      </x:c>
      <x:c r="H2243" s="14" t="n">
        <x:f>F2243/G2243-1</x:f>
        <x:v>-0.026083590813340884</x:v>
      </x:c>
      <x:c r="I2243" s="14" t="n">
        <x:f>F2243/F2242-1</x:f>
        <x:v>-0.001976013849513958</x:v>
      </x:c>
      <x:c r="J2243" s="12" t="n">
        <x:v>0</x:v>
      </x:c>
      <x:c r="K2243" s="12" t="n">
        <x:v>0</x:v>
      </x:c>
      <x:c r="L2243" s="12" t="n">
        <x:v>0</x:v>
      </x:c>
      <x:c r="M2243" s="2" t="str">
        <x:v>持有</x:v>
      </x:c>
    </x:row>
    <x:row r="2244" ht="23" customHeight="1">
      <x:c r="A2244" s="11" t="d">
        <x:v>2023-11-22T00:00:00.000Z</x:v>
      </x:c>
      <x:c r="B2244" s="12" t="n">
        <x:v>22626.338976</x:v>
      </x:c>
      <x:c r="C2244" s="13" t="n">
        <x:v>484</x:v>
      </x:c>
      <x:c r="D2244" s="12" t="n">
        <x:v>220229.68</x:v>
      </x:c>
      <x:c r="E2244" s="12" t="n">
        <x:v>0</x:v>
      </x:c>
      <x:c r="F2244" s="12" t="n">
        <x:f>SUM(B2244,D2244:E2244)</x:f>
        <x:v>242856.018976</x:v>
      </x:c>
      <x:c r="G2244" s="12" t="n">
        <x:f>MAX(G2243,F2244)</x:f>
        <x:v>248490.544664</x:v>
      </x:c>
      <x:c r="H2244" s="14" t="n">
        <x:f>F2244/G2244-1</x:f>
        <x:v>-0.022675010413852115</x:v>
      </x:c>
      <x:c r="I2244" s="14" t="n">
        <x:f>F2244/F2243-1</x:f>
        <x:v>0.0034998695651256018</x:v>
      </x:c>
      <x:c r="J2244" s="12" t="n">
        <x:v>0</x:v>
      </x:c>
      <x:c r="K2244" s="12" t="n">
        <x:v>0</x:v>
      </x:c>
      <x:c r="L2244" s="12" t="n">
        <x:v>0</x:v>
      </x:c>
      <x:c r="M2244" s="2" t="str">
        <x:v>持有</x:v>
      </x:c>
    </x:row>
    <x:row r="2245" ht="23" customHeight="1">
      <x:c r="A2245" s="11" t="d">
        <x:v>2023-11-24T00:00:00.000Z</x:v>
      </x:c>
      <x:c r="B2245" s="12" t="n">
        <x:v>22626.338976</x:v>
      </x:c>
      <x:c r="C2245" s="13" t="n">
        <x:v>484</x:v>
      </x:c>
      <x:c r="D2245" s="12" t="n">
        <x:v>220365.2</x:v>
      </x:c>
      <x:c r="E2245" s="12" t="n">
        <x:v>0</x:v>
      </x:c>
      <x:c r="F2245" s="12" t="n">
        <x:f>SUM(B2245,D2245:E2245)</x:f>
        <x:v>242991.538976</x:v>
      </x:c>
      <x:c r="G2245" s="12" t="n">
        <x:f>MAX(G2244,F2245)</x:f>
        <x:v>248490.544664</x:v>
      </x:c>
      <x:c r="H2245" s="14" t="n">
        <x:f>F2245/G2245-1</x:f>
        <x:v>-0.02212963754993391</x:v>
      </x:c>
      <x:c r="I2245" s="14" t="n">
        <x:f>F2245/F2244-1</x:f>
        <x:v>0.000558026111814991</x:v>
      </x:c>
      <x:c r="J2245" s="12" t="n">
        <x:v>0</x:v>
      </x:c>
      <x:c r="K2245" s="12" t="n">
        <x:v>0</x:v>
      </x:c>
      <x:c r="L2245" s="12" t="n">
        <x:v>0</x:v>
      </x:c>
      <x:c r="M2245" s="2" t="str">
        <x:v>持有</x:v>
      </x:c>
    </x:row>
    <x:row r="2246" ht="23" customHeight="1">
      <x:c r="A2246" s="11" t="d">
        <x:v>2023-11-27T00:00:00.000Z</x:v>
      </x:c>
      <x:c r="B2246" s="12" t="n">
        <x:v>22626.338976</x:v>
      </x:c>
      <x:c r="C2246" s="13" t="n">
        <x:v>484</x:v>
      </x:c>
      <x:c r="D2246" s="12" t="n">
        <x:v>219968.32</x:v>
      </x:c>
      <x:c r="E2246" s="12" t="n">
        <x:v>0</x:v>
      </x:c>
      <x:c r="F2246" s="12" t="n">
        <x:f>SUM(B2246,D2246:E2246)</x:f>
        <x:v>242594.658976</x:v>
      </x:c>
      <x:c r="G2246" s="12" t="n">
        <x:f>MAX(G2245,F2246)</x:f>
        <x:v>248490.544664</x:v>
      </x:c>
      <x:c r="H2246" s="14" t="n">
        <x:f>F2246/G2246-1</x:f>
        <x:v>-0.02372680093712287</x:v>
      </x:c>
      <x:c r="I2246" s="14" t="n">
        <x:f>F2246/F2245-1</x:f>
        <x:v>-0.0016333078990014016</x:v>
      </x:c>
      <x:c r="J2246" s="12" t="n">
        <x:v>0</x:v>
      </x:c>
      <x:c r="K2246" s="12" t="n">
        <x:v>0</x:v>
      </x:c>
      <x:c r="L2246" s="12" t="n">
        <x:v>0</x:v>
      </x:c>
      <x:c r="M2246" s="2" t="str">
        <x:v>持有</x:v>
      </x:c>
    </x:row>
    <x:row r="2247" ht="23" customHeight="1">
      <x:c r="A2247" s="11" t="d">
        <x:v>2023-11-28T00:00:00.000Z</x:v>
      </x:c>
      <x:c r="B2247" s="12" t="n">
        <x:v>22626.338976</x:v>
      </x:c>
      <x:c r="C2247" s="13" t="n">
        <x:v>484</x:v>
      </x:c>
      <x:c r="D2247" s="12" t="n">
        <x:v>220186.12</x:v>
      </x:c>
      <x:c r="E2247" s="12" t="n">
        <x:v>0</x:v>
      </x:c>
      <x:c r="F2247" s="12" t="n">
        <x:f>SUM(B2247,D2247:E2247)</x:f>
        <x:v>242812.458976</x:v>
      </x:c>
      <x:c r="G2247" s="12" t="n">
        <x:f>MAX(G2246,F2247)</x:f>
        <x:v>248490.544664</x:v>
      </x:c>
      <x:c r="H2247" s="14" t="n">
        <x:f>F2247/G2247-1</x:f>
        <x:v>-0.022850308834397315</x:v>
      </x:c>
      <x:c r="I2247" s="14" t="n">
        <x:f>F2247/F2246-1</x:f>
        <x:v>0.0008977938793843787</x:v>
      </x:c>
      <x:c r="J2247" s="12" t="n">
        <x:v>0</x:v>
      </x:c>
      <x:c r="K2247" s="12" t="n">
        <x:v>0</x:v>
      </x:c>
      <x:c r="L2247" s="12" t="n">
        <x:v>0</x:v>
      </x:c>
      <x:c r="M2247" s="2" t="str">
        <x:v>持有</x:v>
      </x:c>
    </x:row>
    <x:row r="2248" ht="23" customHeight="1">
      <x:c r="A2248" s="11" t="d">
        <x:v>2023-11-29T00:00:00.000Z</x:v>
      </x:c>
      <x:c r="B2248" s="12" t="n">
        <x:v>22626.338976</x:v>
      </x:c>
      <x:c r="C2248" s="13" t="n">
        <x:v>484</x:v>
      </x:c>
      <x:c r="D2248" s="12" t="n">
        <x:v>220031.24000000002</x:v>
      </x:c>
      <x:c r="E2248" s="12" t="n">
        <x:v>0</x:v>
      </x:c>
      <x:c r="F2248" s="12" t="n">
        <x:f>SUM(B2248,D2248:E2248)</x:f>
        <x:v>242657.57897600002</x:v>
      </x:c>
      <x:c r="G2248" s="12" t="n">
        <x:f>MAX(G2247,F2248)</x:f>
        <x:v>248490.544664</x:v>
      </x:c>
      <x:c r="H2248" s="14" t="n">
        <x:f>F2248/G2248-1</x:f>
        <x:v>-0.023473592107446595</x:v>
      </x:c>
      <x:c r="I2248" s="14" t="n">
        <x:f>F2248/F2247-1</x:f>
        <x:v>-0.0006378585376266566</x:v>
      </x:c>
      <x:c r="J2248" s="12" t="n">
        <x:v>0</x:v>
      </x:c>
      <x:c r="K2248" s="12" t="n">
        <x:v>0</x:v>
      </x:c>
      <x:c r="L2248" s="12" t="n">
        <x:v>0</x:v>
      </x:c>
      <x:c r="M2248" s="2" t="str">
        <x:v>持有</x:v>
      </x:c>
    </x:row>
    <x:row r="2249" ht="23" customHeight="1">
      <x:c r="A2249" s="11" t="d">
        <x:v>2023-11-30T00:00:00.000Z</x:v>
      </x:c>
      <x:c r="B2249" s="12" t="n">
        <x:v>22626.338976</x:v>
      </x:c>
      <x:c r="C2249" s="13" t="n">
        <x:v>484</x:v>
      </x:c>
      <x:c r="D2249" s="12" t="n">
        <x:v>220897.59999999998</x:v>
      </x:c>
      <x:c r="E2249" s="12" t="n">
        <x:v>0</x:v>
      </x:c>
      <x:c r="F2249" s="12" t="n">
        <x:f>SUM(B2249,D2249:E2249)</x:f>
        <x:v>243523.93897599998</x:v>
      </x:c>
      <x:c r="G2249" s="12" t="n">
        <x:f>MAX(G2248,F2249)</x:f>
        <x:v>248490.544664</x:v>
      </x:c>
      <x:c r="H2249" s="14" t="n">
        <x:f>F2249/G2249-1</x:f>
        <x:v>-0.019987101298826748</x:v>
      </x:c>
      <x:c r="I2249" s="14" t="n">
        <x:f>F2249/F2248-1</x:f>
        <x:v>0.0035702985402554788</x:v>
      </x:c>
      <x:c r="J2249" s="12" t="n">
        <x:v>0</x:v>
      </x:c>
      <x:c r="K2249" s="12" t="n">
        <x:v>0</x:v>
      </x:c>
      <x:c r="L2249" s="12" t="n">
        <x:v>0</x:v>
      </x:c>
      <x:c r="M2249" s="2" t="str">
        <x:v>持有</x:v>
      </x:c>
    </x:row>
    <x:row r="2250" ht="23" customHeight="1">
      <x:c r="A2250" s="11" t="d">
        <x:v>2023-12-01T00:00:00.000Z</x:v>
      </x:c>
      <x:c r="B2250" s="12" t="n">
        <x:v>22626.338976</x:v>
      </x:c>
      <x:c r="C2250" s="13" t="n">
        <x:v>484</x:v>
      </x:c>
      <x:c r="D2250" s="12" t="n">
        <x:v>222204.40000000002</x:v>
      </x:c>
      <x:c r="E2250" s="12" t="n">
        <x:v>0</x:v>
      </x:c>
      <x:c r="F2250" s="12" t="n">
        <x:f>SUM(B2250,D2250:E2250)</x:f>
        <x:v>244830.73897600002</x:v>
      </x:c>
      <x:c r="G2250" s="12" t="n">
        <x:f>MAX(G2249,F2250)</x:f>
        <x:v>248490.544664</x:v>
      </x:c>
      <x:c r="H2250" s="14" t="n">
        <x:f>F2250/G2250-1</x:f>
        <x:v>-0.01472814868247252</x:v>
      </x:c>
      <x:c r="I2250" s="14" t="n">
        <x:f>F2250/F2249-1</x:f>
        <x:v>0.005366207550251634</x:v>
      </x:c>
      <x:c r="J2250" s="12" t="n">
        <x:v>0</x:v>
      </x:c>
      <x:c r="K2250" s="12" t="n">
        <x:v>0</x:v>
      </x:c>
      <x:c r="L2250" s="12" t="n">
        <x:v>0</x:v>
      </x:c>
      <x:c r="M2250" s="2" t="str">
        <x:v>持有</x:v>
      </x:c>
    </x:row>
    <x:row r="2251" ht="23" customHeight="1">
      <x:c r="A2251" s="11" t="d">
        <x:v>2023-12-04T00:00:00.000Z</x:v>
      </x:c>
      <x:c r="B2251" s="12" t="n">
        <x:v>22626.338976</x:v>
      </x:c>
      <x:c r="C2251" s="13" t="n">
        <x:v>484</x:v>
      </x:c>
      <x:c r="D2251" s="12" t="n">
        <x:v>221037.96</x:v>
      </x:c>
      <x:c r="E2251" s="12" t="n">
        <x:v>0</x:v>
      </x:c>
      <x:c r="F2251" s="12" t="n">
        <x:f>SUM(B2251,D2251:E2251)</x:f>
        <x:v>243664.298976</x:v>
      </x:c>
      <x:c r="G2251" s="12" t="n">
        <x:f>MAX(G2250,F2251)</x:f>
        <x:v>248490.544664</x:v>
      </x:c>
      <x:c r="H2251" s="14" t="n">
        <x:f>F2251/G2251-1</x:f>
        <x:v>-0.01942225083262572</x:v>
      </x:c>
      <x:c r="I2251" s="14" t="n">
        <x:f>F2251/F2250-1</x:f>
        <x:v>-0.004764271042429713</x:v>
      </x:c>
      <x:c r="J2251" s="12" t="n">
        <x:v>0</x:v>
      </x:c>
      <x:c r="K2251" s="12" t="n">
        <x:v>0</x:v>
      </x:c>
      <x:c r="L2251" s="12" t="n">
        <x:v>0</x:v>
      </x:c>
      <x:c r="M2251" s="2" t="str">
        <x:v>持有</x:v>
      </x:c>
    </x:row>
    <x:row r="2252" ht="23" customHeight="1">
      <x:c r="A2252" s="11" t="d">
        <x:v>2023-12-05T00:00:00.000Z</x:v>
      </x:c>
      <x:c r="B2252" s="12" t="n">
        <x:v>22626.338976</x:v>
      </x:c>
      <x:c r="C2252" s="13" t="n">
        <x:v>484</x:v>
      </x:c>
      <x:c r="D2252" s="12" t="n">
        <x:v>220994.40000000002</x:v>
      </x:c>
      <x:c r="E2252" s="12" t="n">
        <x:v>0</x:v>
      </x:c>
      <x:c r="F2252" s="12" t="n">
        <x:f>SUM(B2252,D2252:E2252)</x:f>
        <x:v>243620.73897600002</x:v>
      </x:c>
      <x:c r="G2252" s="12" t="n">
        <x:f>MAX(G2251,F2252)</x:f>
        <x:v>248490.544664</x:v>
      </x:c>
      <x:c r="H2252" s="14" t="n">
        <x:f>F2252/G2252-1</x:f>
        <x:v>-0.0195975492531707</x:v>
      </x:c>
      <x:c r="I2252" s="14" t="n">
        <x:f>F2252/F2251-1</x:f>
        <x:v>-0.00017877054694936945</x:v>
      </x:c>
      <x:c r="J2252" s="12" t="n">
        <x:v>0</x:v>
      </x:c>
      <x:c r="K2252" s="12" t="n">
        <x:v>0</x:v>
      </x:c>
      <x:c r="L2252" s="12" t="n">
        <x:v>0</x:v>
      </x:c>
      <x:c r="M2252" s="2" t="str">
        <x:v>持有</x:v>
      </x:c>
    </x:row>
    <x:row r="2253" ht="23" customHeight="1">
      <x:c r="A2253" s="11" t="d">
        <x:v>2023-12-06T00:00:00.000Z</x:v>
      </x:c>
      <x:c r="B2253" s="12" t="n">
        <x:v>22626.338976</x:v>
      </x:c>
      <x:c r="C2253" s="13" t="n">
        <x:v>484</x:v>
      </x:c>
      <x:c r="D2253" s="12" t="n">
        <x:v>220103.84</x:v>
      </x:c>
      <x:c r="E2253" s="12" t="n">
        <x:v>0</x:v>
      </x:c>
      <x:c r="F2253" s="12" t="n">
        <x:f>SUM(B2253,D2253:E2253)</x:f>
        <x:v>242730.178976</x:v>
      </x:c>
      <x:c r="G2253" s="12" t="n">
        <x:f>MAX(G2252,F2253)</x:f>
        <x:v>248490.544664</x:v>
      </x:c>
      <x:c r="H2253" s="14" t="n">
        <x:f>F2253/G2253-1</x:f>
        <x:v>-0.02318142807320478</x:v>
      </x:c>
      <x:c r="I2253" s="14" t="n">
        <x:f>F2253/F2252-1</x:f>
        <x:v>-0.0036555180143663657</x:v>
      </x:c>
      <x:c r="J2253" s="12" t="n">
        <x:v>0</x:v>
      </x:c>
      <x:c r="K2253" s="12" t="n">
        <x:v>0</x:v>
      </x:c>
      <x:c r="L2253" s="12" t="n">
        <x:v>0</x:v>
      </x:c>
      <x:c r="M2253" s="2" t="str">
        <x:v>持有</x:v>
      </x:c>
    </x:row>
    <x:row r="2254" ht="23" customHeight="1">
      <x:c r="A2254" s="11" t="d">
        <x:v>2023-12-07T00:00:00.000Z</x:v>
      </x:c>
      <x:c r="B2254" s="12" t="n">
        <x:v>22626.338976</x:v>
      </x:c>
      <x:c r="C2254" s="13" t="n">
        <x:v>484</x:v>
      </x:c>
      <x:c r="D2254" s="12" t="n">
        <x:v>221783.32</x:v>
      </x:c>
      <x:c r="E2254" s="12" t="n">
        <x:v>0</x:v>
      </x:c>
      <x:c r="F2254" s="12" t="n">
        <x:f>SUM(B2254,D2254:E2254)</x:f>
        <x:v>244409.658976</x:v>
      </x:c>
      <x:c r="G2254" s="12" t="n">
        <x:f>MAX(G2253,F2254)</x:f>
        <x:v>248490.544664</x:v>
      </x:c>
      <x:c r="H2254" s="14" t="n">
        <x:f>F2254/G2254-1</x:f>
        <x:v>-0.016422700081075603</x:v>
      </x:c>
      <x:c r="I2254" s="14" t="n">
        <x:f>F2254/F2253-1</x:f>
        <x:v>0.006919123147707484</x:v>
      </x:c>
      <x:c r="J2254" s="12" t="n">
        <x:v>0</x:v>
      </x:c>
      <x:c r="K2254" s="12" t="n">
        <x:v>0</x:v>
      </x:c>
      <x:c r="L2254" s="12" t="n">
        <x:v>0</x:v>
      </x:c>
      <x:c r="M2254" s="2" t="str">
        <x:v>持有</x:v>
      </x:c>
    </x:row>
    <x:row r="2255" ht="23" customHeight="1">
      <x:c r="A2255" s="11" t="d">
        <x:v>2023-12-08T00:00:00.000Z</x:v>
      </x:c>
      <x:c r="B2255" s="12" t="n">
        <x:v>22626.338976</x:v>
      </x:c>
      <x:c r="C2255" s="13" t="n">
        <x:v>484</x:v>
      </x:c>
      <x:c r="D2255" s="12" t="n">
        <x:v>222736.8</x:v>
      </x:c>
      <x:c r="E2255" s="12" t="n">
        <x:v>0</x:v>
      </x:c>
      <x:c r="F2255" s="12" t="n">
        <x:f>SUM(B2255,D2255:E2255)</x:f>
        <x:v>245363.138976</x:v>
      </x:c>
      <x:c r="G2255" s="12" t="n">
        <x:f>MAX(G2254,F2255)</x:f>
        <x:v>248490.544664</x:v>
      </x:c>
      <x:c r="H2255" s="14" t="n">
        <x:f>F2255/G2255-1</x:f>
        <x:v>-0.012585612431365356</x:v>
      </x:c>
      <x:c r="I2255" s="14" t="n">
        <x:f>F2255/F2254-1</x:f>
        <x:v>0.0039011551507202036</x:v>
      </x:c>
      <x:c r="J2255" s="12" t="n">
        <x:v>0</x:v>
      </x:c>
      <x:c r="K2255" s="12" t="n">
        <x:v>0</x:v>
      </x:c>
      <x:c r="L2255" s="12" t="n">
        <x:v>0</x:v>
      </x:c>
      <x:c r="M2255" s="2" t="str">
        <x:v>持有</x:v>
      </x:c>
    </x:row>
    <x:row r="2256" ht="23" customHeight="1">
      <x:c r="A2256" s="11" t="d">
        <x:v>2023-12-11T00:00:00.000Z</x:v>
      </x:c>
      <x:c r="B2256" s="12" t="n">
        <x:v>22626.338976</x:v>
      </x:c>
      <x:c r="C2256" s="13" t="n">
        <x:v>484</x:v>
      </x:c>
      <x:c r="D2256" s="12" t="n">
        <x:v>223603.16</x:v>
      </x:c>
      <x:c r="E2256" s="12" t="n">
        <x:v>0</x:v>
      </x:c>
      <x:c r="F2256" s="12" t="n">
        <x:f>SUM(B2256,D2256:E2256)</x:f>
        <x:v>246229.498976</x:v>
      </x:c>
      <x:c r="G2256" s="12" t="n">
        <x:f>MAX(G2255,F2256)</x:f>
        <x:v>248490.544664</x:v>
      </x:c>
      <x:c r="H2256" s="14" t="n">
        <x:f>F2256/G2256-1</x:f>
        <x:v>-0.009099121622745399</x:v>
      </x:c>
      <x:c r="I2256" s="14" t="n">
        <x:f>F2256/F2255-1</x:f>
        <x:v>0.003530929721618614</x:v>
      </x:c>
      <x:c r="J2256" s="12" t="n">
        <x:v>0</x:v>
      </x:c>
      <x:c r="K2256" s="12" t="n">
        <x:v>0</x:v>
      </x:c>
      <x:c r="L2256" s="12" t="n">
        <x:v>0</x:v>
      </x:c>
      <x:c r="M2256" s="2" t="str">
        <x:v>持有</x:v>
      </x:c>
    </x:row>
    <x:row r="2257" ht="23" customHeight="1">
      <x:c r="A2257" s="11" t="d">
        <x:v>2023-12-12T00:00:00.000Z</x:v>
      </x:c>
      <x:c r="B2257" s="12" t="n">
        <x:v>22626.338976</x:v>
      </x:c>
      <x:c r="C2257" s="13" t="n">
        <x:v>484</x:v>
      </x:c>
      <x:c r="D2257" s="12" t="n">
        <x:v>224624.40000000002</x:v>
      </x:c>
      <x:c r="E2257" s="12" t="n">
        <x:v>0</x:v>
      </x:c>
      <x:c r="F2257" s="12" t="n">
        <x:f>SUM(B2257,D2257:E2257)</x:f>
        <x:v>247250.73897600002</x:v>
      </x:c>
      <x:c r="G2257" s="12" t="n">
        <x:f>MAX(G2256,F2257)</x:f>
        <x:v>248490.544664</x:v>
      </x:c>
      <x:c r="H2257" s="14" t="n">
        <x:f>F2257/G2257-1</x:f>
        <x:v>-0.00498934754107605</x:v>
      </x:c>
      <x:c r="I2257" s="14" t="n">
        <x:f>F2257/F2256-1</x:f>
        <x:v>0.004147512805114939</x:v>
      </x:c>
      <x:c r="J2257" s="12" t="n">
        <x:v>0</x:v>
      </x:c>
      <x:c r="K2257" s="12" t="n">
        <x:v>0</x:v>
      </x:c>
      <x:c r="L2257" s="12" t="n">
        <x:v>0</x:v>
      </x:c>
      <x:c r="M2257" s="2" t="str">
        <x:v>持有</x:v>
      </x:c>
    </x:row>
    <x:row r="2258" ht="23" customHeight="1">
      <x:c r="A2258" s="11" t="d">
        <x:v>2023-12-13T00:00:00.000Z</x:v>
      </x:c>
      <x:c r="B2258" s="12" t="n">
        <x:v>22626.338976</x:v>
      </x:c>
      <x:c r="C2258" s="13" t="n">
        <x:v>484</x:v>
      </x:c>
      <x:c r="D2258" s="12" t="n">
        <x:v>227722</x:v>
      </x:c>
      <x:c r="E2258" s="12" t="n">
        <x:v>0</x:v>
      </x:c>
      <x:c r="F2258" s="12" t="n">
        <x:f>SUM(B2258,D2258:E2258)</x:f>
        <x:v>250348.338976</x:v>
      </x:c>
      <x:c r="G2258" s="12" t="n">
        <x:f>MAX(G2257,F2258)</x:f>
        <x:v>250348.338976</x:v>
      </x:c>
      <x:c r="H2258" s="14" t="n">
        <x:f>F2258/G2258-1</x:f>
        <x:v>0</x:v>
      </x:c>
      <x:c r="I2258" s="14" t="n">
        <x:f>F2258/F2257-1</x:f>
        <x:v>0.01252817286948793</x:v>
      </x:c>
      <x:c r="J2258" s="12" t="n">
        <x:v>0</x:v>
      </x:c>
      <x:c r="K2258" s="12" t="n">
        <x:v>0</x:v>
      </x:c>
      <x:c r="L2258" s="12" t="n">
        <x:v>0</x:v>
      </x:c>
      <x:c r="M2258" s="2" t="str">
        <x:v>持有</x:v>
      </x:c>
    </x:row>
    <x:row r="2259" ht="23" customHeight="1">
      <x:c r="A2259" s="11" t="d">
        <x:v>2023-12-14T00:00:00.000Z</x:v>
      </x:c>
      <x:c r="B2259" s="12" t="n">
        <x:v>22626.338976</x:v>
      </x:c>
      <x:c r="C2259" s="13" t="n">
        <x:v>484</x:v>
      </x:c>
      <x:c r="D2259" s="12" t="n">
        <x:v>228452.84</x:v>
      </x:c>
      <x:c r="E2259" s="12" t="n">
        <x:v>0</x:v>
      </x:c>
      <x:c r="F2259" s="12" t="n">
        <x:f>SUM(B2259,D2259:E2259)</x:f>
        <x:v>251079.178976</x:v>
      </x:c>
      <x:c r="G2259" s="12" t="n">
        <x:f>MAX(G2258,F2259)</x:f>
        <x:v>251079.178976</x:v>
      </x:c>
      <x:c r="H2259" s="14" t="n">
        <x:f>F2259/G2259-1</x:f>
        <x:v>0</x:v>
      </x:c>
      <x:c r="I2259" s="14" t="n">
        <x:f>F2259/F2258-1</x:f>
        <x:v>0.002919292386717398</x:v>
      </x:c>
      <x:c r="J2259" s="12" t="n">
        <x:v>0</x:v>
      </x:c>
      <x:c r="K2259" s="12" t="n">
        <x:v>0</x:v>
      </x:c>
      <x:c r="L2259" s="12" t="n">
        <x:v>0</x:v>
      </x:c>
      <x:c r="M2259" s="2" t="str">
        <x:v>持有</x:v>
      </x:c>
    </x:row>
    <x:row r="2260" ht="23" customHeight="1">
      <x:c r="A2260" s="11" t="d">
        <x:v>2023-12-15T00:00:00.000Z</x:v>
      </x:c>
      <x:c r="B2260" s="12" t="n">
        <x:v>22626.338976</x:v>
      </x:c>
      <x:c r="C2260" s="13" t="n">
        <x:v>484</x:v>
      </x:c>
      <x:c r="D2260" s="12" t="n">
        <x:v>227155.72</x:v>
      </x:c>
      <x:c r="E2260" s="12" t="n">
        <x:v>922.539332</x:v>
      </x:c>
      <x:c r="F2260" s="12" t="n">
        <x:f>SUM(B2260,D2260:E2260)</x:f>
        <x:v>250704.598308</x:v>
      </x:c>
      <x:c r="G2260" s="12" t="n">
        <x:f>MAX(G2259,F2260)</x:f>
        <x:v>251079.178976</x:v>
      </x:c>
      <x:c r="H2260" s="14" t="n">
        <x:f>F2260/G2260-1</x:f>
        <x:v>-0.0014918826384875405</x:v>
      </x:c>
      <x:c r="I2260" s="14" t="n">
        <x:f>F2260/F2259-1</x:f>
        <x:v>-0.0014918826384875405</x:v>
      </x:c>
      <x:c r="J2260" s="12" t="n">
        <x:v>922.539332</x:v>
      </x:c>
      <x:c r="K2260" s="12" t="n">
        <x:v>0</x:v>
      </x:c>
      <x:c r="L2260" s="12" t="n">
        <x:v>0</x:v>
      </x:c>
      <x:c r="M2260" s="2" t="str">
        <x:v>持有</x:v>
      </x:c>
    </x:row>
    <x:row r="2261" ht="23" customHeight="1">
      <x:c r="A2261" s="11" t="d">
        <x:v>2023-12-18T00:00:00.000Z</x:v>
      </x:c>
      <x:c r="B2261" s="12" t="n">
        <x:v>22626.338976</x:v>
      </x:c>
      <x:c r="C2261" s="13" t="n">
        <x:v>484</x:v>
      </x:c>
      <x:c r="D2261" s="12" t="n">
        <x:v>228433.48</x:v>
      </x:c>
      <x:c r="E2261" s="12" t="n">
        <x:v>922.539332</x:v>
      </x:c>
      <x:c r="F2261" s="12" t="n">
        <x:f>SUM(B2261,D2261:E2261)</x:f>
        <x:v>251982.358308</x:v>
      </x:c>
      <x:c r="G2261" s="12" t="n">
        <x:f>MAX(G2260,F2261)</x:f>
        <x:v>251982.358308</x:v>
      </x:c>
      <x:c r="H2261" s="14" t="n">
        <x:f>F2261/G2261-1</x:f>
        <x:v>0</x:v>
      </x:c>
      <x:c r="I2261" s="14" t="n">
        <x:f>F2261/F2260-1</x:f>
        <x:v>0.005096675564084441</x:v>
      </x:c>
      <x:c r="J2261" s="12" t="n">
        <x:v>0</x:v>
      </x:c>
      <x:c r="K2261" s="12" t="n">
        <x:v>0</x:v>
      </x:c>
      <x:c r="L2261" s="12" t="n">
        <x:v>0</x:v>
      </x:c>
      <x:c r="M2261" s="2" t="str">
        <x:v>持有</x:v>
      </x:c>
    </x:row>
    <x:row r="2262" ht="23" customHeight="1">
      <x:c r="A2262" s="11" t="d">
        <x:v>2023-12-19T00:00:00.000Z</x:v>
      </x:c>
      <x:c r="B2262" s="12" t="n">
        <x:v>22626.338976</x:v>
      </x:c>
      <x:c r="C2262" s="13" t="n">
        <x:v>484</x:v>
      </x:c>
      <x:c r="D2262" s="12" t="n">
        <x:v>229822.56</x:v>
      </x:c>
      <x:c r="E2262" s="12" t="n">
        <x:v>922.539332</x:v>
      </x:c>
      <x:c r="F2262" s="12" t="n">
        <x:f>SUM(B2262,D2262:E2262)</x:f>
        <x:v>253371.43830799998</x:v>
      </x:c>
      <x:c r="G2262" s="12" t="n">
        <x:f>MAX(G2261,F2262)</x:f>
        <x:v>253371.43830799998</x:v>
      </x:c>
      <x:c r="H2262" s="14" t="n">
        <x:f>F2262/G2262-1</x:f>
        <x:v>0</x:v>
      </x:c>
      <x:c r="I2262" s="14" t="n">
        <x:f>F2262/F2261-1</x:f>
        <x:v>0.00551260814180532</x:v>
      </x:c>
      <x:c r="J2262" s="12" t="n">
        <x:v>0</x:v>
      </x:c>
      <x:c r="K2262" s="12" t="n">
        <x:v>0</x:v>
      </x:c>
      <x:c r="L2262" s="12" t="n">
        <x:v>0</x:v>
      </x:c>
      <x:c r="M2262" s="2" t="str">
        <x:v>持有</x:v>
      </x:c>
    </x:row>
    <x:row r="2263" ht="23" customHeight="1">
      <x:c r="A2263" s="11" t="d">
        <x:v>2023-12-20T00:00:00.000Z</x:v>
      </x:c>
      <x:c r="B2263" s="12" t="n">
        <x:v>22626.338976</x:v>
      </x:c>
      <x:c r="C2263" s="13" t="n">
        <x:v>484</x:v>
      </x:c>
      <x:c r="D2263" s="12" t="n">
        <x:v>226637.84</x:v>
      </x:c>
      <x:c r="E2263" s="12" t="n">
        <x:v>922.539332</x:v>
      </x:c>
      <x:c r="F2263" s="12" t="n">
        <x:f>SUM(B2263,D2263:E2263)</x:f>
        <x:v>250186.71830799998</x:v>
      </x:c>
      <x:c r="G2263" s="12" t="n">
        <x:f>MAX(G2262,F2263)</x:f>
        <x:v>253371.43830799998</x:v>
      </x:c>
      <x:c r="H2263" s="14" t="n">
        <x:f>F2263/G2263-1</x:f>
        <x:v>-0.012569372543596025</x:v>
      </x:c>
      <x:c r="I2263" s="14" t="n">
        <x:f>F2263/F2262-1</x:f>
        <x:v>-0.012569372543596025</x:v>
      </x:c>
      <x:c r="J2263" s="12" t="n">
        <x:v>0</x:v>
      </x:c>
      <x:c r="K2263" s="12" t="n">
        <x:v>0</x:v>
      </x:c>
      <x:c r="L2263" s="12" t="n">
        <x:v>0</x:v>
      </x:c>
      <x:c r="M2263" s="2" t="str">
        <x:v>持有</x:v>
      </x:c>
    </x:row>
    <x:row r="2264" ht="23" customHeight="1">
      <x:c r="A2264" s="11" t="d">
        <x:v>2023-12-21T00:00:00.000Z</x:v>
      </x:c>
      <x:c r="B2264" s="12" t="n">
        <x:v>22626.338976</x:v>
      </x:c>
      <x:c r="C2264" s="13" t="n">
        <x:v>484</x:v>
      </x:c>
      <x:c r="D2264" s="12" t="n">
        <x:v>228786.8</x:v>
      </x:c>
      <x:c r="E2264" s="12" t="n">
        <x:v>922.539332</x:v>
      </x:c>
      <x:c r="F2264" s="12" t="n">
        <x:f>SUM(B2264,D2264:E2264)</x:f>
        <x:v>252335.67830799997</x:v>
      </x:c>
      <x:c r="G2264" s="12" t="n">
        <x:f>MAX(G2263,F2264)</x:f>
        <x:v>253371.43830799998</x:v>
      </x:c>
      <x:c r="H2264" s="14" t="n">
        <x:f>F2264/G2264-1</x:f>
        <x:v>-0.0040879114351513035</x:v>
      </x:c>
      <x:c r="I2264" s="14" t="n">
        <x:f>F2264/F2263-1</x:f>
        <x:v>0.008589424788547184</x:v>
      </x:c>
      <x:c r="J2264" s="12" t="n">
        <x:v>0</x:v>
      </x:c>
      <x:c r="K2264" s="12" t="n">
        <x:v>0</x:v>
      </x:c>
      <x:c r="L2264" s="12" t="n">
        <x:v>0</x:v>
      </x:c>
      <x:c r="M2264" s="2" t="str">
        <x:v>持有</x:v>
      </x:c>
    </x:row>
    <x:row r="2265" ht="23" customHeight="1">
      <x:c r="A2265" s="11" t="d">
        <x:v>2023-12-22T00:00:00.000Z</x:v>
      </x:c>
      <x:c r="B2265" s="12" t="n">
        <x:v>22626.338976</x:v>
      </x:c>
      <x:c r="C2265" s="13" t="n">
        <x:v>484</x:v>
      </x:c>
      <x:c r="D2265" s="12" t="n">
        <x:v>229246.59999999998</x:v>
      </x:c>
      <x:c r="E2265" s="12" t="n">
        <x:v>922.539332</x:v>
      </x:c>
      <x:c r="F2265" s="12" t="n">
        <x:f>SUM(B2265,D2265:E2265)</x:f>
        <x:v>252795.47830799996</x:v>
      </x:c>
      <x:c r="G2265" s="12" t="n">
        <x:f>MAX(G2264,F2265)</x:f>
        <x:v>253371.43830799998</x:v>
      </x:c>
      <x:c r="H2265" s="14" t="n">
        <x:f>F2265/G2265-1</x:f>
        <x:v>-0.002273184396182293</x:v>
      </x:c>
      <x:c r="I2265" s="14" t="n">
        <x:f>F2265/F2264-1</x:f>
        <x:v>0.0018221759328014286</x:v>
      </x:c>
      <x:c r="J2265" s="12" t="n">
        <x:v>0</x:v>
      </x:c>
      <x:c r="K2265" s="12" t="n">
        <x:v>0</x:v>
      </x:c>
      <x:c r="L2265" s="12" t="n">
        <x:v>0</x:v>
      </x:c>
      <x:c r="M2265" s="2" t="str">
        <x:v>持有</x:v>
      </x:c>
    </x:row>
    <x:row r="2266" ht="23" customHeight="1">
      <x:c r="A2266" s="11" t="d">
        <x:v>2023-12-26T00:00:00.000Z</x:v>
      </x:c>
      <x:c r="B2266" s="12" t="n">
        <x:v>22626.338976</x:v>
      </x:c>
      <x:c r="C2266" s="13" t="n">
        <x:v>484</x:v>
      </x:c>
      <x:c r="D2266" s="12" t="n">
        <x:v>230214.59999999998</x:v>
      </x:c>
      <x:c r="E2266" s="12" t="n">
        <x:v>922.539332</x:v>
      </x:c>
      <x:c r="F2266" s="12" t="n">
        <x:f>SUM(B2266,D2266:E2266)</x:f>
        <x:v>253763.47830799996</x:v>
      </x:c>
      <x:c r="G2266" s="12" t="n">
        <x:f>MAX(G2265,F2266)</x:f>
        <x:v>253763.47830799996</x:v>
      </x:c>
      <x:c r="H2266" s="14" t="n">
        <x:f>F2266/G2266-1</x:f>
        <x:v>0</x:v>
      </x:c>
      <x:c r="I2266" s="14" t="n">
        <x:f>F2266/F2265-1</x:f>
        <x:v>0.0038291824144915942</x:v>
      </x:c>
      <x:c r="J2266" s="12" t="n">
        <x:v>0</x:v>
      </x:c>
      <x:c r="K2266" s="12" t="n">
        <x:v>0</x:v>
      </x:c>
      <x:c r="L2266" s="12" t="n">
        <x:v>0</x:v>
      </x:c>
      <x:c r="M2266" s="2" t="str">
        <x:v>持有</x:v>
      </x:c>
    </x:row>
    <x:row r="2267" ht="23" customHeight="1">
      <x:c r="A2267" s="11" t="d">
        <x:v>2023-12-27T00:00:00.000Z</x:v>
      </x:c>
      <x:c r="B2267" s="12" t="n">
        <x:v>22626.338976</x:v>
      </x:c>
      <x:c r="C2267" s="13" t="n">
        <x:v>484</x:v>
      </x:c>
      <x:c r="D2267" s="12" t="n">
        <x:v>230630.84</x:v>
      </x:c>
      <x:c r="E2267" s="12" t="n">
        <x:v>922.539332</x:v>
      </x:c>
      <x:c r="F2267" s="12" t="n">
        <x:f>SUM(B2267,D2267:E2267)</x:f>
        <x:v>254179.71830799998</x:v>
      </x:c>
      <x:c r="G2267" s="12" t="n">
        <x:f>MAX(G2266,F2267)</x:f>
        <x:v>254179.71830799998</x:v>
      </x:c>
      <x:c r="H2267" s="14" t="n">
        <x:f>F2267/G2267-1</x:f>
        <x:v>0</x:v>
      </x:c>
      <x:c r="I2267" s="14" t="n">
        <x:f>F2267/F2266-1</x:f>
        <x:v>0.001640267554556596</x:v>
      </x:c>
      <x:c r="J2267" s="12" t="n">
        <x:v>0</x:v>
      </x:c>
      <x:c r="K2267" s="12" t="n">
        <x:v>0</x:v>
      </x:c>
      <x:c r="L2267" s="12" t="n">
        <x:v>0</x:v>
      </x:c>
      <x:c r="M2267" s="2" t="str">
        <x:v>持有</x:v>
      </x:c>
    </x:row>
    <x:row r="2268" ht="23" customHeight="1">
      <x:c r="A2268" s="11" t="d">
        <x:v>2023-12-28T00:00:00.000Z</x:v>
      </x:c>
      <x:c r="B2268" s="12" t="n">
        <x:v>22626.338976</x:v>
      </x:c>
      <x:c r="C2268" s="13" t="n">
        <x:v>484</x:v>
      </x:c>
      <x:c r="D2268" s="12" t="n">
        <x:v>230717.96</x:v>
      </x:c>
      <x:c r="E2268" s="12" t="n">
        <x:v>922.539332</x:v>
      </x:c>
      <x:c r="F2268" s="12" t="n">
        <x:f>SUM(B2268,D2268:E2268)</x:f>
        <x:v>254266.83830799998</x:v>
      </x:c>
      <x:c r="G2268" s="12" t="n">
        <x:f>MAX(G2267,F2268)</x:f>
        <x:v>254266.83830799998</x:v>
      </x:c>
      <x:c r="H2268" s="14" t="n">
        <x:f>F2268/G2268-1</x:f>
        <x:v>0</x:v>
      </x:c>
      <x:c r="I2268" s="14" t="n">
        <x:f>F2268/F2267-1</x:f>
        <x:v>0.00034274961267533044</x:v>
      </x:c>
      <x:c r="J2268" s="12" t="n">
        <x:v>0</x:v>
      </x:c>
      <x:c r="K2268" s="12" t="n">
        <x:v>0</x:v>
      </x:c>
      <x:c r="L2268" s="12" t="n">
        <x:v>0</x:v>
      </x:c>
      <x:c r="M2268" s="2" t="str">
        <x:v>持有</x:v>
      </x:c>
    </x:row>
    <x:row r="2269" ht="23" customHeight="1">
      <x:c r="A2269" s="11" t="d">
        <x:v>2023-12-29T00:00:00.000Z</x:v>
      </x:c>
      <x:c r="B2269" s="12" t="n">
        <x:v>22626.338976</x:v>
      </x:c>
      <x:c r="C2269" s="13" t="n">
        <x:v>484</x:v>
      </x:c>
      <x:c r="D2269" s="12" t="n">
        <x:v>230050.04</x:v>
      </x:c>
      <x:c r="E2269" s="12" t="n">
        <x:v>922.539332</x:v>
      </x:c>
      <x:c r="F2269" s="12" t="n">
        <x:f>SUM(B2269,D2269:E2269)</x:f>
        <x:v>253598.918308</x:v>
      </x:c>
      <x:c r="G2269" s="12" t="n">
        <x:f>MAX(G2268,F2269)</x:f>
        <x:v>254266.83830799998</x:v>
      </x:c>
      <x:c r="H2269" s="14" t="n">
        <x:f>F2269/G2269-1</x:f>
        <x:v>-0.0026268466798290424</x:v>
      </x:c>
      <x:c r="I2269" s="14" t="n">
        <x:f>F2269/F2268-1</x:f>
        <x:v>-0.0026268466798290424</x:v>
      </x:c>
      <x:c r="J2269" s="12" t="n">
        <x:v>0</x:v>
      </x:c>
      <x:c r="K2269" s="12" t="n">
        <x:v>0</x:v>
      </x:c>
      <x:c r="L2269" s="12" t="n">
        <x:v>0</x:v>
      </x:c>
      <x:c r="M2269" s="2" t="str">
        <x:v>持有</x:v>
      </x:c>
    </x:row>
    <x:row r="2270" ht="23" customHeight="1">
      <x:c r="A2270" s="11" t="d">
        <x:v>2024-01-02T00:00:00.000Z</x:v>
      </x:c>
      <x:c r="B2270" s="12" t="n">
        <x:v>22626.338976</x:v>
      </x:c>
      <x:c r="C2270" s="13" t="n">
        <x:v>484</x:v>
      </x:c>
      <x:c r="D2270" s="12" t="n">
        <x:v>228762.59999999998</x:v>
      </x:c>
      <x:c r="E2270" s="12" t="n">
        <x:v>922.539332</x:v>
      </x:c>
      <x:c r="F2270" s="12" t="n">
        <x:f>SUM(B2270,D2270:E2270)</x:f>
        <x:v>252311.47830799996</x:v>
      </x:c>
      <x:c r="G2270" s="12" t="n">
        <x:f>MAX(G2269,F2270)</x:f>
        <x:v>254266.83830799998</x:v>
      </x:c>
      <x:c r="H2270" s="14" t="n">
        <x:f>F2270/G2270-1</x:f>
        <x:v>-0.007690188830803968</x:v>
      </x:c>
      <x:c r="I2270" s="14" t="n">
        <x:f>F2270/F2269-1</x:f>
        <x:v>-0.005076677805212149</x:v>
      </x:c>
      <x:c r="J2270" s="12" t="n">
        <x:v>0</x:v>
      </x:c>
      <x:c r="K2270" s="12" t="n">
        <x:v>0</x:v>
      </x:c>
      <x:c r="L2270" s="12" t="n">
        <x:v>0</x:v>
      </x:c>
      <x:c r="M2270" s="2" t="str">
        <x:v>持有</x:v>
      </x:c>
    </x:row>
    <x:row r="2271" ht="23" customHeight="1">
      <x:c r="A2271" s="11" t="d">
        <x:v>2024-01-03T00:00:00.000Z</x:v>
      </x:c>
      <x:c r="B2271" s="12" t="n">
        <x:v>22626.338976</x:v>
      </x:c>
      <x:c r="C2271" s="13" t="n">
        <x:v>484</x:v>
      </x:c>
      <x:c r="D2271" s="12" t="n">
        <x:v>226894.36000000002</x:v>
      </x:c>
      <x:c r="E2271" s="12" t="n">
        <x:v>922.539332</x:v>
      </x:c>
      <x:c r="F2271" s="12" t="n">
        <x:f>SUM(B2271,D2271:E2271)</x:f>
        <x:v>250443.238308</x:v>
      </x:c>
      <x:c r="G2271" s="12" t="n">
        <x:f>MAX(G2270,F2271)</x:f>
        <x:v>254266.83830799998</x:v>
      </x:c>
      <x:c r="H2271" s="14" t="n">
        <x:f>F2271/G2271-1</x:f>
        <x:v>-0.015037745485977805</x:v>
      </x:c>
      <x:c r="I2271" s="14" t="n">
        <x:f>F2271/F2270-1</x:f>
        <x:v>-0.007404498647974211</x:v>
      </x:c>
      <x:c r="J2271" s="12" t="n">
        <x:v>0</x:v>
      </x:c>
      <x:c r="K2271" s="12" t="n">
        <x:v>0</x:v>
      </x:c>
      <x:c r="L2271" s="12" t="n">
        <x:v>0</x:v>
      </x:c>
      <x:c r="M2271" s="2" t="str">
        <x:v>持有</x:v>
      </x:c>
    </x:row>
    <x:row r="2272" ht="23" customHeight="1">
      <x:c r="A2272" s="11" t="d">
        <x:v>2024-01-04T00:00:00.000Z</x:v>
      </x:c>
      <x:c r="B2272" s="12" t="n">
        <x:v>22626.338976</x:v>
      </x:c>
      <x:c r="C2272" s="13" t="n">
        <x:v>484</x:v>
      </x:c>
      <x:c r="D2272" s="12" t="n">
        <x:v>226163.52</x:v>
      </x:c>
      <x:c r="E2272" s="12" t="n">
        <x:v>922.539332</x:v>
      </x:c>
      <x:c r="F2272" s="12" t="n">
        <x:f>SUM(B2272,D2272:E2272)</x:f>
        <x:v>249712.39830799997</x:v>
      </x:c>
      <x:c r="G2272" s="12" t="n">
        <x:f>MAX(G2271,F2272)</x:f>
        <x:v>254266.83830799998</x:v>
      </x:c>
      <x:c r="H2272" s="14" t="n">
        <x:f>F2272/G2272-1</x:f>
        <x:v>-0.017912048737095176</x:v>
      </x:c>
      <x:c r="I2272" s="14" t="n">
        <x:f>F2272/F2271-1</x:f>
        <x:v>-0.0029181861923587293</x:v>
      </x:c>
      <x:c r="J2272" s="12" t="n">
        <x:v>0</x:v>
      </x:c>
      <x:c r="K2272" s="12" t="n">
        <x:v>0</x:v>
      </x:c>
      <x:c r="L2272" s="12" t="n">
        <x:v>0</x:v>
      </x:c>
      <x:c r="M2272" s="2" t="str">
        <x:v>持有</x:v>
      </x:c>
    </x:row>
    <x:row r="2273" ht="23" customHeight="1">
      <x:c r="A2273" s="11" t="d">
        <x:v>2024-01-05T00:00:00.000Z</x:v>
      </x:c>
      <x:c r="B2273" s="12" t="n">
        <x:v>22626.338976</x:v>
      </x:c>
      <x:c r="C2273" s="13" t="n">
        <x:v>484</x:v>
      </x:c>
      <x:c r="D2273" s="12" t="n">
        <x:v>226473.28</x:v>
      </x:c>
      <x:c r="E2273" s="12" t="n">
        <x:v>922.539332</x:v>
      </x:c>
      <x:c r="F2273" s="12" t="n">
        <x:f>SUM(B2273,D2273:E2273)</x:f>
        <x:v>250022.15830799998</x:v>
      </x:c>
      <x:c r="G2273" s="12" t="n">
        <x:f>MAX(G2272,F2273)</x:f>
        <x:v>254266.83830799998</x:v>
      </x:c>
      <x:c r="H2273" s="14" t="n">
        <x:f>F2273/G2273-1</x:f>
        <x:v>-0.01669380100152229</x:v>
      </x:c>
      <x:c r="I2273" s="14" t="n">
        <x:f>F2273/F2272-1</x:f>
        <x:v>0.0012404670416803487</x:v>
      </x:c>
      <x:c r="J2273" s="12" t="n">
        <x:v>0</x:v>
      </x:c>
      <x:c r="K2273" s="12" t="n">
        <x:v>0</x:v>
      </x:c>
      <x:c r="L2273" s="12" t="n">
        <x:v>0</x:v>
      </x:c>
      <x:c r="M2273" s="2" t="str">
        <x:v>持有</x:v>
      </x:c>
    </x:row>
    <x:row r="2274" ht="23" customHeight="1">
      <x:c r="A2274" s="11" t="d">
        <x:v>2024-01-08T00:00:00.000Z</x:v>
      </x:c>
      <x:c r="B2274" s="12" t="n">
        <x:v>22626.338976</x:v>
      </x:c>
      <x:c r="C2274" s="13" t="n">
        <x:v>484</x:v>
      </x:c>
      <x:c r="D2274" s="12" t="n">
        <x:v>229706.40000000002</x:v>
      </x:c>
      <x:c r="E2274" s="12" t="n">
        <x:v>922.539332</x:v>
      </x:c>
      <x:c r="F2274" s="12" t="n">
        <x:f>SUM(B2274,D2274:E2274)</x:f>
        <x:v>253255.278308</x:v>
      </x:c>
      <x:c r="G2274" s="12" t="n">
        <x:f>MAX(G2273,F2274)</x:f>
        <x:v>254266.83830799998</x:v>
      </x:c>
      <x:c r="H2274" s="14" t="n">
        <x:f>F2274/G2274-1</x:f>
        <x:v>-0.00397834026148014</x:v>
      </x:c>
      <x:c r="I2274" s="14" t="n">
        <x:f>F2274/F2273-1</x:f>
        <x:v>0.012931333854086624</x:v>
      </x:c>
      <x:c r="J2274" s="12" t="n">
        <x:v>0</x:v>
      </x:c>
      <x:c r="K2274" s="12" t="n">
        <x:v>0</x:v>
      </x:c>
      <x:c r="L2274" s="12" t="n">
        <x:v>0</x:v>
      </x:c>
      <x:c r="M2274" s="2" t="str">
        <x:v>持有</x:v>
      </x:c>
    </x:row>
    <x:row r="2275" ht="23" customHeight="1">
      <x:c r="A2275" s="11" t="d">
        <x:v>2024-01-09T00:00:00.000Z</x:v>
      </x:c>
      <x:c r="B2275" s="12" t="n">
        <x:v>22626.338976</x:v>
      </x:c>
      <x:c r="C2275" s="13" t="n">
        <x:v>484</x:v>
      </x:c>
      <x:c r="D2275" s="12" t="n">
        <x:v>229357.91999999998</x:v>
      </x:c>
      <x:c r="E2275" s="12" t="n">
        <x:v>922.539332</x:v>
      </x:c>
      <x:c r="F2275" s="12" t="n">
        <x:f>SUM(B2275,D2275:E2275)</x:f>
        <x:v>252906.79830799997</x:v>
      </x:c>
      <x:c r="G2275" s="12" t="n">
        <x:f>MAX(G2274,F2275)</x:f>
        <x:v>254266.83830799998</x:v>
      </x:c>
      <x:c r="H2275" s="14" t="n">
        <x:f>F2275/G2275-1</x:f>
        <x:v>-0.0053488689639997755</x:v>
      </x:c>
      <x:c r="I2275" s="14" t="n">
        <x:f>F2275/F2274-1</x:f>
        <x:v>-0.0013760029102976024</x:v>
      </x:c>
      <x:c r="J2275" s="12" t="n">
        <x:v>0</x:v>
      </x:c>
      <x:c r="K2275" s="12" t="n">
        <x:v>0</x:v>
      </x:c>
      <x:c r="L2275" s="12" t="n">
        <x:v>0</x:v>
      </x:c>
      <x:c r="M2275" s="2" t="str">
        <x:v>持有</x:v>
      </x:c>
    </x:row>
    <x:row r="2276" ht="23" customHeight="1">
      <x:c r="A2276" s="11" t="d">
        <x:v>2024-01-10T00:00:00.000Z</x:v>
      </x:c>
      <x:c r="B2276" s="12" t="n">
        <x:v>22626.338976</x:v>
      </x:c>
      <x:c r="C2276" s="13" t="n">
        <x:v>484</x:v>
      </x:c>
      <x:c r="D2276" s="12" t="n">
        <x:v>230655.04</x:v>
      </x:c>
      <x:c r="E2276" s="12" t="n">
        <x:v>922.539332</x:v>
      </x:c>
      <x:c r="F2276" s="12" t="n">
        <x:f>SUM(B2276,D2276:E2276)</x:f>
        <x:v>254203.918308</x:v>
      </x:c>
      <x:c r="G2276" s="12" t="n">
        <x:f>MAX(G2275,F2276)</x:f>
        <x:v>254266.83830799998</x:v>
      </x:c>
      <x:c r="H2276" s="14" t="n">
        <x:f>F2276/G2276-1</x:f>
        <x:v>-0.0002474565712882182</x:v>
      </x:c>
      <x:c r="I2276" s="14" t="n">
        <x:f>F2276/F2275-1</x:f>
        <x:v>0.005128845917460545</x:v>
      </x:c>
      <x:c r="J2276" s="12" t="n">
        <x:v>0</x:v>
      </x:c>
      <x:c r="K2276" s="12" t="n">
        <x:v>0</x:v>
      </x:c>
      <x:c r="L2276" s="12" t="n">
        <x:v>0</x:v>
      </x:c>
      <x:c r="M2276" s="2" t="str">
        <x:v>持有</x:v>
      </x:c>
    </x:row>
    <x:row r="2277" ht="23" customHeight="1">
      <x:c r="A2277" s="11" t="d">
        <x:v>2024-01-11T00:00:00.000Z</x:v>
      </x:c>
      <x:c r="B2277" s="12" t="n">
        <x:v>22626.338976</x:v>
      </x:c>
      <x:c r="C2277" s="13" t="n">
        <x:v>484</x:v>
      </x:c>
      <x:c r="D2277" s="12" t="n">
        <x:v>230553.40000000002</x:v>
      </x:c>
      <x:c r="E2277" s="12" t="n">
        <x:v>922.539332</x:v>
      </x:c>
      <x:c r="F2277" s="12" t="n">
        <x:f>SUM(B2277,D2277:E2277)</x:f>
        <x:v>254102.278308</x:v>
      </x:c>
      <x:c r="G2277" s="12" t="n">
        <x:f>MAX(G2276,F2277)</x:f>
        <x:v>254266.83830799998</x:v>
      </x:c>
      <x:c r="H2277" s="14" t="n">
        <x:f>F2277/G2277-1</x:f>
        <x:v>-0.0006471941095229639</x:v>
      </x:c>
      <x:c r="I2277" s="14" t="n">
        <x:f>F2277/F2276-1</x:f>
        <x:v>-0.0003998364803993182</x:v>
      </x:c>
      <x:c r="J2277" s="12" t="n">
        <x:v>0</x:v>
      </x:c>
      <x:c r="K2277" s="12" t="n">
        <x:v>0</x:v>
      </x:c>
      <x:c r="L2277" s="12" t="n">
        <x:v>0</x:v>
      </x:c>
      <x:c r="M2277" s="2" t="str">
        <x:v>持有</x:v>
      </x:c>
    </x:row>
    <x:row r="2278" ht="23" customHeight="1">
      <x:c r="A2278" s="11" t="d">
        <x:v>2024-01-12T00:00:00.000Z</x:v>
      </x:c>
      <x:c r="B2278" s="12" t="n">
        <x:v>22626.338976</x:v>
      </x:c>
      <x:c r="C2278" s="13" t="n">
        <x:v>484</x:v>
      </x:c>
      <x:c r="D2278" s="12" t="n">
        <x:v>230713.12</x:v>
      </x:c>
      <x:c r="E2278" s="12" t="n">
        <x:v>922.539332</x:v>
      </x:c>
      <x:c r="F2278" s="12" t="n">
        <x:f>SUM(B2278,D2278:E2278)</x:f>
        <x:v>254261.99830799998</x:v>
      </x:c>
      <x:c r="G2278" s="12" t="n">
        <x:f>MAX(G2277,F2278)</x:f>
        <x:v>254266.83830799998</x:v>
      </x:c>
      <x:c r="H2278" s="14" t="n">
        <x:f>F2278/G2278-1</x:f>
        <x:v>-0.000019035120868315936</x:v>
      </x:c>
      <x:c r="I2278" s="14" t="n">
        <x:f>F2278/F2277-1</x:f>
        <x:v>0.0006285657927331822</x:v>
      </x:c>
      <x:c r="J2278" s="12" t="n">
        <x:v>0</x:v>
      </x:c>
      <x:c r="K2278" s="12" t="n">
        <x:v>0</x:v>
      </x:c>
      <x:c r="L2278" s="12" t="n">
        <x:v>0</x:v>
      </x:c>
      <x:c r="M2278" s="2" t="str">
        <x:v>持有</x:v>
      </x:c>
    </x:row>
    <x:row r="2279" ht="23" customHeight="1">
      <x:c r="A2279" s="11" t="d">
        <x:v>2024-01-16T00:00:00.000Z</x:v>
      </x:c>
      <x:c r="B2279" s="12" t="n">
        <x:v>22626.338976</x:v>
      </x:c>
      <x:c r="C2279" s="13" t="n">
        <x:v>484</x:v>
      </x:c>
      <x:c r="D2279" s="12" t="n">
        <x:v>229866.12</x:v>
      </x:c>
      <x:c r="E2279" s="12" t="n">
        <x:v>922.539332</x:v>
      </x:c>
      <x:c r="F2279" s="12" t="n">
        <x:f>SUM(B2279,D2279:E2279)</x:f>
        <x:v>253414.99830799998</x:v>
      </x:c>
      <x:c r="G2279" s="12" t="n">
        <x:f>MAX(G2278,F2279)</x:f>
        <x:v>254266.83830799998</x:v>
      </x:c>
      <x:c r="H2279" s="14" t="n">
        <x:f>F2279/G2279-1</x:f>
        <x:v>-0.003350181272825492</x:v>
      </x:c>
      <x:c r="I2279" s="14" t="n">
        <x:f>F2279/F2278-1</x:f>
        <x:v>-0.003331209561933779</x:v>
      </x:c>
      <x:c r="J2279" s="12" t="n">
        <x:v>0</x:v>
      </x:c>
      <x:c r="K2279" s="12" t="n">
        <x:v>0</x:v>
      </x:c>
      <x:c r="L2279" s="12" t="n">
        <x:v>0</x:v>
      </x:c>
      <x:c r="M2279" s="2" t="str">
        <x:v>持有</x:v>
      </x:c>
    </x:row>
    <x:row r="2280" ht="23" customHeight="1">
      <x:c r="A2280" s="11" t="d">
        <x:v>2024-01-17T00:00:00.000Z</x:v>
      </x:c>
      <x:c r="B2280" s="12" t="n">
        <x:v>22626.338976</x:v>
      </x:c>
      <x:c r="C2280" s="13" t="n">
        <x:v>484</x:v>
      </x:c>
      <x:c r="D2280" s="12" t="n">
        <x:v>228588.36000000002</x:v>
      </x:c>
      <x:c r="E2280" s="12" t="n">
        <x:v>922.539332</x:v>
      </x:c>
      <x:c r="F2280" s="12" t="n">
        <x:f>SUM(B2280,D2280:E2280)</x:f>
        <x:v>252137.238308</x:v>
      </x:c>
      <x:c r="G2280" s="12" t="n">
        <x:f>MAX(G2279,F2280)</x:f>
        <x:v>254266.83830799998</x:v>
      </x:c>
      <x:c r="H2280" s="14" t="n">
        <x:f>F2280/G2280-1</x:f>
        <x:v>-0.008375453182063564</x:v>
      </x:c>
      <x:c r="I2280" s="14" t="n">
        <x:f>F2280/F2279-1</x:f>
        <x:v>-0.005042164072889599</x:v>
      </x:c>
      <x:c r="J2280" s="12" t="n">
        <x:v>0</x:v>
      </x:c>
      <x:c r="K2280" s="12" t="n">
        <x:v>0</x:v>
      </x:c>
      <x:c r="L2280" s="12" t="n">
        <x:v>0</x:v>
      </x:c>
      <x:c r="M2280" s="2" t="str">
        <x:v>持有</x:v>
      </x:c>
    </x:row>
    <x:row r="2281" ht="23" customHeight="1">
      <x:c r="A2281" s="11" t="d">
        <x:v>2024-01-18T00:00:00.000Z</x:v>
      </x:c>
      <x:c r="B2281" s="12" t="n">
        <x:v>22626.338976</x:v>
      </x:c>
      <x:c r="C2281" s="13" t="n">
        <x:v>484</x:v>
      </x:c>
      <x:c r="D2281" s="12" t="n">
        <x:v>230621.16</x:v>
      </x:c>
      <x:c r="E2281" s="12" t="n">
        <x:v>922.539332</x:v>
      </x:c>
      <x:c r="F2281" s="12" t="n">
        <x:f>SUM(B2281,D2281:E2281)</x:f>
        <x:v>254170.038308</x:v>
      </x:c>
      <x:c r="G2281" s="12" t="n">
        <x:f>MAX(G2280,F2281)</x:f>
        <x:v>254266.83830799998</x:v>
      </x:c>
      <x:c r="H2281" s="14" t="n">
        <x:f>F2281/G2281-1</x:f>
        <x:v>-0.00038070241736642974</x:v>
      </x:c>
      <x:c r="I2281" s="14" t="n">
        <x:f>F2281/F2280-1</x:f>
        <x:v>0.00806227597970599</x:v>
      </x:c>
      <x:c r="J2281" s="12" t="n">
        <x:v>0</x:v>
      </x:c>
      <x:c r="K2281" s="12" t="n">
        <x:v>0</x:v>
      </x:c>
      <x:c r="L2281" s="12" t="n">
        <x:v>0</x:v>
      </x:c>
      <x:c r="M2281" s="2" t="str">
        <x:v>持有</x:v>
      </x:c>
    </x:row>
    <x:row r="2282" ht="23" customHeight="1">
      <x:c r="A2282" s="11" t="d">
        <x:v>2024-01-19T00:00:00.000Z</x:v>
      </x:c>
      <x:c r="B2282" s="12" t="n">
        <x:v>22626.338976</x:v>
      </x:c>
      <x:c r="C2282" s="13" t="n">
        <x:v>484</x:v>
      </x:c>
      <x:c r="D2282" s="12" t="n">
        <x:v>233496.12</x:v>
      </x:c>
      <x:c r="E2282" s="12" t="n">
        <x:v>922.539332</x:v>
      </x:c>
      <x:c r="F2282" s="12" t="n">
        <x:f>SUM(B2282,D2282:E2282)</x:f>
        <x:v>257044.99830799998</x:v>
      </x:c>
      <x:c r="G2282" s="12" t="n">
        <x:f>MAX(G2281,F2282)</x:f>
        <x:v>257044.99830799998</x:v>
      </x:c>
      <x:c r="H2282" s="14" t="n">
        <x:f>F2282/G2282-1</x:f>
        <x:v>0</x:v>
      </x:c>
      <x:c r="I2282" s="14" t="n">
        <x:f>F2282/F2281-1</x:f>
        <x:v>0.011311167984780823</x:v>
      </x:c>
      <x:c r="J2282" s="12" t="n">
        <x:v>0</x:v>
      </x:c>
      <x:c r="K2282" s="12" t="n">
        <x:v>0</x:v>
      </x:c>
      <x:c r="L2282" s="12" t="n">
        <x:v>0</x:v>
      </x:c>
      <x:c r="M2282" s="2" t="str">
        <x:v>持有</x:v>
      </x:c>
    </x:row>
    <x:row r="2283" ht="23" customHeight="1">
      <x:c r="A2283" s="11" t="d">
        <x:v>2024-01-22T00:00:00.000Z</x:v>
      </x:c>
      <x:c r="B2283" s="12" t="n">
        <x:v>22626.338976</x:v>
      </x:c>
      <x:c r="C2283" s="13" t="n">
        <x:v>484</x:v>
      </x:c>
      <x:c r="D2283" s="12" t="n">
        <x:v>233989.8</x:v>
      </x:c>
      <x:c r="E2283" s="12" t="n">
        <x:v>922.539332</x:v>
      </x:c>
      <x:c r="F2283" s="12" t="n">
        <x:f>SUM(B2283,D2283:E2283)</x:f>
        <x:v>257538.67830799997</x:v>
      </x:c>
      <x:c r="G2283" s="12" t="n">
        <x:f>MAX(G2282,F2283)</x:f>
        <x:v>257538.67830799997</x:v>
      </x:c>
      <x:c r="H2283" s="14" t="n">
        <x:f>F2283/G2283-1</x:f>
        <x:v>0</x:v>
      </x:c>
      <x:c r="I2283" s="14" t="n">
        <x:f>F2283/F2282-1</x:f>
        <x:v>0.0019205975733807001</x:v>
      </x:c>
      <x:c r="J2283" s="12" t="n">
        <x:v>0</x:v>
      </x:c>
      <x:c r="K2283" s="12" t="n">
        <x:v>0</x:v>
      </x:c>
      <x:c r="L2283" s="12" t="n">
        <x:v>0</x:v>
      </x:c>
      <x:c r="M2283" s="2" t="str">
        <x:v>持有</x:v>
      </x:c>
    </x:row>
    <x:row r="2284" ht="23" customHeight="1">
      <x:c r="A2284" s="11" t="d">
        <x:v>2024-01-23T00:00:00.000Z</x:v>
      </x:c>
      <x:c r="B2284" s="12" t="n">
        <x:v>22626.338976</x:v>
      </x:c>
      <x:c r="C2284" s="13" t="n">
        <x:v>484</x:v>
      </x:c>
      <x:c r="D2284" s="12" t="n">
        <x:v>234672.24000000002</x:v>
      </x:c>
      <x:c r="E2284" s="12" t="n">
        <x:v>922.539332</x:v>
      </x:c>
      <x:c r="F2284" s="12" t="n">
        <x:f>SUM(B2284,D2284:E2284)</x:f>
        <x:v>258221.118308</x:v>
      </x:c>
      <x:c r="G2284" s="12" t="n">
        <x:f>MAX(G2283,F2284)</x:f>
        <x:v>258221.118308</x:v>
      </x:c>
      <x:c r="H2284" s="14" t="n">
        <x:f>F2284/G2284-1</x:f>
        <x:v>0</x:v>
      </x:c>
      <x:c r="I2284" s="14" t="n">
        <x:f>F2284/F2283-1</x:f>
        <x:v>0.0026498544004480706</x:v>
      </x:c>
      <x:c r="J2284" s="12" t="n">
        <x:v>0</x:v>
      </x:c>
      <x:c r="K2284" s="12" t="n">
        <x:v>0</x:v>
      </x:c>
      <x:c r="L2284" s="12" t="n">
        <x:v>0</x:v>
      </x:c>
      <x:c r="M2284" s="2" t="str">
        <x:v>持有</x:v>
      </x:c>
    </x:row>
    <x:row r="2285" ht="23" customHeight="1">
      <x:c r="A2285" s="11" t="d">
        <x:v>2024-01-24T00:00:00.000Z</x:v>
      </x:c>
      <x:c r="B2285" s="12" t="n">
        <x:v>22626.338976</x:v>
      </x:c>
      <x:c r="C2285" s="13" t="n">
        <x:v>484</x:v>
      </x:c>
      <x:c r="D2285" s="12" t="n">
        <x:v>234928.75999999998</x:v>
      </x:c>
      <x:c r="E2285" s="12" t="n">
        <x:v>922.539332</x:v>
      </x:c>
      <x:c r="F2285" s="12" t="n">
        <x:f>SUM(B2285,D2285:E2285)</x:f>
        <x:v>258477.63830799997</x:v>
      </x:c>
      <x:c r="G2285" s="12" t="n">
        <x:f>MAX(G2284,F2285)</x:f>
        <x:v>258477.63830799997</x:v>
      </x:c>
      <x:c r="H2285" s="14" t="n">
        <x:f>F2285/G2285-1</x:f>
        <x:v>0</x:v>
      </x:c>
      <x:c r="I2285" s="14" t="n">
        <x:f>F2285/F2284-1</x:f>
        <x:v>0.000993412164275398</x:v>
      </x:c>
      <x:c r="J2285" s="12" t="n">
        <x:v>0</x:v>
      </x:c>
      <x:c r="K2285" s="12" t="n">
        <x:v>0</x:v>
      </x:c>
      <x:c r="L2285" s="12" t="n">
        <x:v>0</x:v>
      </x:c>
      <x:c r="M2285" s="2" t="str">
        <x:v>持有</x:v>
      </x:c>
    </x:row>
    <x:row r="2286" ht="23" customHeight="1">
      <x:c r="A2286" s="11" t="d">
        <x:v>2024-01-25T00:00:00.000Z</x:v>
      </x:c>
      <x:c r="B2286" s="12" t="n">
        <x:v>22626.338976</x:v>
      </x:c>
      <x:c r="C2286" s="13" t="n">
        <x:v>484</x:v>
      </x:c>
      <x:c r="D2286" s="12" t="n">
        <x:v>236206.52</x:v>
      </x:c>
      <x:c r="E2286" s="12" t="n">
        <x:v>922.539332</x:v>
      </x:c>
      <x:c r="F2286" s="12" t="n">
        <x:f>SUM(B2286,D2286:E2286)</x:f>
        <x:v>259755.39830799997</x:v>
      </x:c>
      <x:c r="G2286" s="12" t="n">
        <x:f>MAX(G2285,F2286)</x:f>
        <x:v>259755.39830799997</x:v>
      </x:c>
      <x:c r="H2286" s="14" t="n">
        <x:f>F2286/G2286-1</x:f>
        <x:v>0</x:v>
      </x:c>
      <x:c r="I2286" s="14" t="n">
        <x:f>F2286/F2285-1</x:f>
        <x:v>0.0049434063556299535</x:v>
      </x:c>
      <x:c r="J2286" s="12" t="n">
        <x:v>0</x:v>
      </x:c>
      <x:c r="K2286" s="12" t="n">
        <x:v>0</x:v>
      </x:c>
      <x:c r="L2286" s="12" t="n">
        <x:v>0</x:v>
      </x:c>
      <x:c r="M2286" s="2" t="str">
        <x:v>持有</x:v>
      </x:c>
    </x:row>
    <x:row r="2287" ht="23" customHeight="1">
      <x:c r="A2287" s="11" t="d">
        <x:v>2024-01-26T00:00:00.000Z</x:v>
      </x:c>
      <x:c r="B2287" s="12" t="n">
        <x:v>22626.338976</x:v>
      </x:c>
      <x:c r="C2287" s="13" t="n">
        <x:v>484</x:v>
      </x:c>
      <x:c r="D2287" s="12" t="n">
        <x:v>235906.44</x:v>
      </x:c>
      <x:c r="E2287" s="12" t="n">
        <x:v>922.539332</x:v>
      </x:c>
      <x:c r="F2287" s="12" t="n">
        <x:f>SUM(B2287,D2287:E2287)</x:f>
        <x:v>259455.318308</x:v>
      </x:c>
      <x:c r="G2287" s="12" t="n">
        <x:f>MAX(G2286,F2287)</x:f>
        <x:v>259755.39830799997</x:v>
      </x:c>
      <x:c r="H2287" s="14" t="n">
        <x:f>F2287/G2287-1</x:f>
        <x:v>-0.0011552406685468863</x:v>
      </x:c>
      <x:c r="I2287" s="14" t="n">
        <x:f>F2287/F2286-1</x:f>
        <x:v>-0.0011552406685468863</x:v>
      </x:c>
      <x:c r="J2287" s="12" t="n">
        <x:v>0</x:v>
      </x:c>
      <x:c r="K2287" s="12" t="n">
        <x:v>0</x:v>
      </x:c>
      <x:c r="L2287" s="12" t="n">
        <x:v>0</x:v>
      </x:c>
      <x:c r="M2287" s="2" t="str">
        <x:v>持有</x:v>
      </x:c>
    </x:row>
    <x:row r="2288" ht="23" customHeight="1">
      <x:c r="A2288" s="11" t="d">
        <x:v>2024-01-29T00:00:00.000Z</x:v>
      </x:c>
      <x:c r="B2288" s="12" t="n">
        <x:v>22626.338976</x:v>
      </x:c>
      <x:c r="C2288" s="13" t="n">
        <x:v>484</x:v>
      </x:c>
      <x:c r="D2288" s="12" t="n">
        <x:v>237774.68</x:v>
      </x:c>
      <x:c r="E2288" s="12" t="n">
        <x:v>922.539332</x:v>
      </x:c>
      <x:c r="F2288" s="12" t="n">
        <x:f>SUM(B2288,D2288:E2288)</x:f>
        <x:v>261323.55830799998</x:v>
      </x:c>
      <x:c r="G2288" s="12" t="n">
        <x:f>MAX(G2287,F2288)</x:f>
        <x:v>261323.55830799998</x:v>
      </x:c>
      <x:c r="H2288" s="14" t="n">
        <x:f>F2288/G2288-1</x:f>
        <x:v>0</x:v>
      </x:c>
      <x:c r="I2288" s="14" t="n">
        <x:f>F2288/F2287-1</x:f>
        <x:v>0.007200623260233963</x:v>
      </x:c>
      <x:c r="J2288" s="12" t="n">
        <x:v>0</x:v>
      </x:c>
      <x:c r="K2288" s="12" t="n">
        <x:v>0</x:v>
      </x:c>
      <x:c r="L2288" s="12" t="n">
        <x:v>0</x:v>
      </x:c>
      <x:c r="M2288" s="2" t="str">
        <x:v>持有</x:v>
      </x:c>
    </x:row>
    <x:row r="2289" ht="23" customHeight="1">
      <x:c r="A2289" s="11" t="d">
        <x:v>2024-01-30T00:00:00.000Z</x:v>
      </x:c>
      <x:c r="B2289" s="12" t="n">
        <x:v>22626.338976</x:v>
      </x:c>
      <x:c r="C2289" s="13" t="n">
        <x:v>484</x:v>
      </x:c>
      <x:c r="D2289" s="12" t="n">
        <x:v>237590.75999999998</x:v>
      </x:c>
      <x:c r="E2289" s="12" t="n">
        <x:v>922.539332</x:v>
      </x:c>
      <x:c r="F2289" s="12" t="n">
        <x:f>SUM(B2289,D2289:E2289)</x:f>
        <x:v>261139.63830799997</x:v>
      </x:c>
      <x:c r="G2289" s="12" t="n">
        <x:f>MAX(G2288,F2289)</x:f>
        <x:v>261323.55830799998</x:v>
      </x:c>
      <x:c r="H2289" s="14" t="n">
        <x:f>F2289/G2289-1</x:f>
        <x:v>-0.0007038018355132181</x:v>
      </x:c>
      <x:c r="I2289" s="14" t="n">
        <x:f>F2289/F2288-1</x:f>
        <x:v>-0.0007038018355132181</x:v>
      </x:c>
      <x:c r="J2289" s="12" t="n">
        <x:v>0</x:v>
      </x:c>
      <x:c r="K2289" s="12" t="n">
        <x:v>0</x:v>
      </x:c>
      <x:c r="L2289" s="12" t="n">
        <x:v>0</x:v>
      </x:c>
      <x:c r="M2289" s="2" t="str">
        <x:v>持有</x:v>
      </x:c>
    </x:row>
    <x:row r="2290" ht="23" customHeight="1">
      <x:c r="A2290" s="11" t="d">
        <x:v>2024-01-31T00:00:00.000Z</x:v>
      </x:c>
      <x:c r="B2290" s="12" t="n">
        <x:v>23548.878308</x:v>
      </x:c>
      <x:c r="C2290" s="13" t="n">
        <x:v>484</x:v>
      </x:c>
      <x:c r="D2290" s="12" t="n">
        <x:v>233713.91999999998</x:v>
      </x:c>
      <x:c r="E2290" s="12" t="n">
        <x:v>0</x:v>
      </x:c>
      <x:c r="F2290" s="12" t="n">
        <x:f>SUM(B2290,D2290:E2290)</x:f>
        <x:v>257262.79830799997</x:v>
      </x:c>
      <x:c r="G2290" s="12" t="n">
        <x:f>MAX(G2289,F2290)</x:f>
        <x:v>261323.55830799998</x:v>
      </x:c>
      <x:c r="H2290" s="14" t="n">
        <x:f>F2290/G2290-1</x:f>
        <x:v>-0.015539203684093117</x:v>
      </x:c>
      <x:c r="I2290" s="14" t="n">
        <x:f>F2290/F2289-1</x:f>
        <x:v>-0.014845850385330928</x:v>
      </x:c>
      <x:c r="J2290" s="12" t="n">
        <x:v>0</x:v>
      </x:c>
      <x:c r="K2290" s="12" t="n">
        <x:v>922.539332</x:v>
      </x:c>
      <x:c r="L2290" s="12" t="n">
        <x:v>0</x:v>
      </x:c>
      <x:c r="M2290" s="2" t="str">
        <x:v>持有</x:v>
      </x:c>
    </x:row>
    <x:row r="2291" ht="23" customHeight="1">
      <x:c r="A2291" s="11" t="d">
        <x:v>2024-02-01T00:00:00.000Z</x:v>
      </x:c>
      <x:c r="B2291" s="12" t="n">
        <x:v>23548.878308</x:v>
      </x:c>
      <x:c r="C2291" s="13" t="n">
        <x:v>484</x:v>
      </x:c>
      <x:c r="D2291" s="12" t="n">
        <x:v>236772.8</x:v>
      </x:c>
      <x:c r="E2291" s="12" t="n">
        <x:v>0</x:v>
      </x:c>
      <x:c r="F2291" s="12" t="n">
        <x:f>SUM(B2291,D2291:E2291)</x:f>
        <x:v>260321.67830799997</x:v>
      </x:c>
      <x:c r="G2291" s="12" t="n">
        <x:f>MAX(G2290,F2291)</x:f>
        <x:v>261323.55830799998</x:v>
      </x:c>
      <x:c r="H2291" s="14" t="n">
        <x:f>F2291/G2291-1</x:f>
        <x:v>-0.003833867893453302</x:v>
      </x:c>
      <x:c r="I2291" s="14" t="n">
        <x:f>F2291/F2290-1</x:f>
        <x:v>0.011890098452314257</x:v>
      </x:c>
      <x:c r="J2291" s="12" t="n">
        <x:v>0</x:v>
      </x:c>
      <x:c r="K2291" s="12" t="n">
        <x:v>0</x:v>
      </x:c>
      <x:c r="L2291" s="12" t="n">
        <x:v>0</x:v>
      </x:c>
      <x:c r="M2291" s="2" t="str">
        <x:v>持有</x:v>
      </x:c>
    </x:row>
    <x:row r="2292" ht="23" customHeight="1">
      <x:c r="A2292" s="11" t="d">
        <x:v>2024-02-02T00:00:00.000Z</x:v>
      </x:c>
      <x:c r="B2292" s="12" t="n">
        <x:v>23548.878308</x:v>
      </x:c>
      <x:c r="C2292" s="13" t="n">
        <x:v>484</x:v>
      </x:c>
      <x:c r="D2292" s="12" t="n">
        <x:v>239265.40000000002</x:v>
      </x:c>
      <x:c r="E2292" s="12" t="n">
        <x:v>0</x:v>
      </x:c>
      <x:c r="F2292" s="12" t="n">
        <x:f>SUM(B2292,D2292:E2292)</x:f>
        <x:v>262814.278308</x:v>
      </x:c>
      <x:c r="G2292" s="12" t="n">
        <x:f>MAX(G2291,F2292)</x:f>
        <x:v>262814.278308</x:v>
      </x:c>
      <x:c r="H2292" s="14" t="n">
        <x:f>F2292/G2292-1</x:f>
        <x:v>0</x:v>
      </x:c>
      <x:c r="I2292" s="14" t="n">
        <x:f>F2292/F2291-1</x:f>
        <x:v>0.0095750765598972</x:v>
      </x:c>
      <x:c r="J2292" s="12" t="n">
        <x:v>0</x:v>
      </x:c>
      <x:c r="K2292" s="12" t="n">
        <x:v>0</x:v>
      </x:c>
      <x:c r="L2292" s="12" t="n">
        <x:v>0</x:v>
      </x:c>
      <x:c r="M2292" s="2" t="str">
        <x:v>持有</x:v>
      </x:c>
    </x:row>
    <x:row r="2293" ht="23" customHeight="1">
      <x:c r="A2293" s="11" t="d">
        <x:v>2024-02-05T00:00:00.000Z</x:v>
      </x:c>
      <x:c r="B2293" s="12" t="n">
        <x:v>23548.878308</x:v>
      </x:c>
      <x:c r="C2293" s="13" t="n">
        <x:v>484</x:v>
      </x:c>
      <x:c r="D2293" s="12" t="n">
        <x:v>238394.2</x:v>
      </x:c>
      <x:c r="E2293" s="12" t="n">
        <x:v>0</x:v>
      </x:c>
      <x:c r="F2293" s="12" t="n">
        <x:f>SUM(B2293,D2293:E2293)</x:f>
        <x:v>261943.078308</x:v>
      </x:c>
      <x:c r="G2293" s="12" t="n">
        <x:f>MAX(G2292,F2293)</x:f>
        <x:v>262814.278308</x:v>
      </x:c>
      <x:c r="H2293" s="14" t="n">
        <x:f>F2293/G2293-1</x:f>
        <x:v>-0.0033148883904208226</x:v>
      </x:c>
      <x:c r="I2293" s="14" t="n">
        <x:f>F2293/F2292-1</x:f>
        <x:v>-0.0033148883904208226</x:v>
      </x:c>
      <x:c r="J2293" s="12" t="n">
        <x:v>0</x:v>
      </x:c>
      <x:c r="K2293" s="12" t="n">
        <x:v>0</x:v>
      </x:c>
      <x:c r="L2293" s="12" t="n">
        <x:v>0</x:v>
      </x:c>
      <x:c r="M2293" s="2" t="str">
        <x:v>持有</x:v>
      </x:c>
    </x:row>
    <x:row r="2294" ht="23" customHeight="1">
      <x:c r="A2294" s="11" t="d">
        <x:v>2024-02-06T00:00:00.000Z</x:v>
      </x:c>
      <x:c r="B2294" s="12" t="n">
        <x:v>23548.878308</x:v>
      </x:c>
      <x:c r="C2294" s="13" t="n">
        <x:v>484</x:v>
      </x:c>
      <x:c r="D2294" s="12" t="n">
        <x:v>239086.32</x:v>
      </x:c>
      <x:c r="E2294" s="12" t="n">
        <x:v>0</x:v>
      </x:c>
      <x:c r="F2294" s="12" t="n">
        <x:f>SUM(B2294,D2294:E2294)</x:f>
        <x:v>262635.198308</x:v>
      </x:c>
      <x:c r="G2294" s="12" t="n">
        <x:f>MAX(G2293,F2294)</x:f>
        <x:v>262814.278308</x:v>
      </x:c>
      <x:c r="H2294" s="14" t="n">
        <x:f>F2294/G2294-1</x:f>
        <x:v>-0.0006813937246976653</x:v>
      </x:c>
      <x:c r="I2294" s="14" t="n">
        <x:f>F2294/F2293-1</x:f>
        <x:v>0.0026422534409791254</x:v>
      </x:c>
      <x:c r="J2294" s="12" t="n">
        <x:v>0</x:v>
      </x:c>
      <x:c r="K2294" s="12" t="n">
        <x:v>0</x:v>
      </x:c>
      <x:c r="L2294" s="12" t="n">
        <x:v>0</x:v>
      </x:c>
      <x:c r="M2294" s="2" t="str">
        <x:v>持有</x:v>
      </x:c>
    </x:row>
    <x:row r="2295" ht="23" customHeight="1">
      <x:c r="A2295" s="11" t="d">
        <x:v>2024-02-07T00:00:00.000Z</x:v>
      </x:c>
      <x:c r="B2295" s="12" t="n">
        <x:v>23548.878308</x:v>
      </x:c>
      <x:c r="C2295" s="13" t="n">
        <x:v>484</x:v>
      </x:c>
      <x:c r="D2295" s="12" t="n">
        <x:v>241080.40000000002</x:v>
      </x:c>
      <x:c r="E2295" s="12" t="n">
        <x:v>0</x:v>
      </x:c>
      <x:c r="F2295" s="12" t="n">
        <x:f>SUM(B2295,D2295:E2295)</x:f>
        <x:v>264629.278308</x:v>
      </x:c>
      <x:c r="G2295" s="12" t="n">
        <x:f>MAX(G2294,F2295)</x:f>
        <x:v>264629.278308</x:v>
      </x:c>
      <x:c r="H2295" s="14" t="n">
        <x:f>F2295/G2295-1</x:f>
        <x:v>0</x:v>
      </x:c>
      <x:c r="I2295" s="14" t="n">
        <x:f>F2295/F2294-1</x:f>
        <x:v>0.007592584744339881</x:v>
      </x:c>
      <x:c r="J2295" s="12" t="n">
        <x:v>0</x:v>
      </x:c>
      <x:c r="K2295" s="12" t="n">
        <x:v>0</x:v>
      </x:c>
      <x:c r="L2295" s="12" t="n">
        <x:v>0</x:v>
      </x:c>
      <x:c r="M2295" s="2" t="str">
        <x:v>持有</x:v>
      </x:c>
    </x:row>
    <x:row r="2296" ht="23" customHeight="1">
      <x:c r="A2296" s="11" t="d">
        <x:v>2024-02-08T00:00:00.000Z</x:v>
      </x:c>
      <x:c r="B2296" s="12" t="n">
        <x:v>23548.878308</x:v>
      </x:c>
      <x:c r="C2296" s="13" t="n">
        <x:v>484</x:v>
      </x:c>
      <x:c r="D2296" s="12" t="n">
        <x:v>241186.88</x:v>
      </x:c>
      <x:c r="E2296" s="12" t="n">
        <x:v>0</x:v>
      </x:c>
      <x:c r="F2296" s="12" t="n">
        <x:f>SUM(B2296,D2296:E2296)</x:f>
        <x:v>264735.758308</x:v>
      </x:c>
      <x:c r="G2296" s="12" t="n">
        <x:f>MAX(G2295,F2296)</x:f>
        <x:v>264735.758308</x:v>
      </x:c>
      <x:c r="H2296" s="14" t="n">
        <x:f>F2296/G2296-1</x:f>
        <x:v>0</x:v>
      </x:c>
      <x:c r="I2296" s="14" t="n">
        <x:f>F2296/F2295-1</x:f>
        <x:v>0.0004023742220846671</x:v>
      </x:c>
      <x:c r="J2296" s="12" t="n">
        <x:v>0</x:v>
      </x:c>
      <x:c r="K2296" s="12" t="n">
        <x:v>0</x:v>
      </x:c>
      <x:c r="L2296" s="12" t="n">
        <x:v>0</x:v>
      </x:c>
      <x:c r="M2296" s="2" t="str">
        <x:v>持有</x:v>
      </x:c>
    </x:row>
    <x:row r="2297" ht="23" customHeight="1">
      <x:c r="A2297" s="11" t="d">
        <x:v>2024-02-09T00:00:00.000Z</x:v>
      </x:c>
      <x:c r="B2297" s="12" t="n">
        <x:v>23548.878308</x:v>
      </x:c>
      <x:c r="C2297" s="13" t="n">
        <x:v>484</x:v>
      </x:c>
      <x:c r="D2297" s="12" t="n">
        <x:v>242580.8</x:v>
      </x:c>
      <x:c r="E2297" s="12" t="n">
        <x:v>0</x:v>
      </x:c>
      <x:c r="F2297" s="12" t="n">
        <x:f>SUM(B2297,D2297:E2297)</x:f>
        <x:v>266129.678308</x:v>
      </x:c>
      <x:c r="G2297" s="12" t="n">
        <x:f>MAX(G2296,F2297)</x:f>
        <x:v>266129.678308</x:v>
      </x:c>
      <x:c r="H2297" s="14" t="n">
        <x:f>F2297/G2297-1</x:f>
        <x:v>0</x:v>
      </x:c>
      <x:c r="I2297" s="14" t="n">
        <x:f>F2297/F2296-1</x:f>
        <x:v>0.005265325730490433</x:v>
      </x:c>
      <x:c r="J2297" s="12" t="n">
        <x:v>0</x:v>
      </x:c>
      <x:c r="K2297" s="12" t="n">
        <x:v>0</x:v>
      </x:c>
      <x:c r="L2297" s="12" t="n">
        <x:v>0</x:v>
      </x:c>
      <x:c r="M2297" s="2" t="str">
        <x:v>持有</x:v>
      </x:c>
    </x:row>
    <x:row r="2298" ht="23" customHeight="1">
      <x:c r="A2298" s="11" t="d">
        <x:v>2024-02-12T00:00:00.000Z</x:v>
      </x:c>
      <x:c r="B2298" s="12" t="n">
        <x:v>23548.878308</x:v>
      </x:c>
      <x:c r="C2298" s="13" t="n">
        <x:v>484</x:v>
      </x:c>
      <x:c r="D2298" s="12" t="n">
        <x:v>242474.32</x:v>
      </x:c>
      <x:c r="E2298" s="12" t="n">
        <x:v>0</x:v>
      </x:c>
      <x:c r="F2298" s="12" t="n">
        <x:f>SUM(B2298,D2298:E2298)</x:f>
        <x:v>266023.198308</x:v>
      </x:c>
      <x:c r="G2298" s="12" t="n">
        <x:f>MAX(G2297,F2298)</x:f>
        <x:v>266129.678308</x:v>
      </x:c>
      <x:c r="H2298" s="14" t="n">
        <x:f>F2298/G2298-1</x:f>
        <x:v>-0.00040010569537740626</x:v>
      </x:c>
      <x:c r="I2298" s="14" t="n">
        <x:f>F2298/F2297-1</x:f>
        <x:v>-0.00040010569537740626</x:v>
      </x:c>
      <x:c r="J2298" s="12" t="n">
        <x:v>0</x:v>
      </x:c>
      <x:c r="K2298" s="12" t="n">
        <x:v>0</x:v>
      </x:c>
      <x:c r="L2298" s="12" t="n">
        <x:v>0</x:v>
      </x:c>
      <x:c r="M2298" s="2" t="str">
        <x:v>持有</x:v>
      </x:c>
    </x:row>
    <x:row r="2299" ht="23" customHeight="1">
      <x:c r="A2299" s="11" t="d">
        <x:v>2024-02-13T00:00:00.000Z</x:v>
      </x:c>
      <x:c r="B2299" s="12" t="n">
        <x:v>23548.878308</x:v>
      </x:c>
      <x:c r="C2299" s="13" t="n">
        <x:v>484</x:v>
      </x:c>
      <x:c r="D2299" s="12" t="n">
        <x:v>239134.72</x:v>
      </x:c>
      <x:c r="E2299" s="12" t="n">
        <x:v>0</x:v>
      </x:c>
      <x:c r="F2299" s="12" t="n">
        <x:f>SUM(B2299,D2299:E2299)</x:f>
        <x:v>262683.598308</x:v>
      </x:c>
      <x:c r="G2299" s="12" t="n">
        <x:f>MAX(G2298,F2299)</x:f>
        <x:v>266129.678308</x:v>
      </x:c>
      <x:c r="H2299" s="14" t="n">
        <x:f>F2299/G2299-1</x:f>
        <x:v>-0.012948875232215551</x:v>
      </x:c>
      <x:c r="I2299" s="14" t="n">
        <x:f>F2299/F2298-1</x:f>
        <x:v>-0.012553792380668227</x:v>
      </x:c>
      <x:c r="J2299" s="12" t="n">
        <x:v>0</x:v>
      </x:c>
      <x:c r="K2299" s="12" t="n">
        <x:v>0</x:v>
      </x:c>
      <x:c r="L2299" s="12" t="n">
        <x:v>0</x:v>
      </x:c>
      <x:c r="M2299" s="2" t="str">
        <x:v>持有</x:v>
      </x:c>
    </x:row>
    <x:row r="2300" ht="23" customHeight="1">
      <x:c r="A2300" s="11" t="d">
        <x:v>2024-02-14T00:00:00.000Z</x:v>
      </x:c>
      <x:c r="B2300" s="12" t="n">
        <x:v>23548.878308</x:v>
      </x:c>
      <x:c r="C2300" s="13" t="n">
        <x:v>484</x:v>
      </x:c>
      <x:c r="D2300" s="12" t="n">
        <x:v>241307.88</x:v>
      </x:c>
      <x:c r="E2300" s="12" t="n">
        <x:v>0</x:v>
      </x:c>
      <x:c r="F2300" s="12" t="n">
        <x:f>SUM(B2300,D2300:E2300)</x:f>
        <x:v>264856.758308</x:v>
      </x:c>
      <x:c r="G2300" s="12" t="n">
        <x:f>MAX(G2299,F2300)</x:f>
        <x:v>266129.678308</x:v>
      </x:c>
      <x:c r="H2300" s="14" t="n">
        <x:f>F2300/G2300-1</x:f>
        <x:v>-0.00478308172201225</x:v>
      </x:c>
      <x:c r="I2300" s="14" t="n">
        <x:f>F2300/F2299-1</x:f>
        <x:v>0.008272918499661719</x:v>
      </x:c>
      <x:c r="J2300" s="12" t="n">
        <x:v>0</x:v>
      </x:c>
      <x:c r="K2300" s="12" t="n">
        <x:v>0</x:v>
      </x:c>
      <x:c r="L2300" s="12" t="n">
        <x:v>0</x:v>
      </x:c>
      <x:c r="M2300" s="2" t="str">
        <x:v>持有</x:v>
      </x:c>
    </x:row>
    <x:row r="2301" ht="23" customHeight="1">
      <x:c r="A2301" s="11" t="d">
        <x:v>2024-02-15T00:00:00.000Z</x:v>
      </x:c>
      <x:c r="B2301" s="12" t="n">
        <x:v>23548.878308</x:v>
      </x:c>
      <x:c r="C2301" s="13" t="n">
        <x:v>484</x:v>
      </x:c>
      <x:c r="D2301" s="12" t="n">
        <x:v>242972.84</x:v>
      </x:c>
      <x:c r="E2301" s="12" t="n">
        <x:v>0</x:v>
      </x:c>
      <x:c r="F2301" s="12" t="n">
        <x:f>SUM(B2301,D2301:E2301)</x:f>
        <x:v>266521.718308</x:v>
      </x:c>
      <x:c r="G2301" s="12" t="n">
        <x:f>MAX(G2300,F2301)</x:f>
        <x:v>266521.718308</x:v>
      </x:c>
      <x:c r="H2301" s="14" t="n">
        <x:f>F2301/G2301-1</x:f>
        <x:v>0</x:v>
      </x:c>
      <x:c r="I2301" s="14" t="n">
        <x:f>F2301/F2300-1</x:f>
        <x:v>0.006286265869281049</x:v>
      </x:c>
      <x:c r="J2301" s="12" t="n">
        <x:v>0</x:v>
      </x:c>
      <x:c r="K2301" s="12" t="n">
        <x:v>0</x:v>
      </x:c>
      <x:c r="L2301" s="12" t="n">
        <x:v>0</x:v>
      </x:c>
      <x:c r="M2301" s="2" t="str">
        <x:v>持有</x:v>
      </x:c>
    </x:row>
    <x:row r="2302" ht="23" customHeight="1">
      <x:c r="A2302" s="11" t="d">
        <x:v>2024-02-16T00:00:00.000Z</x:v>
      </x:c>
      <x:c r="B2302" s="12" t="n">
        <x:v>23548.878308</x:v>
      </x:c>
      <x:c r="C2302" s="13" t="n">
        <x:v>484</x:v>
      </x:c>
      <x:c r="D2302" s="12" t="n">
        <x:v>241762.84</x:v>
      </x:c>
      <x:c r="E2302" s="12" t="n">
        <x:v>0</x:v>
      </x:c>
      <x:c r="F2302" s="12" t="n">
        <x:f>SUM(B2302,D2302:E2302)</x:f>
        <x:v>265311.718308</x:v>
      </x:c>
      <x:c r="G2302" s="12" t="n">
        <x:f>MAX(G2301,F2302)</x:f>
        <x:v>266521.718308</x:v>
      </x:c>
      <x:c r="H2302" s="14" t="n">
        <x:f>F2302/G2302-1</x:f>
        <x:v>-0.004539967728264815</x:v>
      </x:c>
      <x:c r="I2302" s="14" t="n">
        <x:f>F2302/F2301-1</x:f>
        <x:v>-0.004539967728264815</x:v>
      </x:c>
      <x:c r="J2302" s="12" t="n">
        <x:v>0</x:v>
      </x:c>
      <x:c r="K2302" s="12" t="n">
        <x:v>0</x:v>
      </x:c>
      <x:c r="L2302" s="12" t="n">
        <x:v>0</x:v>
      </x:c>
      <x:c r="M2302" s="2" t="str">
        <x:v>持有</x:v>
      </x:c>
    </x:row>
    <x:row r="2303" ht="23" customHeight="1">
      <x:c r="A2303" s="11" t="d">
        <x:v>2024-02-20T00:00:00.000Z</x:v>
      </x:c>
      <x:c r="B2303" s="12" t="n">
        <x:v>23548.878308</x:v>
      </x:c>
      <x:c r="C2303" s="13" t="n">
        <x:v>484</x:v>
      </x:c>
      <x:c r="D2303" s="12" t="n">
        <x:v>240431.84</x:v>
      </x:c>
      <x:c r="E2303" s="12" t="n">
        <x:v>0</x:v>
      </x:c>
      <x:c r="F2303" s="12" t="n">
        <x:f>SUM(B2303,D2303:E2303)</x:f>
        <x:v>263980.718308</x:v>
      </x:c>
      <x:c r="G2303" s="12" t="n">
        <x:f>MAX(G2302,F2303)</x:f>
        <x:v>266521.718308</x:v>
      </x:c>
      <x:c r="H2303" s="14" t="n">
        <x:f>F2303/G2303-1</x:f>
        <x:v>-0.009533932229356057</x:v>
      </x:c>
      <x:c r="I2303" s="14" t="n">
        <x:f>F2303/F2302-1</x:f>
        <x:v>-0.0050167403403375</x:v>
      </x:c>
      <x:c r="J2303" s="12" t="n">
        <x:v>0</x:v>
      </x:c>
      <x:c r="K2303" s="12" t="n">
        <x:v>0</x:v>
      </x:c>
      <x:c r="L2303" s="12" t="n">
        <x:v>0</x:v>
      </x:c>
      <x:c r="M2303" s="2" t="str">
        <x:v>持有</x:v>
      </x:c>
    </x:row>
    <x:row r="2304" ht="23" customHeight="1">
      <x:c r="A2304" s="11" t="d">
        <x:v>2024-02-21T00:00:00.000Z</x:v>
      </x:c>
      <x:c r="B2304" s="12" t="n">
        <x:v>23548.878308</x:v>
      </x:c>
      <x:c r="C2304" s="13" t="n">
        <x:v>484</x:v>
      </x:c>
      <x:c r="D2304" s="12" t="n">
        <x:v>240649.63999999998</x:v>
      </x:c>
      <x:c r="E2304" s="12" t="n">
        <x:v>0</x:v>
      </x:c>
      <x:c r="F2304" s="12" t="n">
        <x:f>SUM(B2304,D2304:E2304)</x:f>
        <x:v>264198.518308</x:v>
      </x:c>
      <x:c r="G2304" s="12" t="n">
        <x:f>MAX(G2303,F2304)</x:f>
        <x:v>266521.718308</x:v>
      </x:c>
      <x:c r="H2304" s="14" t="n">
        <x:f>F2304/G2304-1</x:f>
        <x:v>-0.008716738038268446</x:v>
      </x:c>
      <x:c r="I2304" s="14" t="n">
        <x:f>F2304/F2303-1</x:f>
        <x:v>0.000825060259688648</x:v>
      </x:c>
      <x:c r="J2304" s="12" t="n">
        <x:v>0</x:v>
      </x:c>
      <x:c r="K2304" s="12" t="n">
        <x:v>0</x:v>
      </x:c>
      <x:c r="L2304" s="12" t="n">
        <x:v>0</x:v>
      </x:c>
      <x:c r="M2304" s="2" t="str">
        <x:v>持有</x:v>
      </x:c>
    </x:row>
    <x:row r="2305" ht="23" customHeight="1">
      <x:c r="A2305" s="11" t="d">
        <x:v>2024-02-22T00:00:00.000Z</x:v>
      </x:c>
      <x:c r="B2305" s="12" t="n">
        <x:v>23548.878308</x:v>
      </x:c>
      <x:c r="C2305" s="13" t="n">
        <x:v>484</x:v>
      </x:c>
      <x:c r="D2305" s="12" t="n">
        <x:v>245630</x:v>
      </x:c>
      <x:c r="E2305" s="12" t="n">
        <x:v>0</x:v>
      </x:c>
      <x:c r="F2305" s="12" t="n">
        <x:f>SUM(B2305,D2305:E2305)</x:f>
        <x:v>269178.878308</x:v>
      </x:c>
      <x:c r="G2305" s="12" t="n">
        <x:f>MAX(G2304,F2305)</x:f>
        <x:v>269178.878308</x:v>
      </x:c>
      <x:c r="H2305" s="14" t="n">
        <x:f>F2305/G2305-1</x:f>
        <x:v>0</x:v>
      </x:c>
      <x:c r="I2305" s="14" t="n">
        <x:f>F2305/F2304-1</x:f>
        <x:v>0.01885082487175005</x:v>
      </x:c>
      <x:c r="J2305" s="12" t="n">
        <x:v>0</x:v>
      </x:c>
      <x:c r="K2305" s="12" t="n">
        <x:v>0</x:v>
      </x:c>
      <x:c r="L2305" s="12" t="n">
        <x:v>0</x:v>
      </x:c>
      <x:c r="M2305" s="2" t="str">
        <x:v>持有</x:v>
      </x:c>
    </x:row>
    <x:row r="2306" ht="23" customHeight="1">
      <x:c r="A2306" s="11" t="d">
        <x:v>2024-02-23T00:00:00.000Z</x:v>
      </x:c>
      <x:c r="B2306" s="12" t="n">
        <x:v>23548.878308</x:v>
      </x:c>
      <x:c r="C2306" s="13" t="n">
        <x:v>484</x:v>
      </x:c>
      <x:c r="D2306" s="12" t="n">
        <x:v>245799.40000000002</x:v>
      </x:c>
      <x:c r="E2306" s="12" t="n">
        <x:v>0</x:v>
      </x:c>
      <x:c r="F2306" s="12" t="n">
        <x:f>SUM(B2306,D2306:E2306)</x:f>
        <x:v>269348.278308</x:v>
      </x:c>
      <x:c r="G2306" s="12" t="n">
        <x:f>MAX(G2305,F2306)</x:f>
        <x:v>269348.278308</x:v>
      </x:c>
      <x:c r="H2306" s="14" t="n">
        <x:f>F2306/G2306-1</x:f>
        <x:v>0</x:v>
      </x:c>
      <x:c r="I2306" s="14" t="n">
        <x:f>F2306/F2305-1</x:f>
        <x:v>0.0006293212939472159</x:v>
      </x:c>
      <x:c r="J2306" s="12" t="n">
        <x:v>0</x:v>
      </x:c>
      <x:c r="K2306" s="12" t="n">
        <x:v>0</x:v>
      </x:c>
      <x:c r="L2306" s="12" t="n">
        <x:v>0</x:v>
      </x:c>
      <x:c r="M2306" s="2" t="str">
        <x:v>持有</x:v>
      </x:c>
    </x:row>
    <x:row r="2307" ht="23" customHeight="1">
      <x:c r="A2307" s="11" t="d">
        <x:v>2024-02-26T00:00:00.000Z</x:v>
      </x:c>
      <x:c r="B2307" s="12" t="n">
        <x:v>23548.878308</x:v>
      </x:c>
      <x:c r="C2307" s="13" t="n">
        <x:v>484</x:v>
      </x:c>
      <x:c r="D2307" s="12" t="n">
        <x:v>244899.16</x:v>
      </x:c>
      <x:c r="E2307" s="12" t="n">
        <x:v>0</x:v>
      </x:c>
      <x:c r="F2307" s="12" t="n">
        <x:f>SUM(B2307,D2307:E2307)</x:f>
        <x:v>268448.038308</x:v>
      </x:c>
      <x:c r="G2307" s="12" t="n">
        <x:f>MAX(G2306,F2307)</x:f>
        <x:v>269348.278308</x:v>
      </x:c>
      <x:c r="H2307" s="14" t="n">
        <x:f>F2307/G2307-1</x:f>
        <x:v>-0.0033422897879843427</x:v>
      </x:c>
      <x:c r="I2307" s="14" t="n">
        <x:f>F2307/F2306-1</x:f>
        <x:v>-0.0033422897879843427</x:v>
      </x:c>
      <x:c r="J2307" s="12" t="n">
        <x:v>0</x:v>
      </x:c>
      <x:c r="K2307" s="12" t="n">
        <x:v>0</x:v>
      </x:c>
      <x:c r="L2307" s="12" t="n">
        <x:v>0</x:v>
      </x:c>
      <x:c r="M2307" s="2" t="str">
        <x:v>持有</x:v>
      </x:c>
    </x:row>
    <x:row r="2308" ht="23" customHeight="1">
      <x:c r="A2308" s="11" t="d">
        <x:v>2024-02-27T00:00:00.000Z</x:v>
      </x:c>
      <x:c r="B2308" s="12" t="n">
        <x:v>23548.878308</x:v>
      </x:c>
      <x:c r="C2308" s="13" t="n">
        <x:v>484</x:v>
      </x:c>
      <x:c r="D2308" s="12" t="n">
        <x:v>245354.12</x:v>
      </x:c>
      <x:c r="E2308" s="12" t="n">
        <x:v>0</x:v>
      </x:c>
      <x:c r="F2308" s="12" t="n">
        <x:f>SUM(B2308,D2308:E2308)</x:f>
        <x:v>268902.998308</x:v>
      </x:c>
      <x:c r="G2308" s="12" t="n">
        <x:f>MAX(G2307,F2308)</x:f>
        <x:v>269348.278308</x:v>
      </x:c>
      <x:c r="H2308" s="14" t="n">
        <x:f>F2308/G2308-1</x:f>
        <x:v>-0.001653175594056866</x:v>
      </x:c>
      <x:c r="I2308" s="14" t="n">
        <x:f>F2308/F2307-1</x:f>
        <x:v>0.0016947786352530247</x:v>
      </x:c>
      <x:c r="J2308" s="12" t="n">
        <x:v>0</x:v>
      </x:c>
      <x:c r="K2308" s="12" t="n">
        <x:v>0</x:v>
      </x:c>
      <x:c r="L2308" s="12" t="n">
        <x:v>0</x:v>
      </x:c>
      <x:c r="M2308" s="2" t="str">
        <x:v>持有</x:v>
      </x:c>
    </x:row>
    <x:row r="2309" ht="23" customHeight="1">
      <x:c r="A2309" s="11" t="d">
        <x:v>2024-02-28T00:00:00.000Z</x:v>
      </x:c>
      <x:c r="B2309" s="12" t="n">
        <x:v>23548.878308</x:v>
      </x:c>
      <x:c r="C2309" s="13" t="n">
        <x:v>484</x:v>
      </x:c>
      <x:c r="D2309" s="12" t="n">
        <x:v>245029.84</x:v>
      </x:c>
      <x:c r="E2309" s="12" t="n">
        <x:v>0</x:v>
      </x:c>
      <x:c r="F2309" s="12" t="n">
        <x:f>SUM(B2309,D2309:E2309)</x:f>
        <x:v>268578.718308</x:v>
      </x:c>
      <x:c r="G2309" s="12" t="n">
        <x:f>MAX(G2308,F2309)</x:f>
        <x:v>269348.278308</x:v>
      </x:c>
      <x:c r="H2309" s="14" t="n">
        <x:f>F2309/G2309-1</x:f>
        <x:v>-0.0028571186897285994</x:v>
      </x:c>
      <x:c r="I2309" s="14" t="n">
        <x:f>F2309/F2308-1</x:f>
        <x:v>-0.0012059367208264726</x:v>
      </x:c>
      <x:c r="J2309" s="12" t="n">
        <x:v>0</x:v>
      </x:c>
      <x:c r="K2309" s="12" t="n">
        <x:v>0</x:v>
      </x:c>
      <x:c r="L2309" s="12" t="n">
        <x:v>0</x:v>
      </x:c>
      <x:c r="M2309" s="2" t="str">
        <x:v>持有</x:v>
      </x:c>
    </x:row>
    <x:row r="2310" ht="23" customHeight="1">
      <x:c r="A2310" s="11" t="d">
        <x:v>2024-02-29T00:00:00.000Z</x:v>
      </x:c>
      <x:c r="B2310" s="12" t="n">
        <x:v>23548.878308</x:v>
      </x:c>
      <x:c r="C2310" s="13" t="n">
        <x:v>484</x:v>
      </x:c>
      <x:c r="D2310" s="12" t="n">
        <x:v>245910.72</x:v>
      </x:c>
      <x:c r="E2310" s="12" t="n">
        <x:v>0</x:v>
      </x:c>
      <x:c r="F2310" s="12" t="n">
        <x:f>SUM(B2310,D2310:E2310)</x:f>
        <x:v>269459.598308</x:v>
      </x:c>
      <x:c r="G2310" s="12" t="n">
        <x:f>MAX(G2309,F2310)</x:f>
        <x:v>269459.598308</x:v>
      </x:c>
      <x:c r="H2310" s="14" t="n">
        <x:f>F2310/G2310-1</x:f>
        <x:v>0</x:v>
      </x:c>
      <x:c r="I2310" s="14" t="n">
        <x:f>F2310/F2309-1</x:f>
        <x:v>0.0032797833184601277</x:v>
      </x:c>
      <x:c r="J2310" s="12" t="n">
        <x:v>0</x:v>
      </x:c>
      <x:c r="K2310" s="12" t="n">
        <x:v>0</x:v>
      </x:c>
      <x:c r="L2310" s="12" t="n">
        <x:v>0</x:v>
      </x:c>
      <x:c r="M2310" s="2" t="str">
        <x:v>持有</x:v>
      </x:c>
    </x:row>
    <x:row r="2311" ht="23" customHeight="1">
      <x:c r="A2311" s="11" t="d">
        <x:v>2024-03-01T00:00:00.000Z</x:v>
      </x:c>
      <x:c r="B2311" s="12" t="n">
        <x:v>23548.878308</x:v>
      </x:c>
      <x:c r="C2311" s="13" t="n">
        <x:v>484</x:v>
      </x:c>
      <x:c r="D2311" s="12" t="n">
        <x:v>248219.40000000002</x:v>
      </x:c>
      <x:c r="E2311" s="12" t="n">
        <x:v>0</x:v>
      </x:c>
      <x:c r="F2311" s="12" t="n">
        <x:f>SUM(B2311,D2311:E2311)</x:f>
        <x:v>271768.278308</x:v>
      </x:c>
      <x:c r="G2311" s="12" t="n">
        <x:f>MAX(G2310,F2311)</x:f>
        <x:v>271768.278308</x:v>
      </x:c>
      <x:c r="H2311" s="14" t="n">
        <x:f>F2311/G2311-1</x:f>
        <x:v>0</x:v>
      </x:c>
      <x:c r="I2311" s="14" t="n">
        <x:f>F2311/F2310-1</x:f>
        <x:v>0.008567815043504678</x:v>
      </x:c>
      <x:c r="J2311" s="12" t="n">
        <x:v>0</x:v>
      </x:c>
      <x:c r="K2311" s="12" t="n">
        <x:v>0</x:v>
      </x:c>
      <x:c r="L2311" s="12" t="n">
        <x:v>0</x:v>
      </x:c>
      <x:c r="M2311" s="2" t="str">
        <x:v>持有</x:v>
      </x:c>
    </x:row>
    <x:row r="2312" ht="23" customHeight="1">
      <x:c r="A2312" s="11" t="d">
        <x:v>2024-03-04T00:00:00.000Z</x:v>
      </x:c>
      <x:c r="B2312" s="12" t="n">
        <x:v>23548.878308</x:v>
      </x:c>
      <x:c r="C2312" s="13" t="n">
        <x:v>484</x:v>
      </x:c>
      <x:c r="D2312" s="12" t="n">
        <x:v>247953.19999999998</x:v>
      </x:c>
      <x:c r="E2312" s="12" t="n">
        <x:v>0</x:v>
      </x:c>
      <x:c r="F2312" s="12" t="n">
        <x:f>SUM(B2312,D2312:E2312)</x:f>
        <x:v>271502.078308</x:v>
      </x:c>
      <x:c r="G2312" s="12" t="n">
        <x:f>MAX(G2311,F2312)</x:f>
        <x:v>271768.278308</x:v>
      </x:c>
      <x:c r="H2312" s="14" t="n">
        <x:f>F2312/G2312-1</x:f>
        <x:v>-0.0009795109335694052</x:v>
      </x:c>
      <x:c r="I2312" s="14" t="n">
        <x:f>F2312/F2311-1</x:f>
        <x:v>-0.0009795109335694052</x:v>
      </x:c>
      <x:c r="J2312" s="12" t="n">
        <x:v>0</x:v>
      </x:c>
      <x:c r="K2312" s="12" t="n">
        <x:v>0</x:v>
      </x:c>
      <x:c r="L2312" s="12" t="n">
        <x:v>0</x:v>
      </x:c>
      <x:c r="M2312" s="2" t="str">
        <x:v>持有</x:v>
      </x:c>
    </x:row>
    <x:row r="2313" ht="23" customHeight="1">
      <x:c r="A2313" s="11" t="d">
        <x:v>2024-03-05T00:00:00.000Z</x:v>
      </x:c>
      <x:c r="B2313" s="12" t="n">
        <x:v>23548.878308</x:v>
      </x:c>
      <x:c r="C2313" s="13" t="n">
        <x:v>484</x:v>
      </x:c>
      <x:c r="D2313" s="12" t="n">
        <x:v>245475.12</x:v>
      </x:c>
      <x:c r="E2313" s="12" t="n">
        <x:v>0</x:v>
      </x:c>
      <x:c r="F2313" s="12" t="n">
        <x:f>SUM(B2313,D2313:E2313)</x:f>
        <x:v>269023.998308</x:v>
      </x:c>
      <x:c r="G2313" s="12" t="n">
        <x:f>MAX(G2312,F2313)</x:f>
        <x:v>271768.278308</x:v>
      </x:c>
      <x:c r="H2313" s="14" t="n">
        <x:f>F2313/G2313-1</x:f>
        <x:v>-0.010097867260614901</x:v>
      </x:c>
      <x:c r="I2313" s="14" t="n">
        <x:f>F2313/F2312-1</x:f>
        <x:v>-0.009127296613872682</x:v>
      </x:c>
      <x:c r="J2313" s="12" t="n">
        <x:v>0</x:v>
      </x:c>
      <x:c r="K2313" s="12" t="n">
        <x:v>0</x:v>
      </x:c>
      <x:c r="L2313" s="12" t="n">
        <x:v>0</x:v>
      </x:c>
      <x:c r="M2313" s="2" t="str">
        <x:v>持有</x:v>
      </x:c>
    </x:row>
    <x:row r="2314" ht="23" customHeight="1">
      <x:c r="A2314" s="11" t="d">
        <x:v>2024-03-06T00:00:00.000Z</x:v>
      </x:c>
      <x:c r="B2314" s="12" t="n">
        <x:v>23548.878308</x:v>
      </x:c>
      <x:c r="C2314" s="13" t="n">
        <x:v>484</x:v>
      </x:c>
      <x:c r="D2314" s="12" t="n">
        <x:v>246719</x:v>
      </x:c>
      <x:c r="E2314" s="12" t="n">
        <x:v>0</x:v>
      </x:c>
      <x:c r="F2314" s="12" t="n">
        <x:f>SUM(B2314,D2314:E2314)</x:f>
        <x:v>270267.878308</x:v>
      </x:c>
      <x:c r="G2314" s="12" t="n">
        <x:f>MAX(G2313,F2314)</x:f>
        <x:v>271768.278308</x:v>
      </x:c>
      <x:c r="H2314" s="14" t="n">
        <x:f>F2314/G2314-1</x:f>
        <x:v>-0.0055208798073909104</x:v>
      </x:c>
      <x:c r="I2314" s="14" t="n">
        <x:f>F2314/F2313-1</x:f>
        <x:v>0.004623676727069981</x:v>
      </x:c>
      <x:c r="J2314" s="12" t="n">
        <x:v>0</x:v>
      </x:c>
      <x:c r="K2314" s="12" t="n">
        <x:v>0</x:v>
      </x:c>
      <x:c r="L2314" s="12" t="n">
        <x:v>0</x:v>
      </x:c>
      <x:c r="M2314" s="2" t="str">
        <x:v>持有</x:v>
      </x:c>
    </x:row>
    <x:row r="2315" ht="23" customHeight="1">
      <x:c r="A2315" s="11" t="d">
        <x:v>2024-03-07T00:00:00.000Z</x:v>
      </x:c>
      <x:c r="B2315" s="12" t="n">
        <x:v>23548.878308</x:v>
      </x:c>
      <x:c r="C2315" s="13" t="n">
        <x:v>484</x:v>
      </x:c>
      <x:c r="D2315" s="12" t="n">
        <x:v>249168.03999999998</x:v>
      </x:c>
      <x:c r="E2315" s="12" t="n">
        <x:v>0</x:v>
      </x:c>
      <x:c r="F2315" s="12" t="n">
        <x:f>SUM(B2315,D2315:E2315)</x:f>
        <x:v>272716.91830799996</x:v>
      </x:c>
      <x:c r="G2315" s="12" t="n">
        <x:f>MAX(G2314,F2315)</x:f>
        <x:v>272716.91830799996</x:v>
      </x:c>
      <x:c r="H2315" s="14" t="n">
        <x:f>F2315/G2315-1</x:f>
        <x:v>0</x:v>
      </x:c>
      <x:c r="I2315" s="14" t="n">
        <x:f>F2315/F2314-1</x:f>
        <x:v>0.009061528196883994</x:v>
      </x:c>
      <x:c r="J2315" s="12" t="n">
        <x:v>0</x:v>
      </x:c>
      <x:c r="K2315" s="12" t="n">
        <x:v>0</x:v>
      </x:c>
      <x:c r="L2315" s="12" t="n">
        <x:v>0</x:v>
      </x:c>
      <x:c r="M2315" s="2" t="str">
        <x:v>持有</x:v>
      </x:c>
    </x:row>
    <x:row r="2316" ht="23" customHeight="1">
      <x:c r="A2316" s="11" t="d">
        <x:v>2024-03-08T00:00:00.000Z</x:v>
      </x:c>
      <x:c r="B2316" s="12" t="n">
        <x:v>23548.878308</x:v>
      </x:c>
      <x:c r="C2316" s="13" t="n">
        <x:v>484</x:v>
      </x:c>
      <x:c r="D2316" s="12" t="n">
        <x:v>247672.48</x:v>
      </x:c>
      <x:c r="E2316" s="12" t="n">
        <x:v>0</x:v>
      </x:c>
      <x:c r="F2316" s="12" t="n">
        <x:f>SUM(B2316,D2316:E2316)</x:f>
        <x:v>271221.358308</x:v>
      </x:c>
      <x:c r="G2316" s="12" t="n">
        <x:f>MAX(G2315,F2316)</x:f>
        <x:v>272716.91830799996</x:v>
      </x:c>
      <x:c r="H2316" s="14" t="n">
        <x:f>F2316/G2316-1</x:f>
        <x:v>-0.005483928203936728</x:v>
      </x:c>
      <x:c r="I2316" s="14" t="n">
        <x:f>F2316/F2315-1</x:f>
        <x:v>-0.005483928203936728</x:v>
      </x:c>
      <x:c r="J2316" s="12" t="n">
        <x:v>0</x:v>
      </x:c>
      <x:c r="K2316" s="12" t="n">
        <x:v>0</x:v>
      </x:c>
      <x:c r="L2316" s="12" t="n">
        <x:v>0</x:v>
      </x:c>
      <x:c r="M2316" s="2" t="str">
        <x:v>持有</x:v>
      </x:c>
    </x:row>
    <x:row r="2317" ht="23" customHeight="1">
      <x:c r="A2317" s="11" t="d">
        <x:v>2024-03-11T00:00:00.000Z</x:v>
      </x:c>
      <x:c r="B2317" s="12" t="n">
        <x:v>23548.878308</x:v>
      </x:c>
      <x:c r="C2317" s="13" t="n">
        <x:v>484</x:v>
      </x:c>
      <x:c r="D2317" s="12" t="n">
        <x:v>247459.52</x:v>
      </x:c>
      <x:c r="E2317" s="12" t="n">
        <x:v>0</x:v>
      </x:c>
      <x:c r="F2317" s="12" t="n">
        <x:f>SUM(B2317,D2317:E2317)</x:f>
        <x:v>271008.398308</x:v>
      </x:c>
      <x:c r="G2317" s="12" t="n">
        <x:f>MAX(G2316,F2317)</x:f>
        <x:v>272716.91830799996</x:v>
      </x:c>
      <x:c r="H2317" s="14" t="n">
        <x:f>F2317/G2317-1</x:f>
        <x:v>-0.006264811184432673</x:v>
      </x:c>
      <x:c r="I2317" s="14" t="n">
        <x:f>F2317/F2316-1</x:f>
        <x:v>-0.0007851889000503043</x:v>
      </x:c>
      <x:c r="J2317" s="12" t="n">
        <x:v>0</x:v>
      </x:c>
      <x:c r="K2317" s="12" t="n">
        <x:v>0</x:v>
      </x:c>
      <x:c r="L2317" s="12" t="n">
        <x:v>0</x:v>
      </x:c>
      <x:c r="M2317" s="2" t="str">
        <x:v>持有</x:v>
      </x:c>
    </x:row>
    <x:row r="2318" ht="23" customHeight="1">
      <x:c r="A2318" s="11" t="d">
        <x:v>2024-03-12T00:00:00.000Z</x:v>
      </x:c>
      <x:c r="B2318" s="12" t="n">
        <x:v>23548.878308</x:v>
      </x:c>
      <x:c r="C2318" s="13" t="n">
        <x:v>484</x:v>
      </x:c>
      <x:c r="D2318" s="12" t="n">
        <x:v>250121.52</x:v>
      </x:c>
      <x:c r="E2318" s="12" t="n">
        <x:v>0</x:v>
      </x:c>
      <x:c r="F2318" s="12" t="n">
        <x:f>SUM(B2318,D2318:E2318)</x:f>
        <x:v>273670.398308</x:v>
      </x:c>
      <x:c r="G2318" s="12" t="n">
        <x:f>MAX(G2317,F2318)</x:f>
        <x:v>273670.398308</x:v>
      </x:c>
      <x:c r="H2318" s="14" t="n">
        <x:f>F2318/G2318-1</x:f>
        <x:v>0</x:v>
      </x:c>
      <x:c r="I2318" s="14" t="n">
        <x:f>F2318/F2317-1</x:f>
        <x:v>0.009822573826566927</x:v>
      </x:c>
      <x:c r="J2318" s="12" t="n">
        <x:v>0</x:v>
      </x:c>
      <x:c r="K2318" s="12" t="n">
        <x:v>0</x:v>
      </x:c>
      <x:c r="L2318" s="12" t="n">
        <x:v>0</x:v>
      </x:c>
      <x:c r="M2318" s="2" t="str">
        <x:v>持有</x:v>
      </x:c>
    </x:row>
    <x:row r="2319" ht="23" customHeight="1">
      <x:c r="A2319" s="11" t="d">
        <x:v>2024-03-13T00:00:00.000Z</x:v>
      </x:c>
      <x:c r="B2319" s="12" t="n">
        <x:v>23548.878308</x:v>
      </x:c>
      <x:c r="C2319" s="13" t="n">
        <x:v>484</x:v>
      </x:c>
      <x:c r="D2319" s="12" t="n">
        <x:v>249729.48</x:v>
      </x:c>
      <x:c r="E2319" s="12" t="n">
        <x:v>0</x:v>
      </x:c>
      <x:c r="F2319" s="12" t="n">
        <x:f>SUM(B2319,D2319:E2319)</x:f>
        <x:v>273278.358308</x:v>
      </x:c>
      <x:c r="G2319" s="12" t="n">
        <x:f>MAX(G2318,F2319)</x:f>
        <x:v>273670.398308</x:v>
      </x:c>
      <x:c r="H2319" s="14" t="n">
        <x:f>F2319/G2319-1</x:f>
        <x:v>-0.001432526142483126</x:v>
      </x:c>
      <x:c r="I2319" s="14" t="n">
        <x:f>F2319/F2318-1</x:f>
        <x:v>-0.001432526142483126</x:v>
      </x:c>
      <x:c r="J2319" s="12" t="n">
        <x:v>0</x:v>
      </x:c>
      <x:c r="K2319" s="12" t="n">
        <x:v>0</x:v>
      </x:c>
      <x:c r="L2319" s="12" t="n">
        <x:v>0</x:v>
      </x:c>
      <x:c r="M2319" s="2" t="str">
        <x:v>持有</x:v>
      </x:c>
    </x:row>
    <x:row r="2320" ht="23" customHeight="1">
      <x:c r="A2320" s="11" t="d">
        <x:v>2024-03-14T00:00:00.000Z</x:v>
      </x:c>
      <x:c r="B2320" s="12" t="n">
        <x:v>23548.878308</x:v>
      </x:c>
      <x:c r="C2320" s="13" t="n">
        <x:v>484</x:v>
      </x:c>
      <x:c r="D2320" s="12" t="n">
        <x:v>249235.80000000002</x:v>
      </x:c>
      <x:c r="E2320" s="12" t="n">
        <x:v>0</x:v>
      </x:c>
      <x:c r="F2320" s="12" t="n">
        <x:f>SUM(B2320,D2320:E2320)</x:f>
        <x:v>272784.67830800003</x:v>
      </x:c>
      <x:c r="G2320" s="12" t="n">
        <x:f>MAX(G2319,F2320)</x:f>
        <x:v>273670.398308</x:v>
      </x:c>
      <x:c r="H2320" s="14" t="n">
        <x:f>F2320/G2320-1</x:f>
        <x:v>-0.0032364479515359923</x:v>
      </x:c>
      <x:c r="I2320" s="14" t="n">
        <x:f>F2320/F2319-1</x:f>
        <x:v>-0.0018065096813981718</x:v>
      </x:c>
      <x:c r="J2320" s="12" t="n">
        <x:v>0</x:v>
      </x:c>
      <x:c r="K2320" s="12" t="n">
        <x:v>0</x:v>
      </x:c>
      <x:c r="L2320" s="12" t="n">
        <x:v>0</x:v>
      </x:c>
      <x:c r="M2320" s="2" t="str">
        <x:v>持有</x:v>
      </x:c>
    </x:row>
    <x:row r="2321" ht="23" customHeight="1">
      <x:c r="A2321" s="11" t="d">
        <x:v>2024-03-15T00:00:00.000Z</x:v>
      </x:c>
      <x:c r="B2321" s="12" t="n">
        <x:v>23548.878308</x:v>
      </x:c>
      <x:c r="C2321" s="13" t="n">
        <x:v>484</x:v>
      </x:c>
      <x:c r="D2321" s="12" t="n">
        <x:v>246757.72</x:v>
      </x:c>
      <x:c r="E2321" s="12" t="n">
        <x:v>771.949508</x:v>
      </x:c>
      <x:c r="F2321" s="12" t="n">
        <x:f>SUM(B2321,D2321:E2321)</x:f>
        <x:v>271078.547816</x:v>
      </x:c>
      <x:c r="G2321" s="12" t="n">
        <x:f>MAX(G2320,F2321)</x:f>
        <x:v>273670.398308</x:v>
      </x:c>
      <x:c r="H2321" s="14" t="n">
        <x:f>F2321/G2321-1</x:f>
        <x:v>-0.009470700916227814</x:v>
      </x:c>
      <x:c r="I2321" s="14" t="n">
        <x:f>F2321/F2320-1</x:f>
        <x:v>-0.006254495313236186</x:v>
      </x:c>
      <x:c r="J2321" s="12" t="n">
        <x:v>771.949508</x:v>
      </x:c>
      <x:c r="K2321" s="12" t="n">
        <x:v>0</x:v>
      </x:c>
      <x:c r="L2321" s="12" t="n">
        <x:v>0</x:v>
      </x:c>
      <x:c r="M2321" s="2" t="str">
        <x:v>持有</x:v>
      </x:c>
    </x:row>
    <x:row r="2322" ht="23" customHeight="1">
      <x:c r="A2322" s="11" t="d">
        <x:v>2024-03-18T00:00:00.000Z</x:v>
      </x:c>
      <x:c r="B2322" s="12" t="n">
        <x:v>23548.878308</x:v>
      </x:c>
      <x:c r="C2322" s="13" t="n">
        <x:v>484</x:v>
      </x:c>
      <x:c r="D2322" s="12" t="n">
        <x:v>248224.24000000002</x:v>
      </x:c>
      <x:c r="E2322" s="12" t="n">
        <x:v>771.949508</x:v>
      </x:c>
      <x:c r="F2322" s="12" t="n">
        <x:f>SUM(B2322,D2322:E2322)</x:f>
        <x:v>272545.067816</x:v>
      </x:c>
      <x:c r="G2322" s="12" t="n">
        <x:f>MAX(G2321,F2322)</x:f>
        <x:v>273670.398308</x:v>
      </x:c>
      <x:c r="H2322" s="14" t="n">
        <x:f>F2322/G2322-1</x:f>
        <x:v>-0.004111992012864607</x:v>
      </x:c>
      <x:c r="I2322" s="14" t="n">
        <x:f>F2322/F2321-1</x:f>
        <x:v>0.005409944873230765</x:v>
      </x:c>
      <x:c r="J2322" s="12" t="n">
        <x:v>0</x:v>
      </x:c>
      <x:c r="K2322" s="12" t="n">
        <x:v>0</x:v>
      </x:c>
      <x:c r="L2322" s="12" t="n">
        <x:v>0</x:v>
      </x:c>
      <x:c r="M2322" s="2" t="str">
        <x:v>持有</x:v>
      </x:c>
    </x:row>
    <x:row r="2323" ht="23" customHeight="1">
      <x:c r="A2323" s="11" t="d">
        <x:v>2024-03-19T00:00:00.000Z</x:v>
      </x:c>
      <x:c r="B2323" s="12" t="n">
        <x:v>23548.878308</x:v>
      </x:c>
      <x:c r="C2323" s="13" t="n">
        <x:v>484</x:v>
      </x:c>
      <x:c r="D2323" s="12" t="n">
        <x:v>249603.64</x:v>
      </x:c>
      <x:c r="E2323" s="12" t="n">
        <x:v>771.949508</x:v>
      </x:c>
      <x:c r="F2323" s="12" t="n">
        <x:f>SUM(B2323,D2323:E2323)</x:f>
        <x:v>273924.467816</x:v>
      </x:c>
      <x:c r="G2323" s="12" t="n">
        <x:f>MAX(G2322,F2323)</x:f>
        <x:v>273924.467816</x:v>
      </x:c>
      <x:c r="H2323" s="14" t="n">
        <x:f>F2323/G2323-1</x:f>
        <x:v>0</x:v>
      </x:c>
      <x:c r="I2323" s="14" t="n">
        <x:f>F2323/F2322-1</x:f>
        <x:v>0.005061181297660644</x:v>
      </x:c>
      <x:c r="J2323" s="12" t="n">
        <x:v>0</x:v>
      </x:c>
      <x:c r="K2323" s="12" t="n">
        <x:v>0</x:v>
      </x:c>
      <x:c r="L2323" s="12" t="n">
        <x:v>0</x:v>
      </x:c>
      <x:c r="M2323" s="2" t="str">
        <x:v>持有</x:v>
      </x:c>
    </x:row>
    <x:row r="2324" ht="23" customHeight="1">
      <x:c r="A2324" s="11" t="d">
        <x:v>2024-03-20T00:00:00.000Z</x:v>
      </x:c>
      <x:c r="B2324" s="12" t="n">
        <x:v>23548.878308</x:v>
      </x:c>
      <x:c r="C2324" s="13" t="n">
        <x:v>484</x:v>
      </x:c>
      <x:c r="D2324" s="12" t="n">
        <x:v>251912.32</x:v>
      </x:c>
      <x:c r="E2324" s="12" t="n">
        <x:v>771.949508</x:v>
      </x:c>
      <x:c r="F2324" s="12" t="n">
        <x:f>SUM(B2324,D2324:E2324)</x:f>
        <x:v>276233.147816</x:v>
      </x:c>
      <x:c r="G2324" s="12" t="n">
        <x:f>MAX(G2323,F2324)</x:f>
        <x:v>276233.147816</x:v>
      </x:c>
      <x:c r="H2324" s="14" t="n">
        <x:f>F2324/G2324-1</x:f>
        <x:v>0</x:v>
      </x:c>
      <x:c r="I2324" s="14" t="n">
        <x:f>F2324/F2323-1</x:f>
        <x:v>0.008428162764747116</x:v>
      </x:c>
      <x:c r="J2324" s="12" t="n">
        <x:v>0</x:v>
      </x:c>
      <x:c r="K2324" s="12" t="n">
        <x:v>0</x:v>
      </x:c>
      <x:c r="L2324" s="12" t="n">
        <x:v>0</x:v>
      </x:c>
      <x:c r="M2324" s="2" t="str">
        <x:v>持有</x:v>
      </x:c>
    </x:row>
    <x:row r="2325" ht="23" customHeight="1">
      <x:c r="A2325" s="11" t="d">
        <x:v>2024-03-21T00:00:00.000Z</x:v>
      </x:c>
      <x:c r="B2325" s="12" t="n">
        <x:v>23548.878308</x:v>
      </x:c>
      <x:c r="C2325" s="13" t="n">
        <x:v>484</x:v>
      </x:c>
      <x:c r="D2325" s="12" t="n">
        <x:v>252744.80000000002</x:v>
      </x:c>
      <x:c r="E2325" s="12" t="n">
        <x:v>771.949508</x:v>
      </x:c>
      <x:c r="F2325" s="12" t="n">
        <x:f>SUM(B2325,D2325:E2325)</x:f>
        <x:v>277065.627816</x:v>
      </x:c>
      <x:c r="G2325" s="12" t="n">
        <x:f>MAX(G2324,F2325)</x:f>
        <x:v>277065.627816</x:v>
      </x:c>
      <x:c r="H2325" s="14" t="n">
        <x:f>F2325/G2325-1</x:f>
        <x:v>0</x:v>
      </x:c>
      <x:c r="I2325" s="14" t="n">
        <x:f>F2325/F2324-1</x:f>
        <x:v>0.003013686107485425</x:v>
      </x:c>
      <x:c r="J2325" s="12" t="n">
        <x:v>0</x:v>
      </x:c>
      <x:c r="K2325" s="12" t="n">
        <x:v>0</x:v>
      </x:c>
      <x:c r="L2325" s="12" t="n">
        <x:v>0</x:v>
      </x:c>
      <x:c r="M2325" s="2" t="str">
        <x:v>持有</x:v>
      </x:c>
    </x:row>
    <x:row r="2326" ht="23" customHeight="1">
      <x:c r="A2326" s="11" t="d">
        <x:v>2024-03-22T00:00:00.000Z</x:v>
      </x:c>
      <x:c r="B2326" s="12" t="n">
        <x:v>23548.878308</x:v>
      </x:c>
      <x:c r="C2326" s="13" t="n">
        <x:v>484</x:v>
      </x:c>
      <x:c r="D2326" s="12" t="n">
        <x:v>252265.64</x:v>
      </x:c>
      <x:c r="E2326" s="12" t="n">
        <x:v>771.949508</x:v>
      </x:c>
      <x:c r="F2326" s="12" t="n">
        <x:f>SUM(B2326,D2326:E2326)</x:f>
        <x:v>276586.467816</x:v>
      </x:c>
      <x:c r="G2326" s="12" t="n">
        <x:f>MAX(G2325,F2326)</x:f>
        <x:v>277065.627816</x:v>
      </x:c>
      <x:c r="H2326" s="14" t="n">
        <x:f>F2326/G2326-1</x:f>
        <x:v>-0.001729409756731859</x:v>
      </x:c>
      <x:c r="I2326" s="14" t="n">
        <x:f>F2326/F2325-1</x:f>
        <x:v>-0.001729409756731859</x:v>
      </x:c>
      <x:c r="J2326" s="12" t="n">
        <x:v>0</x:v>
      </x:c>
      <x:c r="K2326" s="12" t="n">
        <x:v>0</x:v>
      </x:c>
      <x:c r="L2326" s="12" t="n">
        <x:v>0</x:v>
      </x:c>
      <x:c r="M2326" s="2" t="str">
        <x:v>持有</x:v>
      </x:c>
    </x:row>
    <x:row r="2327" ht="23" customHeight="1">
      <x:c r="A2327" s="11" t="d">
        <x:v>2024-03-25T00:00:00.000Z</x:v>
      </x:c>
      <x:c r="B2327" s="12" t="n">
        <x:v>23548.878308</x:v>
      </x:c>
      <x:c r="C2327" s="13" t="n">
        <x:v>484</x:v>
      </x:c>
      <x:c r="D2327" s="12" t="n">
        <x:v>251568.68</x:v>
      </x:c>
      <x:c r="E2327" s="12" t="n">
        <x:v>771.949508</x:v>
      </x:c>
      <x:c r="F2327" s="12" t="n">
        <x:f>SUM(B2327,D2327:E2327)</x:f>
        <x:v>275889.50781599997</x:v>
      </x:c>
      <x:c r="G2327" s="12" t="n">
        <x:f>MAX(G2326,F2327)</x:f>
        <x:v>277065.627816</x:v>
      </x:c>
      <x:c r="H2327" s="14" t="n">
        <x:f>F2327/G2327-1</x:f>
        <x:v>-0.0042449148574327245</x:v>
      </x:c>
      <x:c r="I2327" s="14" t="n">
        <x:f>F2327/F2326-1</x:f>
        <x:v>-0.002519862976317677</x:v>
      </x:c>
      <x:c r="J2327" s="12" t="n">
        <x:v>0</x:v>
      </x:c>
      <x:c r="K2327" s="12" t="n">
        <x:v>0</x:v>
      </x:c>
      <x:c r="L2327" s="12" t="n">
        <x:v>0</x:v>
      </x:c>
      <x:c r="M2327" s="2" t="str">
        <x:v>持有</x:v>
      </x:c>
    </x:row>
    <x:row r="2328" ht="23" customHeight="1">
      <x:c r="A2328" s="11" t="d">
        <x:v>2024-03-26T00:00:00.000Z</x:v>
      </x:c>
      <x:c r="B2328" s="12" t="n">
        <x:v>23548.878308</x:v>
      </x:c>
      <x:c r="C2328" s="13" t="n">
        <x:v>484</x:v>
      </x:c>
      <x:c r="D2328" s="12" t="n">
        <x:v>251104.03999999998</x:v>
      </x:c>
      <x:c r="E2328" s="12" t="n">
        <x:v>771.949508</x:v>
      </x:c>
      <x:c r="F2328" s="12" t="n">
        <x:f>SUM(B2328,D2328:E2328)</x:f>
        <x:v>275424.86781599995</x:v>
      </x:c>
      <x:c r="G2328" s="12" t="n">
        <x:f>MAX(G2327,F2328)</x:f>
        <x:v>277065.627816</x:v>
      </x:c>
      <x:c r="H2328" s="14" t="n">
        <x:f>F2328/G2328-1</x:f>
        <x:v>-0.005921918257899894</x:v>
      </x:c>
      <x:c r="I2328" s="14" t="n">
        <x:f>F2328/F2327-1</x:f>
        <x:v>-0.0016841524843702604</x:v>
      </x:c>
      <x:c r="J2328" s="12" t="n">
        <x:v>0</x:v>
      </x:c>
      <x:c r="K2328" s="12" t="n">
        <x:v>0</x:v>
      </x:c>
      <x:c r="L2328" s="12" t="n">
        <x:v>0</x:v>
      </x:c>
      <x:c r="M2328" s="2" t="str">
        <x:v>持有</x:v>
      </x:c>
    </x:row>
    <x:row r="2329" ht="23" customHeight="1">
      <x:c r="A2329" s="11" t="d">
        <x:v>2024-03-27T00:00:00.000Z</x:v>
      </x:c>
      <x:c r="B2329" s="12" t="n">
        <x:v>23548.878308</x:v>
      </x:c>
      <x:c r="C2329" s="13" t="n">
        <x:v>484</x:v>
      </x:c>
      <x:c r="D2329" s="12" t="n">
        <x:v>253214.27999999997</x:v>
      </x:c>
      <x:c r="E2329" s="12" t="n">
        <x:v>771.949508</x:v>
      </x:c>
      <x:c r="F2329" s="12" t="n">
        <x:f>SUM(B2329,D2329:E2329)</x:f>
        <x:v>277535.10781599995</x:v>
      </x:c>
      <x:c r="G2329" s="12" t="n">
        <x:f>MAX(G2328,F2329)</x:f>
        <x:v>277535.10781599995</x:v>
      </x:c>
      <x:c r="H2329" s="14" t="n">
        <x:f>F2329/G2329-1</x:f>
        <x:v>0</x:v>
      </x:c>
      <x:c r="I2329" s="14" t="n">
        <x:f>F2329/F2328-1</x:f>
        <x:v>0.007661762776663084</x:v>
      </x:c>
      <x:c r="J2329" s="12" t="n">
        <x:v>0</x:v>
      </x:c>
      <x:c r="K2329" s="12" t="n">
        <x:v>0</x:v>
      </x:c>
      <x:c r="L2329" s="12" t="n">
        <x:v>0</x:v>
      </x:c>
      <x:c r="M2329" s="2" t="str">
        <x:v>持有</x:v>
      </x:c>
    </x:row>
    <x:row r="2330" ht="23" customHeight="1">
      <x:c r="A2330" s="11" t="d">
        <x:v>2024-03-28T00:00:00.000Z</x:v>
      </x:c>
      <x:c r="B2330" s="12" t="n">
        <x:v>23548.878308</x:v>
      </x:c>
      <x:c r="C2330" s="13" t="n">
        <x:v>484</x:v>
      </x:c>
      <x:c r="D2330" s="12" t="n">
        <x:v>253165.88000000003</x:v>
      </x:c>
      <x:c r="E2330" s="12" t="n">
        <x:v>771.949508</x:v>
      </x:c>
      <x:c r="F2330" s="12" t="n">
        <x:f>SUM(B2330,D2330:E2330)</x:f>
        <x:v>277486.70781600004</x:v>
      </x:c>
      <x:c r="G2330" s="12" t="n">
        <x:f>MAX(G2329,F2330)</x:f>
        <x:v>277535.10781599995</x:v>
      </x:c>
      <x:c r="H2330" s="14" t="n">
        <x:f>F2330/G2330-1</x:f>
        <x:v>-0.0001743923512264045</x:v>
      </x:c>
      <x:c r="I2330" s="14" t="n">
        <x:f>F2330/F2329-1</x:f>
        <x:v>-0.0001743923512264045</x:v>
      </x:c>
      <x:c r="J2330" s="12" t="n">
        <x:v>0</x:v>
      </x:c>
      <x:c r="K2330" s="12" t="n">
        <x:v>0</x:v>
      </x:c>
      <x:c r="L2330" s="12" t="n">
        <x:v>0</x:v>
      </x:c>
      <x:c r="M2330" s="2" t="str">
        <x:v>持有</x:v>
      </x:c>
    </x:row>
    <x:row r="2331" ht="23" customHeight="1">
      <x:c r="A2331" s="11" t="d">
        <x:v>2024-04-01T00:00:00.000Z</x:v>
      </x:c>
      <x:c r="B2331" s="12" t="n">
        <x:v>23548.878308</x:v>
      </x:c>
      <x:c r="C2331" s="13" t="n">
        <x:v>484</x:v>
      </x:c>
      <x:c r="D2331" s="12" t="n">
        <x:v>252725.43999999997</x:v>
      </x:c>
      <x:c r="E2331" s="12" t="n">
        <x:v>771.949508</x:v>
      </x:c>
      <x:c r="F2331" s="12" t="n">
        <x:f>SUM(B2331,D2331:E2331)</x:f>
        <x:v>277046.267816</x:v>
      </x:c>
      <x:c r="G2331" s="12" t="n">
        <x:f>MAX(G2330,F2331)</x:f>
        <x:v>277535.10781599995</x:v>
      </x:c>
      <x:c r="H2331" s="14" t="n">
        <x:f>F2331/G2331-1</x:f>
        <x:v>-0.0017613627473900273</x:v>
      </x:c>
      <x:c r="I2331" s="14" t="n">
        <x:f>F2331/F2330-1</x:f>
        <x:v>-0.0015872471999347493</x:v>
      </x:c>
      <x:c r="J2331" s="12" t="n">
        <x:v>0</x:v>
      </x:c>
      <x:c r="K2331" s="12" t="n">
        <x:v>0</x:v>
      </x:c>
      <x:c r="L2331" s="12" t="n">
        <x:v>0</x:v>
      </x:c>
      <x:c r="M2331" s="2" t="str">
        <x:v>持有</x:v>
      </x:c>
    </x:row>
    <x:row r="2332" ht="23" customHeight="1">
      <x:c r="A2332" s="11" t="d">
        <x:v>2024-04-02T00:00:00.000Z</x:v>
      </x:c>
      <x:c r="B2332" s="12" t="n">
        <x:v>23548.878308</x:v>
      </x:c>
      <x:c r="C2332" s="13" t="n">
        <x:v>484</x:v>
      </x:c>
      <x:c r="D2332" s="12" t="n">
        <x:v>251118.56000000003</x:v>
      </x:c>
      <x:c r="E2332" s="12" t="n">
        <x:v>771.949508</x:v>
      </x:c>
      <x:c r="F2332" s="12" t="n">
        <x:f>SUM(B2332,D2332:E2332)</x:f>
        <x:v>275439.38781600003</x:v>
      </x:c>
      <x:c r="G2332" s="12" t="n">
        <x:f>MAX(G2331,F2332)</x:f>
        <x:v>277535.10781599995</x:v>
      </x:c>
      <x:c r="H2332" s="14" t="n">
        <x:f>F2332/G2332-1</x:f>
        <x:v>-0.00755118880811767</x:v>
      </x:c>
      <x:c r="I2332" s="14" t="n">
        <x:f>F2332/F2331-1</x:f>
        <x:v>-0.0058000420387079865</x:v>
      </x:c>
      <x:c r="J2332" s="12" t="n">
        <x:v>0</x:v>
      </x:c>
      <x:c r="K2332" s="12" t="n">
        <x:v>0</x:v>
      </x:c>
      <x:c r="L2332" s="12" t="n">
        <x:v>0</x:v>
      </x:c>
      <x:c r="M2332" s="2" t="str">
        <x:v>持有</x:v>
      </x:c>
    </x:row>
    <x:row r="2333" ht="23" customHeight="1">
      <x:c r="A2333" s="11" t="d">
        <x:v>2024-04-03T00:00:00.000Z</x:v>
      </x:c>
      <x:c r="B2333" s="12" t="n">
        <x:v>23548.878308</x:v>
      </x:c>
      <x:c r="C2333" s="13" t="n">
        <x:v>484</x:v>
      </x:c>
      <x:c r="D2333" s="12" t="n">
        <x:v>251394.43999999997</x:v>
      </x:c>
      <x:c r="E2333" s="12" t="n">
        <x:v>771.949508</x:v>
      </x:c>
      <x:c r="F2333" s="12" t="n">
        <x:f>SUM(B2333,D2333:E2333)</x:f>
        <x:v>275715.267816</x:v>
      </x:c>
      <x:c r="G2333" s="12" t="n">
        <x:f>MAX(G2332,F2333)</x:f>
        <x:v>277535.10781599995</x:v>
      </x:c>
      <x:c r="H2333" s="14" t="n">
        <x:f>F2333/G2333-1</x:f>
        <x:v>-0.006557152406125422</x:v>
      </x:c>
      <x:c r="I2333" s="14" t="n">
        <x:f>F2333/F2332-1</x:f>
        <x:v>0.0010015996702121832</x:v>
      </x:c>
      <x:c r="J2333" s="12" t="n">
        <x:v>0</x:v>
      </x:c>
      <x:c r="K2333" s="12" t="n">
        <x:v>0</x:v>
      </x:c>
      <x:c r="L2333" s="12" t="n">
        <x:v>0</x:v>
      </x:c>
      <x:c r="M2333" s="2" t="str">
        <x:v>持有</x:v>
      </x:c>
    </x:row>
    <x:row r="2334" ht="23" customHeight="1">
      <x:c r="A2334" s="11" t="d">
        <x:v>2024-04-04T00:00:00.000Z</x:v>
      </x:c>
      <x:c r="B2334" s="12" t="n">
        <x:v>23548.878308</x:v>
      </x:c>
      <x:c r="C2334" s="13" t="n">
        <x:v>484</x:v>
      </x:c>
      <x:c r="D2334" s="12" t="n">
        <x:v>248325.88000000003</x:v>
      </x:c>
      <x:c r="E2334" s="12" t="n">
        <x:v>771.949508</x:v>
      </x:c>
      <x:c r="F2334" s="12" t="n">
        <x:f>SUM(B2334,D2334:E2334)</x:f>
        <x:v>272646.70781600004</x:v>
      </x:c>
      <x:c r="G2334" s="12" t="n">
        <x:f>MAX(G2333,F2334)</x:f>
        <x:v>277535.10781599995</x:v>
      </x:c>
      <x:c r="H2334" s="14" t="n">
        <x:f>F2334/G2334-1</x:f>
        <x:v>-0.017613627473900717</x:v>
      </x:c>
      <x:c r="I2334" s="14" t="n">
        <x:f>F2334/F2333-1</x:f>
        <x:v>-0.0111294525845691</x:v>
      </x:c>
      <x:c r="J2334" s="12" t="n">
        <x:v>0</x:v>
      </x:c>
      <x:c r="K2334" s="12" t="n">
        <x:v>0</x:v>
      </x:c>
      <x:c r="L2334" s="12" t="n">
        <x:v>0</x:v>
      </x:c>
      <x:c r="M2334" s="2" t="str">
        <x:v>持有</x:v>
      </x:c>
    </x:row>
    <x:row r="2335" ht="23" customHeight="1">
      <x:c r="A2335" s="11" t="d">
        <x:v>2024-04-05T00:00:00.000Z</x:v>
      </x:c>
      <x:c r="B2335" s="12" t="n">
        <x:v>23548.878308</x:v>
      </x:c>
      <x:c r="C2335" s="13" t="n">
        <x:v>484</x:v>
      </x:c>
      <x:c r="D2335" s="12" t="n">
        <x:v>250920.11999999997</x:v>
      </x:c>
      <x:c r="E2335" s="12" t="n">
        <x:v>771.949508</x:v>
      </x:c>
      <x:c r="F2335" s="12" t="n">
        <x:f>SUM(B2335,D2335:E2335)</x:f>
        <x:v>275240.94781599997</x:v>
      </x:c>
      <x:c r="G2335" s="12" t="n">
        <x:f>MAX(G2334,F2335)</x:f>
        <x:v>277535.10781599995</x:v>
      </x:c>
      <x:c r="H2335" s="14" t="n">
        <x:f>F2335/G2335-1</x:f>
        <x:v>-0.008266197448147605</x:v>
      </x:c>
      <x:c r="I2335" s="14" t="n">
        <x:f>F2335/F2334-1</x:f>
        <x:v>0.009515024115936521</x:v>
      </x:c>
      <x:c r="J2335" s="12" t="n">
        <x:v>0</x:v>
      </x:c>
      <x:c r="K2335" s="12" t="n">
        <x:v>0</x:v>
      </x:c>
      <x:c r="L2335" s="12" t="n">
        <x:v>0</x:v>
      </x:c>
      <x:c r="M2335" s="2" t="str">
        <x:v>持有</x:v>
      </x:c>
    </x:row>
    <x:row r="2336" ht="23" customHeight="1">
      <x:c r="A2336" s="11" t="d">
        <x:v>2024-04-08T00:00:00.000Z</x:v>
      </x:c>
      <x:c r="B2336" s="12" t="n">
        <x:v>23548.878308</x:v>
      </x:c>
      <x:c r="C2336" s="13" t="n">
        <x:v>484</x:v>
      </x:c>
      <x:c r="D2336" s="12" t="n">
        <x:v>251060.48</x:v>
      </x:c>
      <x:c r="E2336" s="12" t="n">
        <x:v>771.949508</x:v>
      </x:c>
      <x:c r="F2336" s="12" t="n">
        <x:f>SUM(B2336,D2336:E2336)</x:f>
        <x:v>275381.307816</x:v>
      </x:c>
      <x:c r="G2336" s="12" t="n">
        <x:f>MAX(G2335,F2336)</x:f>
        <x:v>277535.10781599995</x:v>
      </x:c>
      <x:c r="H2336" s="14" t="n">
        <x:f>F2336/G2336-1</x:f>
        <x:v>-0.007760459629589822</x:v>
      </x:c>
      <x:c r="I2336" s="14" t="n">
        <x:f>F2336/F2335-1</x:f>
        <x:v>0.0005099531923349332</x:v>
      </x:c>
      <x:c r="J2336" s="12" t="n">
        <x:v>0</x:v>
      </x:c>
      <x:c r="K2336" s="12" t="n">
        <x:v>0</x:v>
      </x:c>
      <x:c r="L2336" s="12" t="n">
        <x:v>0</x:v>
      </x:c>
      <x:c r="M2336" s="2" t="str">
        <x:v>持有</x:v>
      </x:c>
    </x:row>
    <x:row r="2337" ht="23" customHeight="1">
      <x:c r="A2337" s="11" t="d">
        <x:v>2024-04-09T00:00:00.000Z</x:v>
      </x:c>
      <x:c r="B2337" s="12" t="n">
        <x:v>23548.878308</x:v>
      </x:c>
      <x:c r="C2337" s="13" t="n">
        <x:v>484</x:v>
      </x:c>
      <x:c r="D2337" s="12" t="n">
        <x:v>251350.88000000003</x:v>
      </x:c>
      <x:c r="E2337" s="12" t="n">
        <x:v>771.949508</x:v>
      </x:c>
      <x:c r="F2337" s="12" t="n">
        <x:f>SUM(B2337,D2337:E2337)</x:f>
        <x:v>275671.70781600004</x:v>
      </x:c>
      <x:c r="G2337" s="12" t="n">
        <x:f>MAX(G2336,F2337)</x:f>
        <x:v>277535.10781599995</x:v>
      </x:c>
      <x:c r="H2337" s="14" t="n">
        <x:f>F2337/G2337-1</x:f>
        <x:v>-0.006714105522229286</x:v>
      </x:c>
      <x:c r="I2337" s="14" t="n">
        <x:f>F2337/F2336-1</x:f>
        <x:v>0.0010545378054274135</x:v>
      </x:c>
      <x:c r="J2337" s="12" t="n">
        <x:v>0</x:v>
      </x:c>
      <x:c r="K2337" s="12" t="n">
        <x:v>0</x:v>
      </x:c>
      <x:c r="L2337" s="12" t="n">
        <x:v>0</x:v>
      </x:c>
      <x:c r="M2337" s="2" t="str">
        <x:v>持有</x:v>
      </x:c>
    </x:row>
    <x:row r="2338" ht="23" customHeight="1">
      <x:c r="A2338" s="11" t="d">
        <x:v>2024-04-10T00:00:00.000Z</x:v>
      </x:c>
      <x:c r="B2338" s="12" t="n">
        <x:v>23548.878308</x:v>
      </x:c>
      <x:c r="C2338" s="13" t="n">
        <x:v>484</x:v>
      </x:c>
      <x:c r="D2338" s="12" t="n">
        <x:v>248834.08000000002</x:v>
      </x:c>
      <x:c r="E2338" s="12" t="n">
        <x:v>771.949508</x:v>
      </x:c>
      <x:c r="F2338" s="12" t="n">
        <x:f>SUM(B2338,D2338:E2338)</x:f>
        <x:v>273154.907816</x:v>
      </x:c>
      <x:c r="G2338" s="12" t="n">
        <x:f>MAX(G2337,F2338)</x:f>
        <x:v>277535.10781599995</x:v>
      </x:c>
      <x:c r="H2338" s="14" t="n">
        <x:f>F2338/G2338-1</x:f>
        <x:v>-0.015782507786020084</x:v>
      </x:c>
      <x:c r="I2338" s="14" t="n">
        <x:f>F2338/F2337-1</x:f>
        <x:v>-0.009129700033200017</x:v>
      </x:c>
      <x:c r="J2338" s="12" t="n">
        <x:v>0</x:v>
      </x:c>
      <x:c r="K2338" s="12" t="n">
        <x:v>0</x:v>
      </x:c>
      <x:c r="L2338" s="12" t="n">
        <x:v>0</x:v>
      </x:c>
      <x:c r="M2338" s="2" t="str">
        <x:v>持有</x:v>
      </x:c>
    </x:row>
    <x:row r="2339" ht="23" customHeight="1">
      <x:c r="A2339" s="11" t="d">
        <x:v>2024-04-11T00:00:00.000Z</x:v>
      </x:c>
      <x:c r="B2339" s="12" t="n">
        <x:v>23548.878308</x:v>
      </x:c>
      <x:c r="C2339" s="13" t="n">
        <x:v>484</x:v>
      </x:c>
      <x:c r="D2339" s="12" t="n">
        <x:v>250712</x:v>
      </x:c>
      <x:c r="E2339" s="12" t="n">
        <x:v>771.949508</x:v>
      </x:c>
      <x:c r="F2339" s="12" t="n">
        <x:f>SUM(B2339,D2339:E2339)</x:f>
        <x:v>275032.827816</x:v>
      </x:c>
      <x:c r="G2339" s="12" t="n">
        <x:f>MAX(G2338,F2339)</x:f>
        <x:v>277535.10781599995</x:v>
      </x:c>
      <x:c r="H2339" s="14" t="n">
        <x:f>F2339/G2339-1</x:f>
        <x:v>-0.00901608455842251</x:v>
      </x:c>
      <x:c r="I2339" s="14" t="n">
        <x:f>F2339/F2338-1</x:f>
        <x:v>0.006874926813560833</x:v>
      </x:c>
      <x:c r="J2339" s="12" t="n">
        <x:v>0</x:v>
      </x:c>
      <x:c r="K2339" s="12" t="n">
        <x:v>0</x:v>
      </x:c>
      <x:c r="L2339" s="12" t="n">
        <x:v>0</x:v>
      </x:c>
      <x:c r="M2339" s="2" t="str">
        <x:v>持有</x:v>
      </x:c>
    </x:row>
    <x:row r="2340" ht="23" customHeight="1">
      <x:c r="A2340" s="11" t="d">
        <x:v>2024-04-12T00:00:00.000Z</x:v>
      </x:c>
      <x:c r="B2340" s="12" t="n">
        <x:v>23548.878308</x:v>
      </x:c>
      <x:c r="C2340" s="13" t="n">
        <x:v>484</x:v>
      </x:c>
      <x:c r="D2340" s="12" t="n">
        <x:v>247251.40000000002</x:v>
      </x:c>
      <x:c r="E2340" s="12" t="n">
        <x:v>771.949508</x:v>
      </x:c>
      <x:c r="F2340" s="12" t="n">
        <x:f>SUM(B2340,D2340:E2340)</x:f>
        <x:v>271572.227816</x:v>
      </x:c>
      <x:c r="G2340" s="12" t="n">
        <x:f>MAX(G2339,F2340)</x:f>
        <x:v>277535.10781599995</x:v>
      </x:c>
      <x:c r="H2340" s="14" t="n">
        <x:f>F2340/G2340-1</x:f>
        <x:v>-0.02148513767113458</x:v>
      </x:c>
      <x:c r="I2340" s="14" t="n">
        <x:f>F2340/F2339-1</x:f>
        <x:v>-0.012582497978441909</x:v>
      </x:c>
      <x:c r="J2340" s="12" t="n">
        <x:v>0</x:v>
      </x:c>
      <x:c r="K2340" s="12" t="n">
        <x:v>0</x:v>
      </x:c>
      <x:c r="L2340" s="12" t="n">
        <x:v>0</x:v>
      </x:c>
      <x:c r="M2340" s="2" t="str">
        <x:v>持有</x:v>
      </x:c>
    </x:row>
    <x:row r="2341" ht="23" customHeight="1">
      <x:c r="A2341" s="11" t="d">
        <x:v>2024-04-15T00:00:00.000Z</x:v>
      </x:c>
      <x:c r="B2341" s="12" t="n">
        <x:v>23548.878308</x:v>
      </x:c>
      <x:c r="C2341" s="13" t="n">
        <x:v>484</x:v>
      </x:c>
      <x:c r="D2341" s="12" t="n">
        <x:v>244153.8</x:v>
      </x:c>
      <x:c r="E2341" s="12" t="n">
        <x:v>771.949508</x:v>
      </x:c>
      <x:c r="F2341" s="12" t="n">
        <x:f>SUM(B2341,D2341:E2341)</x:f>
        <x:v>268474.62781599996</x:v>
      </x:c>
      <x:c r="G2341" s="12" t="n">
        <x:f>MAX(G2340,F2341)</x:f>
        <x:v>277535.10781599995</x:v>
      </x:c>
      <x:c r="H2341" s="14" t="n">
        <x:f>F2341/G2341-1</x:f>
        <x:v>-0.03264624814964634</x:v>
      </x:c>
      <x:c r="I2341" s="14" t="n">
        <x:f>F2341/F2340-1</x:f>
        <x:v>-0.011406173690554189</x:v>
      </x:c>
      <x:c r="J2341" s="12" t="n">
        <x:v>0</x:v>
      </x:c>
      <x:c r="K2341" s="12" t="n">
        <x:v>0</x:v>
      </x:c>
      <x:c r="L2341" s="12" t="n">
        <x:v>0</x:v>
      </x:c>
      <x:c r="M2341" s="2" t="str">
        <x:v>持有</x:v>
      </x:c>
    </x:row>
    <x:row r="2342" ht="23" customHeight="1">
      <x:c r="A2342" s="11" t="d">
        <x:v>2024-04-16T00:00:00.000Z</x:v>
      </x:c>
      <x:c r="B2342" s="12" t="n">
        <x:v>23548.878308</x:v>
      </x:c>
      <x:c r="C2342" s="13" t="n">
        <x:v>484</x:v>
      </x:c>
      <x:c r="D2342" s="12" t="n">
        <x:v>243708.52</x:v>
      </x:c>
      <x:c r="E2342" s="12" t="n">
        <x:v>771.949508</x:v>
      </x:c>
      <x:c r="F2342" s="12" t="n">
        <x:f>SUM(B2342,D2342:E2342)</x:f>
        <x:v>268029.347816</x:v>
      </x:c>
      <x:c r="G2342" s="12" t="n">
        <x:f>MAX(G2341,F2342)</x:f>
        <x:v>277535.10781599995</x:v>
      </x:c>
      <x:c r="H2342" s="14" t="n">
        <x:f>F2342/G2342-1</x:f>
        <x:v>-0.03425065778093228</x:v>
      </x:c>
      <x:c r="I2342" s="14" t="n">
        <x:f>F2342/F2341-1</x:f>
        <x:v>-0.0016585552371271017</x:v>
      </x:c>
      <x:c r="J2342" s="12" t="n">
        <x:v>0</x:v>
      </x:c>
      <x:c r="K2342" s="12" t="n">
        <x:v>0</x:v>
      </x:c>
      <x:c r="L2342" s="12" t="n">
        <x:v>0</x:v>
      </x:c>
      <x:c r="M2342" s="2" t="str">
        <x:v>持有</x:v>
      </x:c>
    </x:row>
    <x:row r="2343" ht="23" customHeight="1">
      <x:c r="A2343" s="11" t="d">
        <x:v>2024-04-17T00:00:00.000Z</x:v>
      </x:c>
      <x:c r="B2343" s="12" t="n">
        <x:v>23548.878308</x:v>
      </x:c>
      <x:c r="C2343" s="13" t="n">
        <x:v>484</x:v>
      </x:c>
      <x:c r="D2343" s="12" t="n">
        <x:v>242266.2</x:v>
      </x:c>
      <x:c r="E2343" s="12" t="n">
        <x:v>771.949508</x:v>
      </x:c>
      <x:c r="F2343" s="12" t="n">
        <x:f>SUM(B2343,D2343:E2343)</x:f>
        <x:v>266587.027816</x:v>
      </x:c>
      <x:c r="G2343" s="12" t="n">
        <x:f>MAX(G2342,F2343)</x:f>
        <x:v>277535.10781599995</x:v>
      </x:c>
      <x:c r="H2343" s="14" t="n">
        <x:f>F2343/G2343-1</x:f>
        <x:v>-0.039447549847489216</x:v>
      </x:c>
      <x:c r="I2343" s="14" t="n">
        <x:f>F2343/F2342-1</x:f>
        <x:v>-0.005381201766719079</x:v>
      </x:c>
      <x:c r="J2343" s="12" t="n">
        <x:v>0</x:v>
      </x:c>
      <x:c r="K2343" s="12" t="n">
        <x:v>0</x:v>
      </x:c>
      <x:c r="L2343" s="12" t="n">
        <x:v>0</x:v>
      </x:c>
      <x:c r="M2343" s="2" t="str">
        <x:v>持有</x:v>
      </x:c>
    </x:row>
    <x:row r="2344" ht="23" customHeight="1">
      <x:c r="A2344" s="11" t="d">
        <x:v>2024-04-18T00:00:00.000Z</x:v>
      </x:c>
      <x:c r="B2344" s="12" t="n">
        <x:v>23548.878308</x:v>
      </x:c>
      <x:c r="C2344" s="13" t="n">
        <x:v>484</x:v>
      </x:c>
      <x:c r="D2344" s="12" t="n">
        <x:v>241767.68</x:v>
      </x:c>
      <x:c r="E2344" s="12" t="n">
        <x:v>771.949508</x:v>
      </x:c>
      <x:c r="F2344" s="12" t="n">
        <x:f>SUM(B2344,D2344:E2344)</x:f>
        <x:v>266088.50781599997</x:v>
      </x:c>
      <x:c r="G2344" s="12" t="n">
        <x:f>MAX(G2343,F2344)</x:f>
        <x:v>277535.10781599995</x:v>
      </x:c>
      <x:c r="H2344" s="14" t="n">
        <x:f>F2344/G2344-1</x:f>
        <x:v>-0.04124379106512477</x:v>
      </x:c>
      <x:c r="I2344" s="14" t="n">
        <x:f>F2344/F2343-1</x:f>
        <x:v>-0.001870008469969875</x:v>
      </x:c>
      <x:c r="J2344" s="12" t="n">
        <x:v>0</x:v>
      </x:c>
      <x:c r="K2344" s="12" t="n">
        <x:v>0</x:v>
      </x:c>
      <x:c r="L2344" s="12" t="n">
        <x:v>0</x:v>
      </x:c>
      <x:c r="M2344" s="2" t="str">
        <x:v>持有</x:v>
      </x:c>
    </x:row>
    <x:row r="2345" ht="23" customHeight="1">
      <x:c r="A2345" s="11" t="d">
        <x:v>2024-04-19T00:00:00.000Z</x:v>
      </x:c>
      <x:c r="B2345" s="12" t="n">
        <x:v>23548.878308</x:v>
      </x:c>
      <x:c r="C2345" s="13" t="n">
        <x:v>484</x:v>
      </x:c>
      <x:c r="D2345" s="12" t="n">
        <x:v>239657.44</x:v>
      </x:c>
      <x:c r="E2345" s="12" t="n">
        <x:v>771.949508</x:v>
      </x:c>
      <x:c r="F2345" s="12" t="n">
        <x:f>SUM(B2345,D2345:E2345)</x:f>
        <x:v>263978.267816</x:v>
      </x:c>
      <x:c r="G2345" s="12" t="n">
        <x:f>MAX(G2344,F2345)</x:f>
        <x:v>277535.10781599995</x:v>
      </x:c>
      <x:c r="H2345" s="14" t="n">
        <x:f>F2345/G2345-1</x:f>
        <x:v>-0.04884729757861073</x:v>
      </x:c>
      <x:c r="I2345" s="14" t="n">
        <x:f>F2345/F2344-1</x:f>
        <x:v>-0.007930594287293369</x:v>
      </x:c>
      <x:c r="J2345" s="12" t="n">
        <x:v>0</x:v>
      </x:c>
      <x:c r="K2345" s="12" t="n">
        <x:v>0</x:v>
      </x:c>
      <x:c r="L2345" s="12" t="n">
        <x:v>0</x:v>
      </x:c>
      <x:c r="M2345" s="2" t="str">
        <x:v>持有</x:v>
      </x:c>
    </x:row>
    <x:row r="2346" ht="23" customHeight="1">
      <x:c r="A2346" s="11" t="d">
        <x:v>2024-04-22T00:00:00.000Z</x:v>
      </x:c>
      <x:c r="B2346" s="12" t="n">
        <x:v>23548.878308</x:v>
      </x:c>
      <x:c r="C2346" s="13" t="n">
        <x:v>484</x:v>
      </x:c>
      <x:c r="D2346" s="12" t="n">
        <x:v>241864.48</x:v>
      </x:c>
      <x:c r="E2346" s="12" t="n">
        <x:v>771.949508</x:v>
      </x:c>
      <x:c r="F2346" s="12" t="n">
        <x:f>SUM(B2346,D2346:E2346)</x:f>
        <x:v>266185.307816</x:v>
      </x:c>
      <x:c r="G2346" s="12" t="n">
        <x:f>MAX(G2345,F2346)</x:f>
        <x:v>277535.10781599995</x:v>
      </x:c>
      <x:c r="H2346" s="14" t="n">
        <x:f>F2346/G2346-1</x:f>
        <x:v>-0.04089500636267107</x:v>
      </x:c>
      <x:c r="I2346" s="14" t="n">
        <x:f>F2346/F2345-1</x:f>
        <x:v>0.008360688242482262</x:v>
      </x:c>
      <x:c r="J2346" s="12" t="n">
        <x:v>0</x:v>
      </x:c>
      <x:c r="K2346" s="12" t="n">
        <x:v>0</x:v>
      </x:c>
      <x:c r="L2346" s="12" t="n">
        <x:v>0</x:v>
      </x:c>
      <x:c r="M2346" s="2" t="str">
        <x:v>持有</x:v>
      </x:c>
    </x:row>
    <x:row r="2347" ht="23" customHeight="1">
      <x:c r="A2347" s="11" t="d">
        <x:v>2024-04-23T00:00:00.000Z</x:v>
      </x:c>
      <x:c r="B2347" s="12" t="n">
        <x:v>23548.878308</x:v>
      </x:c>
      <x:c r="C2347" s="13" t="n">
        <x:v>484</x:v>
      </x:c>
      <x:c r="D2347" s="12" t="n">
        <x:v>244734.59999999998</x:v>
      </x:c>
      <x:c r="E2347" s="12" t="n">
        <x:v>771.949508</x:v>
      </x:c>
      <x:c r="F2347" s="12" t="n">
        <x:f>SUM(B2347,D2347:E2347)</x:f>
        <x:v>269055.42781599995</x:v>
      </x:c>
      <x:c r="G2347" s="12" t="n">
        <x:f>MAX(G2346,F2347)</x:f>
        <x:v>277535.10781599995</x:v>
      </x:c>
      <x:c r="H2347" s="14" t="n">
        <x:f>F2347/G2347-1</x:f>
        <x:v>-0.03055353993492549</x:v>
      </x:c>
      <x:c r="I2347" s="14" t="n">
        <x:f>F2347/F2346-1</x:f>
        <x:v>0.0107824132877532</x:v>
      </x:c>
      <x:c r="J2347" s="12" t="n">
        <x:v>0</x:v>
      </x:c>
      <x:c r="K2347" s="12" t="n">
        <x:v>0</x:v>
      </x:c>
      <x:c r="L2347" s="12" t="n">
        <x:v>0</x:v>
      </x:c>
      <x:c r="M2347" s="2" t="str">
        <x:v>持有</x:v>
      </x:c>
    </x:row>
    <x:row r="2348" ht="23" customHeight="1">
      <x:c r="A2348" s="11" t="d">
        <x:v>2024-04-24T00:00:00.000Z</x:v>
      </x:c>
      <x:c r="B2348" s="12" t="n">
        <x:v>23548.878308</x:v>
      </x:c>
      <x:c r="C2348" s="13" t="n">
        <x:v>484</x:v>
      </x:c>
      <x:c r="D2348" s="12" t="n">
        <x:v>244618.44</x:v>
      </x:c>
      <x:c r="E2348" s="12" t="n">
        <x:v>771.949508</x:v>
      </x:c>
      <x:c r="F2348" s="12" t="n">
        <x:f>SUM(B2348,D2348:E2348)</x:f>
        <x:v>268939.267816</x:v>
      </x:c>
      <x:c r="G2348" s="12" t="n">
        <x:f>MAX(G2347,F2348)</x:f>
        <x:v>277535.10781599995</x:v>
      </x:c>
      <x:c r="H2348" s="14" t="n">
        <x:f>F2348/G2348-1</x:f>
        <x:v>-0.03097208157786957</x:v>
      </x:c>
      <x:c r="I2348" s="14" t="n">
        <x:f>F2348/F2347-1</x:f>
        <x:v>-0.0004317326022480472</x:v>
      </x:c>
      <x:c r="J2348" s="12" t="n">
        <x:v>0</x:v>
      </x:c>
      <x:c r="K2348" s="12" t="n">
        <x:v>0</x:v>
      </x:c>
      <x:c r="L2348" s="12" t="n">
        <x:v>0</x:v>
      </x:c>
      <x:c r="M2348" s="2" t="str">
        <x:v>持有</x:v>
      </x:c>
    </x:row>
    <x:row r="2349" ht="23" customHeight="1">
      <x:c r="A2349" s="11" t="d">
        <x:v>2024-04-25T00:00:00.000Z</x:v>
      </x:c>
      <x:c r="B2349" s="12" t="n">
        <x:v>23548.878308</x:v>
      </x:c>
      <x:c r="C2349" s="13" t="n">
        <x:v>484</x:v>
      </x:c>
      <x:c r="D2349" s="12" t="n">
        <x:v>243689.16</x:v>
      </x:c>
      <x:c r="E2349" s="12" t="n">
        <x:v>771.949508</x:v>
      </x:c>
      <x:c r="F2349" s="12" t="n">
        <x:f>SUM(B2349,D2349:E2349)</x:f>
        <x:v>268009.987816</x:v>
      </x:c>
      <x:c r="G2349" s="12" t="n">
        <x:f>MAX(G2348,F2349)</x:f>
        <x:v>277535.10781599995</x:v>
      </x:c>
      <x:c r="H2349" s="14" t="n">
        <x:f>F2349/G2349-1</x:f>
        <x:v>-0.03432041472142289</x:v>
      </x:c>
      <x:c r="I2349" s="14" t="n">
        <x:f>F2349/F2348-1</x:f>
        <x:v>-0.0034553526063577644</x:v>
      </x:c>
      <x:c r="J2349" s="12" t="n">
        <x:v>0</x:v>
      </x:c>
      <x:c r="K2349" s="12" t="n">
        <x:v>0</x:v>
      </x:c>
      <x:c r="L2349" s="12" t="n">
        <x:v>0</x:v>
      </x:c>
      <x:c r="M2349" s="2" t="str">
        <x:v>持有</x:v>
      </x:c>
    </x:row>
    <x:row r="2350" ht="23" customHeight="1">
      <x:c r="A2350" s="11" t="d">
        <x:v>2024-04-26T00:00:00.000Z</x:v>
      </x:c>
      <x:c r="B2350" s="12" t="n">
        <x:v>23548.878308</x:v>
      </x:c>
      <x:c r="C2350" s="13" t="n">
        <x:v>484</x:v>
      </x:c>
      <x:c r="D2350" s="12" t="n">
        <x:v>245997.84</x:v>
      </x:c>
      <x:c r="E2350" s="12" t="n">
        <x:v>771.949508</x:v>
      </x:c>
      <x:c r="F2350" s="12" t="n">
        <x:f>SUM(B2350,D2350:E2350)</x:f>
        <x:v>270318.667816</x:v>
      </x:c>
      <x:c r="G2350" s="12" t="n">
        <x:f>MAX(G2349,F2350)</x:f>
        <x:v>277535.10781599995</x:v>
      </x:c>
      <x:c r="H2350" s="14" t="n">
        <x:f>F2350/G2350-1</x:f>
        <x:v>-0.026001899567907216</x:v>
      </x:c>
      <x:c r="I2350" s="14" t="n">
        <x:f>F2350/F2349-1</x:f>
        <x:v>0.008614156579809906</x:v>
      </x:c>
      <x:c r="J2350" s="12" t="n">
        <x:v>0</x:v>
      </x:c>
      <x:c r="K2350" s="12" t="n">
        <x:v>0</x:v>
      </x:c>
      <x:c r="L2350" s="12" t="n">
        <x:v>0</x:v>
      </x:c>
      <x:c r="M2350" s="2" t="str">
        <x:v>持有</x:v>
      </x:c>
    </x:row>
    <x:row r="2351" ht="23" customHeight="1">
      <x:c r="A2351" s="11" t="d">
        <x:v>2024-04-29T00:00:00.000Z</x:v>
      </x:c>
      <x:c r="B2351" s="12" t="n">
        <x:v>23548.878308</x:v>
      </x:c>
      <x:c r="C2351" s="13" t="n">
        <x:v>484</x:v>
      </x:c>
      <x:c r="D2351" s="12" t="n">
        <x:v>246869.04</x:v>
      </x:c>
      <x:c r="E2351" s="12" t="n">
        <x:v>771.949508</x:v>
      </x:c>
      <x:c r="F2351" s="12" t="n">
        <x:f>SUM(B2351,D2351:E2351)</x:f>
        <x:v>271189.867816</x:v>
      </x:c>
      <x:c r="G2351" s="12" t="n">
        <x:f>MAX(G2350,F2351)</x:f>
        <x:v>277535.10781599995</x:v>
      </x:c>
      <x:c r="H2351" s="14" t="n">
        <x:f>F2351/G2351-1</x:f>
        <x:v>-0.02286283724582583</x:v>
      </x:c>
      <x:c r="I2351" s="14" t="n">
        <x:f>F2351/F2350-1</x:f>
        <x:v>0.0032228628789818803</x:v>
      </x:c>
      <x:c r="J2351" s="12" t="n">
        <x:v>0</x:v>
      </x:c>
      <x:c r="K2351" s="12" t="n">
        <x:v>0</x:v>
      </x:c>
      <x:c r="L2351" s="12" t="n">
        <x:v>0</x:v>
      </x:c>
      <x:c r="M2351" s="2" t="str">
        <x:v>持有</x:v>
      </x:c>
    </x:row>
    <x:row r="2352" ht="23" customHeight="1">
      <x:c r="A2352" s="11" t="d">
        <x:v>2024-04-30T00:00:00.000Z</x:v>
      </x:c>
      <x:c r="B2352" s="12" t="n">
        <x:v>24320.827816</x:v>
      </x:c>
      <x:c r="C2352" s="13" t="n">
        <x:v>484</x:v>
      </x:c>
      <x:c r="D2352" s="12" t="n">
        <x:v>242958.32</x:v>
      </x:c>
      <x:c r="E2352" s="12" t="n">
        <x:v>0</x:v>
      </x:c>
      <x:c r="F2352" s="12" t="n">
        <x:f>SUM(B2352,D2352:E2352)</x:f>
        <x:v>267279.147816</x:v>
      </x:c>
      <x:c r="G2352" s="12" t="n">
        <x:f>MAX(G2351,F2352)</x:f>
        <x:v>277535.10781599995</x:v>
      </x:c>
      <x:c r="H2352" s="14" t="n">
        <x:f>F2352/G2352-1</x:f>
        <x:v>-0.036953739224946824</x:v>
      </x:c>
      <x:c r="I2352" s="14" t="n">
        <x:f>F2352/F2351-1</x:f>
        <x:v>-0.014420597758664888</x:v>
      </x:c>
      <x:c r="J2352" s="12" t="n">
        <x:v>0</x:v>
      </x:c>
      <x:c r="K2352" s="12" t="n">
        <x:v>771.949508</x:v>
      </x:c>
      <x:c r="L2352" s="12" t="n">
        <x:v>0</x:v>
      </x:c>
      <x:c r="M2352" s="2" t="str">
        <x:v>持有</x:v>
      </x:c>
    </x:row>
    <x:row r="2353" ht="23" customHeight="1">
      <x:c r="A2353" s="11" t="d">
        <x:v>2024-05-01T00:00:00.000Z</x:v>
      </x:c>
      <x:c r="B2353" s="12" t="n">
        <x:v>24320.827816</x:v>
      </x:c>
      <x:c r="C2353" s="13" t="n">
        <x:v>484</x:v>
      </x:c>
      <x:c r="D2353" s="12" t="n">
        <x:v>242169.40000000002</x:v>
      </x:c>
      <x:c r="E2353" s="12" t="n">
        <x:v>0</x:v>
      </x:c>
      <x:c r="F2353" s="12" t="n">
        <x:f>SUM(B2353,D2353:E2353)</x:f>
        <x:v>266490.227816</x:v>
      </x:c>
      <x:c r="G2353" s="12" t="n">
        <x:f>MAX(G2352,F2353)</x:f>
        <x:v>277535.10781599995</x:v>
      </x:c>
      <x:c r="H2353" s="14" t="n">
        <x:f>F2353/G2353-1</x:f>
        <x:v>-0.03979633454994269</x:v>
      </x:c>
      <x:c r="I2353" s="14" t="n">
        <x:f>F2353/F2352-1</x:f>
        <x:v>-0.002951670590266464</x:v>
      </x:c>
      <x:c r="J2353" s="12" t="n">
        <x:v>0</x:v>
      </x:c>
      <x:c r="K2353" s="12" t="n">
        <x:v>0</x:v>
      </x:c>
      <x:c r="L2353" s="12" t="n">
        <x:v>0</x:v>
      </x:c>
      <x:c r="M2353" s="2" t="str">
        <x:v>持有</x:v>
      </x:c>
    </x:row>
    <x:row r="2354" ht="23" customHeight="1">
      <x:c r="A2354" s="11" t="d">
        <x:v>2024-05-02T00:00:00.000Z</x:v>
      </x:c>
      <x:c r="B2354" s="12" t="n">
        <x:v>24320.827816</x:v>
      </x:c>
      <x:c r="C2354" s="13" t="n">
        <x:v>484</x:v>
      </x:c>
      <x:c r="D2354" s="12" t="n">
        <x:v>244434.52</x:v>
      </x:c>
      <x:c r="E2354" s="12" t="n">
        <x:v>0</x:v>
      </x:c>
      <x:c r="F2354" s="12" t="n">
        <x:f>SUM(B2354,D2354:E2354)</x:f>
        <x:v>268755.347816</x:v>
      </x:c>
      <x:c r="G2354" s="12" t="n">
        <x:f>MAX(G2353,F2354)</x:f>
        <x:v>277535.10781599995</x:v>
      </x:c>
      <x:c r="H2354" s="14" t="n">
        <x:f>F2354/G2354-1</x:f>
        <x:v>-0.031634772512531106</x:v>
      </x:c>
      <x:c r="I2354" s="14" t="n">
        <x:f>F2354/F2353-1</x:f>
        <x:v>0.00849982387183057</x:v>
      </x:c>
      <x:c r="J2354" s="12" t="n">
        <x:v>0</x:v>
      </x:c>
      <x:c r="K2354" s="12" t="n">
        <x:v>0</x:v>
      </x:c>
      <x:c r="L2354" s="12" t="n">
        <x:v>0</x:v>
      </x:c>
      <x:c r="M2354" s="2" t="str">
        <x:v>持有</x:v>
      </x:c>
    </x:row>
    <x:row r="2355" ht="23" customHeight="1">
      <x:c r="A2355" s="11" t="d">
        <x:v>2024-05-03T00:00:00.000Z</x:v>
      </x:c>
      <x:c r="B2355" s="12" t="n">
        <x:v>24320.827816</x:v>
      </x:c>
      <x:c r="C2355" s="13" t="n">
        <x:v>484</x:v>
      </x:c>
      <x:c r="D2355" s="12" t="n">
        <x:v>247464.36000000002</x:v>
      </x:c>
      <x:c r="E2355" s="12" t="n">
        <x:v>0</x:v>
      </x:c>
      <x:c r="F2355" s="12" t="n">
        <x:f>SUM(B2355,D2355:E2355)</x:f>
        <x:v>271785.187816</x:v>
      </x:c>
      <x:c r="G2355" s="12" t="n">
        <x:f>MAX(G2354,F2355)</x:f>
        <x:v>277535.10781599995</x:v>
      </x:c>
      <x:c r="H2355" s="14" t="n">
        <x:f>F2355/G2355-1</x:f>
        <x:v>-0.020717811325736912</x:v>
      </x:c>
      <x:c r="I2355" s="14" t="n">
        <x:f>F2355/F2354-1</x:f>
        <x:v>0.011273598924157469</x:v>
      </x:c>
      <x:c r="J2355" s="12" t="n">
        <x:v>0</x:v>
      </x:c>
      <x:c r="K2355" s="12" t="n">
        <x:v>0</x:v>
      </x:c>
      <x:c r="L2355" s="12" t="n">
        <x:v>0</x:v>
      </x:c>
      <x:c r="M2355" s="2" t="str">
        <x:v>持有</x:v>
      </x:c>
    </x:row>
    <x:row r="2356" ht="23" customHeight="1">
      <x:c r="A2356" s="11" t="d">
        <x:v>2024-05-06T00:00:00.000Z</x:v>
      </x:c>
      <x:c r="B2356" s="12" t="n">
        <x:v>24320.827816</x:v>
      </x:c>
      <x:c r="C2356" s="13" t="n">
        <x:v>484</x:v>
      </x:c>
      <x:c r="D2356" s="12" t="n">
        <x:v>250019.88000000003</x:v>
      </x:c>
      <x:c r="E2356" s="12" t="n">
        <x:v>0</x:v>
      </x:c>
      <x:c r="F2356" s="12" t="n">
        <x:f>SUM(B2356,D2356:E2356)</x:f>
        <x:v>274340.70781600004</x:v>
      </x:c>
      <x:c r="G2356" s="12" t="n">
        <x:f>MAX(G2355,F2356)</x:f>
        <x:v>277535.10781599995</x:v>
      </x:c>
      <x:c r="H2356" s="14" t="n">
        <x:f>F2356/G2356-1</x:f>
        <x:v>-0.011509895180964791</x:v>
      </x:c>
      <x:c r="I2356" s="14" t="n">
        <x:f>F2356/F2355-1</x:f>
        <x:v>0.009402719922066316</x:v>
      </x:c>
      <x:c r="J2356" s="12" t="n">
        <x:v>0</x:v>
      </x:c>
      <x:c r="K2356" s="12" t="n">
        <x:v>0</x:v>
      </x:c>
      <x:c r="L2356" s="12" t="n">
        <x:v>0</x:v>
      </x:c>
      <x:c r="M2356" s="2" t="str">
        <x:v>持有</x:v>
      </x:c>
    </x:row>
    <x:row r="2357" ht="23" customHeight="1">
      <x:c r="A2357" s="11" t="d">
        <x:v>2024-05-07T00:00:00.000Z</x:v>
      </x:c>
      <x:c r="B2357" s="12" t="n">
        <x:v>24320.827816</x:v>
      </x:c>
      <x:c r="C2357" s="13" t="n">
        <x:v>484</x:v>
      </x:c>
      <x:c r="D2357" s="12" t="n">
        <x:v>250295.75999999998</x:v>
      </x:c>
      <x:c r="E2357" s="12" t="n">
        <x:v>0</x:v>
      </x:c>
      <x:c r="F2357" s="12" t="n">
        <x:f>SUM(B2357,D2357:E2357)</x:f>
        <x:v>274616.587816</x:v>
      </x:c>
      <x:c r="G2357" s="12" t="n">
        <x:f>MAX(G2356,F2357)</x:f>
        <x:v>277535.10781599995</x:v>
      </x:c>
      <x:c r="H2357" s="14" t="n">
        <x:f>F2357/G2357-1</x:f>
        <x:v>-0.010515858778972542</x:v>
      </x:c>
      <x:c r="I2357" s="14" t="n">
        <x:f>F2357/F2356-1</x:f>
        <x:v>0.0010056108777884987</x:v>
      </x:c>
      <x:c r="J2357" s="12" t="n">
        <x:v>0</x:v>
      </x:c>
      <x:c r="K2357" s="12" t="n">
        <x:v>0</x:v>
      </x:c>
      <x:c r="L2357" s="12" t="n">
        <x:v>0</x:v>
      </x:c>
      <x:c r="M2357" s="2" t="str">
        <x:v>持有</x:v>
      </x:c>
    </x:row>
    <x:row r="2358" ht="23" customHeight="1">
      <x:c r="A2358" s="11" t="d">
        <x:v>2024-05-08T00:00:00.000Z</x:v>
      </x:c>
      <x:c r="B2358" s="12" t="n">
        <x:v>24320.827816</x:v>
      </x:c>
      <x:c r="C2358" s="13" t="n">
        <x:v>484</x:v>
      </x:c>
      <x:c r="D2358" s="12" t="n">
        <x:v>250319.96000000002</x:v>
      </x:c>
      <x:c r="E2358" s="12" t="n">
        <x:v>0</x:v>
      </x:c>
      <x:c r="F2358" s="12" t="n">
        <x:f>SUM(B2358,D2358:E2358)</x:f>
        <x:v>274640.787816</x:v>
      </x:c>
      <x:c r="G2358" s="12" t="n">
        <x:f>MAX(G2357,F2358)</x:f>
        <x:v>277535.10781599995</x:v>
      </x:c>
      <x:c r="H2358" s="14" t="n">
        <x:f>F2358/G2358-1</x:f>
        <x:v>-0.010428662603359062</x:v>
      </x:c>
      <x:c r="I2358" s="14" t="n">
        <x:f>F2358/F2357-1</x:f>
        <x:v>0.00008812286319792584</x:v>
      </x:c>
      <x:c r="J2358" s="12" t="n">
        <x:v>0</x:v>
      </x:c>
      <x:c r="K2358" s="12" t="n">
        <x:v>0</x:v>
      </x:c>
      <x:c r="L2358" s="12" t="n">
        <x:v>0</x:v>
      </x:c>
      <x:c r="M2358" s="2" t="str">
        <x:v>持有</x:v>
      </x:c>
    </x:row>
    <x:row r="2359" ht="23" customHeight="1">
      <x:c r="A2359" s="11" t="d">
        <x:v>2024-05-09T00:00:00.000Z</x:v>
      </x:c>
      <x:c r="B2359" s="12" t="n">
        <x:v>24320.827816</x:v>
      </x:c>
      <x:c r="C2359" s="13" t="n">
        <x:v>484</x:v>
      </x:c>
      <x:c r="D2359" s="12" t="n">
        <x:v>251762.27999999997</x:v>
      </x:c>
      <x:c r="E2359" s="12" t="n">
        <x:v>0</x:v>
      </x:c>
      <x:c r="F2359" s="12" t="n">
        <x:f>SUM(B2359,D2359:E2359)</x:f>
        <x:v>276083.10781599995</x:v>
      </x:c>
      <x:c r="G2359" s="12" t="n">
        <x:f>MAX(G2358,F2359)</x:f>
        <x:v>277535.10781599995</x:v>
      </x:c>
      <x:c r="H2359" s="14" t="n">
        <x:f>F2359/G2359-1</x:f>
        <x:v>-0.005231770536802349</x:v>
      </x:c>
      <x:c r="I2359" s="14" t="n">
        <x:f>F2359/F2358-1</x:f>
        <x:v>0.005251659855295188</x:v>
      </x:c>
      <x:c r="J2359" s="12" t="n">
        <x:v>0</x:v>
      </x:c>
      <x:c r="K2359" s="12" t="n">
        <x:v>0</x:v>
      </x:c>
      <x:c r="L2359" s="12" t="n">
        <x:v>0</x:v>
      </x:c>
      <x:c r="M2359" s="2" t="str">
        <x:v>持有</x:v>
      </x:c>
    </x:row>
    <x:row r="2360" ht="23" customHeight="1">
      <x:c r="A2360" s="11" t="d">
        <x:v>2024-05-10T00:00:00.000Z</x:v>
      </x:c>
      <x:c r="B2360" s="12" t="n">
        <x:v>24320.827816</x:v>
      </x:c>
      <x:c r="C2360" s="13" t="n">
        <x:v>484</x:v>
      </x:c>
      <x:c r="D2360" s="12" t="n">
        <x:v>252086.56000000003</x:v>
      </x:c>
      <x:c r="E2360" s="12" t="n">
        <x:v>0</x:v>
      </x:c>
      <x:c r="F2360" s="12" t="n">
        <x:f>SUM(B2360,D2360:E2360)</x:f>
        <x:v>276407.38781600003</x:v>
      </x:c>
      <x:c r="G2360" s="12" t="n">
        <x:f>MAX(G2359,F2360)</x:f>
        <x:v>277535.10781599995</x:v>
      </x:c>
      <x:c r="H2360" s="14" t="n">
        <x:f>F2360/G2360-1</x:f>
        <x:v>-0.004063341783582808</x:v>
      </x:c>
      <x:c r="I2360" s="14" t="n">
        <x:f>F2360/F2359-1</x:f>
        <x:v>0.0011745738541026896</x:v>
      </x:c>
      <x:c r="J2360" s="12" t="n">
        <x:v>0</x:v>
      </x:c>
      <x:c r="K2360" s="12" t="n">
        <x:v>0</x:v>
      </x:c>
      <x:c r="L2360" s="12" t="n">
        <x:v>0</x:v>
      </x:c>
      <x:c r="M2360" s="2" t="str">
        <x:v>持有</x:v>
      </x:c>
    </x:row>
    <x:row r="2361" ht="23" customHeight="1">
      <x:c r="A2361" s="11" t="d">
        <x:v>2024-05-13T00:00:00.000Z</x:v>
      </x:c>
      <x:c r="B2361" s="12" t="n">
        <x:v>24320.827816</x:v>
      </x:c>
      <x:c r="C2361" s="13" t="n">
        <x:v>484</x:v>
      </x:c>
      <x:c r="D2361" s="12" t="n">
        <x:v>252120.43999999997</x:v>
      </x:c>
      <x:c r="E2361" s="12" t="n">
        <x:v>0</x:v>
      </x:c>
      <x:c r="F2361" s="12" t="n">
        <x:f>SUM(B2361,D2361:E2361)</x:f>
        <x:v>276441.267816</x:v>
      </x:c>
      <x:c r="G2361" s="12" t="n">
        <x:f>MAX(G2360,F2361)</x:f>
        <x:v>277535.10781599995</x:v>
      </x:c>
      <x:c r="H2361" s="14" t="n">
        <x:f>F2361/G2361-1</x:f>
        <x:v>-0.003941267137724247</x:v>
      </x:c>
      <x:c r="I2361" s="14" t="n">
        <x:f>F2361/F2360-1</x:f>
        <x:v>0.00012257270063464887</x:v>
      </x:c>
      <x:c r="J2361" s="12" t="n">
        <x:v>0</x:v>
      </x:c>
      <x:c r="K2361" s="12" t="n">
        <x:v>0</x:v>
      </x:c>
      <x:c r="L2361" s="12" t="n">
        <x:v>0</x:v>
      </x:c>
      <x:c r="M2361" s="2" t="str">
        <x:v>持有</x:v>
      </x:c>
    </x:row>
    <x:row r="2362" ht="23" customHeight="1">
      <x:c r="A2362" s="11" t="d">
        <x:v>2024-05-14T00:00:00.000Z</x:v>
      </x:c>
      <x:c r="B2362" s="12" t="n">
        <x:v>24320.827816</x:v>
      </x:c>
      <x:c r="C2362" s="13" t="n">
        <x:v>484</x:v>
      </x:c>
      <x:c r="D2362" s="12" t="n">
        <x:v>253277.19999999998</x:v>
      </x:c>
      <x:c r="E2362" s="12" t="n">
        <x:v>0</x:v>
      </x:c>
      <x:c r="F2362" s="12" t="n">
        <x:f>SUM(B2362,D2362:E2362)</x:f>
        <x:v>277598.027816</x:v>
      </x:c>
      <x:c r="G2362" s="12" t="n">
        <x:f>MAX(G2361,F2362)</x:f>
        <x:v>277598.027816</x:v>
      </x:c>
      <x:c r="H2362" s="14" t="n">
        <x:f>F2362/G2362-1</x:f>
        <x:v>0</x:v>
      </x:c>
      <x:c r="I2362" s="14" t="n">
        <x:f>F2362/F2361-1</x:f>
        <x:v>0.004184469305682503</x:v>
      </x:c>
      <x:c r="J2362" s="12" t="n">
        <x:v>0</x:v>
      </x:c>
      <x:c r="K2362" s="12" t="n">
        <x:v>0</x:v>
      </x:c>
      <x:c r="L2362" s="12" t="n">
        <x:v>0</x:v>
      </x:c>
      <x:c r="M2362" s="2" t="str">
        <x:v>持有</x:v>
      </x:c>
    </x:row>
    <x:row r="2363" ht="23" customHeight="1">
      <x:c r="A2363" s="11" t="d">
        <x:v>2024-05-15T00:00:00.000Z</x:v>
      </x:c>
      <x:c r="B2363" s="12" t="n">
        <x:v>24320.827816</x:v>
      </x:c>
      <x:c r="C2363" s="13" t="n">
        <x:v>484</x:v>
      </x:c>
      <x:c r="D2363" s="12" t="n">
        <x:v>256413.52</x:v>
      </x:c>
      <x:c r="E2363" s="12" t="n">
        <x:v>0</x:v>
      </x:c>
      <x:c r="F2363" s="12" t="n">
        <x:f>SUM(B2363,D2363:E2363)</x:f>
        <x:v>280734.347816</x:v>
      </x:c>
      <x:c r="G2363" s="12" t="n">
        <x:f>MAX(G2362,F2363)</x:f>
        <x:v>280734.347816</x:v>
      </x:c>
      <x:c r="H2363" s="14" t="n">
        <x:f>F2363/G2363-1</x:f>
        <x:v>0</x:v>
      </x:c>
      <x:c r="I2363" s="14" t="n">
        <x:f>F2363/F2362-1</x:f>
        <x:v>0.011298062974996581</x:v>
      </x:c>
      <x:c r="J2363" s="12" t="n">
        <x:v>0</x:v>
      </x:c>
      <x:c r="K2363" s="12" t="n">
        <x:v>0</x:v>
      </x:c>
      <x:c r="L2363" s="12" t="n">
        <x:v>0</x:v>
      </x:c>
      <x:c r="M2363" s="2" t="str">
        <x:v>持有</x:v>
      </x:c>
    </x:row>
    <x:row r="2364" ht="23" customHeight="1">
      <x:c r="A2364" s="11" t="d">
        <x:v>2024-05-16T00:00:00.000Z</x:v>
      </x:c>
      <x:c r="B2364" s="12" t="n">
        <x:v>24320.827816</x:v>
      </x:c>
      <x:c r="C2364" s="13" t="n">
        <x:v>484</x:v>
      </x:c>
      <x:c r="D2364" s="12" t="n">
        <x:v>255885.96000000002</x:v>
      </x:c>
      <x:c r="E2364" s="12" t="n">
        <x:v>0</x:v>
      </x:c>
      <x:c r="F2364" s="12" t="n">
        <x:f>SUM(B2364,D2364:E2364)</x:f>
        <x:v>280206.787816</x:v>
      </x:c>
      <x:c r="G2364" s="12" t="n">
        <x:f>MAX(G2363,F2364)</x:f>
        <x:v>280734.347816</x:v>
      </x:c>
      <x:c r="H2364" s="14" t="n">
        <x:f>F2364/G2364-1</x:f>
        <x:v>-0.0018792142967335446</x:v>
      </x:c>
      <x:c r="I2364" s="14" t="n">
        <x:f>F2364/F2363-1</x:f>
        <x:v>-0.0018792142967335446</x:v>
      </x:c>
      <x:c r="J2364" s="12" t="n">
        <x:v>0</x:v>
      </x:c>
      <x:c r="K2364" s="12" t="n">
        <x:v>0</x:v>
      </x:c>
      <x:c r="L2364" s="12" t="n">
        <x:v>0</x:v>
      </x:c>
      <x:c r="M2364" s="2" t="str">
        <x:v>持有</x:v>
      </x:c>
    </x:row>
    <x:row r="2365" ht="23" customHeight="1">
      <x:c r="A2365" s="11" t="d">
        <x:v>2024-05-17T00:00:00.000Z</x:v>
      </x:c>
      <x:c r="B2365" s="12" t="n">
        <x:v>24320.827816</x:v>
      </x:c>
      <x:c r="C2365" s="13" t="n">
        <x:v>484</x:v>
      </x:c>
      <x:c r="D2365" s="12" t="n">
        <x:v>256253.80000000002</x:v>
      </x:c>
      <x:c r="E2365" s="12" t="n">
        <x:v>0</x:v>
      </x:c>
      <x:c r="F2365" s="12" t="n">
        <x:f>SUM(B2365,D2365:E2365)</x:f>
        <x:v>280574.627816</x:v>
      </x:c>
      <x:c r="G2365" s="12" t="n">
        <x:f>MAX(G2364,F2365)</x:f>
        <x:v>280734.347816</x:v>
      </x:c>
      <x:c r="H2365" s="14" t="n">
        <x:f>F2365/G2365-1</x:f>
        <x:v>-0.0005689364384605655</x:v>
      </x:c>
      <x:c r="I2365" s="14" t="n">
        <x:f>F2365/F2364-1</x:f>
        <x:v>0.001312744787044906</x:v>
      </x:c>
      <x:c r="J2365" s="12" t="n">
        <x:v>0</x:v>
      </x:c>
      <x:c r="K2365" s="12" t="n">
        <x:v>0</x:v>
      </x:c>
      <x:c r="L2365" s="12" t="n">
        <x:v>0</x:v>
      </x:c>
      <x:c r="M2365" s="2" t="str">
        <x:v>持有</x:v>
      </x:c>
    </x:row>
    <x:row r="2366" ht="23" customHeight="1">
      <x:c r="A2366" s="11" t="d">
        <x:v>2024-05-20T00:00:00.000Z</x:v>
      </x:c>
      <x:c r="B2366" s="12" t="n">
        <x:v>24320.827816</x:v>
      </x:c>
      <x:c r="C2366" s="13" t="n">
        <x:v>484</x:v>
      </x:c>
      <x:c r="D2366" s="12" t="n">
        <x:v>256549.03999999998</x:v>
      </x:c>
      <x:c r="E2366" s="12" t="n">
        <x:v>0</x:v>
      </x:c>
      <x:c r="F2366" s="12" t="n">
        <x:f>SUM(B2366,D2366:E2366)</x:f>
        <x:v>280869.86781599995</x:v>
      </x:c>
      <x:c r="G2366" s="12" t="n">
        <x:f>MAX(G2365,F2366)</x:f>
        <x:v>280869.86781599995</x:v>
      </x:c>
      <x:c r="H2366" s="14" t="n">
        <x:f>F2366/G2366-1</x:f>
        <x:v>0</x:v>
      </x:c>
      <x:c r="I2366" s="14" t="n">
        <x:f>F2366/F2365-1</x:f>
        <x:v>0.0010522690604566343</x:v>
      </x:c>
      <x:c r="J2366" s="12" t="n">
        <x:v>0</x:v>
      </x:c>
      <x:c r="K2366" s="12" t="n">
        <x:v>0</x:v>
      </x:c>
      <x:c r="L2366" s="12" t="n">
        <x:v>0</x:v>
      </x:c>
      <x:c r="M2366" s="2" t="str">
        <x:v>持有</x:v>
      </x:c>
    </x:row>
    <x:row r="2367" ht="23" customHeight="1">
      <x:c r="A2367" s="11" t="d">
        <x:v>2024-05-21T00:00:00.000Z</x:v>
      </x:c>
      <x:c r="B2367" s="12" t="n">
        <x:v>24320.827816</x:v>
      </x:c>
      <x:c r="C2367" s="13" t="n">
        <x:v>484</x:v>
      </x:c>
      <x:c r="D2367" s="12" t="n">
        <x:v>257178.24000000002</x:v>
      </x:c>
      <x:c r="E2367" s="12" t="n">
        <x:v>0</x:v>
      </x:c>
      <x:c r="F2367" s="12" t="n">
        <x:f>SUM(B2367,D2367:E2367)</x:f>
        <x:v>281499.067816</x:v>
      </x:c>
      <x:c r="G2367" s="12" t="n">
        <x:f>MAX(G2366,F2367)</x:f>
        <x:v>281499.067816</x:v>
      </x:c>
      <x:c r="H2367" s="14" t="n">
        <x:f>F2367/G2367-1</x:f>
        <x:v>0</x:v>
      </x:c>
      <x:c r="I2367" s="14" t="n">
        <x:f>F2367/F2366-1</x:f>
        <x:v>0.0022401833450225173</x:v>
      </x:c>
      <x:c r="J2367" s="12" t="n">
        <x:v>0</x:v>
      </x:c>
      <x:c r="K2367" s="12" t="n">
        <x:v>0</x:v>
      </x:c>
      <x:c r="L2367" s="12" t="n">
        <x:v>0</x:v>
      </x:c>
      <x:c r="M2367" s="2" t="str">
        <x:v>持有</x:v>
      </x:c>
    </x:row>
    <x:row r="2368" ht="23" customHeight="1">
      <x:c r="A2368" s="11" t="d">
        <x:v>2024-05-22T00:00:00.000Z</x:v>
      </x:c>
      <x:c r="B2368" s="12" t="n">
        <x:v>24320.827816</x:v>
      </x:c>
      <x:c r="C2368" s="13" t="n">
        <x:v>484</x:v>
      </x:c>
      <x:c r="D2368" s="12" t="n">
        <x:v>256437.72000000003</x:v>
      </x:c>
      <x:c r="E2368" s="12" t="n">
        <x:v>0</x:v>
      </x:c>
      <x:c r="F2368" s="12" t="n">
        <x:f>SUM(B2368,D2368:E2368)</x:f>
        <x:v>280758.547816</x:v>
      </x:c>
      <x:c r="G2368" s="12" t="n">
        <x:f>MAX(G2367,F2368)</x:f>
        <x:v>281499.067816</x:v>
      </x:c>
      <x:c r="H2368" s="14" t="n">
        <x:f>F2368/G2368-1</x:f>
        <x:v>-0.0026306303809291443</x:v>
      </x:c>
      <x:c r="I2368" s="14" t="n">
        <x:f>F2368/F2367-1</x:f>
        <x:v>-0.0026306303809291443</x:v>
      </x:c>
      <x:c r="J2368" s="12" t="n">
        <x:v>0</x:v>
      </x:c>
      <x:c r="K2368" s="12" t="n">
        <x:v>0</x:v>
      </x:c>
      <x:c r="L2368" s="12" t="n">
        <x:v>0</x:v>
      </x:c>
      <x:c r="M2368" s="2" t="str">
        <x:v>持有</x:v>
      </x:c>
    </x:row>
    <x:row r="2369" ht="23" customHeight="1">
      <x:c r="A2369" s="11" t="d">
        <x:v>2024-05-23T00:00:00.000Z</x:v>
      </x:c>
      <x:c r="B2369" s="12" t="n">
        <x:v>24320.827816</x:v>
      </x:c>
      <x:c r="C2369" s="13" t="n">
        <x:v>484</x:v>
      </x:c>
      <x:c r="D2369" s="12" t="n">
        <x:v>254564.64</x:v>
      </x:c>
      <x:c r="E2369" s="12" t="n">
        <x:v>0</x:v>
      </x:c>
      <x:c r="F2369" s="12" t="n">
        <x:f>SUM(B2369,D2369:E2369)</x:f>
        <x:v>278885.467816</x:v>
      </x:c>
      <x:c r="G2369" s="12" t="n">
        <x:f>MAX(G2368,F2369)</x:f>
        <x:v>281499.067816</x:v>
      </x:c>
      <x:c r="H2369" s="14" t="n">
        <x:f>F2369/G2369-1</x:f>
        <x:v>-0.009284577815044104</x:v>
      </x:c>
      <x:c r="I2369" s="14" t="n">
        <x:f>F2369/F2368-1</x:f>
        <x:v>-0.00667149767859454</x:v>
      </x:c>
      <x:c r="J2369" s="12" t="n">
        <x:v>0</x:v>
      </x:c>
      <x:c r="K2369" s="12" t="n">
        <x:v>0</x:v>
      </x:c>
      <x:c r="L2369" s="12" t="n">
        <x:v>0</x:v>
      </x:c>
      <x:c r="M2369" s="2" t="str">
        <x:v>持有</x:v>
      </x:c>
    </x:row>
    <x:row r="2370" ht="23" customHeight="1">
      <x:c r="A2370" s="11" t="d">
        <x:v>2024-05-24T00:00:00.000Z</x:v>
      </x:c>
      <x:c r="B2370" s="12" t="n">
        <x:v>24320.827816</x:v>
      </x:c>
      <x:c r="C2370" s="13" t="n">
        <x:v>484</x:v>
      </x:c>
      <x:c r="D2370" s="12" t="n">
        <x:v>256248.96000000002</x:v>
      </x:c>
      <x:c r="E2370" s="12" t="n">
        <x:v>0</x:v>
      </x:c>
      <x:c r="F2370" s="12" t="n">
        <x:f>SUM(B2370,D2370:E2370)</x:f>
        <x:v>280569.787816</x:v>
      </x:c>
      <x:c r="G2370" s="12" t="n">
        <x:f>MAX(G2369,F2370)</x:f>
        <x:v>281499.067816</x:v>
      </x:c>
      <x:c r="H2370" s="14" t="n">
        <x:f>F2370/G2370-1</x:f>
        <x:v>-0.003301183223126891</x:v>
      </x:c>
      <x:c r="I2370" s="14" t="n">
        <x:f>F2370/F2369-1</x:f>
        <x:v>0.006039468507234247</x:v>
      </x:c>
      <x:c r="J2370" s="12" t="n">
        <x:v>0</x:v>
      </x:c>
      <x:c r="K2370" s="12" t="n">
        <x:v>0</x:v>
      </x:c>
      <x:c r="L2370" s="12" t="n">
        <x:v>0</x:v>
      </x:c>
      <x:c r="M2370" s="2" t="str">
        <x:v>持有</x:v>
      </x:c>
    </x:row>
    <x:row r="2371" ht="23" customHeight="1">
      <x:c r="A2371" s="11" t="d">
        <x:v>2024-05-28T00:00:00.000Z</x:v>
      </x:c>
      <x:c r="B2371" s="12" t="n">
        <x:v>24320.827816</x:v>
      </x:c>
      <x:c r="C2371" s="13" t="n">
        <x:v>484</x:v>
      </x:c>
      <x:c r="D2371" s="12" t="n">
        <x:v>256428.03999999998</x:v>
      </x:c>
      <x:c r="E2371" s="12" t="n">
        <x:v>0</x:v>
      </x:c>
      <x:c r="F2371" s="12" t="n">
        <x:f>SUM(B2371,D2371:E2371)</x:f>
        <x:v>280748.86781599995</x:v>
      </x:c>
      <x:c r="G2371" s="12" t="n">
        <x:f>MAX(G2370,F2371)</x:f>
        <x:v>281499.067816</x:v>
      </x:c>
      <x:c r="H2371" s="14" t="n">
        <x:f>F2371/G2371-1</x:f>
        <x:v>-0.002665017706170336</x:v>
      </x:c>
      <x:c r="I2371" s="14" t="n">
        <x:f>F2371/F2370-1</x:f>
        <x:v>0.0006382725716618243</x:v>
      </x:c>
      <x:c r="J2371" s="12" t="n">
        <x:v>0</x:v>
      </x:c>
      <x:c r="K2371" s="12" t="n">
        <x:v>0</x:v>
      </x:c>
      <x:c r="L2371" s="12" t="n">
        <x:v>0</x:v>
      </x:c>
      <x:c r="M2371" s="2" t="str">
        <x:v>持有</x:v>
      </x:c>
    </x:row>
    <x:row r="2372" ht="23" customHeight="1">
      <x:c r="A2372" s="11" t="d">
        <x:v>2024-05-29T00:00:00.000Z</x:v>
      </x:c>
      <x:c r="B2372" s="12" t="n">
        <x:v>24320.827816</x:v>
      </x:c>
      <x:c r="C2372" s="13" t="n">
        <x:v>484</x:v>
      </x:c>
      <x:c r="D2372" s="12" t="n">
        <x:v>254632.40000000002</x:v>
      </x:c>
      <x:c r="E2372" s="12" t="n">
        <x:v>0</x:v>
      </x:c>
      <x:c r="F2372" s="12" t="n">
        <x:f>SUM(B2372,D2372:E2372)</x:f>
        <x:v>278953.227816</x:v>
      </x:c>
      <x:c r="G2372" s="12" t="n">
        <x:f>MAX(G2371,F2372)</x:f>
        <x:v>281499.067816</x:v>
      </x:c>
      <x:c r="H2372" s="14" t="n">
        <x:f>F2372/G2372-1</x:f>
        <x:v>-0.009043866538357759</x:v>
      </x:c>
      <x:c r="I2372" s="14" t="n">
        <x:f>F2372/F2371-1</x:f>
        <x:v>-0.006395894002952152</x:v>
      </x:c>
      <x:c r="J2372" s="12" t="n">
        <x:v>0</x:v>
      </x:c>
      <x:c r="K2372" s="12" t="n">
        <x:v>0</x:v>
      </x:c>
      <x:c r="L2372" s="12" t="n">
        <x:v>0</x:v>
      </x:c>
      <x:c r="M2372" s="2" t="str">
        <x:v>持有</x:v>
      </x:c>
    </x:row>
    <x:row r="2373" ht="23" customHeight="1">
      <x:c r="A2373" s="11" t="d">
        <x:v>2024-05-30T00:00:00.000Z</x:v>
      </x:c>
      <x:c r="B2373" s="12" t="n">
        <x:v>24320.827816</x:v>
      </x:c>
      <x:c r="C2373" s="13" t="n">
        <x:v>484</x:v>
      </x:c>
      <x:c r="D2373" s="12" t="n">
        <x:v>252943.24000000002</x:v>
      </x:c>
      <x:c r="E2373" s="12" t="n">
        <x:v>0</x:v>
      </x:c>
      <x:c r="F2373" s="12" t="n">
        <x:f>SUM(B2373,D2373:E2373)</x:f>
        <x:v>277264.067816</x:v>
      </x:c>
      <x:c r="G2373" s="12" t="n">
        <x:f>MAX(G2372,F2373)</x:f>
        <x:v>281499.067816</x:v>
      </x:c>
      <x:c r="H2373" s="14" t="n">
        <x:f>F2373/G2373-1</x:f>
        <x:v>-0.015044454792895401</x:v>
      </x:c>
      <x:c r="I2373" s="14" t="n">
        <x:f>F2373/F2372-1</x:f>
        <x:v>-0.0060553520503234814</x:v>
      </x:c>
      <x:c r="J2373" s="12" t="n">
        <x:v>0</x:v>
      </x:c>
      <x:c r="K2373" s="12" t="n">
        <x:v>0</x:v>
      </x:c>
      <x:c r="L2373" s="12" t="n">
        <x:v>0</x:v>
      </x:c>
      <x:c r="M2373" s="2" t="str">
        <x:v>持有</x:v>
      </x:c>
    </x:row>
    <x:row r="2374" ht="23" customHeight="1">
      <x:c r="A2374" s="11" t="d">
        <x:v>2024-05-31T00:00:00.000Z</x:v>
      </x:c>
      <x:c r="B2374" s="12" t="n">
        <x:v>24320.827816</x:v>
      </x:c>
      <x:c r="C2374" s="13" t="n">
        <x:v>484</x:v>
      </x:c>
      <x:c r="D2374" s="12" t="n">
        <x:v>255247.08000000002</x:v>
      </x:c>
      <x:c r="E2374" s="12" t="n">
        <x:v>0</x:v>
      </x:c>
      <x:c r="F2374" s="12" t="n">
        <x:f>SUM(B2374,D2374:E2374)</x:f>
        <x:v>279567.907816</x:v>
      </x:c>
      <x:c r="G2374" s="12" t="n">
        <x:f>MAX(G2373,F2374)</x:f>
        <x:v>281499.067816</x:v>
      </x:c>
      <x:c r="H2374" s="14" t="n">
        <x:f>F2374/G2374-1</x:f>
        <x:v>-0.006860271385560446</x:v>
      </x:c>
      <x:c r="I2374" s="14" t="n">
        <x:f>F2374/F2373-1</x:f>
        <x:v>0.008309190650441112</x:v>
      </x:c>
      <x:c r="J2374" s="12" t="n">
        <x:v>0</x:v>
      </x:c>
      <x:c r="K2374" s="12" t="n">
        <x:v>0</x:v>
      </x:c>
      <x:c r="L2374" s="12" t="n">
        <x:v>0</x:v>
      </x:c>
      <x:c r="M2374" s="2" t="str">
        <x:v>持有</x:v>
      </x:c>
    </x:row>
    <x:row r="2375" ht="23" customHeight="1">
      <x:c r="A2375" s="11" t="d">
        <x:v>2024-06-03T00:00:00.000Z</x:v>
      </x:c>
      <x:c r="B2375" s="12" t="n">
        <x:v>24320.827816</x:v>
      </x:c>
      <x:c r="C2375" s="13" t="n">
        <x:v>484</x:v>
      </x:c>
      <x:c r="D2375" s="12" t="n">
        <x:v>255455.19999999998</x:v>
      </x:c>
      <x:c r="E2375" s="12" t="n">
        <x:v>0</x:v>
      </x:c>
      <x:c r="F2375" s="12" t="n">
        <x:f>SUM(B2375,D2375:E2375)</x:f>
        <x:v>279776.027816</x:v>
      </x:c>
      <x:c r="G2375" s="12" t="n">
        <x:f>MAX(G2374,F2375)</x:f>
        <x:v>281499.067816</x:v>
      </x:c>
      <x:c r="H2375" s="14" t="n">
        <x:f>F2375/G2375-1</x:f>
        <x:v>-0.006120943892880981</x:v>
      </x:c>
      <x:c r="I2375" s="14" t="n">
        <x:f>F2375/F2374-1</x:f>
        <x:v>0.0007444345154843379</x:v>
      </x:c>
      <x:c r="J2375" s="12" t="n">
        <x:v>0</x:v>
      </x:c>
      <x:c r="K2375" s="12" t="n">
        <x:v>0</x:v>
      </x:c>
      <x:c r="L2375" s="12" t="n">
        <x:v>0</x:v>
      </x:c>
      <x:c r="M2375" s="2" t="str">
        <x:v>持有</x:v>
      </x:c>
    </x:row>
    <x:row r="2376" ht="23" customHeight="1">
      <x:c r="A2376" s="11" t="d">
        <x:v>2024-06-04T00:00:00.000Z</x:v>
      </x:c>
      <x:c r="B2376" s="12" t="n">
        <x:v>24320.827816</x:v>
      </x:c>
      <x:c r="C2376" s="13" t="n">
        <x:v>484</x:v>
      </x:c>
      <x:c r="D2376" s="12" t="n">
        <x:v>255740.75999999998</x:v>
      </x:c>
      <x:c r="E2376" s="12" t="n">
        <x:v>0</x:v>
      </x:c>
      <x:c r="F2376" s="12" t="n">
        <x:f>SUM(B2376,D2376:E2376)</x:f>
        <x:v>280061.587816</x:v>
      </x:c>
      <x:c r="G2376" s="12" t="n">
        <x:f>MAX(G2375,F2376)</x:f>
        <x:v>281499.067816</x:v>
      </x:c>
      <x:c r="H2376" s="14" t="n">
        <x:f>F2376/G2376-1</x:f>
        <x:v>-0.005106517798274313</x:v>
      </x:c>
      <x:c r="I2376" s="14" t="n">
        <x:f>F2376/F2375-1</x:f>
        <x:v>0.0010206735803248712</x:v>
      </x:c>
      <x:c r="J2376" s="12" t="n">
        <x:v>0</x:v>
      </x:c>
      <x:c r="K2376" s="12" t="n">
        <x:v>0</x:v>
      </x:c>
      <x:c r="L2376" s="12" t="n">
        <x:v>0</x:v>
      </x:c>
      <x:c r="M2376" s="2" t="str">
        <x:v>持有</x:v>
      </x:c>
    </x:row>
    <x:row r="2377" ht="23" customHeight="1">
      <x:c r="A2377" s="11" t="d">
        <x:v>2024-06-05T00:00:00.000Z</x:v>
      </x:c>
      <x:c r="B2377" s="12" t="n">
        <x:v>24320.827816</x:v>
      </x:c>
      <x:c r="C2377" s="13" t="n">
        <x:v>484</x:v>
      </x:c>
      <x:c r="D2377" s="12" t="n">
        <x:v>258780.27999999997</x:v>
      </x:c>
      <x:c r="E2377" s="12" t="n">
        <x:v>0</x:v>
      </x:c>
      <x:c r="F2377" s="12" t="n">
        <x:f>SUM(B2377,D2377:E2377)</x:f>
        <x:v>283101.10781599995</x:v>
      </x:c>
      <x:c r="G2377" s="12" t="n">
        <x:f>MAX(G2376,F2377)</x:f>
        <x:v>283101.10781599995</x:v>
      </x:c>
      <x:c r="H2377" s="14" t="n">
        <x:f>F2377/G2377-1</x:f>
        <x:v>0</x:v>
      </x:c>
      <x:c r="I2377" s="14" t="n">
        <x:f>F2377/F2376-1</x:f>
        <x:v>0.010853041374588424</x:v>
      </x:c>
      <x:c r="J2377" s="12" t="n">
        <x:v>0</x:v>
      </x:c>
      <x:c r="K2377" s="12" t="n">
        <x:v>0</x:v>
      </x:c>
      <x:c r="L2377" s="12" t="n">
        <x:v>0</x:v>
      </x:c>
      <x:c r="M2377" s="2" t="str">
        <x:v>持有</x:v>
      </x:c>
    </x:row>
    <x:row r="2378" ht="23" customHeight="1">
      <x:c r="A2378" s="11" t="d">
        <x:v>2024-06-06T00:00:00.000Z</x:v>
      </x:c>
      <x:c r="B2378" s="12" t="n">
        <x:v>24320.827816</x:v>
      </x:c>
      <x:c r="C2378" s="13" t="n">
        <x:v>484</x:v>
      </x:c>
      <x:c r="D2378" s="12" t="n">
        <x:v>258775.43999999997</x:v>
      </x:c>
      <x:c r="E2378" s="12" t="n">
        <x:v>0</x:v>
      </x:c>
      <x:c r="F2378" s="12" t="n">
        <x:f>SUM(B2378,D2378:E2378)</x:f>
        <x:v>283096.267816</x:v>
      </x:c>
      <x:c r="G2378" s="12" t="n">
        <x:f>MAX(G2377,F2378)</x:f>
        <x:v>283101.10781599995</x:v>
      </x:c>
      <x:c r="H2378" s="14" t="n">
        <x:f>F2378/G2378-1</x:f>
        <x:v>-0.000017096365455104845</x:v>
      </x:c>
      <x:c r="I2378" s="14" t="n">
        <x:f>F2378/F2377-1</x:f>
        <x:v>-0.000017096365455104845</x:v>
      </x:c>
      <x:c r="J2378" s="12" t="n">
        <x:v>0</x:v>
      </x:c>
      <x:c r="K2378" s="12" t="n">
        <x:v>0</x:v>
      </x:c>
      <x:c r="L2378" s="12" t="n">
        <x:v>0</x:v>
      </x:c>
      <x:c r="M2378" s="2" t="str">
        <x:v>持有</x:v>
      </x:c>
    </x:row>
    <x:row r="2379" ht="23" customHeight="1">
      <x:c r="A2379" s="11" t="d">
        <x:v>2024-06-07T00:00:00.000Z</x:v>
      </x:c>
      <x:c r="B2379" s="12" t="n">
        <x:v>24320.827816</x:v>
      </x:c>
      <x:c r="C2379" s="13" t="n">
        <x:v>484</x:v>
      </x:c>
      <x:c r="D2379" s="12" t="n">
        <x:v>258460.84</x:v>
      </x:c>
      <x:c r="E2379" s="12" t="n">
        <x:v>0</x:v>
      </x:c>
      <x:c r="F2379" s="12" t="n">
        <x:f>SUM(B2379,D2379:E2379)</x:f>
        <x:v>282781.667816</x:v>
      </x:c>
      <x:c r="G2379" s="12" t="n">
        <x:f>MAX(G2378,F2379)</x:f>
        <x:v>283101.10781599995</x:v>
      </x:c>
      <x:c r="H2379" s="14" t="n">
        <x:f>F2379/G2379-1</x:f>
        <x:v>-0.0011283601200443583</x:v>
      </x:c>
      <x:c r="I2379" s="14" t="n">
        <x:f>F2379/F2378-1</x:f>
        <x:v>-0.0011112827534852654</x:v>
      </x:c>
      <x:c r="J2379" s="12" t="n">
        <x:v>0</x:v>
      </x:c>
      <x:c r="K2379" s="12" t="n">
        <x:v>0</x:v>
      </x:c>
      <x:c r="L2379" s="12" t="n">
        <x:v>0</x:v>
      </x:c>
      <x:c r="M2379" s="2" t="str">
        <x:v>持有</x:v>
      </x:c>
    </x:row>
    <x:row r="2380" ht="23" customHeight="1">
      <x:c r="A2380" s="11" t="d">
        <x:v>2024-06-10T00:00:00.000Z</x:v>
      </x:c>
      <x:c r="B2380" s="12" t="n">
        <x:v>24320.827816</x:v>
      </x:c>
      <x:c r="C2380" s="13" t="n">
        <x:v>484</x:v>
      </x:c>
      <x:c r="D2380" s="12" t="n">
        <x:v>259259.43999999997</x:v>
      </x:c>
      <x:c r="E2380" s="12" t="n">
        <x:v>0</x:v>
      </x:c>
      <x:c r="F2380" s="12" t="n">
        <x:f>SUM(B2380,D2380:E2380)</x:f>
        <x:v>283580.267816</x:v>
      </x:c>
      <x:c r="G2380" s="12" t="n">
        <x:f>MAX(G2379,F2380)</x:f>
        <x:v>283580.267816</x:v>
      </x:c>
      <x:c r="H2380" s="14" t="n">
        <x:f>F2380/G2380-1</x:f>
        <x:v>0</x:v>
      </x:c>
      <x:c r="I2380" s="14" t="n">
        <x:f>F2380/F2379-1</x:f>
        <x:v>0.002824086887130317</x:v>
      </x:c>
      <x:c r="J2380" s="12" t="n">
        <x:v>0</x:v>
      </x:c>
      <x:c r="K2380" s="12" t="n">
        <x:v>0</x:v>
      </x:c>
      <x:c r="L2380" s="12" t="n">
        <x:v>0</x:v>
      </x:c>
      <x:c r="M2380" s="2" t="str">
        <x:v>持有</x:v>
      </x:c>
    </x:row>
    <x:row r="2381" ht="23" customHeight="1">
      <x:c r="A2381" s="11" t="d">
        <x:v>2024-06-11T00:00:00.000Z</x:v>
      </x:c>
      <x:c r="B2381" s="12" t="n">
        <x:v>24320.827816</x:v>
      </x:c>
      <x:c r="C2381" s="13" t="n">
        <x:v>484</x:v>
      </x:c>
      <x:c r="D2381" s="12" t="n">
        <x:v>259883.80000000002</x:v>
      </x:c>
      <x:c r="E2381" s="12" t="n">
        <x:v>0</x:v>
      </x:c>
      <x:c r="F2381" s="12" t="n">
        <x:f>SUM(B2381,D2381:E2381)</x:f>
        <x:v>284204.627816</x:v>
      </x:c>
      <x:c r="G2381" s="12" t="n">
        <x:f>MAX(G2380,F2381)</x:f>
        <x:v>284204.627816</x:v>
      </x:c>
      <x:c r="H2381" s="14" t="n">
        <x:f>F2381/G2381-1</x:f>
        <x:v>0</x:v>
      </x:c>
      <x:c r="I2381" s="14" t="n">
        <x:f>F2381/F2380-1</x:f>
        <x:v>0.0022017046701048315</x:v>
      </x:c>
      <x:c r="J2381" s="12" t="n">
        <x:v>0</x:v>
      </x:c>
      <x:c r="K2381" s="12" t="n">
        <x:v>0</x:v>
      </x:c>
      <x:c r="L2381" s="12" t="n">
        <x:v>0</x:v>
      </x:c>
      <x:c r="M2381" s="2" t="str">
        <x:v>持有</x:v>
      </x:c>
    </x:row>
    <x:row r="2382" ht="23" customHeight="1">
      <x:c r="A2382" s="11" t="d">
        <x:v>2024-06-12T00:00:00.000Z</x:v>
      </x:c>
      <x:c r="B2382" s="12" t="n">
        <x:v>24320.827816</x:v>
      </x:c>
      <x:c r="C2382" s="13" t="n">
        <x:v>484</x:v>
      </x:c>
      <x:c r="D2382" s="12" t="n">
        <x:v>262018.24000000002</x:v>
      </x:c>
      <x:c r="E2382" s="12" t="n">
        <x:v>0</x:v>
      </x:c>
      <x:c r="F2382" s="12" t="n">
        <x:f>SUM(B2382,D2382:E2382)</x:f>
        <x:v>286339.067816</x:v>
      </x:c>
      <x:c r="G2382" s="12" t="n">
        <x:f>MAX(G2381,F2382)</x:f>
        <x:v>286339.067816</x:v>
      </x:c>
      <x:c r="H2382" s="14" t="n">
        <x:f>F2382/G2382-1</x:f>
        <x:v>0</x:v>
      </x:c>
      <x:c r="I2382" s="14" t="n">
        <x:f>F2382/F2381-1</x:f>
        <x:v>0.0075102225336804995</x:v>
      </x:c>
      <x:c r="J2382" s="12" t="n">
        <x:v>0</x:v>
      </x:c>
      <x:c r="K2382" s="12" t="n">
        <x:v>0</x:v>
      </x:c>
      <x:c r="L2382" s="12" t="n">
        <x:v>0</x:v>
      </x:c>
      <x:c r="M2382" s="2" t="str">
        <x:v>持有</x:v>
      </x:c>
    </x:row>
    <x:row r="2383" ht="23" customHeight="1">
      <x:c r="A2383" s="11" t="d">
        <x:v>2024-06-13T00:00:00.000Z</x:v>
      </x:c>
      <x:c r="B2383" s="12" t="n">
        <x:v>24320.827816</x:v>
      </x:c>
      <x:c r="C2383" s="13" t="n">
        <x:v>484</x:v>
      </x:c>
      <x:c r="D2383" s="12" t="n">
        <x:v>262545.80000000005</x:v>
      </x:c>
      <x:c r="E2383" s="12" t="n">
        <x:v>0</x:v>
      </x:c>
      <x:c r="F2383" s="12" t="n">
        <x:f>SUM(B2383,D2383:E2383)</x:f>
        <x:v>286866.627816</x:v>
      </x:c>
      <x:c r="G2383" s="12" t="n">
        <x:f>MAX(G2382,F2383)</x:f>
        <x:v>286866.627816</x:v>
      </x:c>
      <x:c r="H2383" s="14" t="n">
        <x:f>F2383/G2383-1</x:f>
        <x:v>0</x:v>
      </x:c>
      <x:c r="I2383" s="14" t="n">
        <x:f>F2383/F2382-1</x:f>
        <x:v>0.0018424310871159033</x:v>
      </x:c>
      <x:c r="J2383" s="12" t="n">
        <x:v>0</x:v>
      </x:c>
      <x:c r="K2383" s="12" t="n">
        <x:v>0</x:v>
      </x:c>
      <x:c r="L2383" s="12" t="n">
        <x:v>0</x:v>
      </x:c>
      <x:c r="M2383" s="2" t="str">
        <x:v>持有</x:v>
      </x:c>
    </x:row>
    <x:row r="2384" ht="23" customHeight="1">
      <x:c r="A2384" s="11" t="d">
        <x:v>2024-06-14T00:00:00.000Z</x:v>
      </x:c>
      <x:c r="B2384" s="12" t="n">
        <x:v>24320.827816</x:v>
      </x:c>
      <x:c r="C2384" s="13" t="n">
        <x:v>484</x:v>
      </x:c>
      <x:c r="D2384" s="12" t="n">
        <x:v>262705.51999999996</x:v>
      </x:c>
      <x:c r="E2384" s="12" t="n">
        <x:v>0</x:v>
      </x:c>
      <x:c r="F2384" s="12" t="n">
        <x:f>SUM(B2384,D2384:E2384)</x:f>
        <x:v>287026.34781599994</x:v>
      </x:c>
      <x:c r="G2384" s="12" t="n">
        <x:f>MAX(G2383,F2384)</x:f>
        <x:v>287026.34781599994</x:v>
      </x:c>
      <x:c r="H2384" s="14" t="n">
        <x:f>F2384/G2384-1</x:f>
        <x:v>0</x:v>
      </x:c>
      <x:c r="I2384" s="14" t="n">
        <x:f>F2384/F2383-1</x:f>
        <x:v>0.000556774418885464</x:v>
      </x:c>
      <x:c r="J2384" s="12" t="n">
        <x:v>0</x:v>
      </x:c>
      <x:c r="K2384" s="12" t="n">
        <x:v>0</x:v>
      </x:c>
      <x:c r="L2384" s="12" t="n">
        <x:v>0</x:v>
      </x:c>
      <x:c r="M2384" s="2" t="str">
        <x:v>持有</x:v>
      </x:c>
    </x:row>
    <x:row r="2385" ht="23" customHeight="1">
      <x:c r="A2385" s="11" t="d">
        <x:v>2024-06-17T00:00:00.000Z</x:v>
      </x:c>
      <x:c r="B2385" s="12" t="n">
        <x:v>24320.827816</x:v>
      </x:c>
      <x:c r="C2385" s="13" t="n">
        <x:v>484</x:v>
      </x:c>
      <x:c r="D2385" s="12" t="n">
        <x:v>264796.4</x:v>
      </x:c>
      <x:c r="E2385" s="12" t="n">
        <x:v>0</x:v>
      </x:c>
      <x:c r="F2385" s="12" t="n">
        <x:f>SUM(B2385,D2385:E2385)</x:f>
        <x:v>289117.227816</x:v>
      </x:c>
      <x:c r="G2385" s="12" t="n">
        <x:f>MAX(G2384,F2385)</x:f>
        <x:v>289117.227816</x:v>
      </x:c>
      <x:c r="H2385" s="14" t="n">
        <x:f>F2385/G2385-1</x:f>
        <x:v>0</x:v>
      </x:c>
      <x:c r="I2385" s="14" t="n">
        <x:f>F2385/F2384-1</x:f>
        <x:v>0.007284627407587063</x:v>
      </x:c>
      <x:c r="J2385" s="12" t="n">
        <x:v>0</x:v>
      </x:c>
      <x:c r="K2385" s="12" t="n">
        <x:v>0</x:v>
      </x:c>
      <x:c r="L2385" s="12" t="n">
        <x:v>0</x:v>
      </x:c>
      <x:c r="M2385" s="2" t="str">
        <x:v>持有</x:v>
      </x:c>
    </x:row>
    <x:row r="2386" ht="23" customHeight="1">
      <x:c r="A2386" s="11" t="d">
        <x:v>2024-06-18T00:00:00.000Z</x:v>
      </x:c>
      <x:c r="B2386" s="12" t="n">
        <x:v>24320.827816</x:v>
      </x:c>
      <x:c r="C2386" s="13" t="n">
        <x:v>484</x:v>
      </x:c>
      <x:c r="D2386" s="12" t="n">
        <x:v>265469.16000000003</x:v>
      </x:c>
      <x:c r="E2386" s="12" t="n">
        <x:v>0</x:v>
      </x:c>
      <x:c r="F2386" s="12" t="n">
        <x:f>SUM(B2386,D2386:E2386)</x:f>
        <x:v>289789.987816</x:v>
      </x:c>
      <x:c r="G2386" s="12" t="n">
        <x:f>MAX(G2385,F2386)</x:f>
        <x:v>289789.987816</x:v>
      </x:c>
      <x:c r="H2386" s="14" t="n">
        <x:f>F2386/G2386-1</x:f>
        <x:v>0</x:v>
      </x:c>
      <x:c r="I2386" s="14" t="n">
        <x:f>F2386/F2385-1</x:f>
        <x:v>0.0023269453884919855</x:v>
      </x:c>
      <x:c r="J2386" s="12" t="n">
        <x:v>0</x:v>
      </x:c>
      <x:c r="K2386" s="12" t="n">
        <x:v>0</x:v>
      </x:c>
      <x:c r="L2386" s="12" t="n">
        <x:v>0</x:v>
      </x:c>
      <x:c r="M2386" s="2" t="str">
        <x:v>持有</x:v>
      </x:c>
    </x:row>
    <x:row r="2387" ht="23" customHeight="1">
      <x:c r="A2387" s="11" t="d">
        <x:v>2024-06-20T00:00:00.000Z</x:v>
      </x:c>
      <x:c r="B2387" s="12" t="n">
        <x:v>24320.827816</x:v>
      </x:c>
      <x:c r="C2387" s="13" t="n">
        <x:v>484</x:v>
      </x:c>
      <x:c r="D2387" s="12" t="n">
        <x:v>264748</x:v>
      </x:c>
      <x:c r="E2387" s="12" t="n">
        <x:v>0</x:v>
      </x:c>
      <x:c r="F2387" s="12" t="n">
        <x:f>SUM(B2387,D2387:E2387)</x:f>
        <x:v>289068.827816</x:v>
      </x:c>
      <x:c r="G2387" s="12" t="n">
        <x:f>MAX(G2386,F2387)</x:f>
        <x:v>289789.987816</x:v>
      </x:c>
      <x:c r="H2387" s="14" t="n">
        <x:f>F2387/G2387-1</x:f>
        <x:v>-0.002488560786502836</x:v>
      </x:c>
      <x:c r="I2387" s="14" t="n">
        <x:f>F2387/F2386-1</x:f>
        <x:v>-0.002488560786502836</x:v>
      </x:c>
      <x:c r="J2387" s="12" t="n">
        <x:v>0</x:v>
      </x:c>
      <x:c r="K2387" s="12" t="n">
        <x:v>0</x:v>
      </x:c>
      <x:c r="L2387" s="12" t="n">
        <x:v>0</x:v>
      </x:c>
      <x:c r="M2387" s="2" t="str">
        <x:v>持有</x:v>
      </x:c>
    </x:row>
    <x:row r="2388" ht="23" customHeight="1">
      <x:c r="A2388" s="11" t="d">
        <x:v>2024-06-21T00:00:00.000Z</x:v>
      </x:c>
      <x:c r="B2388" s="12" t="n">
        <x:v>24320.827816</x:v>
      </x:c>
      <x:c r="C2388" s="13" t="n">
        <x:v>484</x:v>
      </x:c>
      <x:c r="D2388" s="12" t="n">
        <x:v>263542.83999999997</x:v>
      </x:c>
      <x:c r="E2388" s="12" t="n">
        <x:v>851.367616</x:v>
      </x:c>
      <x:c r="F2388" s="12" t="n">
        <x:f>SUM(B2388,D2388:E2388)</x:f>
        <x:v>288715.03543199995</x:v>
      </x:c>
      <x:c r="G2388" s="12" t="n">
        <x:f>MAX(G2387,F2388)</x:f>
        <x:v>289789.987816</x:v>
      </x:c>
      <x:c r="H2388" s="14" t="n">
        <x:f>F2388/G2388-1</x:f>
        <x:v>-0.0037094186452106825</x:v>
      </x:c>
      <x:c r="I2388" s="14" t="n">
        <x:f>F2388/F2387-1</x:f>
        <x:v>-0.0012239036172562168</x:v>
      </x:c>
      <x:c r="J2388" s="12" t="n">
        <x:v>851.367616</x:v>
      </x:c>
      <x:c r="K2388" s="12" t="n">
        <x:v>0</x:v>
      </x:c>
      <x:c r="L2388" s="12" t="n">
        <x:v>0</x:v>
      </x:c>
      <x:c r="M2388" s="2" t="str">
        <x:v>持有</x:v>
      </x:c>
    </x:row>
    <x:row r="2389" ht="23" customHeight="1">
      <x:c r="A2389" s="11" t="d">
        <x:v>2024-06-24T00:00:00.000Z</x:v>
      </x:c>
      <x:c r="B2389" s="12" t="n">
        <x:v>24320.827816</x:v>
      </x:c>
      <x:c r="C2389" s="13" t="n">
        <x:v>484</x:v>
      </x:c>
      <x:c r="D2389" s="12" t="n">
        <x:v>262686.16000000003</x:v>
      </x:c>
      <x:c r="E2389" s="12" t="n">
        <x:v>851.367616</x:v>
      </x:c>
      <x:c r="F2389" s="12" t="n">
        <x:f>SUM(B2389,D2389:E2389)</x:f>
        <x:v>287858.355432</x:v>
      </x:c>
      <x:c r="G2389" s="12" t="n">
        <x:f>MAX(G2388,F2389)</x:f>
        <x:v>289789.987816</x:v>
      </x:c>
      <x:c r="H2389" s="14" t="n">
        <x:f>F2389/G2389-1</x:f>
        <x:v>-0.006665628438572768</x:v>
      </x:c>
      <x:c r="I2389" s="14" t="n">
        <x:f>F2389/F2388-1</x:f>
        <x:v>-0.0029672164413540036</x:v>
      </x:c>
      <x:c r="J2389" s="12" t="n">
        <x:v>0</x:v>
      </x:c>
      <x:c r="K2389" s="12" t="n">
        <x:v>0</x:v>
      </x:c>
      <x:c r="L2389" s="12" t="n">
        <x:v>0</x:v>
      </x:c>
      <x:c r="M2389" s="2" t="str">
        <x:v>持有</x:v>
      </x:c>
    </x:row>
    <x:row r="2390" ht="23" customHeight="1">
      <x:c r="A2390" s="11" t="d">
        <x:v>2024-06-25T00:00:00.000Z</x:v>
      </x:c>
      <x:c r="B2390" s="12" t="n">
        <x:v>24320.827816</x:v>
      </x:c>
      <x:c r="C2390" s="13" t="n">
        <x:v>484</x:v>
      </x:c>
      <x:c r="D2390" s="12" t="n">
        <x:v>263697.72000000003</x:v>
      </x:c>
      <x:c r="E2390" s="12" t="n">
        <x:v>851.367616</x:v>
      </x:c>
      <x:c r="F2390" s="12" t="n">
        <x:f>SUM(B2390,D2390:E2390)</x:f>
        <x:v>288869.915432</x:v>
      </x:c>
      <x:c r="G2390" s="12" t="n">
        <x:f>MAX(G2389,F2390)</x:f>
        <x:v>289789.987816</x:v>
      </x:c>
      <x:c r="H2390" s="14" t="n">
        <x:f>F2390/G2390-1</x:f>
        <x:v>-0.0031749626373710482</x:v>
      </x:c>
      <x:c r="I2390" s="14" t="n">
        <x:f>F2390/F2389-1</x:f>
        <x:v>0.0035140894155456515</x:v>
      </x:c>
      <x:c r="J2390" s="12" t="n">
        <x:v>0</x:v>
      </x:c>
      <x:c r="K2390" s="12" t="n">
        <x:v>0</x:v>
      </x:c>
      <x:c r="L2390" s="12" t="n">
        <x:v>0</x:v>
      </x:c>
      <x:c r="M2390" s="2" t="str">
        <x:v>持有</x:v>
      </x:c>
    </x:row>
    <x:row r="2391" ht="23" customHeight="1">
      <x:c r="A2391" s="11" t="d">
        <x:v>2024-06-26T00:00:00.000Z</x:v>
      </x:c>
      <x:c r="B2391" s="12" t="n">
        <x:v>24320.827816</x:v>
      </x:c>
      <x:c r="C2391" s="13" t="n">
        <x:v>484</x:v>
      </x:c>
      <x:c r="D2391" s="12" t="n">
        <x:v>264026.83999999997</x:v>
      </x:c>
      <x:c r="E2391" s="12" t="n">
        <x:v>851.367616</x:v>
      </x:c>
      <x:c r="F2391" s="12" t="n">
        <x:f>SUM(B2391,D2391:E2391)</x:f>
        <x:v>289199.03543199995</x:v>
      </x:c>
      <x:c r="G2391" s="12" t="n">
        <x:f>MAX(G2390,F2391)</x:f>
        <x:v>289789.987816</x:v>
      </x:c>
      <x:c r="H2391" s="14" t="n">
        <x:f>F2391/G2391-1</x:f>
        <x:v>-0.0020392436207122833</x:v>
      </x:c>
      <x:c r="I2391" s="14" t="n">
        <x:f>F2391/F2390-1</x:f>
        <x:v>0.0011393363670555434</x:v>
      </x:c>
      <x:c r="J2391" s="12" t="n">
        <x:v>0</x:v>
      </x:c>
      <x:c r="K2391" s="12" t="n">
        <x:v>0</x:v>
      </x:c>
      <x:c r="L2391" s="12" t="n">
        <x:v>0</x:v>
      </x:c>
      <x:c r="M2391" s="2" t="str">
        <x:v>持有</x:v>
      </x:c>
    </x:row>
    <x:row r="2392" ht="23" customHeight="1">
      <x:c r="A2392" s="11" t="d">
        <x:v>2024-06-27T00:00:00.000Z</x:v>
      </x:c>
      <x:c r="B2392" s="12" t="n">
        <x:v>24320.827816</x:v>
      </x:c>
      <x:c r="C2392" s="13" t="n">
        <x:v>484</x:v>
      </x:c>
      <x:c r="D2392" s="12" t="n">
        <x:v>264443.08</x:v>
      </x:c>
      <x:c r="E2392" s="12" t="n">
        <x:v>851.367616</x:v>
      </x:c>
      <x:c r="F2392" s="12" t="n">
        <x:f>SUM(B2392,D2392:E2392)</x:f>
        <x:v>289615.275432</x:v>
      </x:c>
      <x:c r="G2392" s="12" t="n">
        <x:f>MAX(G2391,F2392)</x:f>
        <x:v>289789.987816</x:v>
      </x:c>
      <x:c r="H2392" s="14" t="n">
        <x:f>F2392/G2392-1</x:f>
        <x:v>-0.0006028930996434534</x:v>
      </x:c>
      <x:c r="I2392" s="14" t="n">
        <x:f>F2392/F2391-1</x:f>
        <x:v>0.0014392855749960631</x:v>
      </x:c>
      <x:c r="J2392" s="12" t="n">
        <x:v>0</x:v>
      </x:c>
      <x:c r="K2392" s="12" t="n">
        <x:v>0</x:v>
      </x:c>
      <x:c r="L2392" s="12" t="n">
        <x:v>0</x:v>
      </x:c>
      <x:c r="M2392" s="2" t="str">
        <x:v>持有</x:v>
      </x:c>
    </x:row>
    <x:row r="2393" ht="23" customHeight="1">
      <x:c r="A2393" s="11" t="d">
        <x:v>2024-06-28T00:00:00.000Z</x:v>
      </x:c>
      <x:c r="B2393" s="12" t="n">
        <x:v>24320.827816</x:v>
      </x:c>
      <x:c r="C2393" s="13" t="n">
        <x:v>484</x:v>
      </x:c>
      <x:c r="D2393" s="12" t="n">
        <x:v>263402.48000000004</x:v>
      </x:c>
      <x:c r="E2393" s="12" t="n">
        <x:v>851.367616</x:v>
      </x:c>
      <x:c r="F2393" s="12" t="n">
        <x:f>SUM(B2393,D2393:E2393)</x:f>
        <x:v>288574.675432</x:v>
      </x:c>
      <x:c r="G2393" s="12" t="n">
        <x:f>MAX(G2392,F2393)</x:f>
        <x:v>289789.987816</x:v>
      </x:c>
      <x:c r="H2393" s="14" t="n">
        <x:f>F2393/G2393-1</x:f>
        <x:v>-0.004193769402315084</x:v>
      </x:c>
      <x:c r="I2393" s="14" t="n">
        <x:f>F2393/F2392-1</x:f>
        <x:v>-0.0035930425232155727</x:v>
      </x:c>
      <x:c r="J2393" s="12" t="n">
        <x:v>0</x:v>
      </x:c>
      <x:c r="K2393" s="12" t="n">
        <x:v>0</x:v>
      </x:c>
      <x:c r="L2393" s="12" t="n">
        <x:v>0</x:v>
      </x:c>
      <x:c r="M2393" s="2" t="str">
        <x:v>持有</x:v>
      </x:c>
    </x:row>
    <x:row r="2394" ht="23" customHeight="1">
      <x:c r="A2394" s="11" t="d">
        <x:v>2024-07-01T00:00:00.000Z</x:v>
      </x:c>
      <x:c r="B2394" s="12" t="n">
        <x:v>24320.827816</x:v>
      </x:c>
      <x:c r="C2394" s="13" t="n">
        <x:v>484</x:v>
      </x:c>
      <x:c r="D2394" s="12" t="n">
        <x:v>263944.56</x:v>
      </x:c>
      <x:c r="E2394" s="12" t="n">
        <x:v>851.367616</x:v>
      </x:c>
      <x:c r="F2394" s="12" t="n">
        <x:f>SUM(B2394,D2394:E2394)</x:f>
        <x:v>289116.755432</x:v>
      </x:c>
      <x:c r="G2394" s="12" t="n">
        <x:f>MAX(G2393,F2394)</x:f>
        <x:v>289789.987816</x:v>
      </x:c>
      <x:c r="H2394" s="14" t="n">
        <x:f>F2394/G2394-1</x:f>
        <x:v>-0.0023231733748768635</x:v>
      </x:c>
      <x:c r="I2394" s="14" t="n">
        <x:f>F2394/F2393-1</x:f>
        <x:v>0.0018784739138610895</x:v>
      </x:c>
      <x:c r="J2394" s="12" t="n">
        <x:v>0</x:v>
      </x:c>
      <x:c r="K2394" s="12" t="n">
        <x:v>0</x:v>
      </x:c>
      <x:c r="L2394" s="12" t="n">
        <x:v>0</x:v>
      </x:c>
      <x:c r="M2394" s="2" t="str">
        <x:v>持有</x:v>
      </x:c>
    </x:row>
    <x:row r="2395" ht="23" customHeight="1">
      <x:c r="A2395" s="11" t="d">
        <x:v>2024-07-02T00:00:00.000Z</x:v>
      </x:c>
      <x:c r="B2395" s="12" t="n">
        <x:v>24320.827816</x:v>
      </x:c>
      <x:c r="C2395" s="13" t="n">
        <x:v>484</x:v>
      </x:c>
      <x:c r="D2395" s="12" t="n">
        <x:v>265720.83999999997</x:v>
      </x:c>
      <x:c r="E2395" s="12" t="n">
        <x:v>851.367616</x:v>
      </x:c>
      <x:c r="F2395" s="12" t="n">
        <x:f>SUM(B2395,D2395:E2395)</x:f>
        <x:v>290893.03543199995</x:v>
      </x:c>
      <x:c r="G2395" s="12" t="n">
        <x:f>MAX(G2394,F2395)</x:f>
        <x:v>290893.03543199995</x:v>
      </x:c>
      <x:c r="H2395" s="14" t="n">
        <x:f>F2395/G2395-1</x:f>
        <x:v>0</x:v>
      </x:c>
      <x:c r="I2395" s="14" t="n">
        <x:f>F2395/F2394-1</x:f>
        <x:v>0.006143815488472315</x:v>
      </x:c>
      <x:c r="J2395" s="12" t="n">
        <x:v>0</x:v>
      </x:c>
      <x:c r="K2395" s="12" t="n">
        <x:v>0</x:v>
      </x:c>
      <x:c r="L2395" s="12" t="n">
        <x:v>0</x:v>
      </x:c>
      <x:c r="M2395" s="2" t="str">
        <x:v>持有</x:v>
      </x:c>
    </x:row>
    <x:row r="2396" ht="23" customHeight="1">
      <x:c r="A2396" s="11" t="d">
        <x:v>2024-07-03T00:00:00.000Z</x:v>
      </x:c>
      <x:c r="B2396" s="12" t="n">
        <x:v>24320.827816</x:v>
      </x:c>
      <x:c r="C2396" s="13" t="n">
        <x:v>484</x:v>
      </x:c>
      <x:c r="D2396" s="12" t="n">
        <x:v>266906.64</x:v>
      </x:c>
      <x:c r="E2396" s="12" t="n">
        <x:v>851.367616</x:v>
      </x:c>
      <x:c r="F2396" s="12" t="n">
        <x:f>SUM(B2396,D2396:E2396)</x:f>
        <x:v>292078.835432</x:v>
      </x:c>
      <x:c r="G2396" s="12" t="n">
        <x:f>MAX(G2395,F2396)</x:f>
        <x:v>292078.835432</x:v>
      </x:c>
      <x:c r="H2396" s="14" t="n">
        <x:f>F2396/G2396-1</x:f>
        <x:v>0</x:v>
      </x:c>
      <x:c r="I2396" s="14" t="n">
        <x:f>F2396/F2395-1</x:f>
        <x:v>0.004076412480068514</x:v>
      </x:c>
      <x:c r="J2396" s="12" t="n">
        <x:v>0</x:v>
      </x:c>
      <x:c r="K2396" s="12" t="n">
        <x:v>0</x:v>
      </x:c>
      <x:c r="L2396" s="12" t="n">
        <x:v>0</x:v>
      </x:c>
      <x:c r="M2396" s="2" t="str">
        <x:v>持有</x:v>
      </x:c>
    </x:row>
    <x:row r="2397" ht="23" customHeight="1">
      <x:c r="A2397" s="11" t="d">
        <x:v>2024-07-05T00:00:00.000Z</x:v>
      </x:c>
      <x:c r="B2397" s="12" t="n">
        <x:v>24320.827816</x:v>
      </x:c>
      <x:c r="C2397" s="13" t="n">
        <x:v>484</x:v>
      </x:c>
      <x:c r="D2397" s="12" t="n">
        <x:v>268445.76</x:v>
      </x:c>
      <x:c r="E2397" s="12" t="n">
        <x:v>851.367616</x:v>
      </x:c>
      <x:c r="F2397" s="12" t="n">
        <x:f>SUM(B2397,D2397:E2397)</x:f>
        <x:v>293617.955432</x:v>
      </x:c>
      <x:c r="G2397" s="12" t="n">
        <x:f>MAX(G2396,F2397)</x:f>
        <x:v>293617.955432</x:v>
      </x:c>
      <x:c r="H2397" s="14" t="n">
        <x:f>F2397/G2397-1</x:f>
        <x:v>0</x:v>
      </x:c>
      <x:c r="I2397" s="14" t="n">
        <x:f>F2397/F2396-1</x:f>
        <x:v>0.005269536211768067</x:v>
      </x:c>
      <x:c r="J2397" s="12" t="n">
        <x:v>0</x:v>
      </x:c>
      <x:c r="K2397" s="12" t="n">
        <x:v>0</x:v>
      </x:c>
      <x:c r="L2397" s="12" t="n">
        <x:v>0</x:v>
      </x:c>
      <x:c r="M2397" s="2" t="str">
        <x:v>持有</x:v>
      </x:c>
    </x:row>
    <x:row r="2398" ht="23" customHeight="1">
      <x:c r="A2398" s="11" t="d">
        <x:v>2024-07-08T00:00:00.000Z</x:v>
      </x:c>
      <x:c r="B2398" s="12" t="n">
        <x:v>24320.827816</x:v>
      </x:c>
      <x:c r="C2398" s="13" t="n">
        <x:v>484</x:v>
      </x:c>
      <x:c r="D2398" s="12" t="n">
        <x:v>268755.51999999996</x:v>
      </x:c>
      <x:c r="E2398" s="12" t="n">
        <x:v>851.367616</x:v>
      </x:c>
      <x:c r="F2398" s="12" t="n">
        <x:f>SUM(B2398,D2398:E2398)</x:f>
        <x:v>293927.71543199994</x:v>
      </x:c>
      <x:c r="G2398" s="12" t="n">
        <x:f>MAX(G2397,F2398)</x:f>
        <x:v>293927.71543199994</x:v>
      </x:c>
      <x:c r="H2398" s="14" t="n">
        <x:f>F2398/G2398-1</x:f>
        <x:v>0</x:v>
      </x:c>
      <x:c r="I2398" s="14" t="n">
        <x:f>F2398/F2397-1</x:f>
        <x:v>0.0010549763536913392</x:v>
      </x:c>
      <x:c r="J2398" s="12" t="n">
        <x:v>0</x:v>
      </x:c>
      <x:c r="K2398" s="12" t="n">
        <x:v>0</x:v>
      </x:c>
      <x:c r="L2398" s="12" t="n">
        <x:v>0</x:v>
      </x:c>
      <x:c r="M2398" s="2" t="str">
        <x:v>持有</x:v>
      </x:c>
    </x:row>
    <x:row r="2399" ht="23" customHeight="1">
      <x:c r="A2399" s="11" t="d">
        <x:v>2024-07-09T00:00:00.000Z</x:v>
      </x:c>
      <x:c r="B2399" s="12" t="n">
        <x:v>24320.827816</x:v>
      </x:c>
      <x:c r="C2399" s="13" t="n">
        <x:v>484</x:v>
      </x:c>
      <x:c r="D2399" s="12" t="n">
        <x:v>269016.88</x:v>
      </x:c>
      <x:c r="E2399" s="12" t="n">
        <x:v>851.367616</x:v>
      </x:c>
      <x:c r="F2399" s="12" t="n">
        <x:f>SUM(B2399,D2399:E2399)</x:f>
        <x:v>294189.075432</x:v>
      </x:c>
      <x:c r="G2399" s="12" t="n">
        <x:f>MAX(G2398,F2399)</x:f>
        <x:v>294189.075432</x:v>
      </x:c>
      <x:c r="H2399" s="14" t="n">
        <x:f>F2399/G2399-1</x:f>
        <x:v>0</x:v>
      </x:c>
      <x:c r="I2399" s="14" t="n">
        <x:f>F2399/F2398-1</x:f>
        <x:v>0.0008891982153365063</x:v>
      </x:c>
      <x:c r="J2399" s="12" t="n">
        <x:v>0</x:v>
      </x:c>
      <x:c r="K2399" s="12" t="n">
        <x:v>0</x:v>
      </x:c>
      <x:c r="L2399" s="12" t="n">
        <x:v>0</x:v>
      </x:c>
      <x:c r="M2399" s="2" t="str">
        <x:v>持有</x:v>
      </x:c>
    </x:row>
    <x:row r="2400" ht="23" customHeight="1">
      <x:c r="A2400" s="11" t="d">
        <x:v>2024-07-10T00:00:00.000Z</x:v>
      </x:c>
      <x:c r="B2400" s="12" t="n">
        <x:v>24320.827816</x:v>
      </x:c>
      <x:c r="C2400" s="13" t="n">
        <x:v>484</x:v>
      </x:c>
      <x:c r="D2400" s="12" t="n">
        <x:v>271678.88</x:v>
      </x:c>
      <x:c r="E2400" s="12" t="n">
        <x:v>851.367616</x:v>
      </x:c>
      <x:c r="F2400" s="12" t="n">
        <x:f>SUM(B2400,D2400:E2400)</x:f>
        <x:v>296851.075432</x:v>
      </x:c>
      <x:c r="G2400" s="12" t="n">
        <x:f>MAX(G2399,F2400)</x:f>
        <x:v>296851.075432</x:v>
      </x:c>
      <x:c r="H2400" s="14" t="n">
        <x:f>F2400/G2400-1</x:f>
        <x:v>0</x:v>
      </x:c>
      <x:c r="I2400" s="14" t="n">
        <x:f>F2400/F2399-1</x:f>
        <x:v>0.009048602488352042</x:v>
      </x:c>
      <x:c r="J2400" s="12" t="n">
        <x:v>0</x:v>
      </x:c>
      <x:c r="K2400" s="12" t="n">
        <x:v>0</x:v>
      </x:c>
      <x:c r="L2400" s="12" t="n">
        <x:v>0</x:v>
      </x:c>
      <x:c r="M2400" s="2" t="str">
        <x:v>持有</x:v>
      </x:c>
    </x:row>
    <x:row r="2401" ht="23" customHeight="1">
      <x:c r="A2401" s="11" t="d">
        <x:v>2024-07-11T00:00:00.000Z</x:v>
      </x:c>
      <x:c r="B2401" s="12" t="n">
        <x:v>24320.827816</x:v>
      </x:c>
      <x:c r="C2401" s="13" t="n">
        <x:v>484</x:v>
      </x:c>
      <x:c r="D2401" s="12" t="n">
        <x:v>269336.32</x:v>
      </x:c>
      <x:c r="E2401" s="12" t="n">
        <x:v>851.367616</x:v>
      </x:c>
      <x:c r="F2401" s="12" t="n">
        <x:f>SUM(B2401,D2401:E2401)</x:f>
        <x:v>294508.515432</x:v>
      </x:c>
      <x:c r="G2401" s="12" t="n">
        <x:f>MAX(G2400,F2401)</x:f>
        <x:v>296851.075432</x:v>
      </x:c>
      <x:c r="H2401" s="14" t="n">
        <x:f>F2401/G2401-1</x:f>
        <x:v>-0.007891364370470666</x:v>
      </x:c>
      <x:c r="I2401" s="14" t="n">
        <x:f>F2401/F2400-1</x:f>
        <x:v>-0.007891364370470666</x:v>
      </x:c>
      <x:c r="J2401" s="12" t="n">
        <x:v>0</x:v>
      </x:c>
      <x:c r="K2401" s="12" t="n">
        <x:v>0</x:v>
      </x:c>
      <x:c r="L2401" s="12" t="n">
        <x:v>0</x:v>
      </x:c>
      <x:c r="M2401" s="2" t="str">
        <x:v>持有</x:v>
      </x:c>
    </x:row>
    <x:row r="2402" ht="23" customHeight="1">
      <x:c r="A2402" s="11" t="d">
        <x:v>2024-07-12T00:00:00.000Z</x:v>
      </x:c>
      <x:c r="B2402" s="12" t="n">
        <x:v>24320.827816</x:v>
      </x:c>
      <x:c r="C2402" s="13" t="n">
        <x:v>484</x:v>
      </x:c>
      <x:c r="D2402" s="12" t="n">
        <x:v>271035.16000000003</x:v>
      </x:c>
      <x:c r="E2402" s="12" t="n">
        <x:v>851.367616</x:v>
      </x:c>
      <x:c r="F2402" s="12" t="n">
        <x:f>SUM(B2402,D2402:E2402)</x:f>
        <x:v>296207.355432</x:v>
      </x:c>
      <x:c r="G2402" s="12" t="n">
        <x:f>MAX(G2401,F2402)</x:f>
        <x:v>296851.075432</x:v>
      </x:c>
      <x:c r="H2402" s="14" t="n">
        <x:f>F2402/G2402-1</x:f>
        <x:v>-0.0021684947546953826</x:v>
      </x:c>
      <x:c r="I2402" s="14" t="n">
        <x:f>F2402/F2401-1</x:f>
        <x:v>0.005768390083757291</x:v>
      </x:c>
      <x:c r="J2402" s="12" t="n">
        <x:v>0</x:v>
      </x:c>
      <x:c r="K2402" s="12" t="n">
        <x:v>0</x:v>
      </x:c>
      <x:c r="L2402" s="12" t="n">
        <x:v>0</x:v>
      </x:c>
      <x:c r="M2402" s="2" t="str">
        <x:v>持有</x:v>
      </x:c>
    </x:row>
    <x:row r="2403" ht="23" customHeight="1">
      <x:c r="A2403" s="11" t="d">
        <x:v>2024-07-15T00:00:00.000Z</x:v>
      </x:c>
      <x:c r="B2403" s="12" t="n">
        <x:v>24320.827816</x:v>
      </x:c>
      <x:c r="C2403" s="13" t="n">
        <x:v>484</x:v>
      </x:c>
      <x:c r="D2403" s="12" t="n">
        <x:v>271780.51999999996</x:v>
      </x:c>
      <x:c r="E2403" s="12" t="n">
        <x:v>851.367616</x:v>
      </x:c>
      <x:c r="F2403" s="12" t="n">
        <x:f>SUM(B2403,D2403:E2403)</x:f>
        <x:v>296952.71543199994</x:v>
      </x:c>
      <x:c r="G2403" s="12" t="n">
        <x:f>MAX(G2402,F2403)</x:f>
        <x:v>296952.71543199994</x:v>
      </x:c>
      <x:c r="H2403" s="14" t="n">
        <x:f>F2403/G2403-1</x:f>
        <x:v>0</x:v>
      </x:c>
      <x:c r="I2403" s="14" t="n">
        <x:f>F2403/F2402-1</x:f>
        <x:v>0.0025163453450129936</x:v>
      </x:c>
      <x:c r="J2403" s="12" t="n">
        <x:v>0</x:v>
      </x:c>
      <x:c r="K2403" s="12" t="n">
        <x:v>0</x:v>
      </x:c>
      <x:c r="L2403" s="12" t="n">
        <x:v>0</x:v>
      </x:c>
      <x:c r="M2403" s="2" t="str">
        <x:v>持有</x:v>
      </x:c>
    </x:row>
    <x:row r="2404" ht="23" customHeight="1">
      <x:c r="A2404" s="11" t="d">
        <x:v>2024-07-16T00:00:00.000Z</x:v>
      </x:c>
      <x:c r="B2404" s="12" t="n">
        <x:v>24320.827816</x:v>
      </x:c>
      <x:c r="C2404" s="13" t="n">
        <x:v>484</x:v>
      </x:c>
      <x:c r="D2404" s="12" t="n">
        <x:v>273392.24</x:v>
      </x:c>
      <x:c r="E2404" s="12" t="n">
        <x:v>851.367616</x:v>
      </x:c>
      <x:c r="F2404" s="12" t="n">
        <x:f>SUM(B2404,D2404:E2404)</x:f>
        <x:v>298564.43543199997</x:v>
      </x:c>
      <x:c r="G2404" s="12" t="n">
        <x:f>MAX(G2403,F2404)</x:f>
        <x:v>298564.43543199997</x:v>
      </x:c>
      <x:c r="H2404" s="14" t="n">
        <x:f>F2404/G2404-1</x:f>
        <x:v>0</x:v>
      </x:c>
      <x:c r="I2404" s="14" t="n">
        <x:f>F2404/F2403-1</x:f>
        <x:v>0.005427530769184452</x:v>
      </x:c>
      <x:c r="J2404" s="12" t="n">
        <x:v>0</x:v>
      </x:c>
      <x:c r="K2404" s="12" t="n">
        <x:v>0</x:v>
      </x:c>
      <x:c r="L2404" s="12" t="n">
        <x:v>0</x:v>
      </x:c>
      <x:c r="M2404" s="2" t="str">
        <x:v>持有</x:v>
      </x:c>
    </x:row>
    <x:row r="2405" ht="23" customHeight="1">
      <x:c r="A2405" s="11" t="d">
        <x:v>2024-07-17T00:00:00.000Z</x:v>
      </x:c>
      <x:c r="B2405" s="12" t="n">
        <x:v>24320.827816</x:v>
      </x:c>
      <x:c r="C2405" s="13" t="n">
        <x:v>484</x:v>
      </x:c>
      <x:c r="D2405" s="12" t="n">
        <x:v>269558.96</x:v>
      </x:c>
      <x:c r="E2405" s="12" t="n">
        <x:v>851.367616</x:v>
      </x:c>
      <x:c r="F2405" s="12" t="n">
        <x:f>SUM(B2405,D2405:E2405)</x:f>
        <x:v>294731.155432</x:v>
      </x:c>
      <x:c r="G2405" s="12" t="n">
        <x:f>MAX(G2404,F2405)</x:f>
        <x:v>298564.43543199997</x:v>
      </x:c>
      <x:c r="H2405" s="14" t="n">
        <x:f>F2405/G2405-1</x:f>
        <x:v>-0.012839037558018296</x:v>
      </x:c>
      <x:c r="I2405" s="14" t="n">
        <x:f>F2405/F2404-1</x:f>
        <x:v>-0.012839037558018296</x:v>
      </x:c>
      <x:c r="J2405" s="12" t="n">
        <x:v>0</x:v>
      </x:c>
      <x:c r="K2405" s="12" t="n">
        <x:v>0</x:v>
      </x:c>
      <x:c r="L2405" s="12" t="n">
        <x:v>0</x:v>
      </x:c>
      <x:c r="M2405" s="2" t="str">
        <x:v>持有</x:v>
      </x:c>
    </x:row>
    <x:row r="2406" ht="23" customHeight="1">
      <x:c r="A2406" s="11" t="d">
        <x:v>2024-07-18T00:00:00.000Z</x:v>
      </x:c>
      <x:c r="B2406" s="12" t="n">
        <x:v>24320.827816</x:v>
      </x:c>
      <x:c r="C2406" s="13" t="n">
        <x:v>484</x:v>
      </x:c>
      <x:c r="D2406" s="12" t="n">
        <x:v>267487.44</x:v>
      </x:c>
      <x:c r="E2406" s="12" t="n">
        <x:v>851.367616</x:v>
      </x:c>
      <x:c r="F2406" s="12" t="n">
        <x:f>SUM(B2406,D2406:E2406)</x:f>
        <x:v>292659.635432</x:v>
      </x:c>
      <x:c r="G2406" s="12" t="n">
        <x:f>MAX(G2405,F2406)</x:f>
        <x:v>298564.43543199997</x:v>
      </x:c>
      <x:c r="H2406" s="14" t="n">
        <x:f>F2406/G2406-1</x:f>
        <x:v>-0.01977730532927069</x:v>
      </x:c>
      <x:c r="I2406" s="14" t="n">
        <x:f>F2406/F2405-1</x:f>
        <x:v>-0.0070285070370782465</x:v>
      </x:c>
      <x:c r="J2406" s="12" t="n">
        <x:v>0</x:v>
      </x:c>
      <x:c r="K2406" s="12" t="n">
        <x:v>0</x:v>
      </x:c>
      <x:c r="L2406" s="12" t="n">
        <x:v>0</x:v>
      </x:c>
      <x:c r="M2406" s="2" t="str">
        <x:v>持有</x:v>
      </x:c>
    </x:row>
    <x:row r="2407" ht="23" customHeight="1">
      <x:c r="A2407" s="11" t="d">
        <x:v>2024-07-19T00:00:00.000Z</x:v>
      </x:c>
      <x:c r="B2407" s="12" t="n">
        <x:v>24320.827816</x:v>
      </x:c>
      <x:c r="C2407" s="13" t="n">
        <x:v>484</x:v>
      </x:c>
      <x:c r="D2407" s="12" t="n">
        <x:v>265711.16000000003</x:v>
      </x:c>
      <x:c r="E2407" s="12" t="n">
        <x:v>851.367616</x:v>
      </x:c>
      <x:c r="F2407" s="12" t="n">
        <x:f>SUM(B2407,D2407:E2407)</x:f>
        <x:v>290883.355432</x:v>
      </x:c>
      <x:c r="G2407" s="12" t="n">
        <x:f>MAX(G2406,F2407)</x:f>
        <x:v>298564.43543199997</x:v>
      </x:c>
      <x:c r="H2407" s="14" t="n">
        <x:f>F2407/G2407-1</x:f>
        <x:v>-0.025726707834059392</x:v>
      </x:c>
      <x:c r="I2407" s="14" t="n">
        <x:f>F2407/F2406-1</x:f>
        <x:v>-0.006069439666245624</x:v>
      </x:c>
      <x:c r="J2407" s="12" t="n">
        <x:v>0</x:v>
      </x:c>
      <x:c r="K2407" s="12" t="n">
        <x:v>0</x:v>
      </x:c>
      <x:c r="L2407" s="12" t="n">
        <x:v>0</x:v>
      </x:c>
      <x:c r="M2407" s="2" t="str">
        <x:v>持有</x:v>
      </x:c>
    </x:row>
    <x:row r="2408" ht="23" customHeight="1">
      <x:c r="A2408" s="11" t="d">
        <x:v>2024-07-22T00:00:00.000Z</x:v>
      </x:c>
      <x:c r="B2408" s="12" t="n">
        <x:v>24320.827816</x:v>
      </x:c>
      <x:c r="C2408" s="13" t="n">
        <x:v>484</x:v>
      </x:c>
      <x:c r="D2408" s="12" t="n">
        <x:v>268450.6</x:v>
      </x:c>
      <x:c r="E2408" s="12" t="n">
        <x:v>851.367616</x:v>
      </x:c>
      <x:c r="F2408" s="12" t="n">
        <x:f>SUM(B2408,D2408:E2408)</x:f>
        <x:v>293622.79543199996</x:v>
      </x:c>
      <x:c r="G2408" s="12" t="n">
        <x:f>MAX(G2407,F2408)</x:f>
        <x:v>298564.43543199997</x:v>
      </x:c>
      <x:c r="H2408" s="14" t="n">
        <x:f>F2408/G2408-1</x:f>
        <x:v>-0.016551335033758607</x:v>
      </x:c>
      <x:c r="I2408" s="14" t="n">
        <x:f>F2408/F2407-1</x:f>
        <x:v>0.009417658139742935</x:v>
      </x:c>
      <x:c r="J2408" s="12" t="n">
        <x:v>0</x:v>
      </x:c>
      <x:c r="K2408" s="12" t="n">
        <x:v>0</x:v>
      </x:c>
      <x:c r="L2408" s="12" t="n">
        <x:v>0</x:v>
      </x:c>
      <x:c r="M2408" s="2" t="str">
        <x:v>持有</x:v>
      </x:c>
    </x:row>
    <x:row r="2409" ht="23" customHeight="1">
      <x:c r="A2409" s="11" t="d">
        <x:v>2024-07-23T00:00:00.000Z</x:v>
      </x:c>
      <x:c r="B2409" s="12" t="n">
        <x:v>24320.827816</x:v>
      </x:c>
      <x:c r="C2409" s="13" t="n">
        <x:v>484</x:v>
      </x:c>
      <x:c r="D2409" s="12" t="n">
        <x:v>268029.51999999996</x:v>
      </x:c>
      <x:c r="E2409" s="12" t="n">
        <x:v>851.367616</x:v>
      </x:c>
      <x:c r="F2409" s="12" t="n">
        <x:f>SUM(B2409,D2409:E2409)</x:f>
        <x:v>293201.71543199994</x:v>
      </x:c>
      <x:c r="G2409" s="12" t="n">
        <x:f>MAX(G2408,F2409)</x:f>
        <x:v>298564.43543199997</x:v>
      </x:c>
      <x:c r="H2409" s="14" t="n">
        <x:f>F2409/G2409-1</x:f>
        <x:v>-0.01796168385641972</x:v>
      </x:c>
      <x:c r="I2409" s="14" t="n">
        <x:f>F2409/F2408-1</x:f>
        <x:v>-0.0014340848413370022</x:v>
      </x:c>
      <x:c r="J2409" s="12" t="n">
        <x:v>0</x:v>
      </x:c>
      <x:c r="K2409" s="12" t="n">
        <x:v>0</x:v>
      </x:c>
      <x:c r="L2409" s="12" t="n">
        <x:v>0</x:v>
      </x:c>
      <x:c r="M2409" s="2" t="str">
        <x:v>持有</x:v>
      </x:c>
    </x:row>
    <x:row r="2410" ht="23" customHeight="1">
      <x:c r="A2410" s="11" t="d">
        <x:v>2024-07-24T00:00:00.000Z</x:v>
      </x:c>
      <x:c r="B2410" s="12" t="n">
        <x:v>24320.827816</x:v>
      </x:c>
      <x:c r="C2410" s="13" t="n">
        <x:v>484</x:v>
      </x:c>
      <x:c r="D2410" s="12" t="n">
        <x:v>261955.32</x:v>
      </x:c>
      <x:c r="E2410" s="12" t="n">
        <x:v>851.367616</x:v>
      </x:c>
      <x:c r="F2410" s="12" t="n">
        <x:f>SUM(B2410,D2410:E2410)</x:f>
        <x:v>287127.515432</x:v>
      </x:c>
      <x:c r="G2410" s="12" t="n">
        <x:f>MAX(G2409,F2410)</x:f>
        <x:v>298564.43543199997</x:v>
      </x:c>
      <x:c r="H2410" s="14" t="n">
        <x:f>F2410/G2410-1</x:f>
        <x:v>-0.03830637089595623</x:v>
      </x:c>
      <x:c r="I2410" s="14" t="n">
        <x:f>F2410/F2409-1</x:f>
        <x:v>-0.020716795572121027</x:v>
      </x:c>
      <x:c r="J2410" s="12" t="n">
        <x:v>0</x:v>
      </x:c>
      <x:c r="K2410" s="12" t="n">
        <x:v>0</x:v>
      </x:c>
      <x:c r="L2410" s="12" t="n">
        <x:v>0</x:v>
      </x:c>
      <x:c r="M2410" s="2" t="str">
        <x:v>持有</x:v>
      </x:c>
    </x:row>
    <x:row r="2411" ht="23" customHeight="1">
      <x:c r="A2411" s="11" t="d">
        <x:v>2024-07-25T00:00:00.000Z</x:v>
      </x:c>
      <x:c r="B2411" s="12" t="n">
        <x:v>24320.827816</x:v>
      </x:c>
      <x:c r="C2411" s="13" t="n">
        <x:v>484</x:v>
      </x:c>
      <x:c r="D2411" s="12" t="n">
        <x:v>260590.43999999997</x:v>
      </x:c>
      <x:c r="E2411" s="12" t="n">
        <x:v>851.367616</x:v>
      </x:c>
      <x:c r="F2411" s="12" t="n">
        <x:f>SUM(B2411,D2411:E2411)</x:f>
        <x:v>285762.635432</x:v>
      </x:c>
      <x:c r="G2411" s="12" t="n">
        <x:f>MAX(G2410,F2411)</x:f>
        <x:v>298564.43543199997</x:v>
      </x:c>
      <x:c r="H2411" s="14" t="n">
        <x:f>F2411/G2411-1</x:f>
        <x:v>-0.04287784639009917</x:v>
      </x:c>
      <x:c r="I2411" s="14" t="n">
        <x:f>F2411/F2410-1</x:f>
        <x:v>-0.004753567410446413</x:v>
      </x:c>
      <x:c r="J2411" s="12" t="n">
        <x:v>0</x:v>
      </x:c>
      <x:c r="K2411" s="12" t="n">
        <x:v>0</x:v>
      </x:c>
      <x:c r="L2411" s="12" t="n">
        <x:v>0</x:v>
      </x:c>
      <x:c r="M2411" s="2" t="str">
        <x:v>持有</x:v>
      </x:c>
    </x:row>
    <x:row r="2412" ht="23" customHeight="1">
      <x:c r="A2412" s="11" t="d">
        <x:v>2024-07-26T00:00:00.000Z</x:v>
      </x:c>
      <x:c r="B2412" s="12" t="n">
        <x:v>24320.827816</x:v>
      </x:c>
      <x:c r="C2412" s="13" t="n">
        <x:v>484</x:v>
      </x:c>
      <x:c r="D2412" s="12" t="n">
        <x:v>263508.96</x:v>
      </x:c>
      <x:c r="E2412" s="12" t="n">
        <x:v>851.367616</x:v>
      </x:c>
      <x:c r="F2412" s="12" t="n">
        <x:f>SUM(B2412,D2412:E2412)</x:f>
        <x:v>288681.155432</x:v>
      </x:c>
      <x:c r="G2412" s="12" t="n">
        <x:f>MAX(G2411,F2412)</x:f>
        <x:v>298564.43543199997</x:v>
      </x:c>
      <x:c r="H2412" s="14" t="n">
        <x:f>F2412/G2412-1</x:f>
        <x:v>-0.03310267006751699</x:v>
      </x:c>
      <x:c r="I2412" s="14" t="n">
        <x:f>F2412/F2411-1</x:f>
        <x:v>0.01021309169964768</x:v>
      </x:c>
      <x:c r="J2412" s="12" t="n">
        <x:v>0</x:v>
      </x:c>
      <x:c r="K2412" s="12" t="n">
        <x:v>0</x:v>
      </x:c>
      <x:c r="L2412" s="12" t="n">
        <x:v>0</x:v>
      </x:c>
      <x:c r="M2412" s="2" t="str">
        <x:v>持有</x:v>
      </x:c>
    </x:row>
    <x:row r="2413" ht="23" customHeight="1">
      <x:c r="A2413" s="11" t="d">
        <x:v>2024-07-29T00:00:00.000Z</x:v>
      </x:c>
      <x:c r="B2413" s="12" t="n">
        <x:v>24320.827816</x:v>
      </x:c>
      <x:c r="C2413" s="13" t="n">
        <x:v>484</x:v>
      </x:c>
      <x:c r="D2413" s="12" t="n">
        <x:v>263663.83999999997</x:v>
      </x:c>
      <x:c r="E2413" s="12" t="n">
        <x:v>851.367616</x:v>
      </x:c>
      <x:c r="F2413" s="12" t="n">
        <x:f>SUM(B2413,D2413:E2413)</x:f>
        <x:v>288836.03543199995</x:v>
      </x:c>
      <x:c r="G2413" s="12" t="n">
        <x:f>MAX(G2412,F2413)</x:f>
        <x:v>298564.43543199997</x:v>
      </x:c>
      <x:c r="H2413" s="14" t="n">
        <x:f>F2413/G2413-1</x:f>
        <x:v>-0.03258392107527397</x:v>
      </x:c>
      <x:c r="I2413" s="14" t="n">
        <x:f>F2413/F2412-1</x:f>
        <x:v>0.0005365088682984798</x:v>
      </x:c>
      <x:c r="J2413" s="12" t="n">
        <x:v>0</x:v>
      </x:c>
      <x:c r="K2413" s="12" t="n">
        <x:v>0</x:v>
      </x:c>
      <x:c r="L2413" s="12" t="n">
        <x:v>0</x:v>
      </x:c>
      <x:c r="M2413" s="2" t="str">
        <x:v>持有</x:v>
      </x:c>
    </x:row>
    <x:row r="2414" ht="23" customHeight="1">
      <x:c r="A2414" s="11" t="d">
        <x:v>2024-07-30T00:00:00.000Z</x:v>
      </x:c>
      <x:c r="B2414" s="12" t="n">
        <x:v>24320.827816</x:v>
      </x:c>
      <x:c r="C2414" s="13" t="n">
        <x:v>484</x:v>
      </x:c>
      <x:c r="D2414" s="12" t="n">
        <x:v>262328</x:v>
      </x:c>
      <x:c r="E2414" s="12" t="n">
        <x:v>851.367616</x:v>
      </x:c>
      <x:c r="F2414" s="12" t="n">
        <x:f>SUM(B2414,D2414:E2414)</x:f>
        <x:v>287500.195432</x:v>
      </x:c>
      <x:c r="G2414" s="12" t="n">
        <x:f>MAX(G2413,F2414)</x:f>
        <x:v>298564.43543199997</x:v>
      </x:c>
      <x:c r="H2414" s="14" t="n">
        <x:f>F2414/G2414-1</x:f>
        <x:v>-0.0370581311333712</x:v>
      </x:c>
      <x:c r="I2414" s="14" t="n">
        <x:f>F2414/F2413-1</x:f>
        <x:v>-0.004624907685088608</x:v>
      </x:c>
      <x:c r="J2414" s="12" t="n">
        <x:v>0</x:v>
      </x:c>
      <x:c r="K2414" s="12" t="n">
        <x:v>0</x:v>
      </x:c>
      <x:c r="L2414" s="12" t="n">
        <x:v>0</x:v>
      </x:c>
      <x:c r="M2414" s="2" t="str">
        <x:v>持有</x:v>
      </x:c>
    </x:row>
    <x:row r="2415" ht="23" customHeight="1">
      <x:c r="A2415" s="11" t="d">
        <x:v>2024-07-31T00:00:00.000Z</x:v>
      </x:c>
      <x:c r="B2415" s="12" t="n">
        <x:v>25172.195432</x:v>
      </x:c>
      <x:c r="C2415" s="13" t="n">
        <x:v>484</x:v>
      </x:c>
      <x:c r="D2415" s="12" t="n">
        <x:v>266592.04</x:v>
      </x:c>
      <x:c r="E2415" s="12" t="n">
        <x:v>0</x:v>
      </x:c>
      <x:c r="F2415" s="12" t="n">
        <x:f>SUM(B2415,D2415:E2415)</x:f>
        <x:v>291764.23543199996</x:v>
      </x:c>
      <x:c r="G2415" s="12" t="n">
        <x:f>MAX(G2414,F2415)</x:f>
        <x:v>298564.43543199997</x:v>
      </x:c>
      <x:c r="H2415" s="14" t="n">
        <x:f>F2415/G2415-1</x:f>
        <x:v>-0.022776322940676552</x:v>
      </x:c>
      <x:c r="I2415" s="14" t="n">
        <x:f>F2415/F2414-1</x:f>
        <x:v>0.014831433396394145</x:v>
      </x:c>
      <x:c r="J2415" s="12" t="n">
        <x:v>0</x:v>
      </x:c>
      <x:c r="K2415" s="12" t="n">
        <x:v>851.367616</x:v>
      </x:c>
      <x:c r="L2415" s="12" t="n">
        <x:v>0</x:v>
      </x:c>
      <x:c r="M2415" s="2" t="str">
        <x:v>持有</x:v>
      </x:c>
    </x:row>
    <x:row r="2416" ht="23" customHeight="1">
      <x:c r="A2416" s="11" t="d">
        <x:v>2024-08-01T00:00:00.000Z</x:v>
      </x:c>
      <x:c r="B2416" s="12" t="n">
        <x:v>25172.195432</x:v>
      </x:c>
      <x:c r="C2416" s="13" t="n">
        <x:v>484</x:v>
      </x:c>
      <x:c r="D2416" s="12" t="n">
        <x:v>262816.83999999997</x:v>
      </x:c>
      <x:c r="E2416" s="12" t="n">
        <x:v>0</x:v>
      </x:c>
      <x:c r="F2416" s="12" t="n">
        <x:f>SUM(B2416,D2416:E2416)</x:f>
        <x:v>287989.03543199995</x:v>
      </x:c>
      <x:c r="G2416" s="12" t="n">
        <x:f>MAX(G2415,F2416)</x:f>
        <x:v>298564.43543199997</x:v>
      </x:c>
      <x:c r="H2416" s="14" t="n">
        <x:f>F2416/G2416-1</x:f>
        <x:v>-0.035420829626603756</x:v>
      </x:c>
      <x:c r="I2416" s="14" t="n">
        <x:f>F2416/F2415-1</x:f>
        <x:v>-0.012939214411972988</x:v>
      </x:c>
      <x:c r="J2416" s="12" t="n">
        <x:v>0</x:v>
      </x:c>
      <x:c r="K2416" s="12" t="n">
        <x:v>0</x:v>
      </x:c>
      <x:c r="L2416" s="12" t="n">
        <x:v>0</x:v>
      </x:c>
      <x:c r="M2416" s="2" t="str">
        <x:v>持有</x:v>
      </x:c>
    </x:row>
    <x:row r="2417" ht="23" customHeight="1">
      <x:c r="A2417" s="11" t="d">
        <x:v>2024-08-02T00:00:00.000Z</x:v>
      </x:c>
      <x:c r="B2417" s="12" t="n">
        <x:v>25172.195432</x:v>
      </x:c>
      <x:c r="C2417" s="13" t="n">
        <x:v>484</x:v>
      </x:c>
      <x:c r="D2417" s="12" t="n">
        <x:v>257923.59999999998</x:v>
      </x:c>
      <x:c r="E2417" s="12" t="n">
        <x:v>0</x:v>
      </x:c>
      <x:c r="F2417" s="12" t="n">
        <x:f>SUM(B2417,D2417:E2417)</x:f>
        <x:v>283095.79543199996</x:v>
      </x:c>
      <x:c r="G2417" s="12" t="n">
        <x:f>MAX(G2416,F2417)</x:f>
        <x:v>298564.43543199997</x:v>
      </x:c>
      <x:c r="H2417" s="14" t="n">
        <x:f>F2417/G2417-1</x:f>
        <x:v>-0.05181005560028629</x:v>
      </x:c>
      <x:c r="I2417" s="14" t="n">
        <x:f>F2417/F2416-1</x:f>
        <x:v>-0.016991063540526263</x:v>
      </x:c>
      <x:c r="J2417" s="12" t="n">
        <x:v>0</x:v>
      </x:c>
      <x:c r="K2417" s="12" t="n">
        <x:v>0</x:v>
      </x:c>
      <x:c r="L2417" s="12" t="n">
        <x:v>0</x:v>
      </x:c>
      <x:c r="M2417" s="2" t="str">
        <x:v>持有</x:v>
      </x:c>
    </x:row>
    <x:row r="2418" ht="23" customHeight="1">
      <x:c r="A2418" s="11" t="d">
        <x:v>2024-08-05T00:00:00.000Z</x:v>
      </x:c>
      <x:c r="B2418" s="12" t="n">
        <x:v>25172.195432</x:v>
      </x:c>
      <x:c r="C2418" s="13" t="n">
        <x:v>484</x:v>
      </x:c>
      <x:c r="D2418" s="12" t="n">
        <x:v>250411.91999999998</x:v>
      </x:c>
      <x:c r="E2418" s="12" t="n">
        <x:v>0</x:v>
      </x:c>
      <x:c r="F2418" s="12" t="n">
        <x:f>SUM(B2418,D2418:E2418)</x:f>
        <x:v>275584.11543199996</x:v>
      </x:c>
      <x:c r="G2418" s="12" t="n">
        <x:f>MAX(G2417,F2418)</x:f>
        <x:v>298564.43543199997</x:v>
      </x:c>
      <x:c r="H2418" s="14" t="n">
        <x:f>F2418/G2418-1</x:f>
        <x:v>-0.07696938172407986</x:v>
      </x:c>
      <x:c r="I2418" s="14" t="n">
        <x:f>F2418/F2417-1</x:f>
        <x:v>-0.026534057097306163</x:v>
      </x:c>
      <x:c r="J2418" s="12" t="n">
        <x:v>0</x:v>
      </x:c>
      <x:c r="K2418" s="12" t="n">
        <x:v>0</x:v>
      </x:c>
      <x:c r="L2418" s="12" t="n">
        <x:v>0</x:v>
      </x:c>
      <x:c r="M2418" s="2" t="str">
        <x:v>持有</x:v>
      </x:c>
    </x:row>
    <x:row r="2419" ht="23" customHeight="1">
      <x:c r="A2419" s="11" t="d">
        <x:v>2024-08-06T00:00:00.000Z</x:v>
      </x:c>
      <x:c r="B2419" s="12" t="n">
        <x:v>25172.195432</x:v>
      </x:c>
      <x:c r="C2419" s="13" t="n">
        <x:v>484</x:v>
      </x:c>
      <x:c r="D2419" s="12" t="n">
        <x:v>252720.59999999998</x:v>
      </x:c>
      <x:c r="E2419" s="12" t="n">
        <x:v>0</x:v>
      </x:c>
      <x:c r="F2419" s="12" t="n">
        <x:f>SUM(B2419,D2419:E2419)</x:f>
        <x:v>277892.79543199996</x:v>
      </x:c>
      <x:c r="G2419" s="12" t="n">
        <x:f>MAX(G2418,F2419)</x:f>
        <x:v>298564.43543199997</x:v>
      </x:c>
      <x:c r="H2419" s="14" t="n">
        <x:f>F2419/G2419-1</x:f>
        <x:v>-0.0692367795584552</x:v>
      </x:c>
      <x:c r="I2419" s="14" t="n">
        <x:f>F2419/F2418-1</x:f>
        <x:v>0.00837740591971703</x:v>
      </x:c>
      <x:c r="J2419" s="12" t="n">
        <x:v>0</x:v>
      </x:c>
      <x:c r="K2419" s="12" t="n">
        <x:v>0</x:v>
      </x:c>
      <x:c r="L2419" s="12" t="n">
        <x:v>0</x:v>
      </x:c>
      <x:c r="M2419" s="2" t="str">
        <x:v>持有</x:v>
      </x:c>
    </x:row>
    <x:row r="2420" ht="23" customHeight="1">
      <x:c r="A2420" s="11" t="d">
        <x:v>2024-08-07T00:00:00.000Z</x:v>
      </x:c>
      <x:c r="B2420" s="12" t="n">
        <x:v>25172.195432</x:v>
      </x:c>
      <x:c r="C2420" s="13" t="n">
        <x:v>484</x:v>
      </x:c>
      <x:c r="D2420" s="12" t="n">
        <x:v>251031.43999999997</x:v>
      </x:c>
      <x:c r="E2420" s="12" t="n">
        <x:v>0</x:v>
      </x:c>
      <x:c r="F2420" s="12" t="n">
        <x:f>SUM(B2420,D2420:E2420)</x:f>
        <x:v>276203.635432</x:v>
      </x:c>
      <x:c r="G2420" s="12" t="n">
        <x:f>MAX(G2419,F2420)</x:f>
        <x:v>298564.43543199997</x:v>
      </x:c>
      <x:c r="H2420" s="14" t="n">
        <x:f>F2420/G2420-1</x:f>
        <x:v>-0.0748943857551072</x:v>
      </x:c>
      <x:c r="I2420" s="14" t="n">
        <x:f>F2420/F2419-1</x:f>
        <x:v>-0.0060784591316017655</x:v>
      </x:c>
      <x:c r="J2420" s="12" t="n">
        <x:v>0</x:v>
      </x:c>
      <x:c r="K2420" s="12" t="n">
        <x:v>0</x:v>
      </x:c>
      <x:c r="L2420" s="12" t="n">
        <x:v>0</x:v>
      </x:c>
      <x:c r="M2420" s="2" t="str">
        <x:v>持有</x:v>
      </x:c>
    </x:row>
    <x:row r="2421" ht="23" customHeight="1">
      <x:c r="A2421" s="11" t="d">
        <x:v>2024-08-08T00:00:00.000Z</x:v>
      </x:c>
      <x:c r="B2421" s="12" t="n">
        <x:v>25172.195432</x:v>
      </x:c>
      <x:c r="C2421" s="13" t="n">
        <x:v>484</x:v>
      </x:c>
      <x:c r="D2421" s="12" t="n">
        <x:v>256834.59999999998</x:v>
      </x:c>
      <x:c r="E2421" s="12" t="n">
        <x:v>0</x:v>
      </x:c>
      <x:c r="F2421" s="12" t="n">
        <x:f>SUM(B2421,D2421:E2421)</x:f>
        <x:v>282006.79543199996</x:v>
      </x:c>
      <x:c r="G2421" s="12" t="n">
        <x:f>MAX(G2420,F2421)</x:f>
        <x:v>298564.43543199997</x:v>
      </x:c>
      <x:c r="H2421" s="14" t="n">
        <x:f>F2421/G2421-1</x:f>
        <x:v>-0.05545750945199612</x:v>
      </x:c>
      <x:c r="I2421" s="14" t="n">
        <x:f>F2421/F2420-1</x:f>
        <x:v>0.02101044032575272</x:v>
      </x:c>
      <x:c r="J2421" s="12" t="n">
        <x:v>0</x:v>
      </x:c>
      <x:c r="K2421" s="12" t="n">
        <x:v>0</x:v>
      </x:c>
      <x:c r="L2421" s="12" t="n">
        <x:v>0</x:v>
      </x:c>
      <x:c r="M2421" s="2" t="str">
        <x:v>持有</x:v>
      </x:c>
    </x:row>
    <x:row r="2422" ht="23" customHeight="1">
      <x:c r="A2422" s="11" t="d">
        <x:v>2024-08-09T00:00:00.000Z</x:v>
      </x:c>
      <x:c r="B2422" s="12" t="n">
        <x:v>25172.195432</x:v>
      </x:c>
      <x:c r="C2422" s="13" t="n">
        <x:v>484</x:v>
      </x:c>
      <x:c r="D2422" s="12" t="n">
        <x:v>257967.16</x:v>
      </x:c>
      <x:c r="E2422" s="12" t="n">
        <x:v>0</x:v>
      </x:c>
      <x:c r="F2422" s="12" t="n">
        <x:f>SUM(B2422,D2422:E2422)</x:f>
        <x:v>283139.355432</x:v>
      </x:c>
      <x:c r="G2422" s="12" t="n">
        <x:f>MAX(G2421,F2422)</x:f>
        <x:v>298564.43543199997</x:v>
      </x:c>
      <x:c r="H2422" s="14" t="n">
        <x:f>F2422/G2422-1</x:f>
        <x:v>-0.05166415744621777</x:v>
      </x:c>
      <x:c r="I2422" s="14" t="n">
        <x:f>F2422/F2421-1</x:f>
        <x:v>0.0040160734363337</x:v>
      </x:c>
      <x:c r="J2422" s="12" t="n">
        <x:v>0</x:v>
      </x:c>
      <x:c r="K2422" s="12" t="n">
        <x:v>0</x:v>
      </x:c>
      <x:c r="L2422" s="12" t="n">
        <x:v>0</x:v>
      </x:c>
      <x:c r="M2422" s="2" t="str">
        <x:v>持有</x:v>
      </x:c>
    </x:row>
    <x:row r="2423" ht="23" customHeight="1">
      <x:c r="A2423" s="11" t="d">
        <x:v>2024-08-12T00:00:00.000Z</x:v>
      </x:c>
      <x:c r="B2423" s="12" t="n">
        <x:v>25172.195432</x:v>
      </x:c>
      <x:c r="C2423" s="13" t="n">
        <x:v>484</x:v>
      </x:c>
      <x:c r="D2423" s="12" t="n">
        <x:v>258102.68</x:v>
      </x:c>
      <x:c r="E2423" s="12" t="n">
        <x:v>0</x:v>
      </x:c>
      <x:c r="F2423" s="12" t="n">
        <x:f>SUM(B2423,D2423:E2423)</x:f>
        <x:v>283274.875432</x:v>
      </x:c>
      <x:c r="G2423" s="12" t="n">
        <x:f>MAX(G2422,F2423)</x:f>
        <x:v>298564.43543199997</x:v>
      </x:c>
      <x:c r="H2423" s="14" t="n">
        <x:f>F2423/G2423-1</x:f>
        <x:v>-0.051210252078005114</x:v>
      </x:c>
      <x:c r="I2423" s="14" t="n">
        <x:f>F2423/F2422-1</x:f>
        <x:v>0.00047863356824140446</x:v>
      </x:c>
      <x:c r="J2423" s="12" t="n">
        <x:v>0</x:v>
      </x:c>
      <x:c r="K2423" s="12" t="n">
        <x:v>0</x:v>
      </x:c>
      <x:c r="L2423" s="12" t="n">
        <x:v>0</x:v>
      </x:c>
      <x:c r="M2423" s="2" t="str">
        <x:v>持有</x:v>
      </x:c>
    </x:row>
    <x:row r="2424" ht="23" customHeight="1">
      <x:c r="A2424" s="11" t="d">
        <x:v>2024-08-13T00:00:00.000Z</x:v>
      </x:c>
      <x:c r="B2424" s="12" t="n">
        <x:v>25172.195432</x:v>
      </x:c>
      <x:c r="C2424" s="13" t="n">
        <x:v>484</x:v>
      </x:c>
      <x:c r="D2424" s="12" t="n">
        <x:v>262347.36</x:v>
      </x:c>
      <x:c r="E2424" s="12" t="n">
        <x:v>0</x:v>
      </x:c>
      <x:c r="F2424" s="12" t="n">
        <x:f>SUM(B2424,D2424:E2424)</x:f>
        <x:v>287519.55543199996</x:v>
      </x:c>
      <x:c r="G2424" s="12" t="n">
        <x:f>MAX(G2423,F2424)</x:f>
        <x:v>298564.43543199997</x:v>
      </x:c>
      <x:c r="H2424" s="14" t="n">
        <x:f>F2424/G2424-1</x:f>
        <x:v>-0.03699328750934083</x:v>
      </x:c>
      <x:c r="I2424" s="14" t="n">
        <x:f>F2424/F2423-1</x:f>
        <x:v>0.01498431512334708</x:v>
      </x:c>
      <x:c r="J2424" s="12" t="n">
        <x:v>0</x:v>
      </x:c>
      <x:c r="K2424" s="12" t="n">
        <x:v>0</x:v>
      </x:c>
      <x:c r="L2424" s="12" t="n">
        <x:v>0</x:v>
      </x:c>
      <x:c r="M2424" s="2" t="str">
        <x:v>持有</x:v>
      </x:c>
    </x:row>
    <x:row r="2425" ht="23" customHeight="1">
      <x:c r="A2425" s="11" t="d">
        <x:v>2024-08-14T00:00:00.000Z</x:v>
      </x:c>
      <x:c r="B2425" s="12" t="n">
        <x:v>25172.195432</x:v>
      </x:c>
      <x:c r="C2425" s="13" t="n">
        <x:v>484</x:v>
      </x:c>
      <x:c r="D2425" s="12" t="n">
        <x:v>263175</x:v>
      </x:c>
      <x:c r="E2425" s="12" t="n">
        <x:v>0</x:v>
      </x:c>
      <x:c r="F2425" s="12" t="n">
        <x:f>SUM(B2425,D2425:E2425)</x:f>
        <x:v>288347.195432</x:v>
      </x:c>
      <x:c r="G2425" s="12" t="n">
        <x:f>MAX(G2424,F2425)</x:f>
        <x:v>298564.43543199997</x:v>
      </x:c>
      <x:c r="H2425" s="14" t="n">
        <x:f>F2425/G2425-1</x:f>
        <x:v>-0.03422122258204141</x:v>
      </x:c>
      <x:c r="I2425" s="14" t="n">
        <x:f>F2425/F2424-1</x:f>
        <x:v>0.0028785520301617407</x:v>
      </x:c>
      <x:c r="J2425" s="12" t="n">
        <x:v>0</x:v>
      </x:c>
      <x:c r="K2425" s="12" t="n">
        <x:v>0</x:v>
      </x:c>
      <x:c r="L2425" s="12" t="n">
        <x:v>0</x:v>
      </x:c>
      <x:c r="M2425" s="2" t="str">
        <x:v>持有</x:v>
      </x:c>
    </x:row>
    <x:row r="2426" ht="23" customHeight="1">
      <x:c r="A2426" s="11" t="d">
        <x:v>2024-08-15T00:00:00.000Z</x:v>
      </x:c>
      <x:c r="B2426" s="12" t="n">
        <x:v>25172.195432</x:v>
      </x:c>
      <x:c r="C2426" s="13" t="n">
        <x:v>484</x:v>
      </x:c>
      <x:c r="D2426" s="12" t="n">
        <x:v>267685.88</x:v>
      </x:c>
      <x:c r="E2426" s="12" t="n">
        <x:v>0</x:v>
      </x:c>
      <x:c r="F2426" s="12" t="n">
        <x:f>SUM(B2426,D2426:E2426)</x:f>
        <x:v>292858.075432</x:v>
      </x:c>
      <x:c r="G2426" s="12" t="n">
        <x:f>MAX(G2425,F2426)</x:f>
        <x:v>298564.43543199997</x:v>
      </x:c>
      <x:c r="H2426" s="14" t="n">
        <x:f>F2426/G2426-1</x:f>
        <x:v>-0.019112658182959152</x:v>
      </x:c>
      <x:c r="I2426" s="14" t="n">
        <x:f>F2426/F2425-1</x:f>
        <x:v>0.015643918413154045</x:v>
      </x:c>
      <x:c r="J2426" s="12" t="n">
        <x:v>0</x:v>
      </x:c>
      <x:c r="K2426" s="12" t="n">
        <x:v>0</x:v>
      </x:c>
      <x:c r="L2426" s="12" t="n">
        <x:v>0</x:v>
      </x:c>
      <x:c r="M2426" s="2" t="str">
        <x:v>持有</x:v>
      </x:c>
    </x:row>
    <x:row r="2427" ht="23" customHeight="1">
      <x:c r="A2427" s="11" t="d">
        <x:v>2024-08-16T00:00:00.000Z</x:v>
      </x:c>
      <x:c r="B2427" s="12" t="n">
        <x:v>25172.195432</x:v>
      </x:c>
      <x:c r="C2427" s="13" t="n">
        <x:v>484</x:v>
      </x:c>
      <x:c r="D2427" s="12" t="n">
        <x:v>268286.04</x:v>
      </x:c>
      <x:c r="E2427" s="12" t="n">
        <x:v>0</x:v>
      </x:c>
      <x:c r="F2427" s="12" t="n">
        <x:f>SUM(B2427,D2427:E2427)</x:f>
        <x:v>293458.23543199996</x:v>
      </x:c>
      <x:c r="G2427" s="12" t="n">
        <x:f>MAX(G2426,F2427)</x:f>
        <x:v>298564.43543199997</x:v>
      </x:c>
      <x:c r="H2427" s="14" t="n">
        <x:f>F2427/G2427-1</x:f>
        <x:v>-0.01710250583801698</x:v>
      </x:c>
      <x:c r="I2427" s="14" t="n">
        <x:f>F2427/F2426-1</x:f>
        <x:v>0.0020493203034086527</x:v>
      </x:c>
      <x:c r="J2427" s="12" t="n">
        <x:v>0</x:v>
      </x:c>
      <x:c r="K2427" s="12" t="n">
        <x:v>0</x:v>
      </x:c>
      <x:c r="L2427" s="12" t="n">
        <x:v>0</x:v>
      </x:c>
      <x:c r="M2427" s="2" t="str">
        <x:v>持有</x:v>
      </x:c>
    </x:row>
    <x:row r="2428" ht="23" customHeight="1">
      <x:c r="A2428" s="11" t="d">
        <x:v>2024-08-19T00:00:00.000Z</x:v>
      </x:c>
      <x:c r="B2428" s="12" t="n">
        <x:v>25172.195432</x:v>
      </x:c>
      <x:c r="C2428" s="13" t="n">
        <x:v>484</x:v>
      </x:c>
      <x:c r="D2428" s="12" t="n">
        <x:v>270851.24</x:v>
      </x:c>
      <x:c r="E2428" s="12" t="n">
        <x:v>0</x:v>
      </x:c>
      <x:c r="F2428" s="12" t="n">
        <x:f>SUM(B2428,D2428:E2428)</x:f>
        <x:v>296023.43543199997</x:v>
      </x:c>
      <x:c r="G2428" s="12" t="n">
        <x:f>MAX(G2427,F2428)</x:f>
        <x:v>298564.43543199997</x:v>
      </x:c>
      <x:c r="H2428" s="14" t="n">
        <x:f>F2428/G2428-1</x:f>
        <x:v>-0.00851072565398947</x:v>
      </x:c>
      <x:c r="I2428" s="14" t="n">
        <x:f>F2428/F2427-1</x:f>
        <x:v>0.008741277941045844</x:v>
      </x:c>
      <x:c r="J2428" s="12" t="n">
        <x:v>0</x:v>
      </x:c>
      <x:c r="K2428" s="12" t="n">
        <x:v>0</x:v>
      </x:c>
      <x:c r="L2428" s="12" t="n">
        <x:v>0</x:v>
      </x:c>
      <x:c r="M2428" s="2" t="str">
        <x:v>持有</x:v>
      </x:c>
    </x:row>
    <x:row r="2429" ht="23" customHeight="1">
      <x:c r="A2429" s="11" t="d">
        <x:v>2024-08-20T00:00:00.000Z</x:v>
      </x:c>
      <x:c r="B2429" s="12" t="n">
        <x:v>25172.195432</x:v>
      </x:c>
      <x:c r="C2429" s="13" t="n">
        <x:v>484</x:v>
      </x:c>
      <x:c r="D2429" s="12" t="n">
        <x:v>270410.80000000005</x:v>
      </x:c>
      <x:c r="E2429" s="12" t="n">
        <x:v>0</x:v>
      </x:c>
      <x:c r="F2429" s="12" t="n">
        <x:f>SUM(B2429,D2429:E2429)</x:f>
        <x:v>295582.995432</x:v>
      </x:c>
      <x:c r="G2429" s="12" t="n">
        <x:f>MAX(G2428,F2429)</x:f>
        <x:v>298564.43543199997</x:v>
      </x:c>
      <x:c r="H2429" s="14" t="n">
        <x:f>F2429/G2429-1</x:f>
        <x:v>-0.009985918100680724</x:v>
      </x:c>
      <x:c r="I2429" s="14" t="n">
        <x:f>F2429/F2428-1</x:f>
        <x:v>-0.0014878551738891632</x:v>
      </x:c>
      <x:c r="J2429" s="12" t="n">
        <x:v>0</x:v>
      </x:c>
      <x:c r="K2429" s="12" t="n">
        <x:v>0</x:v>
      </x:c>
      <x:c r="L2429" s="12" t="n">
        <x:v>0</x:v>
      </x:c>
      <x:c r="M2429" s="2" t="str">
        <x:v>持有</x:v>
      </x:c>
    </x:row>
    <x:row r="2430" ht="23" customHeight="1">
      <x:c r="A2430" s="11" t="d">
        <x:v>2024-08-21T00:00:00.000Z</x:v>
      </x:c>
      <x:c r="B2430" s="12" t="n">
        <x:v>25172.195432</x:v>
      </x:c>
      <x:c r="C2430" s="13" t="n">
        <x:v>484</x:v>
      </x:c>
      <x:c r="D2430" s="12" t="n">
        <x:v>271340.08</x:v>
      </x:c>
      <x:c r="E2430" s="12" t="n">
        <x:v>0</x:v>
      </x:c>
      <x:c r="F2430" s="12" t="n">
        <x:f>SUM(B2430,D2430:E2430)</x:f>
        <x:v>296512.275432</x:v>
      </x:c>
      <x:c r="G2430" s="12" t="n">
        <x:f>MAX(G2429,F2430)</x:f>
        <x:v>298564.43543199997</x:v>
      </x:c>
      <x:c r="H2430" s="14" t="n">
        <x:f>F2430/G2430-1</x:f>
        <x:v>-0.006873424147221918</x:v>
      </x:c>
      <x:c r="I2430" s="14" t="n">
        <x:f>F2430/F2429-1</x:f>
        <x:v>0.003143888567208819</x:v>
      </x:c>
      <x:c r="J2430" s="12" t="n">
        <x:v>0</x:v>
      </x:c>
      <x:c r="K2430" s="12" t="n">
        <x:v>0</x:v>
      </x:c>
      <x:c r="L2430" s="12" t="n">
        <x:v>0</x:v>
      </x:c>
      <x:c r="M2430" s="2" t="str">
        <x:v>持有</x:v>
      </x:c>
    </x:row>
    <x:row r="2431" ht="23" customHeight="1">
      <x:c r="A2431" s="11" t="d">
        <x:v>2024-08-22T00:00:00.000Z</x:v>
      </x:c>
      <x:c r="B2431" s="12" t="n">
        <x:v>25172.195432</x:v>
      </x:c>
      <x:c r="C2431" s="13" t="n">
        <x:v>484</x:v>
      </x:c>
      <x:c r="D2431" s="12" t="n">
        <x:v>269210.48000000004</x:v>
      </x:c>
      <x:c r="E2431" s="12" t="n">
        <x:v>0</x:v>
      </x:c>
      <x:c r="F2431" s="12" t="n">
        <x:f>SUM(B2431,D2431:E2431)</x:f>
        <x:v>294382.675432</x:v>
      </x:c>
      <x:c r="G2431" s="12" t="n">
        <x:f>MAX(G2430,F2431)</x:f>
        <x:v>298564.43543199997</x:v>
      </x:c>
      <x:c r="H2431" s="14" t="n">
        <x:f>F2431/G2431-1</x:f>
        <x:v>-0.014006222790565293</x:v>
      </x:c>
      <x:c r="I2431" s="14" t="n">
        <x:f>F2431/F2430-1</x:f>
        <x:v>-0.007182164707674521</x:v>
      </x:c>
      <x:c r="J2431" s="12" t="n">
        <x:v>0</x:v>
      </x:c>
      <x:c r="K2431" s="12" t="n">
        <x:v>0</x:v>
      </x:c>
      <x:c r="L2431" s="12" t="n">
        <x:v>0</x:v>
      </x:c>
      <x:c r="M2431" s="2" t="str">
        <x:v>持有</x:v>
      </x:c>
    </x:row>
    <x:row r="2432" ht="23" customHeight="1">
      <x:c r="A2432" s="11" t="d">
        <x:v>2024-08-23T00:00:00.000Z</x:v>
      </x:c>
      <x:c r="B2432" s="12" t="n">
        <x:v>25172.195432</x:v>
      </x:c>
      <x:c r="C2432" s="13" t="n">
        <x:v>484</x:v>
      </x:c>
      <x:c r="D2432" s="12" t="n">
        <x:v>272070.92</x:v>
      </x:c>
      <x:c r="E2432" s="12" t="n">
        <x:v>0</x:v>
      </x:c>
      <x:c r="F2432" s="12" t="n">
        <x:f>SUM(B2432,D2432:E2432)</x:f>
        <x:v>297243.11543199996</x:v>
      </x:c>
      <x:c r="G2432" s="12" t="n">
        <x:f>MAX(G2431,F2432)</x:f>
        <x:v>298564.43543199997</x:v>
      </x:c>
      <x:c r="H2432" s="14" t="n">
        <x:f>F2432/G2432-1</x:f>
        <x:v>-0.004425577340074538</x:v>
      </x:c>
      <x:c r="I2432" s="14" t="n">
        <x:f>F2432/F2431-1</x:f>
        <x:v>0.009716740279645641</x:v>
      </x:c>
      <x:c r="J2432" s="12" t="n">
        <x:v>0</x:v>
      </x:c>
      <x:c r="K2432" s="12" t="n">
        <x:v>0</x:v>
      </x:c>
      <x:c r="L2432" s="12" t="n">
        <x:v>0</x:v>
      </x:c>
      <x:c r="M2432" s="2" t="str">
        <x:v>持有</x:v>
      </x:c>
    </x:row>
    <x:row r="2433" ht="23" customHeight="1">
      <x:c r="A2433" s="11" t="d">
        <x:v>2024-08-26T00:00:00.000Z</x:v>
      </x:c>
      <x:c r="B2433" s="12" t="n">
        <x:v>25172.195432</x:v>
      </x:c>
      <x:c r="C2433" s="13" t="n">
        <x:v>484</x:v>
      </x:c>
      <x:c r="D2433" s="12" t="n">
        <x:v>271422.36</x:v>
      </x:c>
      <x:c r="E2433" s="12" t="n">
        <x:v>0</x:v>
      </x:c>
      <x:c r="F2433" s="12" t="n">
        <x:f>SUM(B2433,D2433:E2433)</x:f>
        <x:v>296594.55543199996</x:v>
      </x:c>
      <x:c r="G2433" s="12" t="n">
        <x:f>MAX(G2432,F2433)</x:f>
        <x:v>298564.43543199997</x:v>
      </x:c>
      <x:c r="H2433" s="14" t="n">
        <x:f>F2433/G2433-1</x:f>
        <x:v>-0.006597838745092788</x:v>
      </x:c>
      <x:c r="I2433" s="14" t="n">
        <x:f>F2433/F2432-1</x:f>
        <x:v>-0.00218191765032949</x:v>
      </x:c>
      <x:c r="J2433" s="12" t="n">
        <x:v>0</x:v>
      </x:c>
      <x:c r="K2433" s="12" t="n">
        <x:v>0</x:v>
      </x:c>
      <x:c r="L2433" s="12" t="n">
        <x:v>0</x:v>
      </x:c>
      <x:c r="M2433" s="2" t="str">
        <x:v>持有</x:v>
      </x:c>
    </x:row>
    <x:row r="2434" ht="23" customHeight="1">
      <x:c r="A2434" s="11" t="d">
        <x:v>2024-08-27T00:00:00.000Z</x:v>
      </x:c>
      <x:c r="B2434" s="12" t="n">
        <x:v>25172.195432</x:v>
      </x:c>
      <x:c r="C2434" s="13" t="n">
        <x:v>484</x:v>
      </x:c>
      <x:c r="D2434" s="12" t="n">
        <x:v>271795.04</x:v>
      </x:c>
      <x:c r="E2434" s="12" t="n">
        <x:v>0</x:v>
      </x:c>
      <x:c r="F2434" s="12" t="n">
        <x:f>SUM(B2434,D2434:E2434)</x:f>
        <x:v>296967.23543199996</x:v>
      </x:c>
      <x:c r="G2434" s="12" t="n">
        <x:f>MAX(G2433,F2434)</x:f>
        <x:v>298564.43543199997</x:v>
      </x:c>
      <x:c r="H2434" s="14" t="n">
        <x:f>F2434/G2434-1</x:f>
        <x:v>-0.005349598982507642</x:v>
      </x:c>
      <x:c r="I2434" s="14" t="n">
        <x:f>F2434/F2433-1</x:f>
        <x:v>0.0012565301458657974</x:v>
      </x:c>
      <x:c r="J2434" s="12" t="n">
        <x:v>0</x:v>
      </x:c>
      <x:c r="K2434" s="12" t="n">
        <x:v>0</x:v>
      </x:c>
      <x:c r="L2434" s="12" t="n">
        <x:v>0</x:v>
      </x:c>
      <x:c r="M2434" s="2" t="str">
        <x:v>持有</x:v>
      </x:c>
    </x:row>
    <x:row r="2435" ht="23" customHeight="1">
      <x:c r="A2435" s="11" t="d">
        <x:v>2024-08-28T00:00:00.000Z</x:v>
      </x:c>
      <x:c r="B2435" s="12" t="n">
        <x:v>25172.195432</x:v>
      </x:c>
      <x:c r="C2435" s="13" t="n">
        <x:v>484</x:v>
      </x:c>
      <x:c r="D2435" s="12" t="n">
        <x:v>270217.19999999995</x:v>
      </x:c>
      <x:c r="E2435" s="12" t="n">
        <x:v>0</x:v>
      </x:c>
      <x:c r="F2435" s="12" t="n">
        <x:f>SUM(B2435,D2435:E2435)</x:f>
        <x:v>295389.39543199993</x:v>
      </x:c>
      <x:c r="G2435" s="12" t="n">
        <x:f>MAX(G2434,F2435)</x:f>
        <x:v>298564.43543199997</x:v>
      </x:c>
      <x:c r="H2435" s="14" t="n">
        <x:f>F2435/G2435-1</x:f>
        <x:v>-0.01063435434098503</x:v>
      </x:c>
      <x:c r="I2435" s="14" t="n">
        <x:f>F2435/F2434-1</x:f>
        <x:v>-0.005313178734026813</x:v>
      </x:c>
      <x:c r="J2435" s="12" t="n">
        <x:v>0</x:v>
      </x:c>
      <x:c r="K2435" s="12" t="n">
        <x:v>0</x:v>
      </x:c>
      <x:c r="L2435" s="12" t="n">
        <x:v>0</x:v>
      </x:c>
      <x:c r="M2435" s="2" t="str">
        <x:v>持有</x:v>
      </x:c>
    </x:row>
    <x:row r="2436" ht="23" customHeight="1">
      <x:c r="A2436" s="11" t="d">
        <x:v>2024-08-29T00:00:00.000Z</x:v>
      </x:c>
      <x:c r="B2436" s="12" t="n">
        <x:v>25172.195432</x:v>
      </x:c>
      <x:c r="C2436" s="13" t="n">
        <x:v>484</x:v>
      </x:c>
      <x:c r="D2436" s="12" t="n">
        <x:v>270241.4</x:v>
      </x:c>
      <x:c r="E2436" s="12" t="n">
        <x:v>0</x:v>
      </x:c>
      <x:c r="F2436" s="12" t="n">
        <x:f>SUM(B2436,D2436:E2436)</x:f>
        <x:v>295413.595432</x:v>
      </x:c>
      <x:c r="G2436" s="12" t="n">
        <x:f>MAX(G2435,F2436)</x:f>
        <x:v>298564.43543199997</x:v>
      </x:c>
      <x:c r="H2436" s="14" t="n">
        <x:f>F2436/G2436-1</x:f>
        <x:v>-0.01055329981094677</x:v>
      </x:c>
      <x:c r="I2436" s="14" t="n">
        <x:f>F2436/F2435-1</x:f>
        <x:v>0.00008192575757393072</x:v>
      </x:c>
      <x:c r="J2436" s="12" t="n">
        <x:v>0</x:v>
      </x:c>
      <x:c r="K2436" s="12" t="n">
        <x:v>0</x:v>
      </x:c>
      <x:c r="L2436" s="12" t="n">
        <x:v>0</x:v>
      </x:c>
      <x:c r="M2436" s="2" t="str">
        <x:v>持有</x:v>
      </x:c>
    </x:row>
    <x:row r="2437" ht="23" customHeight="1">
      <x:c r="A2437" s="11" t="d">
        <x:v>2024-08-30T00:00:00.000Z</x:v>
      </x:c>
      <x:c r="B2437" s="12" t="n">
        <x:v>25172.195432</x:v>
      </x:c>
      <x:c r="C2437" s="13" t="n">
        <x:v>484</x:v>
      </x:c>
      <x:c r="D2437" s="12" t="n">
        <x:v>272821.12</x:v>
      </x:c>
      <x:c r="E2437" s="12" t="n">
        <x:v>0</x:v>
      </x:c>
      <x:c r="F2437" s="12" t="n">
        <x:f>SUM(B2437,D2437:E2437)</x:f>
        <x:v>297993.315432</x:v>
      </x:c>
      <x:c r="G2437" s="12" t="n">
        <x:f>MAX(G2436,F2437)</x:f>
        <x:v>298564.43543199997</x:v>
      </x:c>
      <x:c r="H2437" s="14" t="n">
        <x:f>F2437/G2437-1</x:f>
        <x:v>-0.0019128869088966827</x:v>
      </x:c>
      <x:c r="I2437" s="14" t="n">
        <x:f>F2437/F2436-1</x:f>
        <x:v>0.008732570334914591</x:v>
      </x:c>
      <x:c r="J2437" s="12" t="n">
        <x:v>0</x:v>
      </x:c>
      <x:c r="K2437" s="12" t="n">
        <x:v>0</x:v>
      </x:c>
      <x:c r="L2437" s="12" t="n">
        <x:v>0</x:v>
      </x:c>
      <x:c r="M2437" s="2" t="str">
        <x:v>持有</x:v>
      </x:c>
    </x:row>
    <x:row r="2438" ht="23" customHeight="1">
      <x:c r="A2438" s="11" t="d">
        <x:v>2024-09-03T00:00:00.000Z</x:v>
      </x:c>
      <x:c r="B2438" s="12" t="n">
        <x:v>25172.195432</x:v>
      </x:c>
      <x:c r="C2438" s="13" t="n">
        <x:v>484</x:v>
      </x:c>
      <x:c r="D2438" s="12" t="n">
        <x:v>267206.72000000003</x:v>
      </x:c>
      <x:c r="E2438" s="12" t="n">
        <x:v>0</x:v>
      </x:c>
      <x:c r="F2438" s="12" t="n">
        <x:f>SUM(B2438,D2438:E2438)</x:f>
        <x:v>292378.915432</x:v>
      </x:c>
      <x:c r="G2438" s="12" t="n">
        <x:f>MAX(G2437,F2438)</x:f>
        <x:v>298564.43543199997</x:v>
      </x:c>
      <x:c r="H2438" s="14" t="n">
        <x:f>F2438/G2438-1</x:f>
        <x:v>-0.020717537877711356</x:v>
      </x:c>
      <x:c r="I2438" s="14" t="n">
        <x:f>F2438/F2437-1</x:f>
        <x:v>-0.018840691080136418</x:v>
      </x:c>
      <x:c r="J2438" s="12" t="n">
        <x:v>0</x:v>
      </x:c>
      <x:c r="K2438" s="12" t="n">
        <x:v>0</x:v>
      </x:c>
      <x:c r="L2438" s="12" t="n">
        <x:v>0</x:v>
      </x:c>
      <x:c r="M2438" s="2" t="str">
        <x:v>持有</x:v>
      </x:c>
    </x:row>
    <x:row r="2439" ht="23" customHeight="1">
      <x:c r="A2439" s="11" t="d">
        <x:v>2024-09-04T00:00:00.000Z</x:v>
      </x:c>
      <x:c r="B2439" s="12" t="n">
        <x:v>25172.195432</x:v>
      </x:c>
      <x:c r="C2439" s="13" t="n">
        <x:v>484</x:v>
      </x:c>
      <x:c r="D2439" s="12" t="n">
        <x:v>266659.80000000005</x:v>
      </x:c>
      <x:c r="E2439" s="12" t="n">
        <x:v>0</x:v>
      </x:c>
      <x:c r="F2439" s="12" t="n">
        <x:f>SUM(B2439,D2439:E2439)</x:f>
        <x:v>291831.995432</x:v>
      </x:c>
      <x:c r="G2439" s="12" t="n">
        <x:f>MAX(G2438,F2439)</x:f>
        <x:v>298564.43543199997</x:v>
      </x:c>
      <x:c r="H2439" s="14" t="n">
        <x:f>F2439/G2439-1</x:f>
        <x:v>-0.02254937025657</x:v>
      </x:c>
      <x:c r="I2439" s="14" t="n">
        <x:f>F2439/F2438-1</x:f>
        <x:v>-0.0018705863218347885</x:v>
      </x:c>
      <x:c r="J2439" s="12" t="n">
        <x:v>0</x:v>
      </x:c>
      <x:c r="K2439" s="12" t="n">
        <x:v>0</x:v>
      </x:c>
      <x:c r="L2439" s="12" t="n">
        <x:v>0</x:v>
      </x:c>
      <x:c r="M2439" s="2" t="str">
        <x:v>持有</x:v>
      </x:c>
    </x:row>
    <x:row r="2440" ht="23" customHeight="1">
      <x:c r="A2440" s="11" t="d">
        <x:v>2024-09-05T00:00:00.000Z</x:v>
      </x:c>
      <x:c r="B2440" s="12" t="n">
        <x:v>25172.195432</x:v>
      </x:c>
      <x:c r="C2440" s="13" t="n">
        <x:v>484</x:v>
      </x:c>
      <x:c r="D2440" s="12" t="n">
        <x:v>266011.24</x:v>
      </x:c>
      <x:c r="E2440" s="12" t="n">
        <x:v>0</x:v>
      </x:c>
      <x:c r="F2440" s="12" t="n">
        <x:f>SUM(B2440,D2440:E2440)</x:f>
        <x:v>291183.43543199997</x:v>
      </x:c>
      <x:c r="G2440" s="12" t="n">
        <x:f>MAX(G2439,F2440)</x:f>
        <x:v>298564.43543199997</x:v>
      </x:c>
      <x:c r="H2440" s="14" t="n">
        <x:f>F2440/G2440-1</x:f>
        <x:v>-0.02472163166158836</x:v>
      </x:c>
      <x:c r="I2440" s="14" t="n">
        <x:f>F2440/F2439-1</x:f>
        <x:v>-0.0022223745516319893</x:v>
      </x:c>
      <x:c r="J2440" s="12" t="n">
        <x:v>0</x:v>
      </x:c>
      <x:c r="K2440" s="12" t="n">
        <x:v>0</x:v>
      </x:c>
      <x:c r="L2440" s="12" t="n">
        <x:v>0</x:v>
      </x:c>
      <x:c r="M2440" s="2" t="str">
        <x:v>持有</x:v>
      </x:c>
    </x:row>
    <x:row r="2441" ht="23" customHeight="1">
      <x:c r="A2441" s="11" t="d">
        <x:v>2024-09-06T00:00:00.000Z</x:v>
      </x:c>
      <x:c r="B2441" s="12" t="n">
        <x:v>25172.195432</x:v>
      </x:c>
      <x:c r="C2441" s="13" t="n">
        <x:v>484</x:v>
      </x:c>
      <x:c r="D2441" s="12" t="n">
        <x:v>261534.24000000002</x:v>
      </x:c>
      <x:c r="E2441" s="12" t="n">
        <x:v>0</x:v>
      </x:c>
      <x:c r="F2441" s="12" t="n">
        <x:f>SUM(B2441,D2441:E2441)</x:f>
        <x:v>286706.435432</x:v>
      </x:c>
      <x:c r="G2441" s="12" t="n">
        <x:f>MAX(G2440,F2441)</x:f>
        <x:v>298564.43543199997</x:v>
      </x:c>
      <x:c r="H2441" s="14" t="n">
        <x:f>F2441/G2441-1</x:f>
        <x:v>-0.03971671971861723</x:v>
      </x:c>
      <x:c r="I2441" s="14" t="n">
        <x:f>F2441/F2440-1</x:f>
        <x:v>-0.015375187786207167</x:v>
      </x:c>
      <x:c r="J2441" s="12" t="n">
        <x:v>0</x:v>
      </x:c>
      <x:c r="K2441" s="12" t="n">
        <x:v>0</x:v>
      </x:c>
      <x:c r="L2441" s="12" t="n">
        <x:v>0</x:v>
      </x:c>
      <x:c r="M2441" s="2" t="str">
        <x:v>持有</x:v>
      </x:c>
    </x:row>
    <x:row r="2442" ht="23" customHeight="1">
      <x:c r="A2442" s="11" t="d">
        <x:v>2024-09-09T00:00:00.000Z</x:v>
      </x:c>
      <x:c r="B2442" s="12" t="n">
        <x:v>25172.195432</x:v>
      </x:c>
      <x:c r="C2442" s="13" t="n">
        <x:v>484</x:v>
      </x:c>
      <x:c r="D2442" s="12" t="n">
        <x:v>264462.44</x:v>
      </x:c>
      <x:c r="E2442" s="12" t="n">
        <x:v>0</x:v>
      </x:c>
      <x:c r="F2442" s="12" t="n">
        <x:f>SUM(B2442,D2442:E2442)</x:f>
        <x:v>289634.635432</x:v>
      </x:c>
      <x:c r="G2442" s="12" t="n">
        <x:f>MAX(G2441,F2442)</x:f>
        <x:v>298564.43543199997</x:v>
      </x:c>
      <x:c r="H2442" s="14" t="n">
        <x:f>F2442/G2442-1</x:f>
        <x:v>-0.029909121584020038</x:v>
      </x:c>
      <x:c r="I2442" s="14" t="n">
        <x:f>F2442/F2441-1</x:f>
        <x:v>0.010213234298657614</x:v>
      </x:c>
      <x:c r="J2442" s="12" t="n">
        <x:v>0</x:v>
      </x:c>
      <x:c r="K2442" s="12" t="n">
        <x:v>0</x:v>
      </x:c>
      <x:c r="L2442" s="12" t="n">
        <x:v>0</x:v>
      </x:c>
      <x:c r="M2442" s="2" t="str">
        <x:v>持有</x:v>
      </x:c>
    </x:row>
    <x:row r="2443" ht="23" customHeight="1">
      <x:c r="A2443" s="11" t="d">
        <x:v>2024-09-10T00:00:00.000Z</x:v>
      </x:c>
      <x:c r="B2443" s="12" t="n">
        <x:v>25172.195432</x:v>
      </x:c>
      <x:c r="C2443" s="13" t="n">
        <x:v>484</x:v>
      </x:c>
      <x:c r="D2443" s="12" t="n">
        <x:v>265614.36</x:v>
      </x:c>
      <x:c r="E2443" s="12" t="n">
        <x:v>0</x:v>
      </x:c>
      <x:c r="F2443" s="12" t="n">
        <x:f>SUM(B2443,D2443:E2443)</x:f>
        <x:v>290786.55543199996</x:v>
      </x:c>
      <x:c r="G2443" s="12" t="n">
        <x:f>MAX(G2442,F2443)</x:f>
        <x:v>298564.43543199997</x:v>
      </x:c>
      <x:c r="H2443" s="14" t="n">
        <x:f>F2443/G2443-1</x:f>
        <x:v>-0.026050925954211546</x:v>
      </x:c>
      <x:c r="I2443" s="14" t="n">
        <x:f>F2443/F2442-1</x:f>
        <x:v>0.0039771486524111666</x:v>
      </x:c>
      <x:c r="J2443" s="12" t="n">
        <x:v>0</x:v>
      </x:c>
      <x:c r="K2443" s="12" t="n">
        <x:v>0</x:v>
      </x:c>
      <x:c r="L2443" s="12" t="n">
        <x:v>0</x:v>
      </x:c>
      <x:c r="M2443" s="2" t="str">
        <x:v>持有</x:v>
      </x:c>
    </x:row>
    <x:row r="2444" ht="23" customHeight="1">
      <x:c r="A2444" s="11" t="d">
        <x:v>2024-09-11T00:00:00.000Z</x:v>
      </x:c>
      <x:c r="B2444" s="12" t="n">
        <x:v>25172.195432</x:v>
      </x:c>
      <x:c r="C2444" s="13" t="n">
        <x:v>484</x:v>
      </x:c>
      <x:c r="D2444" s="12" t="n">
        <x:v>268339.27999999997</x:v>
      </x:c>
      <x:c r="E2444" s="12" t="n">
        <x:v>0</x:v>
      </x:c>
      <x:c r="F2444" s="12" t="n">
        <x:f>SUM(B2444,D2444:E2444)</x:f>
        <x:v>293511.47543199995</x:v>
      </x:c>
      <x:c r="G2444" s="12" t="n">
        <x:f>MAX(G2443,F2444)</x:f>
        <x:v>298564.43543199997</x:v>
      </x:c>
      <x:c r="H2444" s="14" t="n">
        <x:f>F2444/G2444-1</x:f>
        <x:v>-0.01692418587193334</x:v>
      </x:c>
      <x:c r="I2444" s="14" t="n">
        <x:f>F2444/F2443-1</x:f>
        <x:v>0.009370859653231811</x:v>
      </x:c>
      <x:c r="J2444" s="12" t="n">
        <x:v>0</x:v>
      </x:c>
      <x:c r="K2444" s="12" t="n">
        <x:v>0</x:v>
      </x:c>
      <x:c r="L2444" s="12" t="n">
        <x:v>0</x:v>
      </x:c>
      <x:c r="M2444" s="2" t="str">
        <x:v>持有</x:v>
      </x:c>
    </x:row>
    <x:row r="2445" ht="23" customHeight="1">
      <x:c r="A2445" s="11" t="d">
        <x:v>2024-09-12T00:00:00.000Z</x:v>
      </x:c>
      <x:c r="B2445" s="12" t="n">
        <x:v>25172.195432</x:v>
      </x:c>
      <x:c r="C2445" s="13" t="n">
        <x:v>484</x:v>
      </x:c>
      <x:c r="D2445" s="12" t="n">
        <x:v>270599.56</x:v>
      </x:c>
      <x:c r="E2445" s="12" t="n">
        <x:v>0</x:v>
      </x:c>
      <x:c r="F2445" s="12" t="n">
        <x:f>SUM(B2445,D2445:E2445)</x:f>
        <x:v>295771.755432</x:v>
      </x:c>
      <x:c r="G2445" s="12" t="n">
        <x:f>MAX(G2444,F2445)</x:f>
        <x:v>298564.43543199997</x:v>
      </x:c>
      <x:c r="H2445" s="14" t="n">
        <x:f>F2445/G2445-1</x:f>
        <x:v>-0.009353692766384536</x:v>
      </x:c>
      <x:c r="I2445" s="14" t="n">
        <x:f>F2445/F2444-1</x:f>
        <x:v>0.007700823269936041</x:v>
      </x:c>
      <x:c r="J2445" s="12" t="n">
        <x:v>0</x:v>
      </x:c>
      <x:c r="K2445" s="12" t="n">
        <x:v>0</x:v>
      </x:c>
      <x:c r="L2445" s="12" t="n">
        <x:v>0</x:v>
      </x:c>
      <x:c r="M2445" s="2" t="str">
        <x:v>持有</x:v>
      </x:c>
    </x:row>
    <x:row r="2446" ht="23" customHeight="1">
      <x:c r="A2446" s="11" t="d">
        <x:v>2024-09-13T00:00:00.000Z</x:v>
      </x:c>
      <x:c r="B2446" s="12" t="n">
        <x:v>25172.195432</x:v>
      </x:c>
      <x:c r="C2446" s="13" t="n">
        <x:v>484</x:v>
      </x:c>
      <x:c r="D2446" s="12" t="n">
        <x:v>272012.83999999997</x:v>
      </x:c>
      <x:c r="E2446" s="12" t="n">
        <x:v>0</x:v>
      </x:c>
      <x:c r="F2446" s="12" t="n">
        <x:f>SUM(B2446,D2446:E2446)</x:f>
        <x:v>297185.03543199995</x:v>
      </x:c>
      <x:c r="G2446" s="12" t="n">
        <x:f>MAX(G2445,F2446)</x:f>
        <x:v>298564.43543199997</x:v>
      </x:c>
      <x:c r="H2446" s="14" t="n">
        <x:f>F2446/G2446-1</x:f>
        <x:v>-0.004620108212165741</x:v>
      </x:c>
      <x:c r="I2446" s="14" t="n">
        <x:f>F2446/F2445-1</x:f>
        <x:v>0.004778279108955896</x:v>
      </x:c>
      <x:c r="J2446" s="12" t="n">
        <x:v>0</x:v>
      </x:c>
      <x:c r="K2446" s="12" t="n">
        <x:v>0</x:v>
      </x:c>
      <x:c r="L2446" s="12" t="n">
        <x:v>0</x:v>
      </x:c>
      <x:c r="M2446" s="2" t="str">
        <x:v>持有</x:v>
      </x:c>
    </x:row>
    <x:row r="2447" ht="23" customHeight="1">
      <x:c r="A2447" s="11" t="d">
        <x:v>2024-09-16T00:00:00.000Z</x:v>
      </x:c>
      <x:c r="B2447" s="12" t="n">
        <x:v>25172.195432</x:v>
      </x:c>
      <x:c r="C2447" s="13" t="n">
        <x:v>484</x:v>
      </x:c>
      <x:c r="D2447" s="12" t="n">
        <x:v>272414.56</x:v>
      </x:c>
      <x:c r="E2447" s="12" t="n">
        <x:v>0</x:v>
      </x:c>
      <x:c r="F2447" s="12" t="n">
        <x:f>SUM(B2447,D2447:E2447)</x:f>
        <x:v>297586.755432</x:v>
      </x:c>
      <x:c r="G2447" s="12" t="n">
        <x:f>MAX(G2446,F2447)</x:f>
        <x:v>298564.43543199997</x:v>
      </x:c>
      <x:c r="H2447" s="14" t="n">
        <x:f>F2447/G2447-1</x:f>
        <x:v>-0.0032746030135349935</x:v>
      </x:c>
      <x:c r="I2447" s="14" t="n">
        <x:f>F2447/F2446-1</x:f>
        <x:v>0.0013517504319020546</x:v>
      </x:c>
      <x:c r="J2447" s="12" t="n">
        <x:v>0</x:v>
      </x:c>
      <x:c r="K2447" s="12" t="n">
        <x:v>0</x:v>
      </x:c>
      <x:c r="L2447" s="12" t="n">
        <x:v>0</x:v>
      </x:c>
      <x:c r="M2447" s="2" t="str">
        <x:v>持有</x:v>
      </x:c>
    </x:row>
    <x:row r="2448" ht="23" customHeight="1">
      <x:c r="A2448" s="11" t="d">
        <x:v>2024-09-17T00:00:00.000Z</x:v>
      </x:c>
      <x:c r="B2448" s="12" t="n">
        <x:v>25172.195432</x:v>
      </x:c>
      <x:c r="C2448" s="13" t="n">
        <x:v>484</x:v>
      </x:c>
      <x:c r="D2448" s="12" t="n">
        <x:v>272525.88</x:v>
      </x:c>
      <x:c r="E2448" s="12" t="n">
        <x:v>0</x:v>
      </x:c>
      <x:c r="F2448" s="12" t="n">
        <x:f>SUM(B2448,D2448:E2448)</x:f>
        <x:v>297698.075432</x:v>
      </x:c>
      <x:c r="G2448" s="12" t="n">
        <x:f>MAX(G2447,F2448)</x:f>
        <x:v>298564.43543199997</x:v>
      </x:c>
      <x:c r="H2448" s="14" t="n">
        <x:f>F2448/G2448-1</x:f>
        <x:v>-0.0029017521753601505</x:v>
      </x:c>
      <x:c r="I2448" s="14" t="n">
        <x:f>F2448/F2447-1</x:f>
        <x:v>0.00037407578787718165</x:v>
      </x:c>
      <x:c r="J2448" s="12" t="n">
        <x:v>0</x:v>
      </x:c>
      <x:c r="K2448" s="12" t="n">
        <x:v>0</x:v>
      </x:c>
      <x:c r="L2448" s="12" t="n">
        <x:v>0</x:v>
      </x:c>
      <x:c r="M2448" s="2" t="str">
        <x:v>持有</x:v>
      </x:c>
    </x:row>
    <x:row r="2449" ht="23" customHeight="1">
      <x:c r="A2449" s="11" t="d">
        <x:v>2024-09-18T00:00:00.000Z</x:v>
      </x:c>
      <x:c r="B2449" s="12" t="n">
        <x:v>25172.195432</x:v>
      </x:c>
      <x:c r="C2449" s="13" t="n">
        <x:v>484</x:v>
      </x:c>
      <x:c r="D2449" s="12" t="n">
        <x:v>271717.6</x:v>
      </x:c>
      <x:c r="E2449" s="12" t="n">
        <x:v>0</x:v>
      </x:c>
      <x:c r="F2449" s="12" t="n">
        <x:f>SUM(B2449,D2449:E2449)</x:f>
        <x:v>296889.79543199996</x:v>
      </x:c>
      <x:c r="G2449" s="12" t="n">
        <x:f>MAX(G2448,F2449)</x:f>
        <x:v>298564.43543199997</x:v>
      </x:c>
      <x:c r="H2449" s="14" t="n">
        <x:f>F2449/G2449-1</x:f>
        <x:v>-0.00560897347862932</x:v>
      </x:c>
      <x:c r="I2449" s="14" t="n">
        <x:f>F2449/F2448-1</x:f>
        <x:v>-0.002715099850165603</x:v>
      </x:c>
      <x:c r="J2449" s="12" t="n">
        <x:v>0</x:v>
      </x:c>
      <x:c r="K2449" s="12" t="n">
        <x:v>0</x:v>
      </x:c>
      <x:c r="L2449" s="12" t="n">
        <x:v>0</x:v>
      </x:c>
      <x:c r="M2449" s="2" t="str">
        <x:v>持有</x:v>
      </x:c>
    </x:row>
    <x:row r="2450" ht="23" customHeight="1">
      <x:c r="A2450" s="11" t="d">
        <x:v>2024-09-19T00:00:00.000Z</x:v>
      </x:c>
      <x:c r="B2450" s="12" t="n">
        <x:v>25172.195432</x:v>
      </x:c>
      <x:c r="C2450" s="13" t="n">
        <x:v>484</x:v>
      </x:c>
      <x:c r="D2450" s="12" t="n">
        <x:v>276354.32</x:v>
      </x:c>
      <x:c r="E2450" s="12" t="n">
        <x:v>0</x:v>
      </x:c>
      <x:c r="F2450" s="12" t="n">
        <x:f>SUM(B2450,D2450:E2450)</x:f>
        <x:v>301526.515432</x:v>
      </x:c>
      <x:c r="G2450" s="12" t="n">
        <x:f>MAX(G2449,F2450)</x:f>
        <x:v>301526.515432</x:v>
      </x:c>
      <x:c r="H2450" s="14" t="n">
        <x:f>F2450/G2450-1</x:f>
        <x:v>0</x:v>
      </x:c>
      <x:c r="I2450" s="14" t="n">
        <x:f>F2450/F2449-1</x:f>
        <x:v>0.01561764692266765</x:v>
      </x:c>
      <x:c r="J2450" s="12" t="n">
        <x:v>0</x:v>
      </x:c>
      <x:c r="K2450" s="12" t="n">
        <x:v>0</x:v>
      </x:c>
      <x:c r="L2450" s="12" t="n">
        <x:v>0</x:v>
      </x:c>
      <x:c r="M2450" s="2" t="str">
        <x:v>持有</x:v>
      </x:c>
    </x:row>
    <x:row r="2451" ht="23" customHeight="1">
      <x:c r="A2451" s="11" t="d">
        <x:v>2024-09-20T00:00:00.000Z</x:v>
      </x:c>
      <x:c r="B2451" s="12" t="n">
        <x:v>25172.195432</x:v>
      </x:c>
      <x:c r="C2451" s="13" t="n">
        <x:v>484</x:v>
      </x:c>
      <x:c r="D2451" s="12" t="n">
        <x:v>275033</x:v>
      </x:c>
      <x:c r="E2451" s="12" t="n">
        <x:v>844.837004</x:v>
      </x:c>
      <x:c r="F2451" s="12" t="n">
        <x:f>SUM(B2451,D2451:E2451)</x:f>
        <x:v>301050.03243599995</x:v>
      </x:c>
      <x:c r="G2451" s="12" t="n">
        <x:f>MAX(G2450,F2451)</x:f>
        <x:v>301526.515432</x:v>
      </x:c>
      <x:c r="H2451" s="14" t="n">
        <x:f>F2451/G2451-1</x:f>
        <x:v>-0.0015802358055223564</x:v>
      </x:c>
      <x:c r="I2451" s="14" t="n">
        <x:f>F2451/F2450-1</x:f>
        <x:v>-0.0015802358055223564</x:v>
      </x:c>
      <x:c r="J2451" s="12" t="n">
        <x:v>844.837004</x:v>
      </x:c>
      <x:c r="K2451" s="12" t="n">
        <x:v>0</x:v>
      </x:c>
      <x:c r="L2451" s="12" t="n">
        <x:v>0</x:v>
      </x:c>
      <x:c r="M2451" s="2" t="str">
        <x:v>持有</x:v>
      </x:c>
    </x:row>
    <x:row r="2452" ht="23" customHeight="1">
      <x:c r="A2452" s="11" t="d">
        <x:v>2024-09-23T00:00:00.000Z</x:v>
      </x:c>
      <x:c r="B2452" s="12" t="n">
        <x:v>25172.195432</x:v>
      </x:c>
      <x:c r="C2452" s="13" t="n">
        <x:v>484</x:v>
      </x:c>
      <x:c r="D2452" s="12" t="n">
        <x:v>275720.27999999997</x:v>
      </x:c>
      <x:c r="E2452" s="12" t="n">
        <x:v>844.837004</x:v>
      </x:c>
      <x:c r="F2452" s="12" t="n">
        <x:f>SUM(B2452,D2452:E2452)</x:f>
        <x:v>301737.3124359999</x:v>
      </x:c>
      <x:c r="G2452" s="12" t="n">
        <x:f>MAX(G2451,F2452)</x:f>
        <x:v>301737.3124359999</x:v>
      </x:c>
      <x:c r="H2452" s="14" t="n">
        <x:f>F2452/G2452-1</x:f>
        <x:v>0</x:v>
      </x:c>
      <x:c r="I2452" s="14" t="n">
        <x:f>F2452/F2451-1</x:f>
        <x:v>0.002282942786747899</x:v>
      </x:c>
      <x:c r="J2452" s="12" t="n">
        <x:v>0</x:v>
      </x:c>
      <x:c r="K2452" s="12" t="n">
        <x:v>0</x:v>
      </x:c>
      <x:c r="L2452" s="12" t="n">
        <x:v>0</x:v>
      </x:c>
      <x:c r="M2452" s="2" t="str">
        <x:v>持有</x:v>
      </x:c>
    </x:row>
    <x:row r="2453" ht="23" customHeight="1">
      <x:c r="A2453" s="11" t="d">
        <x:v>2024-09-24T00:00:00.000Z</x:v>
      </x:c>
      <x:c r="B2453" s="12" t="n">
        <x:v>25172.195432</x:v>
      </x:c>
      <x:c r="C2453" s="13" t="n">
        <x:v>484</x:v>
      </x:c>
      <x:c r="D2453" s="12" t="n">
        <x:v>276509.19999999995</x:v>
      </x:c>
      <x:c r="E2453" s="12" t="n">
        <x:v>844.837004</x:v>
      </x:c>
      <x:c r="F2453" s="12" t="n">
        <x:f>SUM(B2453,D2453:E2453)</x:f>
        <x:v>302526.2324359999</x:v>
      </x:c>
      <x:c r="G2453" s="12" t="n">
        <x:f>MAX(G2452,F2453)</x:f>
        <x:v>302526.2324359999</x:v>
      </x:c>
      <x:c r="H2453" s="14" t="n">
        <x:f>F2453/G2453-1</x:f>
        <x:v>0</x:v>
      </x:c>
      <x:c r="I2453" s="14" t="n">
        <x:f>F2453/F2452-1</x:f>
        <x:v>0.0026145921219713486</x:v>
      </x:c>
      <x:c r="J2453" s="12" t="n">
        <x:v>0</x:v>
      </x:c>
      <x:c r="K2453" s="12" t="n">
        <x:v>0</x:v>
      </x:c>
      <x:c r="L2453" s="12" t="n">
        <x:v>0</x:v>
      </x:c>
      <x:c r="M2453" s="2" t="str">
        <x:v>持有</x:v>
      </x:c>
    </x:row>
    <x:row r="2454" ht="23" customHeight="1">
      <x:c r="A2454" s="11" t="d">
        <x:v>2024-09-25T00:00:00.000Z</x:v>
      </x:c>
      <x:c r="B2454" s="12" t="n">
        <x:v>25172.195432</x:v>
      </x:c>
      <x:c r="C2454" s="13" t="n">
        <x:v>484</x:v>
      </x:c>
      <x:c r="D2454" s="12" t="n">
        <x:v>275899.36</x:v>
      </x:c>
      <x:c r="E2454" s="12" t="n">
        <x:v>844.837004</x:v>
      </x:c>
      <x:c r="F2454" s="12" t="n">
        <x:f>SUM(B2454,D2454:E2454)</x:f>
        <x:v>301916.39243599994</x:v>
      </x:c>
      <x:c r="G2454" s="12" t="n">
        <x:f>MAX(G2453,F2454)</x:f>
        <x:v>302526.2324359999</x:v>
      </x:c>
      <x:c r="H2454" s="14" t="n">
        <x:f>F2454/G2454-1</x:f>
        <x:v>-0.002015825190065046</x:v>
      </x:c>
      <x:c r="I2454" s="14" t="n">
        <x:f>F2454/F2453-1</x:f>
        <x:v>-0.002015825190065046</x:v>
      </x:c>
      <x:c r="J2454" s="12" t="n">
        <x:v>0</x:v>
      </x:c>
      <x:c r="K2454" s="12" t="n">
        <x:v>0</x:v>
      </x:c>
      <x:c r="L2454" s="12" t="n">
        <x:v>0</x:v>
      </x:c>
      <x:c r="M2454" s="2" t="str">
        <x:v>持有</x:v>
      </x:c>
    </x:row>
    <x:row r="2455" ht="23" customHeight="1">
      <x:c r="A2455" s="11" t="d">
        <x:v>2024-09-26T00:00:00.000Z</x:v>
      </x:c>
      <x:c r="B2455" s="12" t="n">
        <x:v>25172.195432</x:v>
      </x:c>
      <x:c r="C2455" s="13" t="n">
        <x:v>484</x:v>
      </x:c>
      <x:c r="D2455" s="12" t="n">
        <x:v>276993.19999999995</x:v>
      </x:c>
      <x:c r="E2455" s="12" t="n">
        <x:v>844.837004</x:v>
      </x:c>
      <x:c r="F2455" s="12" t="n">
        <x:f>SUM(B2455,D2455:E2455)</x:f>
        <x:v>303010.2324359999</x:v>
      </x:c>
      <x:c r="G2455" s="12" t="n">
        <x:f>MAX(G2454,F2455)</x:f>
        <x:v>303010.2324359999</x:v>
      </x:c>
      <x:c r="H2455" s="14" t="n">
        <x:f>F2455/G2455-1</x:f>
        <x:v>0</x:v>
      </x:c>
      <x:c r="I2455" s="14" t="n">
        <x:f>F2455/F2454-1</x:f>
        <x:v>0.003622989766055351</x:v>
      </x:c>
      <x:c r="J2455" s="12" t="n">
        <x:v>0</x:v>
      </x:c>
      <x:c r="K2455" s="12" t="n">
        <x:v>0</x:v>
      </x:c>
      <x:c r="L2455" s="12" t="n">
        <x:v>0</x:v>
      </x:c>
      <x:c r="M2455" s="2" t="str">
        <x:v>持有</x:v>
      </x:c>
    </x:row>
    <x:row r="2456" ht="23" customHeight="1">
      <x:c r="A2456" s="11" t="d">
        <x:v>2024-09-27T00:00:00.000Z</x:v>
      </x:c>
      <x:c r="B2456" s="12" t="n">
        <x:v>25172.195432</x:v>
      </x:c>
      <x:c r="C2456" s="13" t="n">
        <x:v>484</x:v>
      </x:c>
      <x:c r="D2456" s="12" t="n">
        <x:v>276591.48000000004</x:v>
      </x:c>
      <x:c r="E2456" s="12" t="n">
        <x:v>844.837004</x:v>
      </x:c>
      <x:c r="F2456" s="12" t="n">
        <x:f>SUM(B2456,D2456:E2456)</x:f>
        <x:v>302608.512436</x:v>
      </x:c>
      <x:c r="G2456" s="12" t="n">
        <x:f>MAX(G2455,F2456)</x:f>
        <x:v>303010.2324359999</x:v>
      </x:c>
      <x:c r="H2456" s="14" t="n">
        <x:f>F2456/G2456-1</x:f>
        <x:v>-0.0013257638092626367</x:v>
      </x:c>
      <x:c r="I2456" s="14" t="n">
        <x:f>F2456/F2455-1</x:f>
        <x:v>-0.0013257638092626367</x:v>
      </x:c>
      <x:c r="J2456" s="12" t="n">
        <x:v>0</x:v>
      </x:c>
      <x:c r="K2456" s="12" t="n">
        <x:v>0</x:v>
      </x:c>
      <x:c r="L2456" s="12" t="n">
        <x:v>0</x:v>
      </x:c>
      <x:c r="M2456" s="2" t="str">
        <x:v>持有</x:v>
      </x:c>
    </x:row>
    <x:row r="2457" ht="23" customHeight="1">
      <x:c r="A2457" s="11" t="d">
        <x:v>2024-09-30T00:00:00.000Z</x:v>
      </x:c>
      <x:c r="B2457" s="12" t="n">
        <x:v>25172.195432</x:v>
      </x:c>
      <x:c r="C2457" s="13" t="n">
        <x:v>484</x:v>
      </x:c>
      <x:c r="D2457" s="12" t="n">
        <x:v>277699.83999999997</x:v>
      </x:c>
      <x:c r="E2457" s="12" t="n">
        <x:v>844.837004</x:v>
      </x:c>
      <x:c r="F2457" s="12" t="n">
        <x:f>SUM(B2457,D2457:E2457)</x:f>
        <x:v>303716.8724359999</x:v>
      </x:c>
      <x:c r="G2457" s="12" t="n">
        <x:f>MAX(G2456,F2457)</x:f>
        <x:v>303716.8724359999</x:v>
      </x:c>
      <x:c r="H2457" s="14" t="n">
        <x:f>F2457/G2457-1</x:f>
        <x:v>0</x:v>
      </x:c>
      <x:c r="I2457" s="14" t="n">
        <x:f>F2457/F2456-1</x:f>
        <x:v>0.0036626861256401355</x:v>
      </x:c>
      <x:c r="J2457" s="12" t="n">
        <x:v>0</x:v>
      </x:c>
      <x:c r="K2457" s="12" t="n">
        <x:v>0</x:v>
      </x:c>
      <x:c r="L2457" s="12" t="n">
        <x:v>0</x:v>
      </x:c>
      <x:c r="M2457" s="2" t="str">
        <x:v>持有</x:v>
      </x:c>
    </x:row>
    <x:row r="2458" ht="23" customHeight="1">
      <x:c r="A2458" s="11" t="d">
        <x:v>2024-10-01T00:00:00.000Z</x:v>
      </x:c>
      <x:c r="B2458" s="12" t="n">
        <x:v>25172.195432</x:v>
      </x:c>
      <x:c r="C2458" s="13" t="n">
        <x:v>484</x:v>
      </x:c>
      <x:c r="D2458" s="12" t="n">
        <x:v>275212.08</x:v>
      </x:c>
      <x:c r="E2458" s="12" t="n">
        <x:v>844.837004</x:v>
      </x:c>
      <x:c r="F2458" s="12" t="n">
        <x:f>SUM(B2458,D2458:E2458)</x:f>
        <x:v>301229.11243599997</x:v>
      </x:c>
      <x:c r="G2458" s="12" t="n">
        <x:f>MAX(G2457,F2458)</x:f>
        <x:v>303716.8724359999</x:v>
      </x:c>
      <x:c r="H2458" s="14" t="n">
        <x:f>F2458/G2458-1</x:f>
        <x:v>-0.008191049710365328</x:v>
      </x:c>
      <x:c r="I2458" s="14" t="n">
        <x:f>F2458/F2457-1</x:f>
        <x:v>-0.008191049710365328</x:v>
      </x:c>
      <x:c r="J2458" s="12" t="n">
        <x:v>0</x:v>
      </x:c>
      <x:c r="K2458" s="12" t="n">
        <x:v>0</x:v>
      </x:c>
      <x:c r="L2458" s="12" t="n">
        <x:v>0</x:v>
      </x:c>
      <x:c r="M2458" s="2" t="str">
        <x:v>持有</x:v>
      </x:c>
    </x:row>
    <x:row r="2459" ht="23" customHeight="1">
      <x:c r="A2459" s="11" t="d">
        <x:v>2024-10-02T00:00:00.000Z</x:v>
      </x:c>
      <x:c r="B2459" s="12" t="n">
        <x:v>25172.195432</x:v>
      </x:c>
      <x:c r="C2459" s="13" t="n">
        <x:v>484</x:v>
      </x:c>
      <x:c r="D2459" s="12" t="n">
        <x:v>275328.24</x:v>
      </x:c>
      <x:c r="E2459" s="12" t="n">
        <x:v>844.837004</x:v>
      </x:c>
      <x:c r="F2459" s="12" t="n">
        <x:f>SUM(B2459,D2459:E2459)</x:f>
        <x:v>301345.27243599994</x:v>
      </x:c>
      <x:c r="G2459" s="12" t="n">
        <x:f>MAX(G2458,F2459)</x:f>
        <x:v>303716.8724359999</x:v>
      </x:c>
      <x:c r="H2459" s="14" t="n">
        <x:f>F2459/G2459-1</x:f>
        <x:v>-0.00780858824528996</x:v>
      </x:c>
      <x:c r="I2459" s="14" t="n">
        <x:f>F2459/F2458-1</x:f>
        <x:v>0.0003856200984713176</x:v>
      </x:c>
      <x:c r="J2459" s="12" t="n">
        <x:v>0</x:v>
      </x:c>
      <x:c r="K2459" s="12" t="n">
        <x:v>0</x:v>
      </x:c>
      <x:c r="L2459" s="12" t="n">
        <x:v>0</x:v>
      </x:c>
      <x:c r="M2459" s="2" t="str">
        <x:v>持有</x:v>
      </x:c>
    </x:row>
    <x:row r="2460" ht="23" customHeight="1">
      <x:c r="A2460" s="11" t="d">
        <x:v>2024-10-03T00:00:00.000Z</x:v>
      </x:c>
      <x:c r="B2460" s="12" t="n">
        <x:v>25172.195432</x:v>
      </x:c>
      <x:c r="C2460" s="13" t="n">
        <x:v>484</x:v>
      </x:c>
      <x:c r="D2460" s="12" t="n">
        <x:v>274824.88</x:v>
      </x:c>
      <x:c r="E2460" s="12" t="n">
        <x:v>844.837004</x:v>
      </x:c>
      <x:c r="F2460" s="12" t="n">
        <x:f>SUM(B2460,D2460:E2460)</x:f>
        <x:v>300841.91243599996</x:v>
      </x:c>
      <x:c r="G2460" s="12" t="n">
        <x:f>MAX(G2459,F2460)</x:f>
        <x:v>303716.8724359999</x:v>
      </x:c>
      <x:c r="H2460" s="14" t="n">
        <x:f>F2460/G2460-1</x:f>
        <x:v>-0.009465921260616739</x:v>
      </x:c>
      <x:c r="I2460" s="14" t="n">
        <x:f>F2460/F2459-1</x:f>
        <x:v>-0.0016703762960372792</x:v>
      </x:c>
      <x:c r="J2460" s="12" t="n">
        <x:v>0</x:v>
      </x:c>
      <x:c r="K2460" s="12" t="n">
        <x:v>0</x:v>
      </x:c>
      <x:c r="L2460" s="12" t="n">
        <x:v>0</x:v>
      </x:c>
      <x:c r="M2460" s="2" t="str">
        <x:v>持有</x:v>
      </x:c>
    </x:row>
    <x:row r="2461" ht="23" customHeight="1">
      <x:c r="A2461" s="11" t="d">
        <x:v>2024-10-04T00:00:00.000Z</x:v>
      </x:c>
      <x:c r="B2461" s="12" t="n">
        <x:v>25172.195432</x:v>
      </x:c>
      <x:c r="C2461" s="13" t="n">
        <x:v>484</x:v>
      </x:c>
      <x:c r="D2461" s="12" t="n">
        <x:v>277322.32</x:v>
      </x:c>
      <x:c r="E2461" s="12" t="n">
        <x:v>844.837004</x:v>
      </x:c>
      <x:c r="F2461" s="12" t="n">
        <x:f>SUM(B2461,D2461:E2461)</x:f>
        <x:v>303339.35243599996</x:v>
      </x:c>
      <x:c r="G2461" s="12" t="n">
        <x:f>MAX(G2460,F2461)</x:f>
        <x:v>303716.8724359999</x:v>
      </x:c>
      <x:c r="H2461" s="14" t="n">
        <x:f>F2461/G2461-1</x:f>
        <x:v>-0.0012429997614950006</x:v>
      </x:c>
      <x:c r="I2461" s="14" t="n">
        <x:f>F2461/F2460-1</x:f>
        <x:v>0.008301502871649546</x:v>
      </x:c>
      <x:c r="J2461" s="12" t="n">
        <x:v>0</x:v>
      </x:c>
      <x:c r="K2461" s="12" t="n">
        <x:v>0</x:v>
      </x:c>
      <x:c r="L2461" s="12" t="n">
        <x:v>0</x:v>
      </x:c>
      <x:c r="M2461" s="2" t="str">
        <x:v>持有</x:v>
      </x:c>
    </x:row>
    <x:row r="2462" ht="23" customHeight="1">
      <x:c r="A2462" s="11" t="d">
        <x:v>2024-10-07T00:00:00.000Z</x:v>
      </x:c>
      <x:c r="B2462" s="12" t="n">
        <x:v>25172.195432</x:v>
      </x:c>
      <x:c r="C2462" s="13" t="n">
        <x:v>484</x:v>
      </x:c>
      <x:c r="D2462" s="12" t="n">
        <x:v>274815.19999999995</x:v>
      </x:c>
      <x:c r="E2462" s="12" t="n">
        <x:v>844.837004</x:v>
      </x:c>
      <x:c r="F2462" s="12" t="n">
        <x:f>SUM(B2462,D2462:E2462)</x:f>
        <x:v>300832.2324359999</x:v>
      </x:c>
      <x:c r="G2462" s="12" t="n">
        <x:f>MAX(G2461,F2462)</x:f>
        <x:v>303716.8724359999</x:v>
      </x:c>
      <x:c r="H2462" s="14" t="n">
        <x:f>F2462/G2462-1</x:f>
        <x:v>-0.00949779304937326</x:v>
      </x:c>
      <x:c r="I2462" s="14" t="n">
        <x:f>F2462/F2461-1</x:f>
        <x:v>-0.00826506676389449</x:v>
      </x:c>
      <x:c r="J2462" s="12" t="n">
        <x:v>0</x:v>
      </x:c>
      <x:c r="K2462" s="12" t="n">
        <x:v>0</x:v>
      </x:c>
      <x:c r="L2462" s="12" t="n">
        <x:v>0</x:v>
      </x:c>
      <x:c r="M2462" s="2" t="str">
        <x:v>持有</x:v>
      </x:c>
    </x:row>
    <x:row r="2463" ht="23" customHeight="1">
      <x:c r="A2463" s="11" t="d">
        <x:v>2024-10-08T00:00:00.000Z</x:v>
      </x:c>
      <x:c r="B2463" s="12" t="n">
        <x:v>25172.195432</x:v>
      </x:c>
      <x:c r="C2463" s="13" t="n">
        <x:v>484</x:v>
      </x:c>
      <x:c r="D2463" s="12" t="n">
        <x:v>277414.27999999997</x:v>
      </x:c>
      <x:c r="E2463" s="12" t="n">
        <x:v>844.837004</x:v>
      </x:c>
      <x:c r="F2463" s="12" t="n">
        <x:f>SUM(B2463,D2463:E2463)</x:f>
        <x:v>303431.3124359999</x:v>
      </x:c>
      <x:c r="G2463" s="12" t="n">
        <x:f>MAX(G2462,F2463)</x:f>
        <x:v>303716.8724359999</x:v>
      </x:c>
      <x:c r="H2463" s="14" t="n">
        <x:f>F2463/G2463-1</x:f>
        <x:v>-0.0009402177683104362</x:v>
      </x:c>
      <x:c r="I2463" s="14" t="n">
        <x:f>F2463/F2462-1</x:f>
        <x:v>0.008639632724704693</x:v>
      </x:c>
      <x:c r="J2463" s="12" t="n">
        <x:v>0</x:v>
      </x:c>
      <x:c r="K2463" s="12" t="n">
        <x:v>0</x:v>
      </x:c>
      <x:c r="L2463" s="12" t="n">
        <x:v>0</x:v>
      </x:c>
      <x:c r="M2463" s="2" t="str">
        <x:v>持有</x:v>
      </x:c>
    </x:row>
    <x:row r="2464" ht="23" customHeight="1">
      <x:c r="A2464" s="11" t="d">
        <x:v>2024-10-09T00:00:00.000Z</x:v>
      </x:c>
      <x:c r="B2464" s="12" t="n">
        <x:v>25172.195432</x:v>
      </x:c>
      <x:c r="C2464" s="13" t="n">
        <x:v>484</x:v>
      </x:c>
      <x:c r="D2464" s="12" t="n">
        <x:v>279335.76</x:v>
      </x:c>
      <x:c r="E2464" s="12" t="n">
        <x:v>844.837004</x:v>
      </x:c>
      <x:c r="F2464" s="12" t="n">
        <x:f>SUM(B2464,D2464:E2464)</x:f>
        <x:v>305352.79243599996</x:v>
      </x:c>
      <x:c r="G2464" s="12" t="n">
        <x:f>MAX(G2463,F2464)</x:f>
        <x:v>305352.79243599996</x:v>
      </x:c>
      <x:c r="H2464" s="14" t="n">
        <x:f>F2464/G2464-1</x:f>
        <x:v>0</x:v>
      </x:c>
      <x:c r="I2464" s="14" t="n">
        <x:f>F2464/F2463-1</x:f>
        <x:v>0.00633250400090235</x:v>
      </x:c>
      <x:c r="J2464" s="12" t="n">
        <x:v>0</x:v>
      </x:c>
      <x:c r="K2464" s="12" t="n">
        <x:v>0</x:v>
      </x:c>
      <x:c r="L2464" s="12" t="n">
        <x:v>0</x:v>
      </x:c>
      <x:c r="M2464" s="2" t="str">
        <x:v>持有</x:v>
      </x:c>
    </x:row>
    <x:row r="2465" ht="23" customHeight="1">
      <x:c r="A2465" s="11" t="d">
        <x:v>2024-10-10T00:00:00.000Z</x:v>
      </x:c>
      <x:c r="B2465" s="12" t="n">
        <x:v>25172.195432</x:v>
      </x:c>
      <x:c r="C2465" s="13" t="n">
        <x:v>484</x:v>
      </x:c>
      <x:c r="D2465" s="12" t="n">
        <x:v>278846.92</x:v>
      </x:c>
      <x:c r="E2465" s="12" t="n">
        <x:v>844.837004</x:v>
      </x:c>
      <x:c r="F2465" s="12" t="n">
        <x:f>SUM(B2465,D2465:E2465)</x:f>
        <x:v>304863.95243599993</x:v>
      </x:c>
      <x:c r="G2465" s="12" t="n">
        <x:f>MAX(G2464,F2465)</x:f>
        <x:v>305352.79243599996</x:v>
      </x:c>
      <x:c r="H2465" s="14" t="n">
        <x:f>F2465/G2465-1</x:f>
        <x:v>-0.0016009023402085987</x:v>
      </x:c>
      <x:c r="I2465" s="14" t="n">
        <x:f>F2465/F2464-1</x:f>
        <x:v>-0.0016009023402085987</x:v>
      </x:c>
      <x:c r="J2465" s="12" t="n">
        <x:v>0</x:v>
      </x:c>
      <x:c r="K2465" s="12" t="n">
        <x:v>0</x:v>
      </x:c>
      <x:c r="L2465" s="12" t="n">
        <x:v>0</x:v>
      </x:c>
      <x:c r="M2465" s="2" t="str">
        <x:v>持有</x:v>
      </x:c>
    </x:row>
    <x:row r="2466" ht="23" customHeight="1">
      <x:c r="A2466" s="11" t="d">
        <x:v>2024-10-11T00:00:00.000Z</x:v>
      </x:c>
      <x:c r="B2466" s="12" t="n">
        <x:v>25172.195432</x:v>
      </x:c>
      <x:c r="C2466" s="13" t="n">
        <x:v>484</x:v>
      </x:c>
      <x:c r="D2466" s="12" t="n">
        <x:v>280516.72000000003</x:v>
      </x:c>
      <x:c r="E2466" s="12" t="n">
        <x:v>844.837004</x:v>
      </x:c>
      <x:c r="F2466" s="12" t="n">
        <x:f>SUM(B2466,D2466:E2466)</x:f>
        <x:v>306533.752436</x:v>
      </x:c>
      <x:c r="G2466" s="12" t="n">
        <x:f>MAX(G2465,F2466)</x:f>
        <x:v>306533.752436</x:v>
      </x:c>
      <x:c r="H2466" s="14" t="n">
        <x:f>F2466/G2466-1</x:f>
        <x:v>0</x:v>
      </x:c>
      <x:c r="I2466" s="14" t="n">
        <x:f>F2466/F2465-1</x:f>
        <x:v>0.005477197243746179</x:v>
      </x:c>
      <x:c r="J2466" s="12" t="n">
        <x:v>0</x:v>
      </x:c>
      <x:c r="K2466" s="12" t="n">
        <x:v>0</x:v>
      </x:c>
      <x:c r="L2466" s="12" t="n">
        <x:v>0</x:v>
      </x:c>
      <x:c r="M2466" s="2" t="str">
        <x:v>持有</x:v>
      </x:c>
    </x:row>
    <x:row r="2467" ht="23" customHeight="1">
      <x:c r="A2467" s="11" t="d">
        <x:v>2024-10-14T00:00:00.000Z</x:v>
      </x:c>
      <x:c r="B2467" s="12" t="n">
        <x:v>25172.195432</x:v>
      </x:c>
      <x:c r="C2467" s="13" t="n">
        <x:v>484</x:v>
      </x:c>
      <x:c r="D2467" s="12" t="n">
        <x:v>282810.88</x:v>
      </x:c>
      <x:c r="E2467" s="12" t="n">
        <x:v>844.837004</x:v>
      </x:c>
      <x:c r="F2467" s="12" t="n">
        <x:f>SUM(B2467,D2467:E2467)</x:f>
        <x:v>308827.91243599996</x:v>
      </x:c>
      <x:c r="G2467" s="12" t="n">
        <x:f>MAX(G2466,F2467)</x:f>
        <x:v>308827.91243599996</x:v>
      </x:c>
      <x:c r="H2467" s="14" t="n">
        <x:f>F2467/G2467-1</x:f>
        <x:v>0</x:v>
      </x:c>
      <x:c r="I2467" s="14" t="n">
        <x:f>F2467/F2466-1</x:f>
        <x:v>0.007484200293665699</x:v>
      </x:c>
      <x:c r="J2467" s="12" t="n">
        <x:v>0</x:v>
      </x:c>
      <x:c r="K2467" s="12" t="n">
        <x:v>0</x:v>
      </x:c>
      <x:c r="L2467" s="12" t="n">
        <x:v>0</x:v>
      </x:c>
      <x:c r="M2467" s="2" t="str">
        <x:v>持有</x:v>
      </x:c>
    </x:row>
    <x:row r="2468" ht="23" customHeight="1">
      <x:c r="A2468" s="11" t="d">
        <x:v>2024-10-15T00:00:00.000Z</x:v>
      </x:c>
      <x:c r="B2468" s="12" t="n">
        <x:v>25172.195432</x:v>
      </x:c>
      <x:c r="C2468" s="13" t="n">
        <x:v>484</x:v>
      </x:c>
      <x:c r="D2468" s="12" t="n">
        <x:v>280613.51999999996</x:v>
      </x:c>
      <x:c r="E2468" s="12" t="n">
        <x:v>844.837004</x:v>
      </x:c>
      <x:c r="F2468" s="12" t="n">
        <x:f>SUM(B2468,D2468:E2468)</x:f>
        <x:v>306630.5524359999</x:v>
      </x:c>
      <x:c r="G2468" s="12" t="n">
        <x:f>MAX(G2467,F2468)</x:f>
        <x:v>308827.91243599996</x:v>
      </x:c>
      <x:c r="H2468" s="14" t="n">
        <x:f>F2468/G2468-1</x:f>
        <x:v>-0.0071151599694065926</x:v>
      </x:c>
      <x:c r="I2468" s="14" t="n">
        <x:f>F2468/F2467-1</x:f>
        <x:v>-0.0071151599694065926</x:v>
      </x:c>
      <x:c r="J2468" s="12" t="n">
        <x:v>0</x:v>
      </x:c>
      <x:c r="K2468" s="12" t="n">
        <x:v>0</x:v>
      </x:c>
      <x:c r="L2468" s="12" t="n">
        <x:v>0</x:v>
      </x:c>
      <x:c r="M2468" s="2" t="str">
        <x:v>持有</x:v>
      </x:c>
    </x:row>
    <x:row r="2469" ht="23" customHeight="1">
      <x:c r="A2469" s="11" t="d">
        <x:v>2024-10-16T00:00:00.000Z</x:v>
      </x:c>
      <x:c r="B2469" s="12" t="n">
        <x:v>25172.195432</x:v>
      </x:c>
      <x:c r="C2469" s="13" t="n">
        <x:v>484</x:v>
      </x:c>
      <x:c r="D2469" s="12" t="n">
        <x:v>281833.19999999995</x:v>
      </x:c>
      <x:c r="E2469" s="12" t="n">
        <x:v>844.837004</x:v>
      </x:c>
      <x:c r="F2469" s="12" t="n">
        <x:f>SUM(B2469,D2469:E2469)</x:f>
        <x:v>307850.2324359999</x:v>
      </x:c>
      <x:c r="G2469" s="12" t="n">
        <x:f>MAX(G2468,F2469)</x:f>
        <x:v>308827.91243599996</x:v>
      </x:c>
      <x:c r="H2469" s="14" t="n">
        <x:f>F2469/G2469-1</x:f>
        <x:v>-0.003165776021630373</x:v>
      </x:c>
      <x:c r="I2469" s="14" t="n">
        <x:f>F2469/F2468-1</x:f>
        <x:v>0.003977685818684185</x:v>
      </x:c>
      <x:c r="J2469" s="12" t="n">
        <x:v>0</x:v>
      </x:c>
      <x:c r="K2469" s="12" t="n">
        <x:v>0</x:v>
      </x:c>
      <x:c r="L2469" s="12" t="n">
        <x:v>0</x:v>
      </x:c>
      <x:c r="M2469" s="2" t="str">
        <x:v>持有</x:v>
      </x:c>
    </x:row>
    <x:row r="2470" ht="23" customHeight="1">
      <x:c r="A2470" s="11" t="d">
        <x:v>2024-10-17T00:00:00.000Z</x:v>
      </x:c>
      <x:c r="B2470" s="12" t="n">
        <x:v>25172.195432</x:v>
      </x:c>
      <x:c r="C2470" s="13" t="n">
        <x:v>484</x:v>
      </x:c>
      <x:c r="D2470" s="12" t="n">
        <x:v>281857.4</x:v>
      </x:c>
      <x:c r="E2470" s="12" t="n">
        <x:v>844.837004</x:v>
      </x:c>
      <x:c r="F2470" s="12" t="n">
        <x:f>SUM(B2470,D2470:E2470)</x:f>
        <x:v>307874.432436</x:v>
      </x:c>
      <x:c r="G2470" s="12" t="n">
        <x:f>MAX(G2469,F2470)</x:f>
        <x:v>308827.91243599996</x:v>
      </x:c>
      <x:c r="H2470" s="14" t="n">
        <x:f>F2470/G2470-1</x:f>
        <x:v>-0.0030874152290155665</x:v>
      </x:c>
      <x:c r="I2470" s="14" t="n">
        <x:f>F2470/F2469-1</x:f>
        <x:v>0.00007860965316996982</x:v>
      </x:c>
      <x:c r="J2470" s="12" t="n">
        <x:v>0</x:v>
      </x:c>
      <x:c r="K2470" s="12" t="n">
        <x:v>0</x:v>
      </x:c>
      <x:c r="L2470" s="12" t="n">
        <x:v>0</x:v>
      </x:c>
      <x:c r="M2470" s="2" t="str">
        <x:v>持有</x:v>
      </x:c>
    </x:row>
    <x:row r="2471" ht="23" customHeight="1">
      <x:c r="A2471" s="11" t="d">
        <x:v>2024-10-18T00:00:00.000Z</x:v>
      </x:c>
      <x:c r="B2471" s="12" t="n">
        <x:v>25172.195432</x:v>
      </x:c>
      <x:c r="C2471" s="13" t="n">
        <x:v>484</x:v>
      </x:c>
      <x:c r="D2471" s="12" t="n">
        <x:v>282941.56</x:v>
      </x:c>
      <x:c r="E2471" s="12" t="n">
        <x:v>844.837004</x:v>
      </x:c>
      <x:c r="F2471" s="12" t="n">
        <x:f>SUM(B2471,D2471:E2471)</x:f>
        <x:v>308958.59243599995</x:v>
      </x:c>
      <x:c r="G2471" s="12" t="n">
        <x:f>MAX(G2470,F2471)</x:f>
        <x:v>308958.59243599995</x:v>
      </x:c>
      <x:c r="H2471" s="14" t="n">
        <x:f>F2471/G2471-1</x:f>
        <x:v>0</x:v>
      </x:c>
      <x:c r="I2471" s="14" t="n">
        <x:f>F2471/F2470-1</x:f>
        <x:v>0.0035214356431672034</x:v>
      </x:c>
      <x:c r="J2471" s="12" t="n">
        <x:v>0</x:v>
      </x:c>
      <x:c r="K2471" s="12" t="n">
        <x:v>0</x:v>
      </x:c>
      <x:c r="L2471" s="12" t="n">
        <x:v>0</x:v>
      </x:c>
      <x:c r="M2471" s="2" t="str">
        <x:v>持有</x:v>
      </x:c>
    </x:row>
    <x:row r="2472" ht="23" customHeight="1">
      <x:c r="A2472" s="11" t="d">
        <x:v>2024-10-21T00:00:00.000Z</x:v>
      </x:c>
      <x:c r="B2472" s="12" t="n">
        <x:v>25172.195432</x:v>
      </x:c>
      <x:c r="C2472" s="13" t="n">
        <x:v>484</x:v>
      </x:c>
      <x:c r="D2472" s="12" t="n">
        <x:v>282476.92</x:v>
      </x:c>
      <x:c r="E2472" s="12" t="n">
        <x:v>844.837004</x:v>
      </x:c>
      <x:c r="F2472" s="12" t="n">
        <x:f>SUM(B2472,D2472:E2472)</x:f>
        <x:v>308493.95243599993</x:v>
      </x:c>
      <x:c r="G2472" s="12" t="n">
        <x:f>MAX(G2471,F2472)</x:f>
        <x:v>308958.59243599995</x:v>
      </x:c>
      <x:c r="H2472" s="14" t="n">
        <x:f>F2472/G2472-1</x:f>
        <x:v>-0.0015038908493741898</x:v>
      </x:c>
      <x:c r="I2472" s="14" t="n">
        <x:f>F2472/F2471-1</x:f>
        <x:v>-0.0015038908493741898</x:v>
      </x:c>
      <x:c r="J2472" s="12" t="n">
        <x:v>0</x:v>
      </x:c>
      <x:c r="K2472" s="12" t="n">
        <x:v>0</x:v>
      </x:c>
      <x:c r="L2472" s="12" t="n">
        <x:v>0</x:v>
      </x:c>
      <x:c r="M2472" s="2" t="str">
        <x:v>持有</x:v>
      </x:c>
    </x:row>
    <x:row r="2473" ht="23" customHeight="1">
      <x:c r="A2473" s="11" t="d">
        <x:v>2024-10-22T00:00:00.000Z</x:v>
      </x:c>
      <x:c r="B2473" s="12" t="n">
        <x:v>25172.195432</x:v>
      </x:c>
      <x:c r="C2473" s="13" t="n">
        <x:v>484</x:v>
      </x:c>
      <x:c r="D2473" s="12" t="n">
        <x:v>282326.88</x:v>
      </x:c>
      <x:c r="E2473" s="12" t="n">
        <x:v>844.837004</x:v>
      </x:c>
      <x:c r="F2473" s="12" t="n">
        <x:f>SUM(B2473,D2473:E2473)</x:f>
        <x:v>308343.91243599996</x:v>
      </x:c>
      <x:c r="G2473" s="12" t="n">
        <x:f>MAX(G2472,F2473)</x:f>
        <x:v>308958.59243599995</x:v>
      </x:c>
      <x:c r="H2473" s="14" t="n">
        <x:f>F2473/G2473-1</x:f>
        <x:v>-0.001989522269484456</x:v>
      </x:c>
      <x:c r="I2473" s="14" t="n">
        <x:f>F2473/F2472-1</x:f>
        <x:v>-0.00048636285676006974</x:v>
      </x:c>
      <x:c r="J2473" s="12" t="n">
        <x:v>0</x:v>
      </x:c>
      <x:c r="K2473" s="12" t="n">
        <x:v>0</x:v>
      </x:c>
      <x:c r="L2473" s="12" t="n">
        <x:v>0</x:v>
      </x:c>
      <x:c r="M2473" s="2" t="str">
        <x:v>持有</x:v>
      </x:c>
    </x:row>
    <x:row r="2474" ht="23" customHeight="1">
      <x:c r="A2474" s="11" t="d">
        <x:v>2024-10-23T00:00:00.000Z</x:v>
      </x:c>
      <x:c r="B2474" s="12" t="n">
        <x:v>25172.195432</x:v>
      </x:c>
      <x:c r="C2474" s="13" t="n">
        <x:v>484</x:v>
      </x:c>
      <x:c r="D2474" s="12" t="n">
        <x:v>279747.16000000003</x:v>
      </x:c>
      <x:c r="E2474" s="12" t="n">
        <x:v>844.837004</x:v>
      </x:c>
      <x:c r="F2474" s="12" t="n">
        <x:f>SUM(B2474,D2474:E2474)</x:f>
        <x:v>305764.192436</x:v>
      </x:c>
      <x:c r="G2474" s="12" t="n">
        <x:f>MAX(G2473,F2474)</x:f>
        <x:v>308958.59243599995</x:v>
      </x:c>
      <x:c r="H2474" s="14" t="n">
        <x:f>F2474/G2474-1</x:f>
        <x:v>-0.010339249589446764</x:v>
      </x:c>
      <x:c r="I2474" s="14" t="n">
        <x:f>F2474/F2473-1</x:f>
        <x:v>-0.00836637240417526</x:v>
      </x:c>
      <x:c r="J2474" s="12" t="n">
        <x:v>0</x:v>
      </x:c>
      <x:c r="K2474" s="12" t="n">
        <x:v>0</x:v>
      </x:c>
      <x:c r="L2474" s="12" t="n">
        <x:v>0</x:v>
      </x:c>
      <x:c r="M2474" s="2" t="str">
        <x:v>持有</x:v>
      </x:c>
    </x:row>
    <x:row r="2475" ht="23" customHeight="1">
      <x:c r="A2475" s="11" t="d">
        <x:v>2024-10-24T00:00:00.000Z</x:v>
      </x:c>
      <x:c r="B2475" s="12" t="n">
        <x:v>25172.195432</x:v>
      </x:c>
      <x:c r="C2475" s="13" t="n">
        <x:v>484</x:v>
      </x:c>
      <x:c r="D2475" s="12" t="n">
        <x:v>280352.16000000003</x:v>
      </x:c>
      <x:c r="E2475" s="12" t="n">
        <x:v>844.837004</x:v>
      </x:c>
      <x:c r="F2475" s="12" t="n">
        <x:f>SUM(B2475,D2475:E2475)</x:f>
        <x:v>306369.192436</x:v>
      </x:c>
      <x:c r="G2475" s="12" t="n">
        <x:f>MAX(G2474,F2475)</x:f>
        <x:v>308958.59243599995</x:v>
      </x:c>
      <x:c r="H2475" s="14" t="n">
        <x:f>F2475/G2475-1</x:f>
        <x:v>-0.008381058379324235</x:v>
      </x:c>
      <x:c r="I2475" s="14" t="n">
        <x:f>F2475/F2474-1</x:f>
        <x:v>0.0019786489555235764</x:v>
      </x:c>
      <x:c r="J2475" s="12" t="n">
        <x:v>0</x:v>
      </x:c>
      <x:c r="K2475" s="12" t="n">
        <x:v>0</x:v>
      </x:c>
      <x:c r="L2475" s="12" t="n">
        <x:v>0</x:v>
      </x:c>
      <x:c r="M2475" s="2" t="str">
        <x:v>持有</x:v>
      </x:c>
    </x:row>
    <x:row r="2476" ht="23" customHeight="1">
      <x:c r="A2476" s="11" t="d">
        <x:v>2024-10-25T00:00:00.000Z</x:v>
      </x:c>
      <x:c r="B2476" s="12" t="n">
        <x:v>25172.195432</x:v>
      </x:c>
      <x:c r="C2476" s="13" t="n">
        <x:v>484</x:v>
      </x:c>
      <x:c r="D2476" s="12" t="n">
        <x:v>280255.36</x:v>
      </x:c>
      <x:c r="E2476" s="12" t="n">
        <x:v>844.837004</x:v>
      </x:c>
      <x:c r="F2476" s="12" t="n">
        <x:f>SUM(B2476,D2476:E2476)</x:f>
        <x:v>306272.39243599994</x:v>
      </x:c>
      <x:c r="G2476" s="12" t="n">
        <x:f>MAX(G2475,F2476)</x:f>
        <x:v>308958.59243599995</x:v>
      </x:c>
      <x:c r="H2476" s="14" t="n">
        <x:f>F2476/G2476-1</x:f>
        <x:v>-0.008694368972943955</x:v>
      </x:c>
      <x:c r="I2476" s="14" t="n">
        <x:f>F2476/F2475-1</x:f>
        <x:v>-0.0003159586616081622</x:v>
      </x:c>
      <x:c r="J2476" s="12" t="n">
        <x:v>0</x:v>
      </x:c>
      <x:c r="K2476" s="12" t="n">
        <x:v>0</x:v>
      </x:c>
      <x:c r="L2476" s="12" t="n">
        <x:v>0</x:v>
      </x:c>
      <x:c r="M2476" s="2" t="str">
        <x:v>持有</x:v>
      </x:c>
    </x:row>
    <x:row r="2477" ht="23" customHeight="1">
      <x:c r="A2477" s="11" t="d">
        <x:v>2024-10-28T00:00:00.000Z</x:v>
      </x:c>
      <x:c r="B2477" s="12" t="n">
        <x:v>25172.195432</x:v>
      </x:c>
      <x:c r="C2477" s="13" t="n">
        <x:v>484</x:v>
      </x:c>
      <x:c r="D2477" s="12" t="n">
        <x:v>281121.72000000003</x:v>
      </x:c>
      <x:c r="E2477" s="12" t="n">
        <x:v>844.837004</x:v>
      </x:c>
      <x:c r="F2477" s="12" t="n">
        <x:f>SUM(B2477,D2477:E2477)</x:f>
        <x:v>307138.752436</x:v>
      </x:c>
      <x:c r="G2477" s="12" t="n">
        <x:f>MAX(G2476,F2477)</x:f>
        <x:v>308958.59243599995</x:v>
      </x:c>
      <x:c r="H2477" s="14" t="n">
        <x:f>F2477/G2477-1</x:f>
        <x:v>-0.005890239160048383</x:v>
      </x:c>
      <x:c r="I2477" s="14" t="n">
        <x:f>F2477/F2476-1</x:f>
        <x:v>0.002828723781171716</x:v>
      </x:c>
      <x:c r="J2477" s="12" t="n">
        <x:v>0</x:v>
      </x:c>
      <x:c r="K2477" s="12" t="n">
        <x:v>0</x:v>
      </x:c>
      <x:c r="L2477" s="12" t="n">
        <x:v>0</x:v>
      </x:c>
      <x:c r="M2477" s="2" t="str">
        <x:v>持有</x:v>
      </x:c>
    </x:row>
    <x:row r="2478" ht="23" customHeight="1">
      <x:c r="A2478" s="11" t="d">
        <x:v>2024-10-29T00:00:00.000Z</x:v>
      </x:c>
      <x:c r="B2478" s="12" t="n">
        <x:v>25172.195432</x:v>
      </x:c>
      <x:c r="C2478" s="13" t="n">
        <x:v>484</x:v>
      </x:c>
      <x:c r="D2478" s="12" t="n">
        <x:v>281576.68</x:v>
      </x:c>
      <x:c r="E2478" s="12" t="n">
        <x:v>844.837004</x:v>
      </x:c>
      <x:c r="F2478" s="12" t="n">
        <x:f>SUM(B2478,D2478:E2478)</x:f>
        <x:v>307593.71243599994</x:v>
      </x:c>
      <x:c r="G2478" s="12" t="n">
        <x:f>MAX(G2477,F2478)</x:f>
        <x:v>308958.59243599995</x:v>
      </x:c>
      <x:c r="H2478" s="14" t="n">
        <x:f>F2478/G2478-1</x:f>
        <x:v>-0.004417679370036454</x:v>
      </x:c>
      <x:c r="I2478" s="14" t="n">
        <x:f>F2478/F2477-1</x:f>
        <x:v>0.0014812849124101746</x:v>
      </x:c>
      <x:c r="J2478" s="12" t="n">
        <x:v>0</x:v>
      </x:c>
      <x:c r="K2478" s="12" t="n">
        <x:v>0</x:v>
      </x:c>
      <x:c r="L2478" s="12" t="n">
        <x:v>0</x:v>
      </x:c>
      <x:c r="M2478" s="2" t="str">
        <x:v>持有</x:v>
      </x:c>
    </x:row>
    <x:row r="2479" ht="23" customHeight="1">
      <x:c r="A2479" s="11" t="d">
        <x:v>2024-10-30T00:00:00.000Z</x:v>
      </x:c>
      <x:c r="B2479" s="12" t="n">
        <x:v>25172.195432</x:v>
      </x:c>
      <x:c r="C2479" s="13" t="n">
        <x:v>484</x:v>
      </x:c>
      <x:c r="D2479" s="12" t="n">
        <x:v>280724.83999999997</x:v>
      </x:c>
      <x:c r="E2479" s="12" t="n">
        <x:v>844.837004</x:v>
      </x:c>
      <x:c r="F2479" s="12" t="n">
        <x:f>SUM(B2479,D2479:E2479)</x:f>
        <x:v>306741.8724359999</x:v>
      </x:c>
      <x:c r="G2479" s="12" t="n">
        <x:f>MAX(G2478,F2479)</x:f>
        <x:v>308958.59243599995</x:v>
      </x:c>
      <x:c r="H2479" s="14" t="n">
        <x:f>F2479/G2479-1</x:f>
        <x:v>-0.007174812593888968</x:v>
      </x:c>
      <x:c r="I2479" s="14" t="n">
        <x:f>F2479/F2478-1</x:f>
        <x:v>-0.002769367401088463</x:v>
      </x:c>
      <x:c r="J2479" s="12" t="n">
        <x:v>0</x:v>
      </x:c>
      <x:c r="K2479" s="12" t="n">
        <x:v>0</x:v>
      </x:c>
      <x:c r="L2479" s="12" t="n">
        <x:v>0</x:v>
      </x:c>
      <x:c r="M2479" s="2" t="str">
        <x:v>持有</x:v>
      </x:c>
    </x:row>
    <x:row r="2480" ht="23" customHeight="1">
      <x:c r="A2480" s="11" t="d">
        <x:v>2024-10-31T00:00:00.000Z</x:v>
      </x:c>
      <x:c r="B2480" s="12" t="n">
        <x:v>26017.032436</x:v>
      </x:c>
      <x:c r="C2480" s="13" t="n">
        <x:v>484</x:v>
      </x:c>
      <x:c r="D2480" s="12" t="n">
        <x:v>275221.76</x:v>
      </x:c>
      <x:c r="E2480" s="12" t="n">
        <x:v>0</x:v>
      </x:c>
      <x:c r="F2480" s="12" t="n">
        <x:f>SUM(B2480,D2480:E2480)</x:f>
        <x:v>301238.792436</x:v>
      </x:c>
      <x:c r="G2480" s="12" t="n">
        <x:f>MAX(G2479,F2480)</x:f>
        <x:v>308958.59243599995</x:v>
      </x:c>
      <x:c r="H2480" s="14" t="n">
        <x:f>F2480/G2480-1</x:f>
        <x:v>-0.02498651984116307</x:v>
      </x:c>
      <x:c r="I2480" s="14" t="n">
        <x:f>F2480/F2479-1</x:f>
        <x:v>-0.017940426444870483</x:v>
      </x:c>
      <x:c r="J2480" s="12" t="n">
        <x:v>0</x:v>
      </x:c>
      <x:c r="K2480" s="12" t="n">
        <x:v>844.837004</x:v>
      </x:c>
      <x:c r="L2480" s="12" t="n">
        <x:v>0</x:v>
      </x:c>
      <x:c r="M2480" s="2" t="str">
        <x:v>持有</x:v>
      </x:c>
    </x:row>
    <x:row r="2481" ht="23" customHeight="1">
      <x:c r="A2481" s="11" t="d">
        <x:v>2024-11-01T00:00:00.000Z</x:v>
      </x:c>
      <x:c r="B2481" s="12" t="n">
        <x:v>26017.032436</x:v>
      </x:c>
      <x:c r="C2481" s="13" t="n">
        <x:v>484</x:v>
      </x:c>
      <x:c r="D2481" s="12" t="n">
        <x:v>276383.36</x:v>
      </x:c>
      <x:c r="E2481" s="12" t="n">
        <x:v>0</x:v>
      </x:c>
      <x:c r="F2481" s="12" t="n">
        <x:f>SUM(B2481,D2481:E2481)</x:f>
        <x:v>302400.392436</x:v>
      </x:c>
      <x:c r="G2481" s="12" t="n">
        <x:f>MAX(G2480,F2481)</x:f>
        <x:v>308958.59243599995</x:v>
      </x:c>
      <x:c r="H2481" s="14" t="n">
        <x:f>F2481/G2481-1</x:f>
        <x:v>-0.02122679271772787</x:v>
      </x:c>
      <x:c r="I2481" s="14" t="n">
        <x:f>F2481/F2480-1</x:f>
        <x:v>0.0038560770696449698</x:v>
      </x:c>
      <x:c r="J2481" s="12" t="n">
        <x:v>0</x:v>
      </x:c>
      <x:c r="K2481" s="12" t="n">
        <x:v>0</x:v>
      </x:c>
      <x:c r="L2481" s="12" t="n">
        <x:v>0</x:v>
      </x:c>
      <x:c r="M2481" s="2" t="str">
        <x:v>持有</x:v>
      </x:c>
    </x:row>
    <x:row r="2482" ht="23" customHeight="1">
      <x:c r="A2482" s="11" t="d">
        <x:v>2024-11-04T00:00:00.000Z</x:v>
      </x:c>
      <x:c r="B2482" s="12" t="n">
        <x:v>26017.032436</x:v>
      </x:c>
      <x:c r="C2482" s="13" t="n">
        <x:v>484</x:v>
      </x:c>
      <x:c r="D2482" s="12" t="n">
        <x:v>275788.04</x:v>
      </x:c>
      <x:c r="E2482" s="12" t="n">
        <x:v>0</x:v>
      </x:c>
      <x:c r="F2482" s="12" t="n">
        <x:f>SUM(B2482,D2482:E2482)</x:f>
        <x:v>301805.072436</x:v>
      </x:c>
      <x:c r="G2482" s="12" t="n">
        <x:f>MAX(G2481,F2482)</x:f>
        <x:v>308958.59243599995</x:v>
      </x:c>
      <x:c r="H2482" s="14" t="n">
        <x:f>F2482/G2482-1</x:f>
        <x:v>-0.023153652868488472</x:v>
      </x:c>
      <x:c r="I2482" s="14" t="n">
        <x:f>F2482/F2481-1</x:f>
        <x:v>-0.001968648238861004</x:v>
      </x:c>
      <x:c r="J2482" s="12" t="n">
        <x:v>0</x:v>
      </x:c>
      <x:c r="K2482" s="12" t="n">
        <x:v>0</x:v>
      </x:c>
      <x:c r="L2482" s="12" t="n">
        <x:v>0</x:v>
      </x:c>
      <x:c r="M2482" s="2" t="str">
        <x:v>持有</x:v>
      </x:c>
    </x:row>
    <x:row r="2483" ht="23" customHeight="1">
      <x:c r="A2483" s="11" t="d">
        <x:v>2024-11-05T00:00:00.000Z</x:v>
      </x:c>
      <x:c r="B2483" s="12" t="n">
        <x:v>26017.032436</x:v>
      </x:c>
      <x:c r="C2483" s="13" t="n">
        <x:v>484</x:v>
      </x:c>
      <x:c r="D2483" s="12" t="n">
        <x:v>279122.80000000005</x:v>
      </x:c>
      <x:c r="E2483" s="12" t="n">
        <x:v>0</x:v>
      </x:c>
      <x:c r="F2483" s="12" t="n">
        <x:f>SUM(B2483,D2483:E2483)</x:f>
        <x:v>305139.83243600006</x:v>
      </x:c>
      <x:c r="G2483" s="12" t="n">
        <x:f>MAX(G2482,F2483)</x:f>
        <x:v>308958.59243599995</x:v>
      </x:c>
      <x:c r="H2483" s="14" t="n">
        <x:f>F2483/G2483-1</x:f>
        <x:v>-0.012360102918292926</x:v>
      </x:c>
      <x:c r="I2483" s="14" t="n">
        <x:f>F2483/F2482-1</x:f>
        <x:v>0.011049383541117397</x:v>
      </x:c>
      <x:c r="J2483" s="12" t="n">
        <x:v>0</x:v>
      </x:c>
      <x:c r="K2483" s="12" t="n">
        <x:v>0</x:v>
      </x:c>
      <x:c r="L2483" s="12" t="n">
        <x:v>0</x:v>
      </x:c>
      <x:c r="M2483" s="2" t="str">
        <x:v>持有</x:v>
      </x:c>
    </x:row>
    <x:row r="2484" ht="23" customHeight="1">
      <x:c r="A2484" s="11" t="d">
        <x:v>2024-11-06T00:00:00.000Z</x:v>
      </x:c>
      <x:c r="B2484" s="12" t="n">
        <x:v>26017.032436</x:v>
      </x:c>
      <x:c r="C2484" s="13" t="n">
        <x:v>484</x:v>
      </x:c>
      <x:c r="D2484" s="12" t="n">
        <x:v>286063.36</x:v>
      </x:c>
      <x:c r="E2484" s="12" t="n">
        <x:v>0</x:v>
      </x:c>
      <x:c r="F2484" s="12" t="n">
        <x:f>SUM(B2484,D2484:E2484)</x:f>
        <x:v>312080.392436</x:v>
      </x:c>
      <x:c r="G2484" s="12" t="n">
        <x:f>MAX(G2483,F2484)</x:f>
        <x:v>312080.392436</x:v>
      </x:c>
      <x:c r="H2484" s="14" t="n">
        <x:f>F2484/G2484-1</x:f>
        <x:v>0</x:v>
      </x:c>
      <x:c r="I2484" s="14" t="n">
        <x:f>F2484/F2483-1</x:f>
        <x:v>0.022745506362089385</x:v>
      </x:c>
      <x:c r="J2484" s="12" t="n">
        <x:v>0</x:v>
      </x:c>
      <x:c r="K2484" s="12" t="n">
        <x:v>0</x:v>
      </x:c>
      <x:c r="L2484" s="12" t="n">
        <x:v>0</x:v>
      </x:c>
      <x:c r="M2484" s="2" t="str">
        <x:v>持有</x:v>
      </x:c>
    </x:row>
    <x:row r="2485" ht="23" customHeight="1">
      <x:c r="A2485" s="11" t="d">
        <x:v>2024-11-07T00:00:00.000Z</x:v>
      </x:c>
      <x:c r="B2485" s="12" t="n">
        <x:v>26017.032436</x:v>
      </x:c>
      <x:c r="C2485" s="13" t="n">
        <x:v>484</x:v>
      </x:c>
      <x:c r="D2485" s="12" t="n">
        <x:v>288275.24</x:v>
      </x:c>
      <x:c r="E2485" s="12" t="n">
        <x:v>0</x:v>
      </x:c>
      <x:c r="F2485" s="12" t="n">
        <x:f>SUM(B2485,D2485:E2485)</x:f>
        <x:v>314292.272436</x:v>
      </x:c>
      <x:c r="G2485" s="12" t="n">
        <x:f>MAX(G2484,F2485)</x:f>
        <x:v>314292.272436</x:v>
      </x:c>
      <x:c r="H2485" s="14" t="n">
        <x:f>F2485/G2485-1</x:f>
        <x:v>0</x:v>
      </x:c>
      <x:c r="I2485" s="14" t="n">
        <x:f>F2485/F2484-1</x:f>
        <x:v>0.00708753274351781</x:v>
      </x:c>
      <x:c r="J2485" s="12" t="n">
        <x:v>0</x:v>
      </x:c>
      <x:c r="K2485" s="12" t="n">
        <x:v>0</x:v>
      </x:c>
      <x:c r="L2485" s="12" t="n">
        <x:v>0</x:v>
      </x:c>
      <x:c r="M2485" s="2" t="str">
        <x:v>持有</x:v>
      </x:c>
    </x:row>
    <x:row r="2486" ht="23" customHeight="1">
      <x:c r="A2486" s="11" t="d">
        <x:v>2024-11-08T00:00:00.000Z</x:v>
      </x:c>
      <x:c r="B2486" s="12" t="n">
        <x:v>26017.032436</x:v>
      </x:c>
      <x:c r="C2486" s="13" t="n">
        <x:v>484</x:v>
      </x:c>
      <x:c r="D2486" s="12" t="n">
        <x:v>289523.96</x:v>
      </x:c>
      <x:c r="E2486" s="12" t="n">
        <x:v>0</x:v>
      </x:c>
      <x:c r="F2486" s="12" t="n">
        <x:f>SUM(B2486,D2486:E2486)</x:f>
        <x:v>315540.99243600003</x:v>
      </x:c>
      <x:c r="G2486" s="12" t="n">
        <x:f>MAX(G2485,F2486)</x:f>
        <x:v>315540.99243600003</x:v>
      </x:c>
      <x:c r="H2486" s="14" t="n">
        <x:f>F2486/G2486-1</x:f>
        <x:v>0</x:v>
      </x:c>
      <x:c r="I2486" s="14" t="n">
        <x:f>F2486/F2485-1</x:f>
        <x:v>0.003973117093594158</x:v>
      </x:c>
      <x:c r="J2486" s="12" t="n">
        <x:v>0</x:v>
      </x:c>
      <x:c r="K2486" s="12" t="n">
        <x:v>0</x:v>
      </x:c>
      <x:c r="L2486" s="12" t="n">
        <x:v>0</x:v>
      </x:c>
      <x:c r="M2486" s="2" t="str">
        <x:v>持有</x:v>
      </x:c>
    </x:row>
    <x:row r="2487" ht="23" customHeight="1">
      <x:c r="A2487" s="11" t="d">
        <x:v>2024-11-11T00:00:00.000Z</x:v>
      </x:c>
      <x:c r="B2487" s="12" t="n">
        <x:v>26017.032436</x:v>
      </x:c>
      <x:c r="C2487" s="13" t="n">
        <x:v>484</x:v>
      </x:c>
      <x:c r="D2487" s="12" t="n">
        <x:v>289799.83999999997</x:v>
      </x:c>
      <x:c r="E2487" s="12" t="n">
        <x:v>0</x:v>
      </x:c>
      <x:c r="F2487" s="12" t="n">
        <x:f>SUM(B2487,D2487:E2487)</x:f>
        <x:v>315816.872436</x:v>
      </x:c>
      <x:c r="G2487" s="12" t="n">
        <x:f>MAX(G2486,F2487)</x:f>
        <x:v>315816.872436</x:v>
      </x:c>
      <x:c r="H2487" s="14" t="n">
        <x:f>F2487/G2487-1</x:f>
        <x:v>0</x:v>
      </x:c>
      <x:c r="I2487" s="14" t="n">
        <x:f>F2487/F2486-1</x:f>
        <x:v>0.0008743079555848521</x:v>
      </x:c>
      <x:c r="J2487" s="12" t="n">
        <x:v>0</x:v>
      </x:c>
      <x:c r="K2487" s="12" t="n">
        <x:v>0</x:v>
      </x:c>
      <x:c r="L2487" s="12" t="n">
        <x:v>0</x:v>
      </x:c>
      <x:c r="M2487" s="2" t="str">
        <x:v>持有</x:v>
      </x:c>
    </x:row>
    <x:row r="2488" ht="23" customHeight="1">
      <x:c r="A2488" s="11" t="d">
        <x:v>2024-11-12T00:00:00.000Z</x:v>
      </x:c>
      <x:c r="B2488" s="12" t="n">
        <x:v>26017.032436</x:v>
      </x:c>
      <x:c r="C2488" s="13" t="n">
        <x:v>484</x:v>
      </x:c>
      <x:c r="D2488" s="12" t="n">
        <x:v>288899.6</x:v>
      </x:c>
      <x:c r="E2488" s="12" t="n">
        <x:v>0</x:v>
      </x:c>
      <x:c r="F2488" s="12" t="n">
        <x:f>SUM(B2488,D2488:E2488)</x:f>
        <x:v>314916.632436</x:v>
      </x:c>
      <x:c r="G2488" s="12" t="n">
        <x:f>MAX(G2487,F2488)</x:f>
        <x:v>315816.872436</x:v>
      </x:c>
      <x:c r="H2488" s="14" t="n">
        <x:f>F2488/G2488-1</x:f>
        <x:v>-0.0028505126817833792</x:v>
      </x:c>
      <x:c r="I2488" s="14" t="n">
        <x:f>F2488/F2487-1</x:f>
        <x:v>-0.0028505126817833792</x:v>
      </x:c>
      <x:c r="J2488" s="12" t="n">
        <x:v>0</x:v>
      </x:c>
      <x:c r="K2488" s="12" t="n">
        <x:v>0</x:v>
      </x:c>
      <x:c r="L2488" s="12" t="n">
        <x:v>0</x:v>
      </x:c>
      <x:c r="M2488" s="2" t="str">
        <x:v>持有</x:v>
      </x:c>
    </x:row>
    <x:row r="2489" ht="23" customHeight="1">
      <x:c r="A2489" s="11" t="d">
        <x:v>2024-11-13T00:00:00.000Z</x:v>
      </x:c>
      <x:c r="B2489" s="12" t="n">
        <x:v>26017.032436</x:v>
      </x:c>
      <x:c r="C2489" s="13" t="n">
        <x:v>484</x:v>
      </x:c>
      <x:c r="D2489" s="12" t="n">
        <x:v>289039.96</x:v>
      </x:c>
      <x:c r="E2489" s="12" t="n">
        <x:v>0</x:v>
      </x:c>
      <x:c r="F2489" s="12" t="n">
        <x:f>SUM(B2489,D2489:E2489)</x:f>
        <x:v>315056.99243600003</x:v>
      </x:c>
      <x:c r="G2489" s="12" t="n">
        <x:f>MAX(G2488,F2489)</x:f>
        <x:v>315816.872436</x:v>
      </x:c>
      <x:c r="H2489" s="14" t="n">
        <x:f>F2489/G2489-1</x:f>
        <x:v>-0.0024060779088170836</x:v>
      </x:c>
      <x:c r="I2489" s="14" t="n">
        <x:f>F2489/F2488-1</x:f>
        <x:v>0.00044570526146658906</x:v>
      </x:c>
      <x:c r="J2489" s="12" t="n">
        <x:v>0</x:v>
      </x:c>
      <x:c r="K2489" s="12" t="n">
        <x:v>0</x:v>
      </x:c>
      <x:c r="L2489" s="12" t="n">
        <x:v>0</x:v>
      </x:c>
      <x:c r="M2489" s="2" t="str">
        <x:v>持有</x:v>
      </x:c>
    </x:row>
    <x:row r="2490" ht="23" customHeight="1">
      <x:c r="A2490" s="11" t="d">
        <x:v>2024-11-14T00:00:00.000Z</x:v>
      </x:c>
      <x:c r="B2490" s="12" t="n">
        <x:v>26017.032436</x:v>
      </x:c>
      <x:c r="C2490" s="13" t="n">
        <x:v>484</x:v>
      </x:c>
      <x:c r="D2490" s="12" t="n">
        <x:v>287181.4</x:v>
      </x:c>
      <x:c r="E2490" s="12" t="n">
        <x:v>0</x:v>
      </x:c>
      <x:c r="F2490" s="12" t="n">
        <x:f>SUM(B2490,D2490:E2490)</x:f>
        <x:v>313198.43243600003</x:v>
      </x:c>
      <x:c r="G2490" s="12" t="n">
        <x:f>MAX(G2489,F2490)</x:f>
        <x:v>315816.872436</x:v>
      </x:c>
      <x:c r="H2490" s="14" t="n">
        <x:f>F2490/G2490-1</x:f>
        <x:v>-0.008291007316369892</x:v>
      </x:c>
      <x:c r="I2490" s="14" t="n">
        <x:f>F2490/F2489-1</x:f>
        <x:v>-0.005899123157463437</x:v>
      </x:c>
      <x:c r="J2490" s="12" t="n">
        <x:v>0</x:v>
      </x:c>
      <x:c r="K2490" s="12" t="n">
        <x:v>0</x:v>
      </x:c>
      <x:c r="L2490" s="12" t="n">
        <x:v>0</x:v>
      </x:c>
      <x:c r="M2490" s="2" t="str">
        <x:v>持有</x:v>
      </x:c>
    </x:row>
    <x:row r="2491" ht="23" customHeight="1">
      <x:c r="A2491" s="11" t="d">
        <x:v>2024-11-15T00:00:00.000Z</x:v>
      </x:c>
      <x:c r="B2491" s="12" t="n">
        <x:v>26017.032436</x:v>
      </x:c>
      <x:c r="C2491" s="13" t="n">
        <x:v>484</x:v>
      </x:c>
      <x:c r="D2491" s="12" t="n">
        <x:v>283503</x:v>
      </x:c>
      <x:c r="E2491" s="12" t="n">
        <x:v>0</x:v>
      </x:c>
      <x:c r="F2491" s="12" t="n">
        <x:f>SUM(B2491,D2491:E2491)</x:f>
        <x:v>309520.032436</x:v>
      </x:c>
      <x:c r="G2491" s="12" t="n">
        <x:f>MAX(G2490,F2491)</x:f>
        <x:v>315816.872436</x:v>
      </x:c>
      <x:c r="H2491" s="14" t="n">
        <x:f>F2491/G2491-1</x:f>
        <x:v>-0.019938263435485104</x:v>
      </x:c>
      <x:c r="I2491" s="14" t="n">
        <x:f>F2491/F2490-1</x:f>
        <x:v>-0.0117446309401682</x:v>
      </x:c>
      <x:c r="J2491" s="12" t="n">
        <x:v>0</x:v>
      </x:c>
      <x:c r="K2491" s="12" t="n">
        <x:v>0</x:v>
      </x:c>
      <x:c r="L2491" s="12" t="n">
        <x:v>0</x:v>
      </x:c>
      <x:c r="M2491" s="2" t="str">
        <x:v>持有</x:v>
      </x:c>
    </x:row>
    <x:row r="2492" ht="23" customHeight="1">
      <x:c r="A2492" s="11" t="d">
        <x:v>2024-11-18T00:00:00.000Z</x:v>
      </x:c>
      <x:c r="B2492" s="12" t="n">
        <x:v>26017.032436</x:v>
      </x:c>
      <x:c r="C2492" s="13" t="n">
        <x:v>484</x:v>
      </x:c>
      <x:c r="D2492" s="12" t="n">
        <x:v>284664.6</x:v>
      </x:c>
      <x:c r="E2492" s="12" t="n">
        <x:v>0</x:v>
      </x:c>
      <x:c r="F2492" s="12" t="n">
        <x:f>SUM(B2492,D2492:E2492)</x:f>
        <x:v>310681.632436</x:v>
      </x:c>
      <x:c r="G2492" s="12" t="n">
        <x:f>MAX(G2491,F2492)</x:f>
        <x:v>315816.872436</x:v>
      </x:c>
      <x:c r="H2492" s="14" t="n">
        <x:f>F2492/G2492-1</x:f>
        <x:v>-0.01626018255576467</x:v>
      </x:c>
      <x:c r="I2492" s="14" t="n">
        <x:f>F2492/F2491-1</x:f>
        <x:v>0.0037529073348108177</x:v>
      </x:c>
      <x:c r="J2492" s="12" t="n">
        <x:v>0</x:v>
      </x:c>
      <x:c r="K2492" s="12" t="n">
        <x:v>0</x:v>
      </x:c>
      <x:c r="L2492" s="12" t="n">
        <x:v>0</x:v>
      </x:c>
      <x:c r="M2492" s="2" t="str">
        <x:v>持有</x:v>
      </x:c>
    </x:row>
    <x:row r="2493" ht="23" customHeight="1">
      <x:c r="A2493" s="11" t="d">
        <x:v>2024-11-19T00:00:00.000Z</x:v>
      </x:c>
      <x:c r="B2493" s="12" t="n">
        <x:v>26017.032436</x:v>
      </x:c>
      <x:c r="C2493" s="13" t="n">
        <x:v>484</x:v>
      </x:c>
      <x:c r="D2493" s="12" t="n">
        <x:v>285705.19999999995</x:v>
      </x:c>
      <x:c r="E2493" s="12" t="n">
        <x:v>0</x:v>
      </x:c>
      <x:c r="F2493" s="12" t="n">
        <x:f>SUM(B2493,D2493:E2493)</x:f>
        <x:v>311722.23243599996</x:v>
      </x:c>
      <x:c r="G2493" s="12" t="n">
        <x:f>MAX(G2492,F2493)</x:f>
        <x:v>315816.872436</x:v>
      </x:c>
      <x:c r="H2493" s="14" t="n">
        <x:f>F2493/G2493-1</x:f>
        <x:v>-0.012965235101014994</x:v>
      </x:c>
      <x:c r="I2493" s="14" t="n">
        <x:f>F2493/F2492-1</x:f>
        <x:v>0.003349409464089792</x:v>
      </x:c>
      <x:c r="J2493" s="12" t="n">
        <x:v>0</x:v>
      </x:c>
      <x:c r="K2493" s="12" t="n">
        <x:v>0</x:v>
      </x:c>
      <x:c r="L2493" s="12" t="n">
        <x:v>0</x:v>
      </x:c>
      <x:c r="M2493" s="2" t="str">
        <x:v>持有</x:v>
      </x:c>
    </x:row>
    <x:row r="2494" ht="23" customHeight="1">
      <x:c r="A2494" s="11" t="d">
        <x:v>2024-11-20T00:00:00.000Z</x:v>
      </x:c>
      <x:c r="B2494" s="12" t="n">
        <x:v>26017.032436</x:v>
      </x:c>
      <x:c r="C2494" s="13" t="n">
        <x:v>484</x:v>
      </x:c>
      <x:c r="D2494" s="12" t="n">
        <x:v>285802</x:v>
      </x:c>
      <x:c r="E2494" s="12" t="n">
        <x:v>0</x:v>
      </x:c>
      <x:c r="F2494" s="12" t="n">
        <x:f>SUM(B2494,D2494:E2494)</x:f>
        <x:v>311819.032436</x:v>
      </x:c>
      <x:c r="G2494" s="12" t="n">
        <x:f>MAX(G2493,F2494)</x:f>
        <x:v>315816.872436</x:v>
      </x:c>
      <x:c r="H2494" s="14" t="n">
        <x:f>F2494/G2494-1</x:f>
        <x:v>-0.012658728361038207</x:v>
      </x:c>
      <x:c r="I2494" s="14" t="n">
        <x:f>F2494/F2493-1</x:f>
        <x:v>0.00031053287166460386</x:v>
      </x:c>
      <x:c r="J2494" s="12" t="n">
        <x:v>0</x:v>
      </x:c>
      <x:c r="K2494" s="12" t="n">
        <x:v>0</x:v>
      </x:c>
      <x:c r="L2494" s="12" t="n">
        <x:v>0</x:v>
      </x:c>
      <x:c r="M2494" s="2" t="str">
        <x:v>持有</x:v>
      </x:c>
    </x:row>
    <x:row r="2495" ht="23" customHeight="1">
      <x:c r="A2495" s="11" t="d">
        <x:v>2024-11-21T00:00:00.000Z</x:v>
      </x:c>
      <x:c r="B2495" s="12" t="n">
        <x:v>26017.032436</x:v>
      </x:c>
      <x:c r="C2495" s="13" t="n">
        <x:v>484</x:v>
      </x:c>
      <x:c r="D2495" s="12" t="n">
        <x:v>287336.27999999997</x:v>
      </x:c>
      <x:c r="E2495" s="12" t="n">
        <x:v>0</x:v>
      </x:c>
      <x:c r="F2495" s="12" t="n">
        <x:f>SUM(B2495,D2495:E2495)</x:f>
        <x:v>313353.312436</x:v>
      </x:c>
      <x:c r="G2495" s="12" t="n">
        <x:f>MAX(G2494,F2495)</x:f>
        <x:v>315816.872436</x:v>
      </x:c>
      <x:c r="H2495" s="14" t="n">
        <x:f>F2495/G2495-1</x:f>
        <x:v>-0.007800596532407389</x:v>
      </x:c>
      <x:c r="I2495" s="14" t="n">
        <x:f>F2495/F2494-1</x:f>
        <x:v>0.004920418064329857</x:v>
      </x:c>
      <x:c r="J2495" s="12" t="n">
        <x:v>0</x:v>
      </x:c>
      <x:c r="K2495" s="12" t="n">
        <x:v>0</x:v>
      </x:c>
      <x:c r="L2495" s="12" t="n">
        <x:v>0</x:v>
      </x:c>
      <x:c r="M2495" s="2" t="str">
        <x:v>持有</x:v>
      </x:c>
    </x:row>
    <x:row r="2496" ht="23" customHeight="1">
      <x:c r="A2496" s="11" t="d">
        <x:v>2024-11-22T00:00:00.000Z</x:v>
      </x:c>
      <x:c r="B2496" s="12" t="n">
        <x:v>26017.032436</x:v>
      </x:c>
      <x:c r="C2496" s="13" t="n">
        <x:v>484</x:v>
      </x:c>
      <x:c r="D2496" s="12" t="n">
        <x:v>288226.83999999997</x:v>
      </x:c>
      <x:c r="E2496" s="12" t="n">
        <x:v>0</x:v>
      </x:c>
      <x:c r="F2496" s="12" t="n">
        <x:f>SUM(B2496,D2496:E2496)</x:f>
        <x:v>314243.872436</x:v>
      </x:c>
      <x:c r="G2496" s="12" t="n">
        <x:f>MAX(G2495,F2496)</x:f>
        <x:v>315816.872436</x:v>
      </x:c>
      <x:c r="H2496" s="14" t="n">
        <x:f>F2496/G2496-1</x:f>
        <x:v>-0.004980734524621555</x:v>
      </x:c>
      <x:c r="I2496" s="14" t="n">
        <x:f>F2496/F2495-1</x:f>
        <x:v>0.002842031549233681</x:v>
      </x:c>
      <x:c r="J2496" s="12" t="n">
        <x:v>0</x:v>
      </x:c>
      <x:c r="K2496" s="12" t="n">
        <x:v>0</x:v>
      </x:c>
      <x:c r="L2496" s="12" t="n">
        <x:v>0</x:v>
      </x:c>
      <x:c r="M2496" s="2" t="str">
        <x:v>持有</x:v>
      </x:c>
    </x:row>
    <x:row r="2497" ht="23" customHeight="1">
      <x:c r="A2497" s="11" t="d">
        <x:v>2024-11-25T00:00:00.000Z</x:v>
      </x:c>
      <x:c r="B2497" s="12" t="n">
        <x:v>26017.032436</x:v>
      </x:c>
      <x:c r="C2497" s="13" t="n">
        <x:v>484</x:v>
      </x:c>
      <x:c r="D2497" s="12" t="n">
        <x:v>289204.51999999996</x:v>
      </x:c>
      <x:c r="E2497" s="12" t="n">
        <x:v>0</x:v>
      </x:c>
      <x:c r="F2497" s="12" t="n">
        <x:f>SUM(B2497,D2497:E2497)</x:f>
        <x:v>315221.55243599997</x:v>
      </x:c>
      <x:c r="G2497" s="12" t="n">
        <x:f>MAX(G2496,F2497)</x:f>
        <x:v>315816.872436</x:v>
      </x:c>
      <x:c r="H2497" s="14" t="n">
        <x:f>F2497/G2497-1</x:f>
        <x:v>-0.0018850164508568135</x:v>
      </x:c>
      <x:c r="I2497" s="14" t="n">
        <x:f>F2497/F2496-1</x:f>
        <x:v>0.003111214205772983</x:v>
      </x:c>
      <x:c r="J2497" s="12" t="n">
        <x:v>0</x:v>
      </x:c>
      <x:c r="K2497" s="12" t="n">
        <x:v>0</x:v>
      </x:c>
      <x:c r="L2497" s="12" t="n">
        <x:v>0</x:v>
      </x:c>
      <x:c r="M2497" s="2" t="str">
        <x:v>持有</x:v>
      </x:c>
    </x:row>
    <x:row r="2498" ht="23" customHeight="1">
      <x:c r="A2498" s="11" t="d">
        <x:v>2024-11-26T00:00:00.000Z</x:v>
      </x:c>
      <x:c r="B2498" s="12" t="n">
        <x:v>26017.032436</x:v>
      </x:c>
      <x:c r="C2498" s="13" t="n">
        <x:v>484</x:v>
      </x:c>
      <x:c r="D2498" s="12" t="n">
        <x:v>290714.6</x:v>
      </x:c>
      <x:c r="E2498" s="12" t="n">
        <x:v>0</x:v>
      </x:c>
      <x:c r="F2498" s="12" t="n">
        <x:f>SUM(B2498,D2498:E2498)</x:f>
        <x:v>316731.632436</x:v>
      </x:c>
      <x:c r="G2498" s="12" t="n">
        <x:f>MAX(G2497,F2498)</x:f>
        <x:v>316731.632436</x:v>
      </x:c>
      <x:c r="H2498" s="14" t="n">
        <x:f>F2498/G2498-1</x:f>
        <x:v>0</x:v>
      </x:c>
      <x:c r="I2498" s="14" t="n">
        <x:f>F2498/F2497-1</x:f>
        <x:v>0.004790535381639538</x:v>
      </x:c>
      <x:c r="J2498" s="12" t="n">
        <x:v>0</x:v>
      </x:c>
      <x:c r="K2498" s="12" t="n">
        <x:v>0</x:v>
      </x:c>
      <x:c r="L2498" s="12" t="n">
        <x:v>0</x:v>
      </x:c>
      <x:c r="M2498" s="2" t="str">
        <x:v>持有</x:v>
      </x:c>
    </x:row>
    <x:row r="2499" ht="23" customHeight="1">
      <x:c r="A2499" s="11" t="d">
        <x:v>2024-11-27T00:00:00.000Z</x:v>
      </x:c>
      <x:c r="B2499" s="12" t="n">
        <x:v>26017.032436</x:v>
      </x:c>
      <x:c r="C2499" s="13" t="n">
        <x:v>484</x:v>
      </x:c>
      <x:c r="D2499" s="12" t="n">
        <x:v>289833.72000000003</x:v>
      </x:c>
      <x:c r="E2499" s="12" t="n">
        <x:v>0</x:v>
      </x:c>
      <x:c r="F2499" s="12" t="n">
        <x:f>SUM(B2499,D2499:E2499)</x:f>
        <x:v>315850.75243600004</x:v>
      </x:c>
      <x:c r="G2499" s="12" t="n">
        <x:f>MAX(G2498,F2499)</x:f>
        <x:v>316731.632436</x:v>
      </x:c>
      <x:c r="H2499" s="14" t="n">
        <x:f>F2499/G2499-1</x:f>
        <x:v>-0.002781155747612063</x:v>
      </x:c>
      <x:c r="I2499" s="14" t="n">
        <x:f>F2499/F2498-1</x:f>
        <x:v>-0.002781155747612063</x:v>
      </x:c>
      <x:c r="J2499" s="12" t="n">
        <x:v>0</x:v>
      </x:c>
      <x:c r="K2499" s="12" t="n">
        <x:v>0</x:v>
      </x:c>
      <x:c r="L2499" s="12" t="n">
        <x:v>0</x:v>
      </x:c>
      <x:c r="M2499" s="2" t="str">
        <x:v>持有</x:v>
      </x:c>
    </x:row>
    <x:row r="2500" ht="23" customHeight="1">
      <x:c r="A2500" s="11" t="d">
        <x:v>2024-11-29T00:00:00.000Z</x:v>
      </x:c>
      <x:c r="B2500" s="12" t="n">
        <x:v>26017.032436</x:v>
      </x:c>
      <x:c r="C2500" s="13" t="n">
        <x:v>484</x:v>
      </x:c>
      <x:c r="D2500" s="12" t="n">
        <x:v>291634.19999999995</x:v>
      </x:c>
      <x:c r="E2500" s="12" t="n">
        <x:v>0</x:v>
      </x:c>
      <x:c r="F2500" s="12" t="n">
        <x:f>SUM(B2500,D2500:E2500)</x:f>
        <x:v>317651.23243599996</x:v>
      </x:c>
      <x:c r="G2500" s="12" t="n">
        <x:f>MAX(G2499,F2500)</x:f>
        <x:v>317651.23243599996</x:v>
      </x:c>
      <x:c r="H2500" s="14" t="n">
        <x:f>F2500/G2500-1</x:f>
        <x:v>0</x:v>
      </x:c>
      <x:c r="I2500" s="14" t="n">
        <x:f>F2500/F2499-1</x:f>
        <x:v>0.005700413838224838</x:v>
      </x:c>
      <x:c r="J2500" s="12" t="n">
        <x:v>0</x:v>
      </x:c>
      <x:c r="K2500" s="12" t="n">
        <x:v>0</x:v>
      </x:c>
      <x:c r="L2500" s="12" t="n">
        <x:v>0</x:v>
      </x:c>
      <x:c r="M2500" s="2" t="str">
        <x:v>持有</x:v>
      </x:c>
    </x:row>
    <x:row r="2501" ht="23" customHeight="1">
      <x:c r="A2501" s="11" t="d">
        <x:v>2024-12-02T00:00:00.000Z</x:v>
      </x:c>
      <x:c r="B2501" s="12" t="n">
        <x:v>26017.032436</x:v>
      </x:c>
      <x:c r="C2501" s="13" t="n">
        <x:v>484</x:v>
      </x:c>
      <x:c r="D2501" s="12" t="n">
        <x:v>292156.92</x:v>
      </x:c>
      <x:c r="E2501" s="12" t="n">
        <x:v>0</x:v>
      </x:c>
      <x:c r="F2501" s="12" t="n">
        <x:f>SUM(B2501,D2501:E2501)</x:f>
        <x:v>318173.952436</x:v>
      </x:c>
      <x:c r="G2501" s="12" t="n">
        <x:f>MAX(G2500,F2501)</x:f>
        <x:v>318173.952436</x:v>
      </x:c>
      <x:c r="H2501" s="14" t="n">
        <x:f>F2501/G2501-1</x:f>
        <x:v>0</x:v>
      </x:c>
      <x:c r="I2501" s="14" t="n">
        <x:f>F2501/F2500-1</x:f>
        <x:v>0.0016455783784983247</x:v>
      </x:c>
      <x:c r="J2501" s="12" t="n">
        <x:v>0</x:v>
      </x:c>
      <x:c r="K2501" s="12" t="n">
        <x:v>0</x:v>
      </x:c>
      <x:c r="L2501" s="12" t="n">
        <x:v>0</x:v>
      </x:c>
      <x:c r="M2501" s="2" t="str">
        <x:v>持有</x:v>
      </x:c>
    </x:row>
    <x:row r="2502" ht="23" customHeight="1">
      <x:c r="A2502" s="11" t="d">
        <x:v>2024-12-03T00:00:00.000Z</x:v>
      </x:c>
      <x:c r="B2502" s="12" t="n">
        <x:v>26017.032436</x:v>
      </x:c>
      <x:c r="C2502" s="13" t="n">
        <x:v>484</x:v>
      </x:c>
      <x:c r="D2502" s="12" t="n">
        <x:v>292292.44</x:v>
      </x:c>
      <x:c r="E2502" s="12" t="n">
        <x:v>0</x:v>
      </x:c>
      <x:c r="F2502" s="12" t="n">
        <x:f>SUM(B2502,D2502:E2502)</x:f>
        <x:v>318309.472436</x:v>
      </x:c>
      <x:c r="G2502" s="12" t="n">
        <x:f>MAX(G2501,F2502)</x:f>
        <x:v>318309.472436</x:v>
      </x:c>
      <x:c r="H2502" s="14" t="n">
        <x:f>F2502/G2502-1</x:f>
        <x:v>0</x:v>
      </x:c>
      <x:c r="I2502" s="14" t="n">
        <x:f>F2502/F2501-1</x:f>
        <x:v>0.0004259305293925486</x:v>
      </x:c>
      <x:c r="J2502" s="12" t="n">
        <x:v>0</x:v>
      </x:c>
      <x:c r="K2502" s="12" t="n">
        <x:v>0</x:v>
      </x:c>
      <x:c r="L2502" s="12" t="n">
        <x:v>0</x:v>
      </x:c>
      <x:c r="M2502" s="2" t="str">
        <x:v>持有</x:v>
      </x:c>
    </x:row>
    <x:row r="2503" ht="23" customHeight="1">
      <x:c r="A2503" s="11" t="d">
        <x:v>2024-12-04T00:00:00.000Z</x:v>
      </x:c>
      <x:c r="B2503" s="12" t="n">
        <x:v>26017.032436</x:v>
      </x:c>
      <x:c r="C2503" s="13" t="n">
        <x:v>484</x:v>
      </x:c>
      <x:c r="D2503" s="12" t="n">
        <x:v>294107.44</x:v>
      </x:c>
      <x:c r="E2503" s="12" t="n">
        <x:v>0</x:v>
      </x:c>
      <x:c r="F2503" s="12" t="n">
        <x:f>SUM(B2503,D2503:E2503)</x:f>
        <x:v>320124.472436</x:v>
      </x:c>
      <x:c r="G2503" s="12" t="n">
        <x:f>MAX(G2502,F2503)</x:f>
        <x:v>320124.472436</x:v>
      </x:c>
      <x:c r="H2503" s="14" t="n">
        <x:f>F2503/G2503-1</x:f>
        <x:v>0</x:v>
      </x:c>
      <x:c r="I2503" s="14" t="n">
        <x:f>F2503/F2502-1</x:f>
        <x:v>0.0057019980778767465</x:v>
      </x:c>
      <x:c r="J2503" s="12" t="n">
        <x:v>0</x:v>
      </x:c>
      <x:c r="K2503" s="12" t="n">
        <x:v>0</x:v>
      </x:c>
      <x:c r="L2503" s="12" t="n">
        <x:v>0</x:v>
      </x:c>
      <x:c r="M2503" s="2" t="str">
        <x:v>持有</x:v>
      </x:c>
    </x:row>
    <x:row r="2504" ht="23" customHeight="1">
      <x:c r="A2504" s="11" t="d">
        <x:v>2024-12-05T00:00:00.000Z</x:v>
      </x:c>
      <x:c r="B2504" s="12" t="n">
        <x:v>26017.032436</x:v>
      </x:c>
      <x:c r="C2504" s="13" t="n">
        <x:v>484</x:v>
      </x:c>
      <x:c r="D2504" s="12" t="n">
        <x:v>293623.44</x:v>
      </x:c>
      <x:c r="E2504" s="12" t="n">
        <x:v>0</x:v>
      </x:c>
      <x:c r="F2504" s="12" t="n">
        <x:f>SUM(B2504,D2504:E2504)</x:f>
        <x:v>319640.472436</x:v>
      </x:c>
      <x:c r="G2504" s="12" t="n">
        <x:f>MAX(G2503,F2504)</x:f>
        <x:v>320124.472436</x:v>
      </x:c>
      <x:c r="H2504" s="14" t="n">
        <x:f>F2504/G2504-1</x:f>
        <x:v>-0.0015119119020079452</x:v>
      </x:c>
      <x:c r="I2504" s="14" t="n">
        <x:f>F2504/F2503-1</x:f>
        <x:v>-0.0015119119020079452</x:v>
      </x:c>
      <x:c r="J2504" s="12" t="n">
        <x:v>0</x:v>
      </x:c>
      <x:c r="K2504" s="12" t="n">
        <x:v>0</x:v>
      </x:c>
      <x:c r="L2504" s="12" t="n">
        <x:v>0</x:v>
      </x:c>
      <x:c r="M2504" s="2" t="str">
        <x:v>持有</x:v>
      </x:c>
    </x:row>
    <x:row r="2505" ht="23" customHeight="1">
      <x:c r="A2505" s="11" t="d">
        <x:v>2024-12-06T00:00:00.000Z</x:v>
      </x:c>
      <x:c r="B2505" s="12" t="n">
        <x:v>26017.032436</x:v>
      </x:c>
      <x:c r="C2505" s="13" t="n">
        <x:v>484</x:v>
      </x:c>
      <x:c r="D2505" s="12" t="n">
        <x:v>294180.04</x:v>
      </x:c>
      <x:c r="E2505" s="12" t="n">
        <x:v>0</x:v>
      </x:c>
      <x:c r="F2505" s="12" t="n">
        <x:f>SUM(B2505,D2505:E2505)</x:f>
        <x:v>320197.072436</x:v>
      </x:c>
      <x:c r="G2505" s="12" t="n">
        <x:f>MAX(G2504,F2505)</x:f>
        <x:v>320197.072436</x:v>
      </x:c>
      <x:c r="H2505" s="14" t="n">
        <x:f>F2505/G2505-1</x:f>
        <x:v>0</x:v>
      </x:c>
      <x:c r="I2505" s="14" t="n">
        <x:f>F2505/F2504-1</x:f>
        <x:v>0.0017413314270189328</x:v>
      </x:c>
      <x:c r="J2505" s="12" t="n">
        <x:v>0</x:v>
      </x:c>
      <x:c r="K2505" s="12" t="n">
        <x:v>0</x:v>
      </x:c>
      <x:c r="L2505" s="12" t="n">
        <x:v>0</x:v>
      </x:c>
      <x:c r="M2505" s="2" t="str">
        <x:v>持有</x:v>
      </x:c>
    </x:row>
    <x:row r="2506" ht="23" customHeight="1">
      <x:c r="A2506" s="11" t="d">
        <x:v>2024-12-09T00:00:00.000Z</x:v>
      </x:c>
      <x:c r="B2506" s="12" t="n">
        <x:v>26017.032436</x:v>
      </x:c>
      <x:c r="C2506" s="13" t="n">
        <x:v>484</x:v>
      </x:c>
      <x:c r="D2506" s="12" t="n">
        <x:v>292665.12</x:v>
      </x:c>
      <x:c r="E2506" s="12" t="n">
        <x:v>0</x:v>
      </x:c>
      <x:c r="F2506" s="12" t="n">
        <x:f>SUM(B2506,D2506:E2506)</x:f>
        <x:v>318682.152436</x:v>
      </x:c>
      <x:c r="G2506" s="12" t="n">
        <x:f>MAX(G2505,F2506)</x:f>
        <x:v>320197.072436</x:v>
      </x:c>
      <x:c r="H2506" s="14" t="n">
        <x:f>F2506/G2506-1</x:f>
        <x:v>-0.004731211277088643</x:v>
      </x:c>
      <x:c r="I2506" s="14" t="n">
        <x:f>F2506/F2505-1</x:f>
        <x:v>-0.004731211277088643</x:v>
      </x:c>
      <x:c r="J2506" s="12" t="n">
        <x:v>0</x:v>
      </x:c>
      <x:c r="K2506" s="12" t="n">
        <x:v>0</x:v>
      </x:c>
      <x:c r="L2506" s="12" t="n">
        <x:v>0</x:v>
      </x:c>
      <x:c r="M2506" s="2" t="str">
        <x:v>持有</x:v>
      </x:c>
    </x:row>
    <x:row r="2507" ht="23" customHeight="1">
      <x:c r="A2507" s="11" t="d">
        <x:v>2024-12-10T00:00:00.000Z</x:v>
      </x:c>
      <x:c r="B2507" s="12" t="n">
        <x:v>26017.032436</x:v>
      </x:c>
      <x:c r="C2507" s="13" t="n">
        <x:v>484</x:v>
      </x:c>
      <x:c r="D2507" s="12" t="n">
        <x:v>291755.19999999995</x:v>
      </x:c>
      <x:c r="E2507" s="12" t="n">
        <x:v>0</x:v>
      </x:c>
      <x:c r="F2507" s="12" t="n">
        <x:f>SUM(B2507,D2507:E2507)</x:f>
        <x:v>317772.23243599996</x:v>
      </x:c>
      <x:c r="G2507" s="12" t="n">
        <x:f>MAX(G2506,F2507)</x:f>
        <x:v>320197.072436</x:v>
      </x:c>
      <x:c r="H2507" s="14" t="n">
        <x:f>F2507/G2507-1</x:f>
        <x:v>-0.007572961181538274</x:v>
      </x:c>
      <x:c r="I2507" s="14" t="n">
        <x:f>F2507/F2506-1</x:f>
        <x:v>-0.00285525873678405</x:v>
      </x:c>
      <x:c r="J2507" s="12" t="n">
        <x:v>0</x:v>
      </x:c>
      <x:c r="K2507" s="12" t="n">
        <x:v>0</x:v>
      </x:c>
      <x:c r="L2507" s="12" t="n">
        <x:v>0</x:v>
      </x:c>
      <x:c r="M2507" s="2" t="str">
        <x:v>持有</x:v>
      </x:c>
    </x:row>
    <x:row r="2508" ht="23" customHeight="1">
      <x:c r="A2508" s="11" t="d">
        <x:v>2024-12-11T00:00:00.000Z</x:v>
      </x:c>
      <x:c r="B2508" s="12" t="n">
        <x:v>26017.032436</x:v>
      </x:c>
      <x:c r="C2508" s="13" t="n">
        <x:v>484</x:v>
      </x:c>
      <x:c r="D2508" s="12" t="n">
        <x:v>294010.64</x:v>
      </x:c>
      <x:c r="E2508" s="12" t="n">
        <x:v>0</x:v>
      </x:c>
      <x:c r="F2508" s="12" t="n">
        <x:f>SUM(B2508,D2508:E2508)</x:f>
        <x:v>320027.672436</x:v>
      </x:c>
      <x:c r="G2508" s="12" t="n">
        <x:f>MAX(G2507,F2508)</x:f>
        <x:v>320197.072436</x:v>
      </x:c>
      <x:c r="H2508" s="14" t="n">
        <x:f>F2508/G2508-1</x:f>
        <x:v>-0.0005290491843389367</x:v>
      </x:c>
      <x:c r="I2508" s="14" t="n">
        <x:f>F2508/F2507-1</x:f>
        <x:v>0.0070976623184164644</x:v>
      </x:c>
      <x:c r="J2508" s="12" t="n">
        <x:v>0</x:v>
      </x:c>
      <x:c r="K2508" s="12" t="n">
        <x:v>0</x:v>
      </x:c>
      <x:c r="L2508" s="12" t="n">
        <x:v>0</x:v>
      </x:c>
      <x:c r="M2508" s="2" t="str">
        <x:v>持有</x:v>
      </x:c>
    </x:row>
    <x:row r="2509" ht="23" customHeight="1">
      <x:c r="A2509" s="11" t="d">
        <x:v>2024-12-12T00:00:00.000Z</x:v>
      </x:c>
      <x:c r="B2509" s="12" t="n">
        <x:v>26017.032436</x:v>
      </x:c>
      <x:c r="C2509" s="13" t="n">
        <x:v>484</x:v>
      </x:c>
      <x:c r="D2509" s="12" t="n">
        <x:v>292495.72000000003</x:v>
      </x:c>
      <x:c r="E2509" s="12" t="n">
        <x:v>0</x:v>
      </x:c>
      <x:c r="F2509" s="12" t="n">
        <x:f>SUM(B2509,D2509:E2509)</x:f>
        <x:v>318512.75243600004</x:v>
      </x:c>
      <x:c r="G2509" s="12" t="n">
        <x:f>MAX(G2508,F2509)</x:f>
        <x:v>320197.072436</x:v>
      </x:c>
      <x:c r="H2509" s="14" t="n">
        <x:f>F2509/G2509-1</x:f>
        <x:v>-0.005260260461427579</x:v>
      </x:c>
      <x:c r="I2509" s="14" t="n">
        <x:f>F2509/F2508-1</x:f>
        <x:v>-0.0047337156454898555</x:v>
      </x:c>
      <x:c r="J2509" s="12" t="n">
        <x:v>0</x:v>
      </x:c>
      <x:c r="K2509" s="12" t="n">
        <x:v>0</x:v>
      </x:c>
      <x:c r="L2509" s="12" t="n">
        <x:v>0</x:v>
      </x:c>
      <x:c r="M2509" s="2" t="str">
        <x:v>持有</x:v>
      </x:c>
    </x:row>
    <x:row r="2510" ht="23" customHeight="1">
      <x:c r="A2510" s="11" t="d">
        <x:v>2024-12-13T00:00:00.000Z</x:v>
      </x:c>
      <x:c r="B2510" s="12" t="n">
        <x:v>26017.032436</x:v>
      </x:c>
      <x:c r="C2510" s="13" t="n">
        <x:v>484</x:v>
      </x:c>
      <x:c r="D2510" s="12" t="n">
        <x:v>292437.64</x:v>
      </x:c>
      <x:c r="E2510" s="12" t="n">
        <x:v>0</x:v>
      </x:c>
      <x:c r="F2510" s="12" t="n">
        <x:f>SUM(B2510,D2510:E2510)</x:f>
        <x:v>318454.672436</x:v>
      </x:c>
      <x:c r="G2510" s="12" t="n">
        <x:f>MAX(G2509,F2510)</x:f>
        <x:v>320197.072436</x:v>
      </x:c>
      <x:c r="H2510" s="14" t="n">
        <x:f>F2510/G2510-1</x:f>
        <x:v>-0.005441648753200967</x:v>
      </x:c>
      <x:c r="I2510" s="14" t="n">
        <x:f>F2510/F2509-1</x:f>
        <x:v>-0.00018234748704981651</x:v>
      </x:c>
      <x:c r="J2510" s="12" t="n">
        <x:v>0</x:v>
      </x:c>
      <x:c r="K2510" s="12" t="n">
        <x:v>0</x:v>
      </x:c>
      <x:c r="L2510" s="12" t="n">
        <x:v>0</x:v>
      </x:c>
      <x:c r="M2510" s="2" t="str">
        <x:v>持有</x:v>
      </x:c>
    </x:row>
    <x:row r="2511" ht="23" customHeight="1">
      <x:c r="A2511" s="11" t="d">
        <x:v>2024-12-16T00:00:00.000Z</x:v>
      </x:c>
      <x:c r="B2511" s="12" t="n">
        <x:v>26017.032436</x:v>
      </x:c>
      <x:c r="C2511" s="13" t="n">
        <x:v>484</x:v>
      </x:c>
      <x:c r="D2511" s="12" t="n">
        <x:v>293686.36</x:v>
      </x:c>
      <x:c r="E2511" s="12" t="n">
        <x:v>0</x:v>
      </x:c>
      <x:c r="F2511" s="12" t="n">
        <x:f>SUM(B2511,D2511:E2511)</x:f>
        <x:v>319703.392436</x:v>
      </x:c>
      <x:c r="G2511" s="12" t="n">
        <x:f>MAX(G2510,F2511)</x:f>
        <x:v>320197.072436</x:v>
      </x:c>
      <x:c r="H2511" s="14" t="n">
        <x:f>F2511/G2511-1</x:f>
        <x:v>-0.001541800480073574</x:v>
      </x:c>
      <x:c r="I2511" s="14" t="n">
        <x:f>F2511/F2510-1</x:f>
        <x:v>0.003921185989980813</x:v>
      </x:c>
      <x:c r="J2511" s="12" t="n">
        <x:v>0</x:v>
      </x:c>
      <x:c r="K2511" s="12" t="n">
        <x:v>0</x:v>
      </x:c>
      <x:c r="L2511" s="12" t="n">
        <x:v>0</x:v>
      </x:c>
      <x:c r="M2511" s="2" t="str">
        <x:v>持有</x:v>
      </x:c>
    </x:row>
    <x:row r="2512" ht="23" customHeight="1">
      <x:c r="A2512" s="11" t="d">
        <x:v>2024-12-17T00:00:00.000Z</x:v>
      </x:c>
      <x:c r="B2512" s="12" t="n">
        <x:v>26017.032436</x:v>
      </x:c>
      <x:c r="C2512" s="13" t="n">
        <x:v>484</x:v>
      </x:c>
      <x:c r="D2512" s="12" t="n">
        <x:v>292476.36</x:v>
      </x:c>
      <x:c r="E2512" s="12" t="n">
        <x:v>0</x:v>
      </x:c>
      <x:c r="F2512" s="12" t="n">
        <x:f>SUM(B2512,D2512:E2512)</x:f>
        <x:v>318493.392436</x:v>
      </x:c>
      <x:c r="G2512" s="12" t="n">
        <x:f>MAX(G2511,F2512)</x:f>
        <x:v>320197.072436</x:v>
      </x:c>
      <x:c r="H2512" s="14" t="n">
        <x:f>F2512/G2512-1</x:f>
        <x:v>-0.005320723225352153</x:v>
      </x:c>
      <x:c r="I2512" s="14" t="n">
        <x:f>F2512/F2511-1</x:f>
        <x:v>-0.003784758087114204</x:v>
      </x:c>
      <x:c r="J2512" s="12" t="n">
        <x:v>0</x:v>
      </x:c>
      <x:c r="K2512" s="12" t="n">
        <x:v>0</x:v>
      </x:c>
      <x:c r="L2512" s="12" t="n">
        <x:v>0</x:v>
      </x:c>
      <x:c r="M2512" s="2" t="str">
        <x:v>持有</x:v>
      </x:c>
    </x:row>
    <x:row r="2513" ht="23" customHeight="1">
      <x:c r="A2513" s="11" t="d">
        <x:v>2024-12-18T00:00:00.000Z</x:v>
      </x:c>
      <x:c r="B2513" s="12" t="n">
        <x:v>26017.032436</x:v>
      </x:c>
      <x:c r="C2513" s="13" t="n">
        <x:v>484</x:v>
      </x:c>
      <x:c r="D2513" s="12" t="n">
        <x:v>283759.51999999996</x:v>
      </x:c>
      <x:c r="E2513" s="12" t="n">
        <x:v>0</x:v>
      </x:c>
      <x:c r="F2513" s="12" t="n">
        <x:f>SUM(B2513,D2513:E2513)</x:f>
        <x:v>309776.55243599997</x:v>
      </x:c>
      <x:c r="G2513" s="12" t="n">
        <x:f>MAX(G2512,F2513)</x:f>
        <x:v>320197.072436</x:v>
      </x:c>
      <x:c r="H2513" s="14" t="n">
        <x:f>F2513/G2513-1</x:f>
        <x:v>-0.03254408268233888</x:v>
      </x:c>
      <x:c r="I2513" s="14" t="n">
        <x:f>F2513/F2512-1</x:f>
        <x:v>-0.027368982236426254</x:v>
      </x:c>
      <x:c r="J2513" s="12" t="n">
        <x:v>0</x:v>
      </x:c>
      <x:c r="K2513" s="12" t="n">
        <x:v>0</x:v>
      </x:c>
      <x:c r="L2513" s="12" t="n">
        <x:v>0</x:v>
      </x:c>
      <x:c r="M2513" s="2" t="str">
        <x:v>持有</x:v>
      </x:c>
    </x:row>
    <x:row r="2514" ht="23" customHeight="1">
      <x:c r="A2514" s="11" t="d">
        <x:v>2024-12-19T00:00:00.000Z</x:v>
      </x:c>
      <x:c r="B2514" s="12" t="n">
        <x:v>26017.032436</x:v>
      </x:c>
      <x:c r="C2514" s="13" t="n">
        <x:v>484</x:v>
      </x:c>
      <x:c r="D2514" s="12" t="n">
        <x:v>283672.4</x:v>
      </x:c>
      <x:c r="E2514" s="12" t="n">
        <x:v>0</x:v>
      </x:c>
      <x:c r="F2514" s="12" t="n">
        <x:f>SUM(B2514,D2514:E2514)</x:f>
        <x:v>309689.43243600003</x:v>
      </x:c>
      <x:c r="G2514" s="12" t="n">
        <x:f>MAX(G2513,F2514)</x:f>
        <x:v>320197.072436</x:v>
      </x:c>
      <x:c r="H2514" s="14" t="n">
        <x:f>F2514/G2514-1</x:f>
        <x:v>-0.03281616511999874</x:v>
      </x:c>
      <x:c r="I2514" s="14" t="n">
        <x:f>F2514/F2513-1</x:f>
        <x:v>-0.00028123497183651924</x:v>
      </x:c>
      <x:c r="J2514" s="12" t="n">
        <x:v>0</x:v>
      </x:c>
      <x:c r="K2514" s="12" t="n">
        <x:v>0</x:v>
      </x:c>
      <x:c r="L2514" s="12" t="n">
        <x:v>0</x:v>
      </x:c>
      <x:c r="M2514" s="2" t="str">
        <x:v>持有</x:v>
      </x:c>
    </x:row>
    <x:row r="2515" ht="23" customHeight="1">
      <x:c r="A2515" s="11" t="d">
        <x:v>2024-12-20T00:00:00.000Z</x:v>
      </x:c>
      <x:c r="B2515" s="12" t="n">
        <x:v>26017.032436</x:v>
      </x:c>
      <x:c r="C2515" s="13" t="n">
        <x:v>484</x:v>
      </x:c>
      <x:c r="D2515" s="12" t="n">
        <x:v>286116.6</x:v>
      </x:c>
      <x:c r="E2515" s="12" t="n">
        <x:v>951.325232</x:v>
      </x:c>
      <x:c r="F2515" s="12" t="n">
        <x:f>SUM(B2515,D2515:E2515)</x:f>
        <x:v>313084.95766799996</x:v>
      </x:c>
      <x:c r="G2515" s="12" t="n">
        <x:f>MAX(G2514,F2515)</x:f>
        <x:v>320197.072436</x:v>
      </x:c>
      <x:c r="H2515" s="14" t="n">
        <x:f>F2515/G2515-1</x:f>
        <x:v>-0.022211679556881525</x:v>
      </x:c>
      <x:c r="I2515" s="14" t="n">
        <x:f>F2515/F2514-1</x:f>
        <x:v>0.010964291565556117</x:v>
      </x:c>
      <x:c r="J2515" s="12" t="n">
        <x:v>951.325232</x:v>
      </x:c>
      <x:c r="K2515" s="12" t="n">
        <x:v>0</x:v>
      </x:c>
      <x:c r="L2515" s="12" t="n">
        <x:v>0</x:v>
      </x:c>
      <x:c r="M2515" s="2" t="str">
        <x:v>持有</x:v>
      </x:c>
    </x:row>
    <x:row r="2516" ht="23" customHeight="1">
      <x:c r="A2516" s="11" t="d">
        <x:v>2024-12-23T00:00:00.000Z</x:v>
      </x:c>
      <x:c r="B2516" s="12" t="n">
        <x:v>26017.032436</x:v>
      </x:c>
      <x:c r="C2516" s="13" t="n">
        <x:v>484</x:v>
      </x:c>
      <x:c r="D2516" s="12" t="n">
        <x:v>287829.96</x:v>
      </x:c>
      <x:c r="E2516" s="12" t="n">
        <x:v>951.325232</x:v>
      </x:c>
      <x:c r="F2516" s="12" t="n">
        <x:f>SUM(B2516,D2516:E2516)</x:f>
        <x:v>314798.317668</x:v>
      </x:c>
      <x:c r="G2516" s="12" t="n">
        <x:f>MAX(G2515,F2516)</x:f>
        <x:v>320197.072436</x:v>
      </x:c>
      <x:c r="H2516" s="14" t="n">
        <x:f>F2516/G2516-1</x:f>
        <x:v>-0.01686072494956703</x:v>
      </x:c>
      <x:c r="I2516" s="14" t="n">
        <x:f>F2516/F2515-1</x:f>
        <x:v>0.005472508205957682</x:v>
      </x:c>
      <x:c r="J2516" s="12" t="n">
        <x:v>0</x:v>
      </x:c>
      <x:c r="K2516" s="12" t="n">
        <x:v>0</x:v>
      </x:c>
      <x:c r="L2516" s="12" t="n">
        <x:v>0</x:v>
      </x:c>
      <x:c r="M2516" s="2" t="str">
        <x:v>持有</x:v>
      </x:c>
    </x:row>
    <x:row r="2517" ht="23" customHeight="1">
      <x:c r="A2517" s="11" t="d">
        <x:v>2024-12-24T00:00:00.000Z</x:v>
      </x:c>
      <x:c r="B2517" s="12" t="n">
        <x:v>26017.032436</x:v>
      </x:c>
      <x:c r="C2517" s="13" t="n">
        <x:v>484</x:v>
      </x:c>
      <x:c r="D2517" s="12" t="n">
        <x:v>291029.19999999995</x:v>
      </x:c>
      <x:c r="E2517" s="12" t="n">
        <x:v>951.325232</x:v>
      </x:c>
      <x:c r="F2517" s="12" t="n">
        <x:f>SUM(B2517,D2517:E2517)</x:f>
        <x:v>317997.55766799994</x:v>
      </x:c>
      <x:c r="G2517" s="12" t="n">
        <x:f>MAX(G2516,F2517)</x:f>
        <x:v>320197.072436</x:v>
      </x:c>
      <x:c r="H2517" s="14" t="n">
        <x:f>F2517/G2517-1</x:f>
        <x:v>-0.0068692532110508076</x:v>
      </x:c>
      <x:c r="I2517" s="14" t="n">
        <x:f>F2517/F2516-1</x:f>
        <x:v>0.010162824324156716</x:v>
      </x:c>
      <x:c r="J2517" s="12" t="n">
        <x:v>0</x:v>
      </x:c>
      <x:c r="K2517" s="12" t="n">
        <x:v>0</x:v>
      </x:c>
      <x:c r="L2517" s="12" t="n">
        <x:v>0</x:v>
      </x:c>
      <x:c r="M2517" s="2" t="str">
        <x:v>持有</x:v>
      </x:c>
    </x:row>
    <x:row r="2518" ht="23" customHeight="1">
      <x:c r="A2518" s="11" t="d">
        <x:v>2024-12-26T00:00:00.000Z</x:v>
      </x:c>
      <x:c r="B2518" s="12" t="n">
        <x:v>26017.032436</x:v>
      </x:c>
      <x:c r="C2518" s="13" t="n">
        <x:v>484</x:v>
      </x:c>
      <x:c r="D2518" s="12" t="n">
        <x:v>291048.56</x:v>
      </x:c>
      <x:c r="E2518" s="12" t="n">
        <x:v>951.325232</x:v>
      </x:c>
      <x:c r="F2518" s="12" t="n">
        <x:f>SUM(B2518,D2518:E2518)</x:f>
        <x:v>318016.917668</x:v>
      </x:c>
      <x:c r="G2518" s="12" t="n">
        <x:f>MAX(G2517,F2518)</x:f>
        <x:v>320197.072436</x:v>
      </x:c>
      <x:c r="H2518" s="14" t="n">
        <x:f>F2518/G2518-1</x:f>
        <x:v>-0.006808790447126234</x:v>
      </x:c>
      <x:c r="I2518" s="14" t="n">
        <x:f>F2518/F2517-1</x:f>
        <x:v>0.00006088097072831644</x:v>
      </x:c>
      <x:c r="J2518" s="12" t="n">
        <x:v>0</x:v>
      </x:c>
      <x:c r="K2518" s="12" t="n">
        <x:v>0</x:v>
      </x:c>
      <x:c r="L2518" s="12" t="n">
        <x:v>0</x:v>
      </x:c>
      <x:c r="M2518" s="2" t="str">
        <x:v>持有</x:v>
      </x:c>
    </x:row>
    <x:row r="2519" ht="23" customHeight="1">
      <x:c r="A2519" s="11" t="d">
        <x:v>2024-12-27T00:00:00.000Z</x:v>
      </x:c>
      <x:c r="B2519" s="12" t="n">
        <x:v>26017.032436</x:v>
      </x:c>
      <x:c r="C2519" s="13" t="n">
        <x:v>484</x:v>
      </x:c>
      <x:c r="D2519" s="12" t="n">
        <x:v>287984.83999999997</x:v>
      </x:c>
      <x:c r="E2519" s="12" t="n">
        <x:v>951.325232</x:v>
      </x:c>
      <x:c r="F2519" s="12" t="n">
        <x:f>SUM(B2519,D2519:E2519)</x:f>
        <x:v>314953.19766799995</x:v>
      </x:c>
      <x:c r="G2519" s="12" t="n">
        <x:f>MAX(G2518,F2519)</x:f>
        <x:v>320197.072436</x:v>
      </x:c>
      <x:c r="H2519" s="14" t="n">
        <x:f>F2519/G2519-1</x:f>
        <x:v>-0.01637702283817155</x:v>
      </x:c>
      <x:c r="I2519" s="14" t="n">
        <x:f>F2519/F2518-1</x:f>
        <x:v>-0.00963382710097982</x:v>
      </x:c>
      <x:c r="J2519" s="12" t="n">
        <x:v>0</x:v>
      </x:c>
      <x:c r="K2519" s="12" t="n">
        <x:v>0</x:v>
      </x:c>
      <x:c r="L2519" s="12" t="n">
        <x:v>0</x:v>
      </x:c>
      <x:c r="M2519" s="2" t="str">
        <x:v>持有</x:v>
      </x:c>
    </x:row>
    <x:row r="2520" ht="23" customHeight="1">
      <x:c r="A2520" s="11" t="d">
        <x:v>2024-12-30T00:00:00.000Z</x:v>
      </x:c>
      <x:c r="B2520" s="12" t="n">
        <x:v>26017.032436</x:v>
      </x:c>
      <x:c r="C2520" s="13" t="n">
        <x:v>484</x:v>
      </x:c>
      <x:c r="D2520" s="12" t="n">
        <x:v>284698.48000000004</x:v>
      </x:c>
      <x:c r="E2520" s="12" t="n">
        <x:v>951.325232</x:v>
      </x:c>
      <x:c r="F2520" s="12" t="n">
        <x:f>SUM(B2520,D2520:E2520)</x:f>
        <x:v>311666.837668</x:v>
      </x:c>
      <x:c r="G2520" s="12" t="n">
        <x:f>MAX(G2519,F2520)</x:f>
        <x:v>320197.072436</x:v>
      </x:c>
      <x:c r="H2520" s="14" t="n">
        <x:f>F2520/G2520-1</x:f>
        <x:v>-0.026640577014347855</x:v>
      </x:c>
      <x:c r="I2520" s="14" t="n">
        <x:f>F2520/F2519-1</x:f>
        <x:v>-0.010434439225678771</x:v>
      </x:c>
      <x:c r="J2520" s="12" t="n">
        <x:v>0</x:v>
      </x:c>
      <x:c r="K2520" s="12" t="n">
        <x:v>0</x:v>
      </x:c>
      <x:c r="L2520" s="12" t="n">
        <x:v>0</x:v>
      </x:c>
      <x:c r="M2520" s="2" t="str">
        <x:v>持有</x:v>
      </x:c>
    </x:row>
    <x:row r="2521" ht="23" customHeight="1">
      <x:c r="A2521" s="11" t="d">
        <x:v>2024-12-31T00:00:00.000Z</x:v>
      </x:c>
      <x:c r="B2521" s="12" t="n">
        <x:v>26017.032436</x:v>
      </x:c>
      <x:c r="C2521" s="13" t="n">
        <x:v>484</x:v>
      </x:c>
      <x:c r="D2521" s="12" t="n">
        <x:v>283662.72000000003</x:v>
      </x:c>
      <x:c r="E2521" s="12" t="n">
        <x:v>951.325232</x:v>
      </x:c>
      <x:c r="F2521" s="12" t="n">
        <x:f>SUM(B2521,D2521:E2521)</x:f>
        <x:v>310631.077668</x:v>
      </x:c>
      <x:c r="G2521" s="12" t="n">
        <x:f>MAX(G2520,F2521)</x:f>
        <x:v>320197.072436</x:v>
      </x:c>
      <x:c r="H2521" s="14" t="n">
        <x:f>F2521/G2521-1</x:f>
        <x:v>-0.02987533488430627</x:v>
      </x:c>
      <x:c r="I2521" s="14" t="n">
        <x:f>F2521/F2520-1</x:f>
        <x:v>-0.003323292294264979</x:v>
      </x:c>
      <x:c r="J2521" s="12" t="n">
        <x:v>0</x:v>
      </x:c>
      <x:c r="K2521" s="12" t="n">
        <x:v>0</x:v>
      </x:c>
      <x:c r="L2521" s="12" t="n">
        <x:v>0</x:v>
      </x:c>
      <x:c r="M2521" s="2" t="str">
        <x:v>持有</x:v>
      </x:c>
    </x:row>
    <x:row r="2522" ht="23" customHeight="1">
      <x:c r="A2522" s="11" t="d">
        <x:v>2025-01-02T00:00:00.000Z</x:v>
      </x:c>
      <x:c r="B2522" s="12" t="n">
        <x:v>26017.032436</x:v>
      </x:c>
      <x:c r="C2522" s="13" t="n">
        <x:v>484</x:v>
      </x:c>
      <x:c r="D2522" s="12" t="n">
        <x:v>282965.76</x:v>
      </x:c>
      <x:c r="E2522" s="12" t="n">
        <x:v>951.325232</x:v>
      </x:c>
      <x:c r="F2522" s="12" t="n">
        <x:f>SUM(B2522,D2522:E2522)</x:f>
        <x:v>309934.117668</x:v>
      </x:c>
      <x:c r="G2522" s="12" t="n">
        <x:f>MAX(G2521,F2522)</x:f>
        <x:v>320197.072436</x:v>
      </x:c>
      <x:c r="H2522" s="14" t="n">
        <x:f>F2522/G2522-1</x:f>
        <x:v>-0.03205199438558681</x:v>
      </x:c>
      <x:c r="I2522" s="14" t="n">
        <x:f>F2522/F2521-1</x:f>
        <x:v>-0.0022436905065401636</x:v>
      </x:c>
      <x:c r="J2522" s="12" t="n">
        <x:v>0</x:v>
      </x:c>
      <x:c r="K2522" s="12" t="n">
        <x:v>0</x:v>
      </x:c>
      <x:c r="L2522" s="12" t="n">
        <x:v>0</x:v>
      </x:c>
      <x:c r="M2522" s="2" t="str">
        <x:v>持有</x:v>
      </x:c>
    </x:row>
    <x:row r="2523" ht="23" customHeight="1">
      <x:c r="A2523" s="11" t="d">
        <x:v>2025-01-03T00:00:00.000Z</x:v>
      </x:c>
      <x:c r="B2523" s="12" t="n">
        <x:v>26017.032436</x:v>
      </x:c>
      <x:c r="C2523" s="13" t="n">
        <x:v>484</x:v>
      </x:c>
      <x:c r="D2523" s="12" t="n">
        <x:v>286503.80000000005</x:v>
      </x:c>
      <x:c r="E2523" s="12" t="n">
        <x:v>951.325232</x:v>
      </x:c>
      <x:c r="F2523" s="12" t="n">
        <x:f>SUM(B2523,D2523:E2523)</x:f>
        <x:v>313472.157668</x:v>
      </x:c>
      <x:c r="G2523" s="12" t="n">
        <x:f>MAX(G2522,F2523)</x:f>
        <x:v>320197.072436</x:v>
      </x:c>
      <x:c r="H2523" s="14" t="n">
        <x:f>F2523/G2523-1</x:f>
        <x:v>-0.021002424278392273</x:v>
      </x:c>
      <x:c r="I2523" s="14" t="n">
        <x:f>F2523/F2522-1</x:f>
        <x:v>0.01141545831295021</x:v>
      </x:c>
      <x:c r="J2523" s="12" t="n">
        <x:v>0</x:v>
      </x:c>
      <x:c r="K2523" s="12" t="n">
        <x:v>0</x:v>
      </x:c>
      <x:c r="L2523" s="12" t="n">
        <x:v>0</x:v>
      </x:c>
      <x:c r="M2523" s="2" t="str">
        <x:v>持有</x:v>
      </x:c>
    </x:row>
    <x:row r="2524" ht="23" customHeight="1">
      <x:c r="A2524" s="11" t="d">
        <x:v>2025-01-06T00:00:00.000Z</x:v>
      </x:c>
      <x:c r="B2524" s="12" t="n">
        <x:v>26017.032436</x:v>
      </x:c>
      <x:c r="C2524" s="13" t="n">
        <x:v>484</x:v>
      </x:c>
      <x:c r="D2524" s="12" t="n">
        <x:v>288154.24</x:v>
      </x:c>
      <x:c r="E2524" s="12" t="n">
        <x:v>951.325232</x:v>
      </x:c>
      <x:c r="F2524" s="12" t="n">
        <x:f>SUM(B2524,D2524:E2524)</x:f>
        <x:v>315122.597668</x:v>
      </x:c>
      <x:c r="G2524" s="12" t="n">
        <x:f>MAX(G2523,F2524)</x:f>
        <x:v>320197.072436</x:v>
      </x:c>
      <x:c r="H2524" s="14" t="n">
        <x:f>F2524/G2524-1</x:f>
        <x:v>-0.015847973653832503</x:v>
      </x:c>
      <x:c r="I2524" s="14" t="n">
        <x:f>F2524/F2523-1</x:f>
        <x:v>0.005265028997401222</x:v>
      </x:c>
      <x:c r="J2524" s="12" t="n">
        <x:v>0</x:v>
      </x:c>
      <x:c r="K2524" s="12" t="n">
        <x:v>0</x:v>
      </x:c>
      <x:c r="L2524" s="12" t="n">
        <x:v>0</x:v>
      </x:c>
      <x:c r="M2524" s="2" t="str">
        <x:v>持有</x:v>
      </x:c>
    </x:row>
    <x:row r="2525" ht="23" customHeight="1">
      <x:c r="A2525" s="11" t="d">
        <x:v>2025-01-07T00:00:00.000Z</x:v>
      </x:c>
      <x:c r="B2525" s="12" t="n">
        <x:v>26017.032436</x:v>
      </x:c>
      <x:c r="C2525" s="13" t="n">
        <x:v>484</x:v>
      </x:c>
      <x:c r="D2525" s="12" t="n">
        <x:v>284896.92</x:v>
      </x:c>
      <x:c r="E2525" s="12" t="n">
        <x:v>951.325232</x:v>
      </x:c>
      <x:c r="F2525" s="12" t="n">
        <x:f>SUM(B2525,D2525:E2525)</x:f>
        <x:v>311865.27766799997</x:v>
      </x:c>
      <x:c r="G2525" s="12" t="n">
        <x:f>MAX(G2524,F2525)</x:f>
        <x:v>320197.072436</x:v>
      </x:c>
      <x:c r="H2525" s="14" t="n">
        <x:f>F2525/G2525-1</x:f>
        <x:v>-0.026020833684122335</x:v>
      </x:c>
      <x:c r="I2525" s="14" t="n">
        <x:f>F2525/F2524-1</x:f>
        <x:v>-0.010336675389531313</x:v>
      </x:c>
      <x:c r="J2525" s="12" t="n">
        <x:v>0</x:v>
      </x:c>
      <x:c r="K2525" s="12" t="n">
        <x:v>0</x:v>
      </x:c>
      <x:c r="L2525" s="12" t="n">
        <x:v>0</x:v>
      </x:c>
      <x:c r="M2525" s="2" t="str">
        <x:v>持有</x:v>
      </x:c>
    </x:row>
    <x:row r="2526" ht="23" customHeight="1">
      <x:c r="A2526" s="11" t="d">
        <x:v>2025-01-08T00:00:00.000Z</x:v>
      </x:c>
      <x:c r="B2526" s="12" t="n">
        <x:v>26017.032436</x:v>
      </x:c>
      <x:c r="C2526" s="13" t="n">
        <x:v>484</x:v>
      </x:c>
      <x:c r="D2526" s="12" t="n">
        <x:v>285313.16000000003</x:v>
      </x:c>
      <x:c r="E2526" s="12" t="n">
        <x:v>951.325232</x:v>
      </x:c>
      <x:c r="F2526" s="12" t="n">
        <x:f>SUM(B2526,D2526:E2526)</x:f>
        <x:v>312281.517668</x:v>
      </x:c>
      <x:c r="G2526" s="12" t="n">
        <x:f>MAX(G2525,F2526)</x:f>
        <x:v>320197.072436</x:v>
      </x:c>
      <x:c r="H2526" s="14" t="n">
        <x:f>F2526/G2526-1</x:f>
        <x:v>-0.02472088425974639</x:v>
      </x:c>
      <x:c r="I2526" s="14" t="n">
        <x:f>F2526/F2525-1</x:f>
        <x:v>0.0013346788815751243</x:v>
      </x:c>
      <x:c r="J2526" s="12" t="n">
        <x:v>0</x:v>
      </x:c>
      <x:c r="K2526" s="12" t="n">
        <x:v>0</x:v>
      </x:c>
      <x:c r="L2526" s="12" t="n">
        <x:v>0</x:v>
      </x:c>
      <x:c r="M2526" s="2" t="str">
        <x:v>持有</x:v>
      </x:c>
    </x:row>
    <x:row r="2527" ht="23" customHeight="1">
      <x:c r="A2527" s="11" t="d">
        <x:v>2025-01-10T00:00:00.000Z</x:v>
      </x:c>
      <x:c r="B2527" s="12" t="n">
        <x:v>26017.032436</x:v>
      </x:c>
      <x:c r="C2527" s="13" t="n">
        <x:v>484</x:v>
      </x:c>
      <x:c r="D2527" s="12" t="n">
        <x:v>280957.16000000003</x:v>
      </x:c>
      <x:c r="E2527" s="12" t="n">
        <x:v>951.325232</x:v>
      </x:c>
      <x:c r="F2527" s="12" t="n">
        <x:f>SUM(B2527,D2527:E2527)</x:f>
        <x:v>307925.517668</x:v>
      </x:c>
      <x:c r="G2527" s="12" t="n">
        <x:f>MAX(G2526,F2527)</x:f>
        <x:v>320197.072436</x:v>
      </x:c>
      <x:c r="H2527" s="14" t="n">
        <x:f>F2527/G2527-1</x:f>
        <x:v>-0.03832500614274903</x:v>
      </x:c>
      <x:c r="I2527" s="14" t="n">
        <x:f>F2527/F2526-1</x:f>
        <x:v>-0.013948952318820984</x:v>
      </x:c>
      <x:c r="J2527" s="12" t="n">
        <x:v>0</x:v>
      </x:c>
      <x:c r="K2527" s="12" t="n">
        <x:v>0</x:v>
      </x:c>
      <x:c r="L2527" s="12" t="n">
        <x:v>0</x:v>
      </x:c>
      <x:c r="M2527" s="2" t="str">
        <x:v>持有</x:v>
      </x:c>
    </x:row>
    <x:row r="2528" ht="23" customHeight="1">
      <x:c r="A2528" s="11" t="d">
        <x:v>2025-01-13T00:00:00.000Z</x:v>
      </x:c>
      <x:c r="B2528" s="12" t="n">
        <x:v>26017.032436</x:v>
      </x:c>
      <x:c r="C2528" s="13" t="n">
        <x:v>484</x:v>
      </x:c>
      <x:c r="D2528" s="12" t="n">
        <x:v>281392.76</x:v>
      </x:c>
      <x:c r="E2528" s="12" t="n">
        <x:v>951.325232</x:v>
      </x:c>
      <x:c r="F2528" s="12" t="n">
        <x:f>SUM(B2528,D2528:E2528)</x:f>
        <x:v>308361.117668</x:v>
      </x:c>
      <x:c r="G2528" s="12" t="n">
        <x:f>MAX(G2527,F2528)</x:f>
        <x:v>320197.072436</x:v>
      </x:c>
      <x:c r="H2528" s="14" t="n">
        <x:f>F2528/G2528-1</x:f>
        <x:v>-0.03696459395444884</x:v>
      </x:c>
      <x:c r="I2528" s="14" t="n">
        <x:f>F2528/F2527-1</x:f>
        <x:v>0.0014146278077207253</x:v>
      </x:c>
      <x:c r="J2528" s="12" t="n">
        <x:v>0</x:v>
      </x:c>
      <x:c r="K2528" s="12" t="n">
        <x:v>0</x:v>
      </x:c>
      <x:c r="L2528" s="12" t="n">
        <x:v>0</x:v>
      </x:c>
      <x:c r="M2528" s="2" t="str">
        <x:v>持有</x:v>
      </x:c>
    </x:row>
    <x:row r="2529" ht="23" customHeight="1">
      <x:c r="A2529" s="11" t="d">
        <x:v>2025-01-14T00:00:00.000Z</x:v>
      </x:c>
      <x:c r="B2529" s="12" t="n">
        <x:v>26017.032436</x:v>
      </x:c>
      <x:c r="C2529" s="13" t="n">
        <x:v>484</x:v>
      </x:c>
      <x:c r="D2529" s="12" t="n">
        <x:v>281779.96</x:v>
      </x:c>
      <x:c r="E2529" s="12" t="n">
        <x:v>951.325232</x:v>
      </x:c>
      <x:c r="F2529" s="12" t="n">
        <x:f>SUM(B2529,D2529:E2529)</x:f>
        <x:v>308748.317668</x:v>
      </x:c>
      <x:c r="G2529" s="12" t="n">
        <x:f>MAX(G2528,F2529)</x:f>
        <x:v>320197.072436</x:v>
      </x:c>
      <x:c r="H2529" s="14" t="n">
        <x:f>F2529/G2529-1</x:f>
        <x:v>-0.0357553386759597</x:v>
      </x:c>
      <x:c r="I2529" s="14" t="n">
        <x:f>F2529/F2528-1</x:f>
        <x:v>0.0012556706336006584</x:v>
      </x:c>
      <x:c r="J2529" s="12" t="n">
        <x:v>0</x:v>
      </x:c>
      <x:c r="K2529" s="12" t="n">
        <x:v>0</x:v>
      </x:c>
      <x:c r="L2529" s="12" t="n">
        <x:v>0</x:v>
      </x:c>
      <x:c r="M2529" s="2" t="str">
        <x:v>持有</x:v>
      </x:c>
    </x:row>
    <x:row r="2530" ht="23" customHeight="1">
      <x:c r="A2530" s="11" t="d">
        <x:v>2025-01-15T00:00:00.000Z</x:v>
      </x:c>
      <x:c r="B2530" s="12" t="n">
        <x:v>26017.032436</x:v>
      </x:c>
      <x:c r="C2530" s="13" t="n">
        <x:v>484</x:v>
      </x:c>
      <x:c r="D2530" s="12" t="n">
        <x:v>286905.51999999996</x:v>
      </x:c>
      <x:c r="E2530" s="12" t="n">
        <x:v>951.325232</x:v>
      </x:c>
      <x:c r="F2530" s="12" t="n">
        <x:f>SUM(B2530,D2530:E2530)</x:f>
        <x:v>313873.87766799994</x:v>
      </x:c>
      <x:c r="G2530" s="12" t="n">
        <x:f>MAX(G2529,F2530)</x:f>
        <x:v>320197.072436</x:v>
      </x:c>
      <x:c r="H2530" s="14" t="n">
        <x:f>F2530/G2530-1</x:f>
        <x:v>-0.019747821926960007</x:v>
      </x:c>
      <x:c r="I2530" s="14" t="n">
        <x:f>F2530/F2529-1</x:f>
        <x:v>0.016601094505433123</x:v>
      </x:c>
      <x:c r="J2530" s="12" t="n">
        <x:v>0</x:v>
      </x:c>
      <x:c r="K2530" s="12" t="n">
        <x:v>0</x:v>
      </x:c>
      <x:c r="L2530" s="12" t="n">
        <x:v>0</x:v>
      </x:c>
      <x:c r="M2530" s="2" t="str">
        <x:v>持有</x:v>
      </x:c>
    </x:row>
    <x:row r="2531" ht="23" customHeight="1">
      <x:c r="A2531" s="11" t="d">
        <x:v>2025-01-16T00:00:00.000Z</x:v>
      </x:c>
      <x:c r="B2531" s="12" t="n">
        <x:v>26017.032436</x:v>
      </x:c>
      <x:c r="C2531" s="13" t="n">
        <x:v>484</x:v>
      </x:c>
      <x:c r="D2531" s="12" t="n">
        <x:v>286353.76</x:v>
      </x:c>
      <x:c r="E2531" s="12" t="n">
        <x:v>951.325232</x:v>
      </x:c>
      <x:c r="F2531" s="12" t="n">
        <x:f>SUM(B2531,D2531:E2531)</x:f>
        <x:v>313322.117668</x:v>
      </x:c>
      <x:c r="G2531" s="12" t="n">
        <x:f>MAX(G2530,F2531)</x:f>
        <x:v>320197.072436</x:v>
      </x:c>
      <x:c r="H2531" s="14" t="n">
        <x:f>F2531/G2531-1</x:f>
        <x:v>-0.02147101069880686</x:v>
      </x:c>
      <x:c r="I2531" s="14" t="n">
        <x:f>F2531/F2530-1</x:f>
        <x:v>-0.0017579035378776364</x:v>
      </x:c>
      <x:c r="J2531" s="12" t="n">
        <x:v>0</x:v>
      </x:c>
      <x:c r="K2531" s="12" t="n">
        <x:v>0</x:v>
      </x:c>
      <x:c r="L2531" s="12" t="n">
        <x:v>0</x:v>
      </x:c>
      <x:c r="M2531" s="2" t="str">
        <x:v>持有</x:v>
      </x:c>
    </x:row>
    <x:row r="2532" ht="23" customHeight="1">
      <x:c r="A2532" s="11" t="d">
        <x:v>2025-01-17T00:00:00.000Z</x:v>
      </x:c>
      <x:c r="B2532" s="12" t="n">
        <x:v>26017.032436</x:v>
      </x:c>
      <x:c r="C2532" s="13" t="n">
        <x:v>484</x:v>
      </x:c>
      <x:c r="D2532" s="12" t="n">
        <x:v>289228.72000000003</x:v>
      </x:c>
      <x:c r="E2532" s="12" t="n">
        <x:v>951.325232</x:v>
      </x:c>
      <x:c r="F2532" s="12" t="n">
        <x:f>SUM(B2532,D2532:E2532)</x:f>
        <x:v>316197.077668</x:v>
      </x:c>
      <x:c r="G2532" s="12" t="n">
        <x:f>MAX(G2531,F2532)</x:f>
        <x:v>320197.072436</x:v>
      </x:c>
      <x:c r="H2532" s="14" t="n">
        <x:f>F2532/G2532-1</x:f>
        <x:v>-0.012492290256025051</x:v>
      </x:c>
      <x:c r="I2532" s="14" t="n">
        <x:f>F2532/F2531-1</x:f>
        <x:v>0.009175732697703554</x:v>
      </x:c>
      <x:c r="J2532" s="12" t="n">
        <x:v>0</x:v>
      </x:c>
      <x:c r="K2532" s="12" t="n">
        <x:v>0</x:v>
      </x:c>
      <x:c r="L2532" s="12" t="n">
        <x:v>0</x:v>
      </x:c>
      <x:c r="M2532" s="2" t="str">
        <x:v>持有</x:v>
      </x:c>
    </x:row>
    <x:row r="2533" ht="23" customHeight="1">
      <x:c r="A2533" s="11" t="d">
        <x:v>2025-01-21T00:00:00.000Z</x:v>
      </x:c>
      <x:c r="B2533" s="12" t="n">
        <x:v>26017.032436</x:v>
      </x:c>
      <x:c r="C2533" s="13" t="n">
        <x:v>484</x:v>
      </x:c>
      <x:c r="D2533" s="12" t="n">
        <x:v>291876.19999999995</x:v>
      </x:c>
      <x:c r="E2533" s="12" t="n">
        <x:v>951.325232</x:v>
      </x:c>
      <x:c r="F2533" s="12" t="n">
        <x:f>SUM(B2533,D2533:E2533)</x:f>
        <x:v>318844.55766799994</x:v>
      </x:c>
      <x:c r="G2533" s="12" t="n">
        <x:f>MAX(G2532,F2533)</x:f>
        <x:v>320197.072436</x:v>
      </x:c>
      <x:c r="H2533" s="14" t="n">
        <x:f>F2533/G2533-1</x:f>
        <x:v>-0.004224007289355791</x:v>
      </x:c>
      <x:c r="I2533" s="14" t="n">
        <x:f>F2533/F2532-1</x:f>
        <x:v>0.008372879406493894</x:v>
      </x:c>
      <x:c r="J2533" s="12" t="n">
        <x:v>0</x:v>
      </x:c>
      <x:c r="K2533" s="12" t="n">
        <x:v>0</x:v>
      </x:c>
      <x:c r="L2533" s="12" t="n">
        <x:v>0</x:v>
      </x:c>
      <x:c r="M2533" s="2" t="str">
        <x:v>持有</x:v>
      </x:c>
    </x:row>
    <x:row r="2534" ht="23" customHeight="1">
      <x:c r="A2534" s="11" t="d">
        <x:v>2025-01-22T00:00:00.000Z</x:v>
      </x:c>
      <x:c r="B2534" s="12" t="n">
        <x:v>26017.032436</x:v>
      </x:c>
      <x:c r="C2534" s="13" t="n">
        <x:v>484</x:v>
      </x:c>
      <x:c r="D2534" s="12" t="n">
        <x:v>293516.96</x:v>
      </x:c>
      <x:c r="E2534" s="12" t="n">
        <x:v>951.325232</x:v>
      </x:c>
      <x:c r="F2534" s="12" t="n">
        <x:f>SUM(B2534,D2534:E2534)</x:f>
        <x:v>320485.317668</x:v>
      </x:c>
      <x:c r="G2534" s="12" t="n">
        <x:f>MAX(G2533,F2534)</x:f>
        <x:v>320485.317668</x:v>
      </x:c>
      <x:c r="H2534" s="14" t="n">
        <x:f>F2534/G2534-1</x:f>
        <x:v>0</x:v>
      </x:c>
      <x:c r="I2534" s="14" t="n">
        <x:f>F2534/F2533-1</x:f>
        <x:v>0.00514595579739674</x:v>
      </x:c>
      <x:c r="J2534" s="12" t="n">
        <x:v>0</x:v>
      </x:c>
      <x:c r="K2534" s="12" t="n">
        <x:v>0</x:v>
      </x:c>
      <x:c r="L2534" s="12" t="n">
        <x:v>0</x:v>
      </x:c>
      <x:c r="M2534" s="2" t="str">
        <x:v>持有</x:v>
      </x:c>
    </x:row>
    <x:row r="2535" ht="23" customHeight="1">
      <x:c r="A2535" s="11" t="d">
        <x:v>2025-01-23T00:00:00.000Z</x:v>
      </x:c>
      <x:c r="B2535" s="12" t="n">
        <x:v>26017.032436</x:v>
      </x:c>
      <x:c r="C2535" s="13" t="n">
        <x:v>484</x:v>
      </x:c>
      <x:c r="D2535" s="12" t="n">
        <x:v>295119</x:v>
      </x:c>
      <x:c r="E2535" s="12" t="n">
        <x:v>951.325232</x:v>
      </x:c>
      <x:c r="F2535" s="12" t="n">
        <x:f>SUM(B2535,D2535:E2535)</x:f>
        <x:v>322087.357668</x:v>
      </x:c>
      <x:c r="G2535" s="12" t="n">
        <x:f>MAX(G2534,F2535)</x:f>
        <x:v>322087.357668</x:v>
      </x:c>
      <x:c r="H2535" s="14" t="n">
        <x:f>F2535/G2535-1</x:f>
        <x:v>0</x:v>
      </x:c>
      <x:c r="I2535" s="14" t="n">
        <x:f>F2535/F2534-1</x:f>
        <x:v>0.00499879374087131</x:v>
      </x:c>
      <x:c r="J2535" s="12" t="n">
        <x:v>0</x:v>
      </x:c>
      <x:c r="K2535" s="12" t="n">
        <x:v>0</x:v>
      </x:c>
      <x:c r="L2535" s="12" t="n">
        <x:v>0</x:v>
      </x:c>
      <x:c r="M2535" s="2" t="str">
        <x:v>持有</x:v>
      </x:c>
    </x:row>
    <x:row r="2536" ht="23" customHeight="1">
      <x:c r="A2536" s="11" t="d">
        <x:v>2025-01-24T00:00:00.000Z</x:v>
      </x:c>
      <x:c r="B2536" s="12" t="n">
        <x:v>26017.032436</x:v>
      </x:c>
      <x:c r="C2536" s="13" t="n">
        <x:v>484</x:v>
      </x:c>
      <x:c r="D2536" s="12" t="n">
        <x:v>294257.48000000004</x:v>
      </x:c>
      <x:c r="E2536" s="12" t="n">
        <x:v>951.325232</x:v>
      </x:c>
      <x:c r="F2536" s="12" t="n">
        <x:f>SUM(B2536,D2536:E2536)</x:f>
        <x:v>321225.837668</x:v>
      </x:c>
      <x:c r="G2536" s="12" t="n">
        <x:f>MAX(G2535,F2536)</x:f>
        <x:v>322087.357668</x:v>
      </x:c>
      <x:c r="H2536" s="14" t="n">
        <x:f>F2536/G2536-1</x:f>
        <x:v>-0.002674802284192701</x:v>
      </x:c>
      <x:c r="I2536" s="14" t="n">
        <x:f>F2536/F2535-1</x:f>
        <x:v>-0.002674802284192701</x:v>
      </x:c>
      <x:c r="J2536" s="12" t="n">
        <x:v>0</x:v>
      </x:c>
      <x:c r="K2536" s="12" t="n">
        <x:v>0</x:v>
      </x:c>
      <x:c r="L2536" s="12" t="n">
        <x:v>0</x:v>
      </x:c>
      <x:c r="M2536" s="2" t="str">
        <x:v>持有</x:v>
      </x:c>
    </x:row>
    <x:row r="2537" ht="23" customHeight="1">
      <x:c r="A2537" s="11" t="d">
        <x:v>2025-01-27T00:00:00.000Z</x:v>
      </x:c>
      <x:c r="B2537" s="12" t="n">
        <x:v>26017.032436</x:v>
      </x:c>
      <x:c r="C2537" s="13" t="n">
        <x:v>484</x:v>
      </x:c>
      <x:c r="D2537" s="12" t="n">
        <x:v>290095.08</x:v>
      </x:c>
      <x:c r="E2537" s="12" t="n">
        <x:v>951.325232</x:v>
      </x:c>
      <x:c r="F2537" s="12" t="n">
        <x:f>SUM(B2537,D2537:E2537)</x:f>
        <x:v>317063.437668</x:v>
      </x:c>
      <x:c r="G2537" s="12" t="n">
        <x:f>MAX(G2536,F2537)</x:f>
        <x:v>322087.357668</x:v>
      </x:c>
      <x:c r="H2537" s="14" t="n">
        <x:f>F2537/G2537-1</x:f>
        <x:v>-0.01559800433141656</x:v>
      </x:c>
      <x:c r="I2537" s="14" t="n">
        <x:f>F2537/F2536-1</x:f>
        <x:v>-0.012957861765472423</x:v>
      </x:c>
      <x:c r="J2537" s="12" t="n">
        <x:v>0</x:v>
      </x:c>
      <x:c r="K2537" s="12" t="n">
        <x:v>0</x:v>
      </x:c>
      <x:c r="L2537" s="12" t="n">
        <x:v>0</x:v>
      </x:c>
      <x:c r="M2537" s="2" t="str">
        <x:v>持有</x:v>
      </x:c>
    </x:row>
    <x:row r="2538" ht="23" customHeight="1">
      <x:c r="A2538" s="11" t="d">
        <x:v>2025-01-28T00:00:00.000Z</x:v>
      </x:c>
      <x:c r="B2538" s="12" t="n">
        <x:v>26017.032436</x:v>
      </x:c>
      <x:c r="C2538" s="13" t="n">
        <x:v>484</x:v>
      </x:c>
      <x:c r="D2538" s="12" t="n">
        <x:v>292587.68</x:v>
      </x:c>
      <x:c r="E2538" s="12" t="n">
        <x:v>951.325232</x:v>
      </x:c>
      <x:c r="F2538" s="12" t="n">
        <x:f>SUM(B2538,D2538:E2538)</x:f>
        <x:v>319556.037668</x:v>
      </x:c>
      <x:c r="G2538" s="12" t="n">
        <x:f>MAX(G2537,F2538)</x:f>
        <x:v>322087.357668</x:v>
      </x:c>
      <x:c r="H2538" s="14" t="n">
        <x:f>F2538/G2538-1</x:f>
        <x:v>-0.007859110082207077</x:v>
      </x:c>
      <x:c r="I2538" s="14" t="n">
        <x:f>F2538/F2537-1</x:f>
        <x:v>0.007861518244844046</x:v>
      </x:c>
      <x:c r="J2538" s="12" t="n">
        <x:v>0</x:v>
      </x:c>
      <x:c r="K2538" s="12" t="n">
        <x:v>0</x:v>
      </x:c>
      <x:c r="L2538" s="12" t="n">
        <x:v>0</x:v>
      </x:c>
      <x:c r="M2538" s="2" t="str">
        <x:v>持有</x:v>
      </x:c>
    </x:row>
    <x:row r="2539" ht="23" customHeight="1">
      <x:c r="A2539" s="11" t="d">
        <x:v>2025-01-29T00:00:00.000Z</x:v>
      </x:c>
      <x:c r="B2539" s="12" t="n">
        <x:v>26017.032436</x:v>
      </x:c>
      <x:c r="C2539" s="13" t="n">
        <x:v>484</x:v>
      </x:c>
      <x:c r="D2539" s="12" t="n">
        <x:v>291276.04</x:v>
      </x:c>
      <x:c r="E2539" s="12" t="n">
        <x:v>951.325232</x:v>
      </x:c>
      <x:c r="F2539" s="12" t="n">
        <x:f>SUM(B2539,D2539:E2539)</x:f>
        <x:v>318244.39766799996</x:v>
      </x:c>
      <x:c r="G2539" s="12" t="n">
        <x:f>MAX(G2538,F2539)</x:f>
        <x:v>322087.357668</x:v>
      </x:c>
      <x:c r="H2539" s="14" t="n">
        <x:f>F2539/G2539-1</x:f>
        <x:v>-0.011931421424995037</x:v>
      </x:c>
      <x:c r="I2539" s="14" t="n">
        <x:f>F2539/F2538-1</x:f>
        <x:v>-0.0041045696071708715</x:v>
      </x:c>
      <x:c r="J2539" s="12" t="n">
        <x:v>0</x:v>
      </x:c>
      <x:c r="K2539" s="12" t="n">
        <x:v>0</x:v>
      </x:c>
      <x:c r="L2539" s="12" t="n">
        <x:v>0</x:v>
      </x:c>
      <x:c r="M2539" s="2" t="str">
        <x:v>持有</x:v>
      </x:c>
    </x:row>
    <x:row r="2540" ht="23" customHeight="1">
      <x:c r="A2540" s="11" t="d">
        <x:v>2025-01-30T00:00:00.000Z</x:v>
      </x:c>
      <x:c r="B2540" s="12" t="n">
        <x:v>26017.032436</x:v>
      </x:c>
      <x:c r="C2540" s="13" t="n">
        <x:v>484</x:v>
      </x:c>
      <x:c r="D2540" s="12" t="n">
        <x:v>292839.36</x:v>
      </x:c>
      <x:c r="E2540" s="12" t="n">
        <x:v>951.325232</x:v>
      </x:c>
      <x:c r="F2540" s="12" t="n">
        <x:f>SUM(B2540,D2540:E2540)</x:f>
        <x:v>319807.71766799997</x:v>
      </x:c>
      <x:c r="G2540" s="12" t="n">
        <x:f>MAX(G2539,F2540)</x:f>
        <x:v>322087.357668</x:v>
      </x:c>
      <x:c r="H2540" s="14" t="n">
        <x:f>F2540/G2540-1</x:f>
        <x:v>-0.0070777071677238235</x:v>
      </x:c>
      <x:c r="I2540" s="14" t="n">
        <x:f>F2540/F2539-1</x:f>
        <x:v>0.004912325280368002</x:v>
      </x:c>
      <x:c r="J2540" s="12" t="n">
        <x:v>0</x:v>
      </x:c>
      <x:c r="K2540" s="12" t="n">
        <x:v>0</x:v>
      </x:c>
      <x:c r="L2540" s="12" t="n">
        <x:v>0</x:v>
      </x:c>
      <x:c r="M2540" s="2" t="str">
        <x:v>持有</x:v>
      </x:c>
    </x:row>
    <x:row r="2541" ht="23" customHeight="1">
      <x:c r="A2541" s="11" t="d">
        <x:v>2025-01-31T00:00:00.000Z</x:v>
      </x:c>
      <x:c r="B2541" s="12" t="n">
        <x:v>26968.357668</x:v>
      </x:c>
      <x:c r="C2541" s="13" t="n">
        <x:v>484</x:v>
      </x:c>
      <x:c r="D2541" s="12" t="n">
        <x:v>291280.88</x:v>
      </x:c>
      <x:c r="E2541" s="12" t="n">
        <x:v>0</x:v>
      </x:c>
      <x:c r="F2541" s="12" t="n">
        <x:f>SUM(B2541,D2541:E2541)</x:f>
        <x:v>318249.237668</x:v>
      </x:c>
      <x:c r="G2541" s="12" t="n">
        <x:f>MAX(G2540,F2541)</x:f>
        <x:v>322087.357668</x:v>
      </x:c>
      <x:c r="H2541" s="14" t="n">
        <x:f>F2541/G2541-1</x:f>
        <x:v>-0.011916394445870337</x:v>
      </x:c>
      <x:c r="I2541" s="14" t="n">
        <x:f>F2541/F2540-1</x:f>
        <x:v>-0.004873178206468043</x:v>
      </x:c>
      <x:c r="J2541" s="12" t="n">
        <x:v>0</x:v>
      </x:c>
      <x:c r="K2541" s="12" t="n">
        <x:v>951.325232</x:v>
      </x:c>
      <x:c r="L2541" s="12" t="n">
        <x:v>0</x:v>
      </x:c>
      <x:c r="M2541" s="2" t="str">
        <x:v>持有</x:v>
      </x:c>
    </x:row>
    <x:row r="2542" ht="23" customHeight="1">
      <x:c r="A2542" s="11" t="d">
        <x:v>2025-02-03T00:00:00.000Z</x:v>
      </x:c>
      <x:c r="B2542" s="12" t="n">
        <x:v>26968.357668</x:v>
      </x:c>
      <x:c r="C2542" s="13" t="n">
        <x:v>484</x:v>
      </x:c>
      <x:c r="D2542" s="12" t="n">
        <x:v>289320.68</x:v>
      </x:c>
      <x:c r="E2542" s="12" t="n">
        <x:v>0</x:v>
      </x:c>
      <x:c r="F2542" s="12" t="n">
        <x:f>SUM(B2542,D2542:E2542)</x:f>
        <x:v>316289.037668</x:v>
      </x:c>
      <x:c r="G2542" s="12" t="n">
        <x:f>MAX(G2541,F2542)</x:f>
        <x:v>322087.357668</x:v>
      </x:c>
      <x:c r="H2542" s="14" t="n">
        <x:f>F2542/G2542-1</x:f>
        <x:v>-0.018002320991365228</x:v>
      </x:c>
      <x:c r="I2542" s="14" t="n">
        <x:f>F2542/F2541-1</x:f>
        <x:v>-0.006159323473525213</x:v>
      </x:c>
      <x:c r="J2542" s="12" t="n">
        <x:v>0</x:v>
      </x:c>
      <x:c r="K2542" s="12" t="n">
        <x:v>0</x:v>
      </x:c>
      <x:c r="L2542" s="12" t="n">
        <x:v>0</x:v>
      </x:c>
      <x:c r="M2542" s="2" t="str">
        <x:v>持有</x:v>
      </x:c>
    </x:row>
    <x:row r="2543" ht="23" customHeight="1">
      <x:c r="A2543" s="11" t="d">
        <x:v>2025-02-04T00:00:00.000Z</x:v>
      </x:c>
      <x:c r="B2543" s="12" t="n">
        <x:v>26968.357668</x:v>
      </x:c>
      <x:c r="C2543" s="13" t="n">
        <x:v>484</x:v>
      </x:c>
      <x:c r="D2543" s="12" t="n">
        <x:v>291261.51999999996</x:v>
      </x:c>
      <x:c r="E2543" s="12" t="n">
        <x:v>0</x:v>
      </x:c>
      <x:c r="F2543" s="12" t="n">
        <x:f>SUM(B2543,D2543:E2543)</x:f>
        <x:v>318229.87766799994</x:v>
      </x:c>
      <x:c r="G2543" s="12" t="n">
        <x:f>MAX(G2542,F2543)</x:f>
        <x:v>322087.357668</x:v>
      </x:c>
      <x:c r="H2543" s="14" t="n">
        <x:f>F2543/G2543-1</x:f>
        <x:v>-0.011976502362369135</x:v>
      </x:c>
      <x:c r="I2543" s="14" t="n">
        <x:f>F2543/F2542-1</x:f>
        <x:v>0.006136286019616133</x:v>
      </x:c>
      <x:c r="J2543" s="12" t="n">
        <x:v>0</x:v>
      </x:c>
      <x:c r="K2543" s="12" t="n">
        <x:v>0</x:v>
      </x:c>
      <x:c r="L2543" s="12" t="n">
        <x:v>0</x:v>
      </x:c>
      <x:c r="M2543" s="2" t="str">
        <x:v>持有</x:v>
      </x:c>
    </x:row>
    <x:row r="2544" ht="23" customHeight="1">
      <x:c r="A2544" s="11" t="d">
        <x:v>2025-02-05T00:00:00.000Z</x:v>
      </x:c>
      <x:c r="B2544" s="12" t="n">
        <x:v>26968.357668</x:v>
      </x:c>
      <x:c r="C2544" s="13" t="n">
        <x:v>484</x:v>
      </x:c>
      <x:c r="D2544" s="12" t="n">
        <x:v>292442.48000000004</x:v>
      </x:c>
      <x:c r="E2544" s="12" t="n">
        <x:v>0</x:v>
      </x:c>
      <x:c r="F2544" s="12" t="n">
        <x:f>SUM(B2544,D2544:E2544)</x:f>
        <x:v>319410.837668</x:v>
      </x:c>
      <x:c r="G2544" s="12" t="n">
        <x:f>MAX(G2543,F2544)</x:f>
        <x:v>322087.357668</x:v>
      </x:c>
      <x:c r="H2544" s="14" t="n">
        <x:f>F2544/G2544-1</x:f>
        <x:v>-0.008309919455947279</x:v>
      </x:c>
      <x:c r="I2544" s="14" t="n">
        <x:f>F2544/F2543-1</x:f>
        <x:v>0.0037110280425400877</x:v>
      </x:c>
      <x:c r="J2544" s="12" t="n">
        <x:v>0</x:v>
      </x:c>
      <x:c r="K2544" s="12" t="n">
        <x:v>0</x:v>
      </x:c>
      <x:c r="L2544" s="12" t="n">
        <x:v>0</x:v>
      </x:c>
      <x:c r="M2544" s="2" t="str">
        <x:v>持有</x:v>
      </x:c>
    </x:row>
    <x:row r="2545" ht="23" customHeight="1">
      <x:c r="A2545" s="11" t="d">
        <x:v>2025-02-06T00:00:00.000Z</x:v>
      </x:c>
      <x:c r="B2545" s="12" t="n">
        <x:v>26968.357668</x:v>
      </x:c>
      <x:c r="C2545" s="13" t="n">
        <x:v>484</x:v>
      </x:c>
      <x:c r="D2545" s="12" t="n">
        <x:v>293458.88</x:v>
      </x:c>
      <x:c r="E2545" s="12" t="n">
        <x:v>0</x:v>
      </x:c>
      <x:c r="F2545" s="12" t="n">
        <x:f>SUM(B2545,D2545:E2545)</x:f>
        <x:v>320427.237668</x:v>
      </x:c>
      <x:c r="G2545" s="12" t="n">
        <x:f>MAX(G2544,F2545)</x:f>
        <x:v>322087.357668</x:v>
      </x:c>
      <x:c r="H2545" s="14" t="n">
        <x:f>F2545/G2545-1</x:f>
        <x:v>-0.005154253839764866</x:v>
      </x:c>
      <x:c r="I2545" s="14" t="n">
        <x:f>F2545/F2544-1</x:f>
        <x:v>0.003182108683038587</x:v>
      </x:c>
      <x:c r="J2545" s="12" t="n">
        <x:v>0</x:v>
      </x:c>
      <x:c r="K2545" s="12" t="n">
        <x:v>0</x:v>
      </x:c>
      <x:c r="L2545" s="12" t="n">
        <x:v>0</x:v>
      </x:c>
      <x:c r="M2545" s="2" t="str">
        <x:v>持有</x:v>
      </x:c>
    </x:row>
    <x:row r="2546" ht="23" customHeight="1">
      <x:c r="A2546" s="11" t="d">
        <x:v>2025-02-07T00:00:00.000Z</x:v>
      </x:c>
      <x:c r="B2546" s="12" t="n">
        <x:v>26968.357668</x:v>
      </x:c>
      <x:c r="C2546" s="13" t="n">
        <x:v>484</x:v>
      </x:c>
      <x:c r="D2546" s="12" t="n">
        <x:v>290772.68</x:v>
      </x:c>
      <x:c r="E2546" s="12" t="n">
        <x:v>0</x:v>
      </x:c>
      <x:c r="F2546" s="12" t="n">
        <x:f>SUM(B2546,D2546:E2546)</x:f>
        <x:v>317741.037668</x:v>
      </x:c>
      <x:c r="G2546" s="12" t="n">
        <x:f>MAX(G2545,F2546)</x:f>
        <x:v>322087.357668</x:v>
      </x:c>
      <x:c r="H2546" s="14" t="n">
        <x:f>F2546/G2546-1</x:f>
        <x:v>-0.013494227253961655</x:v>
      </x:c>
      <x:c r="I2546" s="14" t="n">
        <x:f>F2546/F2545-1</x:f>
        <x:v>-0.008383182464604455</x:v>
      </x:c>
      <x:c r="J2546" s="12" t="n">
        <x:v>0</x:v>
      </x:c>
      <x:c r="K2546" s="12" t="n">
        <x:v>0</x:v>
      </x:c>
      <x:c r="L2546" s="12" t="n">
        <x:v>0</x:v>
      </x:c>
      <x:c r="M2546" s="2" t="str">
        <x:v>持有</x:v>
      </x:c>
    </x:row>
    <x:row r="2547" ht="23" customHeight="1">
      <x:c r="A2547" s="11" t="d">
        <x:v>2025-02-10T00:00:00.000Z</x:v>
      </x:c>
      <x:c r="B2547" s="12" t="n">
        <x:v>26968.357668</x:v>
      </x:c>
      <x:c r="C2547" s="13" t="n">
        <x:v>484</x:v>
      </x:c>
      <x:c r="D2547" s="12" t="n">
        <x:v>292747.4</x:v>
      </x:c>
      <x:c r="E2547" s="12" t="n">
        <x:v>0</x:v>
      </x:c>
      <x:c r="F2547" s="12" t="n">
        <x:f>SUM(B2547,D2547:E2547)</x:f>
        <x:v>319715.757668</x:v>
      </x:c>
      <x:c r="G2547" s="12" t="n">
        <x:f>MAX(G2546,F2547)</x:f>
        <x:v>322087.357668</x:v>
      </x:c>
      <x:c r="H2547" s="14" t="n">
        <x:f>F2547/G2547-1</x:f>
        <x:v>-0.007363219771092555</x:v>
      </x:c>
      <x:c r="I2547" s="14" t="n">
        <x:f>F2547/F2546-1</x:f>
        <x:v>0.0062148723831618735</x:v>
      </x:c>
      <x:c r="J2547" s="12" t="n">
        <x:v>0</x:v>
      </x:c>
      <x:c r="K2547" s="12" t="n">
        <x:v>0</x:v>
      </x:c>
      <x:c r="L2547" s="12" t="n">
        <x:v>0</x:v>
      </x:c>
      <x:c r="M2547" s="2" t="str">
        <x:v>持有</x:v>
      </x:c>
    </x:row>
    <x:row r="2548" ht="23" customHeight="1">
      <x:c r="A2548" s="11" t="d">
        <x:v>2025-02-11T00:00:00.000Z</x:v>
      </x:c>
      <x:c r="B2548" s="12" t="n">
        <x:v>26968.357668</x:v>
      </x:c>
      <x:c r="C2548" s="13" t="n">
        <x:v>484</x:v>
      </x:c>
      <x:c r="D2548" s="12" t="n">
        <x:v>292970.04</x:v>
      </x:c>
      <x:c r="E2548" s="12" t="n">
        <x:v>0</x:v>
      </x:c>
      <x:c r="F2548" s="12" t="n">
        <x:f>SUM(B2548,D2548:E2548)</x:f>
        <x:v>319938.39766799996</x:v>
      </x:c>
      <x:c r="G2548" s="12" t="n">
        <x:f>MAX(G2547,F2548)</x:f>
        <x:v>322087.357668</x:v>
      </x:c>
      <x:c r="H2548" s="14" t="n">
        <x:f>F2548/G2548-1</x:f>
        <x:v>-0.006671978731357497</x:v>
      </x:c>
      <x:c r="I2548" s="14" t="n">
        <x:f>F2548/F2547-1</x:f>
        <x:v>0.0006963685544432163</x:v>
      </x:c>
      <x:c r="J2548" s="12" t="n">
        <x:v>0</x:v>
      </x:c>
      <x:c r="K2548" s="12" t="n">
        <x:v>0</x:v>
      </x:c>
      <x:c r="L2548" s="12" t="n">
        <x:v>0</x:v>
      </x:c>
      <x:c r="M2548" s="2" t="str">
        <x:v>持有</x:v>
      </x:c>
    </x:row>
    <x:row r="2549" ht="23" customHeight="1">
      <x:c r="A2549" s="11" t="d">
        <x:v>2025-02-12T00:00:00.000Z</x:v>
      </x:c>
      <x:c r="B2549" s="12" t="n">
        <x:v>26968.357668</x:v>
      </x:c>
      <x:c r="C2549" s="13" t="n">
        <x:v>484</x:v>
      </x:c>
      <x:c r="D2549" s="12" t="n">
        <x:v>292026.24</x:v>
      </x:c>
      <x:c r="E2549" s="12" t="n">
        <x:v>0</x:v>
      </x:c>
      <x:c r="F2549" s="12" t="n">
        <x:f>SUM(B2549,D2549:E2549)</x:f>
        <x:v>318994.597668</x:v>
      </x:c>
      <x:c r="G2549" s="12" t="n">
        <x:f>MAX(G2548,F2549)</x:f>
        <x:v>322087.357668</x:v>
      </x:c>
      <x:c r="H2549" s="14" t="n">
        <x:f>F2549/G2549-1</x:f>
        <x:v>-0.009602239660669754</x:v>
      </x:c>
      <x:c r="I2549" s="14" t="n">
        <x:f>F2549/F2548-1</x:f>
        <x:v>-0.0029499428855030985</x:v>
      </x:c>
      <x:c r="J2549" s="12" t="n">
        <x:v>0</x:v>
      </x:c>
      <x:c r="K2549" s="12" t="n">
        <x:v>0</x:v>
      </x:c>
      <x:c r="L2549" s="12" t="n">
        <x:v>0</x:v>
      </x:c>
      <x:c r="M2549" s="2" t="str">
        <x:v>持有</x:v>
      </x:c>
    </x:row>
    <x:row r="2550" ht="23" customHeight="1">
      <x:c r="A2550" s="11" t="d">
        <x:v>2025-02-13T00:00:00.000Z</x:v>
      </x:c>
      <x:c r="B2550" s="12" t="n">
        <x:v>26968.357668</x:v>
      </x:c>
      <x:c r="C2550" s="13" t="n">
        <x:v>484</x:v>
      </x:c>
      <x:c r="D2550" s="12" t="n">
        <x:v>295109.32</x:v>
      </x:c>
      <x:c r="E2550" s="12" t="n">
        <x:v>0</x:v>
      </x:c>
      <x:c r="F2550" s="12" t="n">
        <x:f>SUM(B2550,D2550:E2550)</x:f>
        <x:v>322077.677668</x:v>
      </x:c>
      <x:c r="G2550" s="12" t="n">
        <x:f>MAX(G2549,F2550)</x:f>
        <x:v>322087.357668</x:v>
      </x:c>
      <x:c r="H2550" s="14" t="n">
        <x:f>F2550/G2550-1</x:f>
        <x:v>-0.000030053958249287582</x:v>
      </x:c>
      <x:c r="I2550" s="14" t="n">
        <x:f>F2550/F2549-1</x:f>
        <x:v>0.009664991264863865</x:v>
      </x:c>
      <x:c r="J2550" s="12" t="n">
        <x:v>0</x:v>
      </x:c>
      <x:c r="K2550" s="12" t="n">
        <x:v>0</x:v>
      </x:c>
      <x:c r="L2550" s="12" t="n">
        <x:v>0</x:v>
      </x:c>
      <x:c r="M2550" s="2" t="str">
        <x:v>持有</x:v>
      </x:c>
    </x:row>
    <x:row r="2551" ht="23" customHeight="1">
      <x:c r="A2551" s="11" t="d">
        <x:v>2025-02-14T00:00:00.000Z</x:v>
      </x:c>
      <x:c r="B2551" s="12" t="n">
        <x:v>26968.357668</x:v>
      </x:c>
      <x:c r="C2551" s="13" t="n">
        <x:v>484</x:v>
      </x:c>
      <x:c r="D2551" s="12" t="n">
        <x:v>295094.80000000005</x:v>
      </x:c>
      <x:c r="E2551" s="12" t="n">
        <x:v>0</x:v>
      </x:c>
      <x:c r="F2551" s="12" t="n">
        <x:f>SUM(B2551,D2551:E2551)</x:f>
        <x:v>322063.157668</x:v>
      </x:c>
      <x:c r="G2551" s="12" t="n">
        <x:f>MAX(G2550,F2551)</x:f>
        <x:v>322087.357668</x:v>
      </x:c>
      <x:c r="H2551" s="14" t="n">
        <x:f>F2551/G2551-1</x:f>
        <x:v>-0.00007513489562327447</x:v>
      </x:c>
      <x:c r="I2551" s="14" t="n">
        <x:f>F2551/F2550-1</x:f>
        <x:v>-0.00004508229227528915</x:v>
      </x:c>
      <x:c r="J2551" s="12" t="n">
        <x:v>0</x:v>
      </x:c>
      <x:c r="K2551" s="12" t="n">
        <x:v>0</x:v>
      </x:c>
      <x:c r="L2551" s="12" t="n">
        <x:v>0</x:v>
      </x:c>
      <x:c r="M2551" s="2" t="str">
        <x:v>持有</x:v>
      </x:c>
    </x:row>
    <x:row r="2552" ht="23" customHeight="1">
      <x:c r="A2552" s="11" t="d">
        <x:v>2025-02-18T00:00:00.000Z</x:v>
      </x:c>
      <x:c r="B2552" s="12" t="n">
        <x:v>26968.357668</x:v>
      </x:c>
      <x:c r="C2552" s="13" t="n">
        <x:v>484</x:v>
      </x:c>
      <x:c r="D2552" s="12" t="n">
        <x:v>295961.16000000003</x:v>
      </x:c>
      <x:c r="E2552" s="12" t="n">
        <x:v>0</x:v>
      </x:c>
      <x:c r="F2552" s="12" t="n">
        <x:f>SUM(B2552,D2552:E2552)</x:f>
        <x:v>322929.517668</x:v>
      </x:c>
      <x:c r="G2552" s="12" t="n">
        <x:f>MAX(G2551,F2552)</x:f>
        <x:v>322929.517668</x:v>
      </x:c>
      <x:c r="H2552" s="14" t="n">
        <x:f>F2552/G2552-1</x:f>
        <x:v>0</x:v>
      </x:c>
      <x:c r="I2552" s="14" t="n">
        <x:f>F2552/F2551-1</x:f>
        <x:v>0.0026900313785442886</x:v>
      </x:c>
      <x:c r="J2552" s="12" t="n">
        <x:v>0</x:v>
      </x:c>
      <x:c r="K2552" s="12" t="n">
        <x:v>0</x:v>
      </x:c>
      <x:c r="L2552" s="12" t="n">
        <x:v>0</x:v>
      </x:c>
      <x:c r="M2552" s="2" t="str">
        <x:v>持有</x:v>
      </x:c>
    </x:row>
    <x:row r="2553" ht="23" customHeight="1">
      <x:c r="A2553" s="11" t="d">
        <x:v>2025-02-19T00:00:00.000Z</x:v>
      </x:c>
      <x:c r="B2553" s="12" t="n">
        <x:v>26968.357668</x:v>
      </x:c>
      <x:c r="C2553" s="13" t="n">
        <x:v>484</x:v>
      </x:c>
      <x:c r="D2553" s="12" t="n">
        <x:v>296658.12</x:v>
      </x:c>
      <x:c r="E2553" s="12" t="n">
        <x:v>0</x:v>
      </x:c>
      <x:c r="F2553" s="12" t="n">
        <x:f>SUM(B2553,D2553:E2553)</x:f>
        <x:v>323626.477668</x:v>
      </x:c>
      <x:c r="G2553" s="12" t="n">
        <x:f>MAX(G2552,F2553)</x:f>
        <x:v>323626.477668</x:v>
      </x:c>
      <x:c r="H2553" s="14" t="n">
        <x:f>F2553/G2553-1</x:f>
        <x:v>0</x:v>
      </x:c>
      <x:c r="I2553" s="14" t="n">
        <x:f>F2553/F2552-1</x:f>
        <x:v>0.0021582418511414403</x:v>
      </x:c>
      <x:c r="J2553" s="12" t="n">
        <x:v>0</x:v>
      </x:c>
      <x:c r="K2553" s="12" t="n">
        <x:v>0</x:v>
      </x:c>
      <x:c r="L2553" s="12" t="n">
        <x:v>0</x:v>
      </x:c>
      <x:c r="M2553" s="2" t="str">
        <x:v>持有</x:v>
      </x:c>
    </x:row>
    <x:row r="2554" ht="23" customHeight="1">
      <x:c r="A2554" s="11" t="d">
        <x:v>2025-02-20T00:00:00.000Z</x:v>
      </x:c>
      <x:c r="B2554" s="12" t="n">
        <x:v>26968.357668</x:v>
      </x:c>
      <x:c r="C2554" s="13" t="n">
        <x:v>484</x:v>
      </x:c>
      <x:c r="D2554" s="12" t="n">
        <x:v>295423.92</x:v>
      </x:c>
      <x:c r="E2554" s="12" t="n">
        <x:v>0</x:v>
      </x:c>
      <x:c r="F2554" s="12" t="n">
        <x:f>SUM(B2554,D2554:E2554)</x:f>
        <x:v>322392.27766799997</x:v>
      </x:c>
      <x:c r="G2554" s="12" t="n">
        <x:f>MAX(G2553,F2554)</x:f>
        <x:v>323626.477668</x:v>
      </x:c>
      <x:c r="H2554" s="14" t="n">
        <x:f>F2554/G2554-1</x:f>
        <x:v>-0.003813655819800199</x:v>
      </x:c>
      <x:c r="I2554" s="14" t="n">
        <x:f>F2554/F2553-1</x:f>
        <x:v>-0.003813655819800199</x:v>
      </x:c>
      <x:c r="J2554" s="12" t="n">
        <x:v>0</x:v>
      </x:c>
      <x:c r="K2554" s="12" t="n">
        <x:v>0</x:v>
      </x:c>
      <x:c r="L2554" s="12" t="n">
        <x:v>0</x:v>
      </x:c>
      <x:c r="M2554" s="2" t="str">
        <x:v>持有</x:v>
      </x:c>
    </x:row>
    <x:row r="2555" ht="23" customHeight="1">
      <x:c r="A2555" s="11" t="d">
        <x:v>2025-02-21T00:00:00.000Z</x:v>
      </x:c>
      <x:c r="B2555" s="12" t="n">
        <x:v>26968.357668</x:v>
      </x:c>
      <x:c r="C2555" s="13" t="n">
        <x:v>484</x:v>
      </x:c>
      <x:c r="D2555" s="12" t="n">
        <x:v>290370.96</x:v>
      </x:c>
      <x:c r="E2555" s="12" t="n">
        <x:v>0</x:v>
      </x:c>
      <x:c r="F2555" s="12" t="n">
        <x:f>SUM(B2555,D2555:E2555)</x:f>
        <x:v>317339.317668</x:v>
      </x:c>
      <x:c r="G2555" s="12" t="n">
        <x:f>MAX(G2554,F2555)</x:f>
        <x:v>323626.477668</x:v>
      </x:c>
      <x:c r="H2555" s="14" t="n">
        <x:f>F2555/G2555-1</x:f>
        <x:v>-0.01942721141145254</x:v>
      </x:c>
      <x:c r="I2555" s="14" t="n">
        <x:f>F2555/F2554-1</x:f>
        <x:v>-0.01567332827122958</x:v>
      </x:c>
      <x:c r="J2555" s="12" t="n">
        <x:v>0</x:v>
      </x:c>
      <x:c r="K2555" s="12" t="n">
        <x:v>0</x:v>
      </x:c>
      <x:c r="L2555" s="12" t="n">
        <x:v>0</x:v>
      </x:c>
      <x:c r="M2555" s="2" t="str">
        <x:v>持有</x:v>
      </x:c>
    </x:row>
    <x:row r="2556" ht="23" customHeight="1">
      <x:c r="A2556" s="11" t="d">
        <x:v>2025-02-24T00:00:00.000Z</x:v>
      </x:c>
      <x:c r="B2556" s="12" t="n">
        <x:v>26968.357668</x:v>
      </x:c>
      <x:c r="C2556" s="13" t="n">
        <x:v>484</x:v>
      </x:c>
      <x:c r="D2556" s="12" t="n">
        <x:v>289049.64</x:v>
      </x:c>
      <x:c r="E2556" s="12" t="n">
        <x:v>0</x:v>
      </x:c>
      <x:c r="F2556" s="12" t="n">
        <x:f>SUM(B2556,D2556:E2556)</x:f>
        <x:v>316017.997668</x:v>
      </x:c>
      <x:c r="G2556" s="12" t="n">
        <x:f>MAX(G2555,F2556)</x:f>
        <x:v>323626.477668</x:v>
      </x:c>
      <x:c r="H2556" s="14" t="n">
        <x:f>F2556/G2556-1</x:f>
        <x:v>-0.023510066465591617</x:v>
      </x:c>
      <x:c r="I2556" s="14" t="n">
        <x:f>F2556/F2555-1</x:f>
        <x:v>-0.004163745008686215</x:v>
      </x:c>
      <x:c r="J2556" s="12" t="n">
        <x:v>0</x:v>
      </x:c>
      <x:c r="K2556" s="12" t="n">
        <x:v>0</x:v>
      </x:c>
      <x:c r="L2556" s="12" t="n">
        <x:v>0</x:v>
      </x:c>
      <x:c r="M2556" s="2" t="str">
        <x:v>持有</x:v>
      </x:c>
    </x:row>
    <x:row r="2557" ht="23" customHeight="1">
      <x:c r="A2557" s="11" t="d">
        <x:v>2025-02-25T00:00:00.000Z</x:v>
      </x:c>
      <x:c r="B2557" s="12" t="n">
        <x:v>26968.357668</x:v>
      </x:c>
      <x:c r="C2557" s="13" t="n">
        <x:v>484</x:v>
      </x:c>
      <x:c r="D2557" s="12" t="n">
        <x:v>287612.16000000003</x:v>
      </x:c>
      <x:c r="E2557" s="12" t="n">
        <x:v>0</x:v>
      </x:c>
      <x:c r="F2557" s="12" t="n">
        <x:f>SUM(B2557,D2557:E2557)</x:f>
        <x:v>314580.517668</x:v>
      </x:c>
      <x:c r="G2557" s="12" t="n">
        <x:f>MAX(G2556,F2557)</x:f>
        <x:v>323626.477668</x:v>
      </x:c>
      <x:c r="H2557" s="14" t="n">
        <x:f>F2557/G2557-1</x:f>
        <x:v>-0.02795185383218235</x:v>
      </x:c>
      <x:c r="I2557" s="14" t="n">
        <x:f>F2557/F2556-1</x:f>
        <x:v>-0.004548728270565627</x:v>
      </x:c>
      <x:c r="J2557" s="12" t="n">
        <x:v>0</x:v>
      </x:c>
      <x:c r="K2557" s="12" t="n">
        <x:v>0</x:v>
      </x:c>
      <x:c r="L2557" s="12" t="n">
        <x:v>0</x:v>
      </x:c>
      <x:c r="M2557" s="2" t="str">
        <x:v>持有</x:v>
      </x:c>
    </x:row>
    <x:row r="2558" ht="23" customHeight="1">
      <x:c r="A2558" s="11" t="d">
        <x:v>2025-02-26T00:00:00.000Z</x:v>
      </x:c>
      <x:c r="B2558" s="12" t="n">
        <x:v>26968.357668</x:v>
      </x:c>
      <x:c r="C2558" s="13" t="n">
        <x:v>484</x:v>
      </x:c>
      <x:c r="D2558" s="12" t="n">
        <x:v>287757.36</x:v>
      </x:c>
      <x:c r="E2558" s="12" t="n">
        <x:v>0</x:v>
      </x:c>
      <x:c r="F2558" s="12" t="n">
        <x:f>SUM(B2558,D2558:E2558)</x:f>
        <x:v>314725.71766799997</x:v>
      </x:c>
      <x:c r="G2558" s="12" t="n">
        <x:f>MAX(G2557,F2558)</x:f>
        <x:v>323626.477668</x:v>
      </x:c>
      <x:c r="H2558" s="14" t="n">
        <x:f>F2558/G2558-1</x:f>
        <x:v>-0.02750318844161781</x:v>
      </x:c>
      <x:c r="I2558" s="14" t="n">
        <x:f>F2558/F2557-1</x:f>
        <x:v>0.00046156704514421776</x:v>
      </x:c>
      <x:c r="J2558" s="12" t="n">
        <x:v>0</x:v>
      </x:c>
      <x:c r="K2558" s="12" t="n">
        <x:v>0</x:v>
      </x:c>
      <x:c r="L2558" s="12" t="n">
        <x:v>0</x:v>
      </x:c>
      <x:c r="M2558" s="2" t="str">
        <x:v>持有</x:v>
      </x:c>
    </x:row>
    <x:row r="2559" ht="23" customHeight="1">
      <x:c r="A2559" s="11" t="d">
        <x:v>2025-02-27T00:00:00.000Z</x:v>
      </x:c>
      <x:c r="B2559" s="12" t="n">
        <x:v>26968.357668</x:v>
      </x:c>
      <x:c r="C2559" s="13" t="n">
        <x:v>484</x:v>
      </x:c>
      <x:c r="D2559" s="12" t="n">
        <x:v>283164.19999999995</x:v>
      </x:c>
      <x:c r="E2559" s="12" t="n">
        <x:v>0</x:v>
      </x:c>
      <x:c r="F2559" s="12" t="n">
        <x:f>SUM(B2559,D2559:E2559)</x:f>
        <x:v>310132.55766799994</x:v>
      </x:c>
      <x:c r="G2559" s="12" t="n">
        <x:f>MAX(G2558,F2559)</x:f>
        <x:v>323626.477668</x:v>
      </x:c>
      <x:c r="H2559" s="14" t="n">
        <x:f>F2559/G2559-1</x:f>
        <x:v>-0.04169597029648209</x:v>
      </x:c>
      <x:c r="I2559" s="14" t="n">
        <x:f>F2559/F2558-1</x:f>
        <x:v>-0.014594168007729502</x:v>
      </x:c>
      <x:c r="J2559" s="12" t="n">
        <x:v>0</x:v>
      </x:c>
      <x:c r="K2559" s="12" t="n">
        <x:v>0</x:v>
      </x:c>
      <x:c r="L2559" s="12" t="n">
        <x:v>0</x:v>
      </x:c>
      <x:c r="M2559" s="2" t="str">
        <x:v>持有</x:v>
      </x:c>
    </x:row>
    <x:row r="2560" ht="23" customHeight="1">
      <x:c r="A2560" s="11" t="d">
        <x:v>2025-02-28T00:00:00.000Z</x:v>
      </x:c>
      <x:c r="B2560" s="12" t="n">
        <x:v>26968.357668</x:v>
      </x:c>
      <x:c r="C2560" s="13" t="n">
        <x:v>484</x:v>
      </x:c>
      <x:c r="D2560" s="12" t="n">
        <x:v>287583.12</x:v>
      </x:c>
      <x:c r="E2560" s="12" t="n">
        <x:v>0</x:v>
      </x:c>
      <x:c r="F2560" s="12" t="n">
        <x:f>SUM(B2560,D2560:E2560)</x:f>
        <x:v>314551.477668</x:v>
      </x:c>
      <x:c r="G2560" s="12" t="n">
        <x:f>MAX(G2559,F2560)</x:f>
        <x:v>323626.477668</x:v>
      </x:c>
      <x:c r="H2560" s="14" t="n">
        <x:f>F2560/G2560-1</x:f>
        <x:v>-0.028041586910295457</x:v>
      </x:c>
      <x:c r="I2560" s="14" t="n">
        <x:f>F2560/F2559-1</x:f>
        <x:v>0.014248487915062835</x:v>
      </x:c>
      <x:c r="J2560" s="12" t="n">
        <x:v>0</x:v>
      </x:c>
      <x:c r="K2560" s="12" t="n">
        <x:v>0</x:v>
      </x:c>
      <x:c r="L2560" s="12" t="n">
        <x:v>0</x:v>
      </x:c>
      <x:c r="M2560" s="2" t="str">
        <x:v>持有</x:v>
      </x:c>
    </x:row>
    <x:row r="2561" ht="23" customHeight="1">
      <x:c r="A2561" s="11" t="d">
        <x:v>2025-03-03T00:00:00.000Z</x:v>
      </x:c>
      <x:c r="B2561" s="12" t="n">
        <x:v>26968.357668</x:v>
      </x:c>
      <x:c r="C2561" s="13" t="n">
        <x:v>484</x:v>
      </x:c>
      <x:c r="D2561" s="12" t="n">
        <x:v>282544.68</x:v>
      </x:c>
      <x:c r="E2561" s="12" t="n">
        <x:v>0</x:v>
      </x:c>
      <x:c r="F2561" s="12" t="n">
        <x:f>SUM(B2561,D2561:E2561)</x:f>
        <x:v>309513.037668</x:v>
      </x:c>
      <x:c r="G2561" s="12" t="n">
        <x:f>MAX(G2560,F2561)</x:f>
        <x:v>323626.477668</x:v>
      </x:c>
      <x:c r="H2561" s="14" t="n">
        <x:f>F2561/G2561-1</x:f>
        <x:v>-0.043610275962891465</x:v>
      </x:c>
      <x:c r="I2561" s="14" t="n">
        <x:f>F2561/F2560-1</x:f>
        <x:v>-0.016017855129321412</x:v>
      </x:c>
      <x:c r="J2561" s="12" t="n">
        <x:v>0</x:v>
      </x:c>
      <x:c r="K2561" s="12" t="n">
        <x:v>0</x:v>
      </x:c>
      <x:c r="L2561" s="12" t="n">
        <x:v>0</x:v>
      </x:c>
      <x:c r="M2561" s="2" t="str">
        <x:v>持有</x:v>
      </x:c>
    </x:row>
    <x:row r="2562" ht="23" customHeight="1">
      <x:c r="A2562" s="11" t="d">
        <x:v>2025-03-04T00:00:00.000Z</x:v>
      </x:c>
      <x:c r="B2562" s="12" t="n">
        <x:v>26968.357668</x:v>
      </x:c>
      <x:c r="C2562" s="13" t="n">
        <x:v>484</x:v>
      </x:c>
      <x:c r="D2562" s="12" t="n">
        <x:v>279200.24</x:v>
      </x:c>
      <x:c r="E2562" s="12" t="n">
        <x:v>0</x:v>
      </x:c>
      <x:c r="F2562" s="12" t="n">
        <x:f>SUM(B2562,D2562:E2562)</x:f>
        <x:v>306168.597668</x:v>
      </x:c>
      <x:c r="G2562" s="12" t="n">
        <x:f>MAX(G2561,F2562)</x:f>
        <x:v>323626.477668</x:v>
      </x:c>
      <x:c r="H2562" s="14" t="n">
        <x:f>F2562/G2562-1</x:f>
        <x:v>-0.05394453545889899</x:v>
      </x:c>
      <x:c r="I2562" s="14" t="n">
        <x:f>F2562/F2561-1</x:f>
        <x:v>-0.010805489892117048</x:v>
      </x:c>
      <x:c r="J2562" s="12" t="n">
        <x:v>0</x:v>
      </x:c>
      <x:c r="K2562" s="12" t="n">
        <x:v>0</x:v>
      </x:c>
      <x:c r="L2562" s="12" t="n">
        <x:v>0</x:v>
      </x:c>
      <x:c r="M2562" s="2" t="str">
        <x:v>持有</x:v>
      </x:c>
    </x:row>
    <x:row r="2563" ht="23" customHeight="1">
      <x:c r="A2563" s="11" t="d">
        <x:v>2025-03-05T00:00:00.000Z</x:v>
      </x:c>
      <x:c r="B2563" s="12" t="n">
        <x:v>26968.357668</x:v>
      </x:c>
      <x:c r="C2563" s="13" t="n">
        <x:v>484</x:v>
      </x:c>
      <x:c r="D2563" s="12" t="n">
        <x:v>282201.04</x:v>
      </x:c>
      <x:c r="E2563" s="12" t="n">
        <x:v>0</x:v>
      </x:c>
      <x:c r="F2563" s="12" t="n">
        <x:f>SUM(B2563,D2563:E2563)</x:f>
        <x:v>309169.39766799996</x:v>
      </x:c>
      <x:c r="G2563" s="12" t="n">
        <x:f>MAX(G2562,F2563)</x:f>
        <x:v>323626.477668</x:v>
      </x:c>
      <x:c r="H2563" s="14" t="n">
        <x:f>F2563/G2563-1</x:f>
        <x:v>-0.04467211738722798</x:v>
      </x:c>
      <x:c r="I2563" s="14" t="n">
        <x:f>F2563/F2562-1</x:f>
        <x:v>0.009801135788765514</x:v>
      </x:c>
      <x:c r="J2563" s="12" t="n">
        <x:v>0</x:v>
      </x:c>
      <x:c r="K2563" s="12" t="n">
        <x:v>0</x:v>
      </x:c>
      <x:c r="L2563" s="12" t="n">
        <x:v>0</x:v>
      </x:c>
      <x:c r="M2563" s="2" t="str">
        <x:v>持有</x:v>
      </x:c>
    </x:row>
    <x:row r="2564" ht="23" customHeight="1">
      <x:c r="A2564" s="11" t="d">
        <x:v>2025-03-06T00:00:00.000Z</x:v>
      </x:c>
      <x:c r="B2564" s="12" t="n">
        <x:v>26968.357668</x:v>
      </x:c>
      <x:c r="C2564" s="13" t="n">
        <x:v>484</x:v>
      </x:c>
      <x:c r="D2564" s="12" t="n">
        <x:v>277191.64</x:v>
      </x:c>
      <x:c r="E2564" s="12" t="n">
        <x:v>0</x:v>
      </x:c>
      <x:c r="F2564" s="12" t="n">
        <x:f>SUM(B2564,D2564:E2564)</x:f>
        <x:v>304159.997668</x:v>
      </x:c>
      <x:c r="G2564" s="12" t="n">
        <x:f>MAX(G2563,F2564)</x:f>
        <x:v>323626.477668</x:v>
      </x:c>
      <x:c r="H2564" s="14" t="n">
        <x:f>F2564/G2564-1</x:f>
        <x:v>-0.060151073361710994</x:v>
      </x:c>
      <x:c r="I2564" s="14" t="n">
        <x:f>F2564/F2563-1</x:f>
        <x:v>-0.016202767925237116</x:v>
      </x:c>
      <x:c r="J2564" s="12" t="n">
        <x:v>0</x:v>
      </x:c>
      <x:c r="K2564" s="12" t="n">
        <x:v>0</x:v>
      </x:c>
      <x:c r="L2564" s="12" t="n">
        <x:v>0</x:v>
      </x:c>
      <x:c r="M2564" s="2" t="str">
        <x:v>持有</x:v>
      </x:c>
    </x:row>
    <x:row r="2565" ht="23" customHeight="1">
      <x:c r="A2565" s="11" t="d">
        <x:v>2025-03-07T00:00:00.000Z</x:v>
      </x:c>
      <x:c r="B2565" s="12" t="n">
        <x:v>26968.357668</x:v>
      </x:c>
      <x:c r="C2565" s="13" t="n">
        <x:v>484</x:v>
      </x:c>
      <x:c r="D2565" s="12" t="n">
        <x:v>278745.27999999997</x:v>
      </x:c>
      <x:c r="E2565" s="12" t="n">
        <x:v>0</x:v>
      </x:c>
      <x:c r="F2565" s="12" t="n">
        <x:f>SUM(B2565,D2565:E2565)</x:f>
        <x:v>305713.63766799995</x:v>
      </x:c>
      <x:c r="G2565" s="12" t="n">
        <x:f>MAX(G2564,F2565)</x:f>
        <x:v>323626.477668</x:v>
      </x:c>
      <x:c r="H2565" s="14" t="n">
        <x:f>F2565/G2565-1</x:f>
        <x:v>-0.055350353682668496</x:v>
      </x:c>
      <x:c r="I2565" s="14" t="n">
        <x:f>F2565/F2564-1</x:f>
        <x:v>0.00510796952890491</x:v>
      </x:c>
      <x:c r="J2565" s="12" t="n">
        <x:v>0</x:v>
      </x:c>
      <x:c r="K2565" s="12" t="n">
        <x:v>0</x:v>
      </x:c>
      <x:c r="L2565" s="12" t="n">
        <x:v>0</x:v>
      </x:c>
      <x:c r="M2565" s="2" t="str">
        <x:v>持有</x:v>
      </x:c>
    </x:row>
    <x:row r="2566" ht="23" customHeight="1">
      <x:c r="A2566" s="11" t="d">
        <x:v>2025-03-10T00:00:00.000Z</x:v>
      </x:c>
      <x:c r="B2566" s="12" t="n">
        <x:v>26968.357668</x:v>
      </x:c>
      <x:c r="C2566" s="13" t="n">
        <x:v>484</x:v>
      </x:c>
      <x:c r="D2566" s="12" t="n">
        <x:v>271320.72000000003</x:v>
      </x:c>
      <x:c r="E2566" s="12" t="n">
        <x:v>0</x:v>
      </x:c>
      <x:c r="F2566" s="12" t="n">
        <x:f>SUM(B2566,D2566:E2566)</x:f>
        <x:v>298289.077668</x:v>
      </x:c>
      <x:c r="G2566" s="12" t="n">
        <x:f>MAX(G2565,F2566)</x:f>
        <x:v>323626.477668</x:v>
      </x:c>
      <x:c r="H2566" s="14" t="n">
        <x:f>F2566/G2566-1</x:f>
        <x:v>-0.07829211065354469</x:v>
      </x:c>
      <x:c r="I2566" s="14" t="n">
        <x:f>F2566/F2565-1</x:f>
        <x:v>-0.024285995406141736</x:v>
      </x:c>
      <x:c r="J2566" s="12" t="n">
        <x:v>0</x:v>
      </x:c>
      <x:c r="K2566" s="12" t="n">
        <x:v>0</x:v>
      </x:c>
      <x:c r="L2566" s="12" t="n">
        <x:v>0</x:v>
      </x:c>
      <x:c r="M2566" s="2" t="str">
        <x:v>持有</x:v>
      </x:c>
    </x:row>
    <x:row r="2567" ht="23" customHeight="1">
      <x:c r="A2567" s="11" t="d">
        <x:v>2025-03-11T00:00:00.000Z</x:v>
      </x:c>
      <x:c r="B2567" s="12" t="n">
        <x:v>26968.357668</x:v>
      </x:c>
      <x:c r="C2567" s="13" t="n">
        <x:v>484</x:v>
      </x:c>
      <x:c r="D2567" s="12" t="n">
        <x:v>269065.27999999997</x:v>
      </x:c>
      <x:c r="E2567" s="12" t="n">
        <x:v>0</x:v>
      </x:c>
      <x:c r="F2567" s="12" t="n">
        <x:f>SUM(B2567,D2567:E2567)</x:f>
        <x:v>296033.63766799995</x:v>
      </x:c>
      <x:c r="G2567" s="12" t="n">
        <x:f>MAX(G2566,F2567)</x:f>
        <x:v>323626.477668</x:v>
      </x:c>
      <x:c r="H2567" s="14" t="n">
        <x:f>F2567/G2567-1</x:f>
        <x:v>-0.085261379720317</x:v>
      </x:c>
      <x:c r="I2567" s="14" t="n">
        <x:f>F2567/F2566-1</x:f>
        <x:v>-0.007561255737665307</x:v>
      </x:c>
      <x:c r="J2567" s="12" t="n">
        <x:v>0</x:v>
      </x:c>
      <x:c r="K2567" s="12" t="n">
        <x:v>0</x:v>
      </x:c>
      <x:c r="L2567" s="12" t="n">
        <x:v>0</x:v>
      </x:c>
      <x:c r="M2567" s="2" t="str">
        <x:v>持有</x:v>
      </x:c>
    </x:row>
    <x:row r="2568" ht="23" customHeight="1">
      <x:c r="A2568" s="11" t="d">
        <x:v>2025-03-12T00:00:00.000Z</x:v>
      </x:c>
      <x:c r="B2568" s="12" t="n">
        <x:v>26968.357668</x:v>
      </x:c>
      <x:c r="C2568" s="13" t="n">
        <x:v>484</x:v>
      </x:c>
      <x:c r="D2568" s="12" t="n">
        <x:v>270493.08</x:v>
      </x:c>
      <x:c r="E2568" s="12" t="n">
        <x:v>0</x:v>
      </x:c>
      <x:c r="F2568" s="12" t="n">
        <x:f>SUM(B2568,D2568:E2568)</x:f>
        <x:v>297461.437668</x:v>
      </x:c>
      <x:c r="G2568" s="12" t="n">
        <x:f>MAX(G2567,F2568)</x:f>
        <x:v>323626.477668</x:v>
      </x:c>
      <x:c r="H2568" s="14" t="n">
        <x:f>F2568/G2568-1</x:f>
        <x:v>-0.08084950337976371</x:v>
      </x:c>
      <x:c r="I2568" s="14" t="n">
        <x:f>F2568/F2567-1</x:f>
        <x:v>0.004823100547787451</x:v>
      </x:c>
      <x:c r="J2568" s="12" t="n">
        <x:v>0</x:v>
      </x:c>
      <x:c r="K2568" s="12" t="n">
        <x:v>0</x:v>
      </x:c>
      <x:c r="L2568" s="12" t="n">
        <x:v>0</x:v>
      </x:c>
      <x:c r="M2568" s="2" t="str">
        <x:v>持有</x:v>
      </x:c>
    </x:row>
    <x:row r="2569" ht="23" customHeight="1">
      <x:c r="A2569" s="11" t="d">
        <x:v>2025-03-13T00:00:00.000Z</x:v>
      </x:c>
      <x:c r="B2569" s="12" t="n">
        <x:v>26968.357668</x:v>
      </x:c>
      <x:c r="C2569" s="13" t="n">
        <x:v>484</x:v>
      </x:c>
      <x:c r="D2569" s="12" t="n">
        <x:v>266887.27999999997</x:v>
      </x:c>
      <x:c r="E2569" s="12" t="n">
        <x:v>0</x:v>
      </x:c>
      <x:c r="F2569" s="12" t="n">
        <x:f>SUM(B2569,D2569:E2569)</x:f>
        <x:v>293855.63766799995</x:v>
      </x:c>
      <x:c r="G2569" s="12" t="n">
        <x:f>MAX(G2568,F2569)</x:f>
        <x:v>323626.477668</x:v>
      </x:c>
      <x:c r="H2569" s="14" t="n">
        <x:f>F2569/G2569-1</x:f>
        <x:v>-0.09199136057878787</x:v>
      </x:c>
      <x:c r="I2569" s="14" t="n">
        <x:f>F2569/F2568-1</x:f>
        <x:v>-0.012121907391654974</x:v>
      </x:c>
      <x:c r="J2569" s="12" t="n">
        <x:v>0</x:v>
      </x:c>
      <x:c r="K2569" s="12" t="n">
        <x:v>0</x:v>
      </x:c>
      <x:c r="L2569" s="12" t="n">
        <x:v>0</x:v>
      </x:c>
      <x:c r="M2569" s="2" t="str">
        <x:v>持有</x:v>
      </x:c>
    </x:row>
    <x:row r="2570" ht="23" customHeight="1">
      <x:c r="A2570" s="11" t="d">
        <x:v>2025-03-14T00:00:00.000Z</x:v>
      </x:c>
      <x:c r="B2570" s="12" t="n">
        <x:v>26968.357668</x:v>
      </x:c>
      <x:c r="C2570" s="13" t="n">
        <x:v>484</x:v>
      </x:c>
      <x:c r="D2570" s="12" t="n">
        <x:v>272400.04</x:v>
      </x:c>
      <x:c r="E2570" s="12" t="n">
        <x:v>0</x:v>
      </x:c>
      <x:c r="F2570" s="12" t="n">
        <x:f>SUM(B2570,D2570:E2570)</x:f>
        <x:v>299368.39766799996</x:v>
      </x:c>
      <x:c r="G2570" s="12" t="n">
        <x:f>MAX(G2569,F2570)</x:f>
        <x:v>323626.477668</x:v>
      </x:c>
      <x:c r="H2570" s="14" t="n">
        <x:f>F2570/G2570-1</x:f>
        <x:v>-0.07495703125034703</x:v>
      </x:c>
      <x:c r="I2570" s="14" t="n">
        <x:f>F2570/F2569-1</x:f>
        <x:v>0.018760096092586664</x:v>
      </x:c>
      <x:c r="J2570" s="12" t="n">
        <x:v>0</x:v>
      </x:c>
      <x:c r="K2570" s="12" t="n">
        <x:v>0</x:v>
      </x:c>
      <x:c r="L2570" s="12" t="n">
        <x:v>0</x:v>
      </x:c>
      <x:c r="M2570" s="2" t="str">
        <x:v>持有</x:v>
      </x:c>
    </x:row>
    <x:row r="2571" ht="23" customHeight="1">
      <x:c r="A2571" s="11" t="d">
        <x:v>2025-03-17T00:00:00.000Z</x:v>
      </x:c>
      <x:c r="B2571" s="12" t="n">
        <x:v>26968.357668</x:v>
      </x:c>
      <x:c r="C2571" s="13" t="n">
        <x:v>484</x:v>
      </x:c>
      <x:c r="D2571" s="12" t="n">
        <x:v>274500.6</x:v>
      </x:c>
      <x:c r="E2571" s="12" t="n">
        <x:v>0</x:v>
      </x:c>
      <x:c r="F2571" s="12" t="n">
        <x:f>SUM(B2571,D2571:E2571)</x:f>
        <x:v>301468.95766799996</x:v>
      </x:c>
      <x:c r="G2571" s="12" t="n">
        <x:f>MAX(G2570,F2571)</x:f>
        <x:v>323626.477668</x:v>
      </x:c>
      <x:c r="H2571" s="14" t="n">
        <x:f>F2571/G2571-1</x:f>
        <x:v>-0.06846633860017737</x:v>
      </x:c>
      <x:c r="I2571" s="14" t="n">
        <x:f>F2571/F2570-1</x:f>
        <x:v>0.007016639085363652</x:v>
      </x:c>
      <x:c r="J2571" s="12" t="n">
        <x:v>0</x:v>
      </x:c>
      <x:c r="K2571" s="12" t="n">
        <x:v>0</x:v>
      </x:c>
      <x:c r="L2571" s="12" t="n">
        <x:v>0</x:v>
      </x:c>
      <x:c r="M2571" s="2" t="str">
        <x:v>持有</x:v>
      </x:c>
    </x:row>
    <x:row r="2572" ht="23" customHeight="1">
      <x:c r="A2572" s="11" t="d">
        <x:v>2025-03-18T00:00:00.000Z</x:v>
      </x:c>
      <x:c r="B2572" s="12" t="n">
        <x:v>26968.357668</x:v>
      </x:c>
      <x:c r="C2572" s="13" t="n">
        <x:v>484</x:v>
      </x:c>
      <x:c r="D2572" s="12" t="n">
        <x:v>271533.68</x:v>
      </x:c>
      <x:c r="E2572" s="12" t="n">
        <x:v>0</x:v>
      </x:c>
      <x:c r="F2572" s="12" t="n">
        <x:f>SUM(B2572,D2572:E2572)</x:f>
        <x:v>298502.037668</x:v>
      </x:c>
      <x:c r="G2572" s="12" t="n">
        <x:f>MAX(G2571,F2572)</x:f>
        <x:v>323626.477668</x:v>
      </x:c>
      <x:c r="H2572" s="14" t="n">
        <x:f>F2572/G2572-1</x:f>
        <x:v>-0.07763406808071649</x:v>
      </x:c>
      <x:c r="I2572" s="14" t="n">
        <x:f>F2572/F2571-1</x:f>
        <x:v>-0.009841543961774613</x:v>
      </x:c>
      <x:c r="J2572" s="12" t="n">
        <x:v>0</x:v>
      </x:c>
      <x:c r="K2572" s="12" t="n">
        <x:v>0</x:v>
      </x:c>
      <x:c r="L2572" s="12" t="n">
        <x:v>0</x:v>
      </x:c>
      <x:c r="M2572" s="2" t="str">
        <x:v>持有</x:v>
      </x:c>
    </x:row>
    <x:row r="2573" ht="23" customHeight="1">
      <x:c r="A2573" s="11" t="d">
        <x:v>2025-03-19T00:00:00.000Z</x:v>
      </x:c>
      <x:c r="B2573" s="12" t="n">
        <x:v>26968.357668</x:v>
      </x:c>
      <x:c r="C2573" s="13" t="n">
        <x:v>484</x:v>
      </x:c>
      <x:c r="D2573" s="12" t="n">
        <x:v>274490.92</x:v>
      </x:c>
      <x:c r="E2573" s="12" t="n">
        <x:v>0</x:v>
      </x:c>
      <x:c r="F2573" s="12" t="n">
        <x:f>SUM(B2573,D2573:E2573)</x:f>
        <x:v>301459.27766799997</x:v>
      </x:c>
      <x:c r="G2573" s="12" t="n">
        <x:f>MAX(G2572,F2573)</x:f>
        <x:v>323626.477668</x:v>
      </x:c>
      <x:c r="H2573" s="14" t="n">
        <x:f>F2573/G2573-1</x:f>
        <x:v>-0.06849624962621492</x:v>
      </x:c>
      <x:c r="I2573" s="14" t="n">
        <x:f>F2573/F2572-1</x:f>
        <x:v>0.009906934046758797</x:v>
      </x:c>
      <x:c r="J2573" s="12" t="n">
        <x:v>0</x:v>
      </x:c>
      <x:c r="K2573" s="12" t="n">
        <x:v>0</x:v>
      </x:c>
      <x:c r="L2573" s="12" t="n">
        <x:v>0</x:v>
      </x:c>
      <x:c r="M2573" s="2" t="str">
        <x:v>持有</x:v>
      </x:c>
    </x:row>
    <x:row r="2574" ht="23" customHeight="1">
      <x:c r="A2574" s="11" t="d">
        <x:v>2025-03-20T00:00:00.000Z</x:v>
      </x:c>
      <x:c r="B2574" s="12" t="n">
        <x:v>26968.357668</x:v>
      </x:c>
      <x:c r="C2574" s="13" t="n">
        <x:v>484</x:v>
      </x:c>
      <x:c r="D2574" s="12" t="n">
        <x:v>273697.16000000003</x:v>
      </x:c>
      <x:c r="E2574" s="12" t="n">
        <x:v>0</x:v>
      </x:c>
      <x:c r="F2574" s="12" t="n">
        <x:f>SUM(B2574,D2574:E2574)</x:f>
        <x:v>300665.517668</x:v>
      </x:c>
      <x:c r="G2574" s="12" t="n">
        <x:f>MAX(G2573,F2574)</x:f>
        <x:v>323626.477668</x:v>
      </x:c>
      <x:c r="H2574" s="14" t="n">
        <x:f>F2574/G2574-1</x:f>
        <x:v>-0.07094895376130195</x:v>
      </x:c>
      <x:c r="I2574" s="14" t="n">
        <x:f>F2574/F2573-1</x:f>
        <x:v>-0.002633058787045006</x:v>
      </x:c>
      <x:c r="J2574" s="12" t="n">
        <x:v>0</x:v>
      </x:c>
      <x:c r="K2574" s="12" t="n">
        <x:v>0</x:v>
      </x:c>
      <x:c r="L2574" s="12" t="n">
        <x:v>0</x:v>
      </x:c>
      <x:c r="M2574" s="2" t="str">
        <x:v>持有</x:v>
      </x:c>
    </x:row>
    <x:row r="2575" ht="23" customHeight="1">
      <x:c r="A2575" s="11" t="d">
        <x:v>2025-03-21T00:00:00.000Z</x:v>
      </x:c>
      <x:c r="B2575" s="12" t="n">
        <x:v>26968.357668</x:v>
      </x:c>
      <x:c r="C2575" s="13" t="n">
        <x:v>484</x:v>
      </x:c>
      <x:c r="D2575" s="12" t="n">
        <x:v>272966.32</x:v>
      </x:c>
      <x:c r="E2575" s="12" t="n">
        <x:v>820.635552</x:v>
      </x:c>
      <x:c r="F2575" s="12" t="n">
        <x:f>SUM(B2575,D2575:E2575)</x:f>
        <x:v>300755.31322</x:v>
      </x:c>
      <x:c r="G2575" s="12" t="n">
        <x:f>MAX(G2574,F2575)</x:f>
        <x:v>323626.477668</x:v>
      </x:c>
      <x:c r="H2575" s="14" t="n">
        <x:f>F2575/G2575-1</x:f>
        <x:v>-0.07067148711936633</x:v>
      </x:c>
      <x:c r="I2575" s="14" t="n">
        <x:f>F2575/F2574-1</x:f>
        <x:v>0.0002986559705830949</x:v>
      </x:c>
      <x:c r="J2575" s="12" t="n">
        <x:v>820.635552</x:v>
      </x:c>
      <x:c r="K2575" s="12" t="n">
        <x:v>0</x:v>
      </x:c>
      <x:c r="L2575" s="12" t="n">
        <x:v>0</x:v>
      </x:c>
      <x:c r="M2575" s="2" t="str">
        <x:v>持有</x:v>
      </x:c>
    </x:row>
    <x:row r="2576" ht="23" customHeight="1">
      <x:c r="A2576" s="11" t="d">
        <x:v>2025-03-24T00:00:00.000Z</x:v>
      </x:c>
      <x:c r="B2576" s="12" t="n">
        <x:v>26968.357668</x:v>
      </x:c>
      <x:c r="C2576" s="13" t="n">
        <x:v>484</x:v>
      </x:c>
      <x:c r="D2576" s="12" t="n">
        <x:v>277854.72000000003</x:v>
      </x:c>
      <x:c r="E2576" s="12" t="n">
        <x:v>820.635552</x:v>
      </x:c>
      <x:c r="F2576" s="12" t="n">
        <x:f>SUM(B2576,D2576:E2576)</x:f>
        <x:v>305643.71322000003</x:v>
      </x:c>
      <x:c r="G2576" s="12" t="n">
        <x:f>MAX(G2575,F2576)</x:f>
        <x:v>323626.477668</x:v>
      </x:c>
      <x:c r="H2576" s="14" t="n">
        <x:f>F2576/G2576-1</x:f>
        <x:v>-0.05556641897035386</x:v>
      </x:c>
      <x:c r="I2576" s="14" t="n">
        <x:f>F2576/F2575-1</x:f>
        <x:v>0.01625374443983363</x:v>
      </x:c>
      <x:c r="J2576" s="12" t="n">
        <x:v>0</x:v>
      </x:c>
      <x:c r="K2576" s="12" t="n">
        <x:v>0</x:v>
      </x:c>
      <x:c r="L2576" s="12" t="n">
        <x:v>0</x:v>
      </x:c>
      <x:c r="M2576" s="2" t="str">
        <x:v>持有</x:v>
      </x:c>
    </x:row>
    <x:row r="2577" ht="23" customHeight="1">
      <x:c r="A2577" s="11" t="d">
        <x:v>2025-03-25T00:00:00.000Z</x:v>
      </x:c>
      <x:c r="B2577" s="12" t="n">
        <x:v>26968.357668</x:v>
      </x:c>
      <x:c r="C2577" s="13" t="n">
        <x:v>484</x:v>
      </x:c>
      <x:c r="D2577" s="12" t="n">
        <x:v>278522.64</x:v>
      </x:c>
      <x:c r="E2577" s="12" t="n">
        <x:v>820.635552</x:v>
      </x:c>
      <x:c r="F2577" s="12" t="n">
        <x:f>SUM(B2577,D2577:E2577)</x:f>
        <x:v>306311.63322</x:v>
      </x:c>
      <x:c r="G2577" s="12" t="n">
        <x:f>MAX(G2576,F2577)</x:f>
        <x:v>323626.477668</x:v>
      </x:c>
      <x:c r="H2577" s="14" t="n">
        <x:f>F2577/G2577-1</x:f>
        <x:v>-0.053502558173756154</x:v>
      </x:c>
      <x:c r="I2577" s="14" t="n">
        <x:f>F2577/F2576-1</x:f>
        <x:v>0.0021852895090277435</x:v>
      </x:c>
      <x:c r="J2577" s="12" t="n">
        <x:v>0</x:v>
      </x:c>
      <x:c r="K2577" s="12" t="n">
        <x:v>0</x:v>
      </x:c>
      <x:c r="L2577" s="12" t="n">
        <x:v>0</x:v>
      </x:c>
      <x:c r="M2577" s="2" t="str">
        <x:v>持有</x:v>
      </x:c>
    </x:row>
    <x:row r="2578" ht="23" customHeight="1">
      <x:c r="A2578" s="11" t="d">
        <x:v>2025-03-26T00:00:00.000Z</x:v>
      </x:c>
      <x:c r="B2578" s="12" t="n">
        <x:v>26968.357668</x:v>
      </x:c>
      <x:c r="C2578" s="13" t="n">
        <x:v>484</x:v>
      </x:c>
      <x:c r="D2578" s="12" t="n">
        <x:v>275197.56</x:v>
      </x:c>
      <x:c r="E2578" s="12" t="n">
        <x:v>820.635552</x:v>
      </x:c>
      <x:c r="F2578" s="12" t="n">
        <x:f>SUM(B2578,D2578:E2578)</x:f>
        <x:v>302986.55322</x:v>
      </x:c>
      <x:c r="G2578" s="12" t="n">
        <x:f>MAX(G2577,F2578)</x:f>
        <x:v>323626.477668</x:v>
      </x:c>
      <x:c r="H2578" s="14" t="n">
        <x:f>F2578/G2578-1</x:f>
        <x:v>-0.06377699561768846</x:v>
      </x:c>
      <x:c r="I2578" s="14" t="n">
        <x:f>F2578/F2577-1</x:f>
        <x:v>-0.01085521945427348</x:v>
      </x:c>
      <x:c r="J2578" s="12" t="n">
        <x:v>0</x:v>
      </x:c>
      <x:c r="K2578" s="12" t="n">
        <x:v>0</x:v>
      </x:c>
      <x:c r="L2578" s="12" t="n">
        <x:v>0</x:v>
      </x:c>
      <x:c r="M2578" s="2" t="str">
        <x:v>持有</x:v>
      </x:c>
    </x:row>
    <x:row r="2579" ht="23" customHeight="1">
      <x:c r="A2579" s="11" t="d">
        <x:v>2025-03-27T00:00:00.000Z</x:v>
      </x:c>
      <x:c r="B2579" s="12" t="n">
        <x:v>26968.357668</x:v>
      </x:c>
      <x:c r="C2579" s="13" t="n">
        <x:v>484</x:v>
      </x:c>
      <x:c r="D2579" s="12" t="n">
        <x:v>274466.72000000003</x:v>
      </x:c>
      <x:c r="E2579" s="12" t="n">
        <x:v>820.635552</x:v>
      </x:c>
      <x:c r="F2579" s="12" t="n">
        <x:f>SUM(B2579,D2579:E2579)</x:f>
        <x:v>302255.71322000003</x:v>
      </x:c>
      <x:c r="G2579" s="12" t="n">
        <x:f>MAX(G2578,F2579)</x:f>
        <x:v>323626.477668</x:v>
      </x:c>
      <x:c r="H2579" s="14" t="n">
        <x:f>F2579/G2579-1</x:f>
        <x:v>-0.06603527808353082</x:v>
      </x:c>
      <x:c r="I2579" s="14" t="n">
        <x:f>F2579/F2578-1</x:f>
        <x:v>-0.002412120248350802</x:v>
      </x:c>
      <x:c r="J2579" s="12" t="n">
        <x:v>0</x:v>
      </x:c>
      <x:c r="K2579" s="12" t="n">
        <x:v>0</x:v>
      </x:c>
      <x:c r="L2579" s="12" t="n">
        <x:v>0</x:v>
      </x:c>
      <x:c r="M2579" s="2" t="str">
        <x:v>持有</x:v>
      </x:c>
    </x:row>
    <x:row r="2580" ht="23" customHeight="1">
      <x:c r="A2580" s="11" t="d">
        <x:v>2025-03-28T00:00:00.000Z</x:v>
      </x:c>
      <x:c r="B2580" s="12" t="n">
        <x:v>26968.357668</x:v>
      </x:c>
      <x:c r="C2580" s="13" t="n">
        <x:v>484</x:v>
      </x:c>
      <x:c r="D2580" s="12" t="n">
        <x:v>268939.44</x:v>
      </x:c>
      <x:c r="E2580" s="12" t="n">
        <x:v>820.635552</x:v>
      </x:c>
      <x:c r="F2580" s="12" t="n">
        <x:f>SUM(B2580,D2580:E2580)</x:f>
        <x:v>296728.43322</x:v>
      </x:c>
      <x:c r="G2580" s="12" t="n">
        <x:f>MAX(G2579,F2580)</x:f>
        <x:v>323626.477668</x:v>
      </x:c>
      <x:c r="H2580" s="14" t="n">
        <x:f>F2580/G2580-1</x:f>
        <x:v>-0.08311447395102811</x:v>
      </x:c>
      <x:c r="I2580" s="14" t="n">
        <x:f>F2580/F2579-1</x:f>
        <x:v>-0.01828676765483317</x:v>
      </x:c>
      <x:c r="J2580" s="12" t="n">
        <x:v>0</x:v>
      </x:c>
      <x:c r="K2580" s="12" t="n">
        <x:v>0</x:v>
      </x:c>
      <x:c r="L2580" s="12" t="n">
        <x:v>0</x:v>
      </x:c>
      <x:c r="M2580" s="2" t="str">
        <x:v>持有</x:v>
      </x:c>
    </x:row>
    <x:row r="2581" ht="23" customHeight="1">
      <x:c r="A2581" s="11" t="d">
        <x:v>2025-03-31T00:00:00.000Z</x:v>
      </x:c>
      <x:c r="B2581" s="12" t="n">
        <x:v>26968.357668</x:v>
      </x:c>
      <x:c r="C2581" s="13" t="n">
        <x:v>484</x:v>
      </x:c>
      <x:c r="D2581" s="12" t="n">
        <x:v>270744.76</x:v>
      </x:c>
      <x:c r="E2581" s="12" t="n">
        <x:v>820.635552</x:v>
      </x:c>
      <x:c r="F2581" s="12" t="n">
        <x:f>SUM(B2581,D2581:E2581)</x:f>
        <x:v>298533.75322</x:v>
      </x:c>
      <x:c r="G2581" s="12" t="n">
        <x:f>MAX(G2580,F2581)</x:f>
        <x:v>323626.477668</x:v>
      </x:c>
      <x:c r="H2581" s="14" t="n">
        <x:f>F2581/G2581-1</x:f>
        <x:v>-0.07753606759500664</x:v>
      </x:c>
      <x:c r="I2581" s="14" t="n">
        <x:f>F2581/F2580-1</x:f>
        <x:v>0.006084081597470314</x:v>
      </x:c>
      <x:c r="J2581" s="12" t="n">
        <x:v>0</x:v>
      </x:c>
      <x:c r="K2581" s="12" t="n">
        <x:v>0</x:v>
      </x:c>
      <x:c r="L2581" s="12" t="n">
        <x:v>0</x:v>
      </x:c>
      <x:c r="M2581" s="2" t="str">
        <x:v>持有</x:v>
      </x:c>
    </x:row>
    <x:row r="2582" ht="23" customHeight="1">
      <x:c r="A2582" s="11" t="d">
        <x:v>2025-04-01T00:00:00.000Z</x:v>
      </x:c>
      <x:c r="B2582" s="12" t="n">
        <x:v>26968.357668</x:v>
      </x:c>
      <x:c r="C2582" s="13" t="n">
        <x:v>484</x:v>
      </x:c>
      <x:c r="D2582" s="12" t="n">
        <x:v>271509.48000000004</x:v>
      </x:c>
      <x:c r="E2582" s="12" t="n">
        <x:v>820.635552</x:v>
      </x:c>
      <x:c r="F2582" s="12" t="n">
        <x:f>SUM(B2582,D2582:E2582)</x:f>
        <x:v>299298.47322000004</x:v>
      </x:c>
      <x:c r="G2582" s="12" t="n">
        <x:f>MAX(G2581,F2582)</x:f>
        <x:v>323626.477668</x:v>
      </x:c>
      <x:c r="H2582" s="14" t="n">
        <x:f>F2582/G2582-1</x:f>
        <x:v>-0.07517309653803239</x:v>
      </x:c>
      <x:c r="I2582" s="14" t="n">
        <x:f>F2582/F2581-1</x:f>
        <x:v>0.0025615863926664595</x:v>
      </x:c>
      <x:c r="J2582" s="12" t="n">
        <x:v>0</x:v>
      </x:c>
      <x:c r="K2582" s="12" t="n">
        <x:v>0</x:v>
      </x:c>
      <x:c r="L2582" s="12" t="n">
        <x:v>0</x:v>
      </x:c>
      <x:c r="M2582" s="2" t="str">
        <x:v>持有</x:v>
      </x:c>
    </x:row>
    <x:row r="2583" ht="23" customHeight="1">
      <x:c r="A2583" s="11" t="d">
        <x:v>2025-04-02T00:00:00.000Z</x:v>
      </x:c>
      <x:c r="B2583" s="12" t="n">
        <x:v>26968.357668</x:v>
      </x:c>
      <x:c r="C2583" s="13" t="n">
        <x:v>484</x:v>
      </x:c>
      <x:c r="D2583" s="12" t="n">
        <x:v>273227.68</x:v>
      </x:c>
      <x:c r="E2583" s="12" t="n">
        <x:v>820.635552</x:v>
      </x:c>
      <x:c r="F2583" s="12" t="n">
        <x:f>SUM(B2583,D2583:E2583)</x:f>
        <x:v>301016.67322</x:v>
      </x:c>
      <x:c r="G2583" s="12" t="n">
        <x:f>MAX(G2582,F2583)</x:f>
        <x:v>323626.477668</x:v>
      </x:c>
      <x:c r="H2583" s="14" t="n">
        <x:f>F2583/G2583-1</x:f>
        <x:v>-0.06986388941634991</x:v>
      </x:c>
      <x:c r="I2583" s="14" t="n">
        <x:f>F2583/F2582-1</x:f>
        <x:v>0.005740757650764872</x:v>
      </x:c>
      <x:c r="J2583" s="12" t="n">
        <x:v>0</x:v>
      </x:c>
      <x:c r="K2583" s="12" t="n">
        <x:v>0</x:v>
      </x:c>
      <x:c r="L2583" s="12" t="n">
        <x:v>0</x:v>
      </x:c>
      <x:c r="M2583" s="2" t="str">
        <x:v>持有</x:v>
      </x:c>
    </x:row>
    <x:row r="2584" ht="23" customHeight="1">
      <x:c r="A2584" s="11" t="d">
        <x:v>2025-04-03T00:00:00.000Z</x:v>
      </x:c>
      <x:c r="B2584" s="12" t="n">
        <x:v>26968.357668</x:v>
      </x:c>
      <x:c r="C2584" s="13" t="n">
        <x:v>484</x:v>
      </x:c>
      <x:c r="D2584" s="12" t="n">
        <x:v>259762.80000000002</x:v>
      </x:c>
      <x:c r="E2584" s="12" t="n">
        <x:v>820.635552</x:v>
      </x:c>
      <x:c r="F2584" s="12" t="n">
        <x:f>SUM(B2584,D2584:E2584)</x:f>
        <x:v>287551.79322</x:v>
      </x:c>
      <x:c r="G2584" s="12" t="n">
        <x:f>MAX(G2583,F2584)</x:f>
        <x:v>323626.477668</x:v>
      </x:c>
      <x:c r="H2584" s="14" t="n">
        <x:f>F2584/G2584-1</x:f>
        <x:v>-0.11147012663471889</x:v>
      </x:c>
      <x:c r="I2584" s="14" t="n">
        <x:f>F2584/F2583-1</x:f>
        <x:v>-0.04473134280558311</x:v>
      </x:c>
      <x:c r="J2584" s="12" t="n">
        <x:v>0</x:v>
      </x:c>
      <x:c r="K2584" s="12" t="n">
        <x:v>0</x:v>
      </x:c>
      <x:c r="L2584" s="12" t="n">
        <x:v>0</x:v>
      </x:c>
      <x:c r="M2584" s="2" t="str">
        <x:v>持有</x:v>
      </x:c>
    </x:row>
    <x:row r="2585" ht="23" customHeight="1">
      <x:c r="A2585" s="11" t="d">
        <x:v>2025-04-04T00:00:00.000Z</x:v>
      </x:c>
      <x:c r="B2585" s="12" t="n">
        <x:v>26968.357668</x:v>
      </x:c>
      <x:c r="C2585" s="13" t="n">
        <x:v>484</x:v>
      </x:c>
      <x:c r="D2585" s="12" t="n">
        <x:v>244555.52</x:v>
      </x:c>
      <x:c r="E2585" s="12" t="n">
        <x:v>820.635552</x:v>
      </x:c>
      <x:c r="F2585" s="12" t="n">
        <x:f>SUM(B2585,D2585:E2585)</x:f>
        <x:v>272344.51321999996</x:v>
      </x:c>
      <x:c r="G2585" s="12" t="n">
        <x:f>MAX(G2584,F2585)</x:f>
        <x:v>323626.477668</x:v>
      </x:c>
      <x:c r="H2585" s="14" t="n">
        <x:f>F2585/G2585-1</x:f>
        <x:v>-0.15846034853986468</x:v>
      </x:c>
      <x:c r="I2585" s="14" t="n">
        <x:f>F2585/F2584-1</x:f>
        <x:v>-0.05288535964150731</x:v>
      </x:c>
      <x:c r="J2585" s="12" t="n">
        <x:v>0</x:v>
      </x:c>
      <x:c r="K2585" s="12" t="n">
        <x:v>0</x:v>
      </x:c>
      <x:c r="L2585" s="12" t="n">
        <x:v>0</x:v>
      </x:c>
      <x:c r="M2585" s="2" t="str">
        <x:v>持有</x:v>
      </x:c>
    </x:row>
    <x:row r="2586" ht="23" customHeight="1">
      <x:c r="A2586" s="11" t="d">
        <x:v>2025-04-07T00:00:00.000Z</x:v>
      </x:c>
      <x:c r="B2586" s="12" t="n">
        <x:v>26968.357668</x:v>
      </x:c>
      <x:c r="C2586" s="13" t="n">
        <x:v>484</x:v>
      </x:c>
      <x:c r="D2586" s="12" t="n">
        <x:v>244119.91999999998</x:v>
      </x:c>
      <x:c r="E2586" s="12" t="n">
        <x:v>820.635552</x:v>
      </x:c>
      <x:c r="F2586" s="12" t="n">
        <x:f>SUM(B2586,D2586:E2586)</x:f>
        <x:v>271908.91322</x:v>
      </x:c>
      <x:c r="G2586" s="12" t="n">
        <x:f>MAX(G2585,F2586)</x:f>
        <x:v>323626.477668</x:v>
      </x:c>
      <x:c r="H2586" s="14" t="n">
        <x:f>F2586/G2586-1</x:f>
        <x:v>-0.15980634471155875</x:v>
      </x:c>
      <x:c r="I2586" s="14" t="n">
        <x:f>F2586/F2585-1</x:f>
        <x:v>-0.0015994447431665337</x:v>
      </x:c>
      <x:c r="J2586" s="12" t="n">
        <x:v>0</x:v>
      </x:c>
      <x:c r="K2586" s="12" t="n">
        <x:v>0</x:v>
      </x:c>
      <x:c r="L2586" s="12" t="n">
        <x:v>0</x:v>
      </x:c>
      <x:c r="M2586" s="2" t="str">
        <x:v>持有</x:v>
      </x:c>
    </x:row>
    <x:row r="2587" ht="23" customHeight="1">
      <x:c r="A2587" s="11" t="d">
        <x:v>2025-04-08T00:00:00.000Z</x:v>
      </x:c>
      <x:c r="B2587" s="12" t="n">
        <x:v>26968.357668</x:v>
      </x:c>
      <x:c r="C2587" s="13" t="n">
        <x:v>484</x:v>
      </x:c>
      <x:c r="D2587" s="12" t="n">
        <x:v>240296.32</x:v>
      </x:c>
      <x:c r="E2587" s="12" t="n">
        <x:v>820.635552</x:v>
      </x:c>
      <x:c r="F2587" s="12" t="n">
        <x:f>SUM(B2587,D2587:E2587)</x:f>
        <x:v>268085.31322</x:v>
      </x:c>
      <x:c r="G2587" s="12" t="n">
        <x:f>MAX(G2586,F2587)</x:f>
        <x:v>323626.477668</x:v>
      </x:c>
      <x:c r="H2587" s="14" t="n">
        <x:f>F2587/G2587-1</x:f>
        <x:v>-0.17162119999642989</x:v>
      </x:c>
      <x:c r="I2587" s="14" t="n">
        <x:f>F2587/F2586-1</x:f>
        <x:v>-0.01406206201451854</x:v>
      </x:c>
      <x:c r="J2587" s="12" t="n">
        <x:v>0</x:v>
      </x:c>
      <x:c r="K2587" s="12" t="n">
        <x:v>0</x:v>
      </x:c>
      <x:c r="L2587" s="12" t="n">
        <x:v>0</x:v>
      </x:c>
      <x:c r="M2587" s="2" t="str">
        <x:v>持有</x:v>
      </x:c>
    </x:row>
    <x:row r="2588" ht="23" customHeight="1">
      <x:c r="A2588" s="11" t="d">
        <x:v>2025-04-09T00:00:00.000Z</x:v>
      </x:c>
      <x:c r="B2588" s="12" t="n">
        <x:v>26968.357668</x:v>
      </x:c>
      <x:c r="C2588" s="13" t="n">
        <x:v>484</x:v>
      </x:c>
      <x:c r="D2588" s="12" t="n">
        <x:v>265532.08</x:v>
      </x:c>
      <x:c r="E2588" s="12" t="n">
        <x:v>820.635552</x:v>
      </x:c>
      <x:c r="F2588" s="12" t="n">
        <x:f>SUM(B2588,D2588:E2588)</x:f>
        <x:v>293321.07322</x:v>
      </x:c>
      <x:c r="G2588" s="12" t="n">
        <x:f>MAX(G2587,F2588)</x:f>
        <x:v>323626.477668</x:v>
      </x:c>
      <x:c r="H2588" s="14" t="n">
        <x:f>F2588/G2588-1</x:f>
        <x:v>-0.0936431551162803</x:v>
      </x:c>
      <x:c r="I2588" s="14" t="n">
        <x:f>F2588/F2587-1</x:f>
        <x:v>0.09413331784904866</x:v>
      </x:c>
      <x:c r="J2588" s="12" t="n">
        <x:v>0</x:v>
      </x:c>
      <x:c r="K2588" s="12" t="n">
        <x:v>0</x:v>
      </x:c>
      <x:c r="L2588" s="12" t="n">
        <x:v>0</x:v>
      </x:c>
      <x:c r="M2588" s="2" t="str">
        <x:v>持有</x:v>
      </x:c>
    </x:row>
    <x:row r="2589" ht="23" customHeight="1">
      <x:c r="A2589" s="11" t="d">
        <x:v>2025-04-10T00:00:00.000Z</x:v>
      </x:c>
      <x:c r="B2589" s="12" t="n">
        <x:v>26968.357668</x:v>
      </x:c>
      <x:c r="C2589" s="13" t="n">
        <x:v>484</x:v>
      </x:c>
      <x:c r="D2589" s="12" t="n">
        <x:v>253896.72000000003</x:v>
      </x:c>
      <x:c r="E2589" s="12" t="n">
        <x:v>820.635552</x:v>
      </x:c>
      <x:c r="F2589" s="12" t="n">
        <x:f>SUM(B2589,D2589:E2589)</x:f>
        <x:v>281685.71322000003</x:v>
      </x:c>
      <x:c r="G2589" s="12" t="n">
        <x:f>MAX(G2588,F2589)</x:f>
        <x:v>323626.477668</x:v>
      </x:c>
      <x:c r="H2589" s="14" t="n">
        <x:f>F2589/G2589-1</x:f>
        <x:v>-0.1295962084135337</x:v>
      </x:c>
      <x:c r="I2589" s="14" t="n">
        <x:f>F2589/F2588-1</x:f>
        <x:v>-0.03966765794312055</x:v>
      </x:c>
      <x:c r="J2589" s="12" t="n">
        <x:v>0</x:v>
      </x:c>
      <x:c r="K2589" s="12" t="n">
        <x:v>0</x:v>
      </x:c>
      <x:c r="L2589" s="12" t="n">
        <x:v>0</x:v>
      </x:c>
      <x:c r="M2589" s="2" t="str">
        <x:v>持有</x:v>
      </x:c>
    </x:row>
    <x:row r="2590" ht="23" customHeight="1">
      <x:c r="A2590" s="11" t="d">
        <x:v>2025-04-11T00:00:00.000Z</x:v>
      </x:c>
      <x:c r="B2590" s="12" t="n">
        <x:v>26968.357668</x:v>
      </x:c>
      <x:c r="C2590" s="13" t="n">
        <x:v>484</x:v>
      </x:c>
      <x:c r="D2590" s="12" t="n">
        <x:v>258426.96000000002</x:v>
      </x:c>
      <x:c r="E2590" s="12" t="n">
        <x:v>820.635552</x:v>
      </x:c>
      <x:c r="F2590" s="12" t="n">
        <x:f>SUM(B2590,D2590:E2590)</x:f>
        <x:v>286215.95322</x:v>
      </x:c>
      <x:c r="G2590" s="12" t="n">
        <x:f>MAX(G2589,F2590)</x:f>
        <x:v>323626.477668</x:v>
      </x:c>
      <x:c r="H2590" s="14" t="n">
        <x:f>F2590/G2590-1</x:f>
        <x:v>-0.1155978482279143</x:v>
      </x:c>
      <x:c r="I2590" s="14" t="n">
        <x:f>F2590/F2589-1</x:f>
        <x:v>0.016082604787491794</x:v>
      </x:c>
      <x:c r="J2590" s="12" t="n">
        <x:v>0</x:v>
      </x:c>
      <x:c r="K2590" s="12" t="n">
        <x:v>0</x:v>
      </x:c>
      <x:c r="L2590" s="12" t="n">
        <x:v>0</x:v>
      </x:c>
      <x:c r="M2590" s="2" t="str">
        <x:v>持有</x:v>
      </x:c>
    </x:row>
    <x:row r="2591" ht="23" customHeight="1">
      <x:c r="A2591" s="11" t="d">
        <x:v>2025-04-14T00:00:00.000Z</x:v>
      </x:c>
      <x:c r="B2591" s="12" t="n">
        <x:v>26968.357668</x:v>
      </x:c>
      <x:c r="C2591" s="13" t="n">
        <x:v>484</x:v>
      </x:c>
      <x:c r="D2591" s="12" t="n">
        <x:v>260934.08000000002</x:v>
      </x:c>
      <x:c r="E2591" s="12" t="n">
        <x:v>820.635552</x:v>
      </x:c>
      <x:c r="F2591" s="12" t="n">
        <x:f>SUM(B2591,D2591:E2591)</x:f>
        <x:v>288723.07322</x:v>
      </x:c>
      <x:c r="G2591" s="12" t="n">
        <x:f>MAX(G2590,F2591)</x:f>
        <x:v>323626.477668</x:v>
      </x:c>
      <x:c r="H2591" s="14" t="n">
        <x:f>F2591/G2591-1</x:f>
        <x:v>-0.10785089248416335</x:v>
      </x:c>
      <x:c r="I2591" s="14" t="n">
        <x:f>F2591/F2590-1</x:f>
        <x:v>0.00875953968251686</x:v>
      </x:c>
      <x:c r="J2591" s="12" t="n">
        <x:v>0</x:v>
      </x:c>
      <x:c r="K2591" s="12" t="n">
        <x:v>0</x:v>
      </x:c>
      <x:c r="L2591" s="12" t="n">
        <x:v>0</x:v>
      </x:c>
      <x:c r="M2591" s="2" t="str">
        <x:v>持有</x:v>
      </x:c>
    </x:row>
    <x:row r="2592" ht="23" customHeight="1">
      <x:c r="A2592" s="11" t="d">
        <x:v>2025-04-15T00:00:00.000Z</x:v>
      </x:c>
      <x:c r="B2592" s="12" t="n">
        <x:v>26968.357668</x:v>
      </x:c>
      <x:c r="C2592" s="13" t="n">
        <x:v>484</x:v>
      </x:c>
      <x:c r="D2592" s="12" t="n">
        <x:v>260203.24000000002</x:v>
      </x:c>
      <x:c r="E2592" s="12" t="n">
        <x:v>820.635552</x:v>
      </x:c>
      <x:c r="F2592" s="12" t="n">
        <x:f>SUM(B2592,D2592:E2592)</x:f>
        <x:v>287992.23322</x:v>
      </x:c>
      <x:c r="G2592" s="12" t="n">
        <x:f>MAX(G2591,F2592)</x:f>
        <x:v>323626.477668</x:v>
      </x:c>
      <x:c r="H2592" s="14" t="n">
        <x:f>F2592/G2592-1</x:f>
        <x:v>-0.11010917495000594</x:v>
      </x:c>
      <x:c r="I2592" s="14" t="n">
        <x:f>F2592/F2591-1</x:f>
        <x:v>-0.00253128366863542</x:v>
      </x:c>
      <x:c r="J2592" s="12" t="n">
        <x:v>0</x:v>
      </x:c>
      <x:c r="K2592" s="12" t="n">
        <x:v>0</x:v>
      </x:c>
      <x:c r="L2592" s="12" t="n">
        <x:v>0</x:v>
      </x:c>
      <x:c r="M2592" s="2" t="str">
        <x:v>持有</x:v>
      </x:c>
    </x:row>
    <x:row r="2593" ht="23" customHeight="1">
      <x:c r="A2593" s="11" t="d">
        <x:v>2025-04-16T00:00:00.000Z</x:v>
      </x:c>
      <x:c r="B2593" s="12" t="n">
        <x:v>26968.357668</x:v>
      </x:c>
      <x:c r="C2593" s="13" t="n">
        <x:v>484</x:v>
      </x:c>
      <x:c r="D2593" s="12" t="n">
        <x:v>254419.43999999997</x:v>
      </x:c>
      <x:c r="E2593" s="12" t="n">
        <x:v>820.635552</x:v>
      </x:c>
      <x:c r="F2593" s="12" t="n">
        <x:f>SUM(B2593,D2593:E2593)</x:f>
        <x:v>282208.43321999995</x:v>
      </x:c>
      <x:c r="G2593" s="12" t="n">
        <x:f>MAX(G2592,F2593)</x:f>
        <x:v>323626.477668</x:v>
      </x:c>
      <x:c r="H2593" s="14" t="n">
        <x:f>F2593/G2593-1</x:f>
        <x:v>-0.12798101300750098</x:v>
      </x:c>
      <x:c r="I2593" s="14" t="n">
        <x:f>F2593/F2592-1</x:f>
        <x:v>-0.020083180491821673</x:v>
      </x:c>
      <x:c r="J2593" s="12" t="n">
        <x:v>0</x:v>
      </x:c>
      <x:c r="K2593" s="12" t="n">
        <x:v>0</x:v>
      </x:c>
      <x:c r="L2593" s="12" t="n">
        <x:v>0</x:v>
      </x:c>
      <x:c r="M2593" s="2" t="str">
        <x:v>持有</x:v>
      </x:c>
    </x:row>
    <x:row r="2594" ht="23" customHeight="1">
      <x:c r="A2594" s="11" t="d">
        <x:v>2025-04-17T00:00:00.000Z</x:v>
      </x:c>
      <x:c r="B2594" s="12" t="n">
        <x:v>26968.357668</x:v>
      </x:c>
      <x:c r="C2594" s="13" t="n">
        <x:v>484</x:v>
      </x:c>
      <x:c r="D2594" s="12" t="n">
        <x:v>254782.43999999997</x:v>
      </x:c>
      <x:c r="E2594" s="12" t="n">
        <x:v>820.635552</x:v>
      </x:c>
      <x:c r="F2594" s="12" t="n">
        <x:f>SUM(B2594,D2594:E2594)</x:f>
        <x:v>282571.43321999995</x:v>
      </x:c>
      <x:c r="G2594" s="12" t="n">
        <x:f>MAX(G2593,F2594)</x:f>
        <x:v>323626.477668</x:v>
      </x:c>
      <x:c r="H2594" s="14" t="n">
        <x:f>F2594/G2594-1</x:f>
        <x:v>-0.12685934953108913</x:v>
      </x:c>
      <x:c r="I2594" s="14" t="n">
        <x:f>F2594/F2593-1</x:f>
        <x:v>0.0012862833185323108</x:v>
      </x:c>
      <x:c r="J2594" s="12" t="n">
        <x:v>0</x:v>
      </x:c>
      <x:c r="K2594" s="12" t="n">
        <x:v>0</x:v>
      </x:c>
      <x:c r="L2594" s="12" t="n">
        <x:v>0</x:v>
      </x:c>
      <x:c r="M2594" s="2" t="str">
        <x:v>持有</x:v>
      </x:c>
    </x:row>
    <x:row r="2595" ht="23" customHeight="1">
      <x:c r="A2595" s="11" t="d">
        <x:v>2025-04-21T00:00:00.000Z</x:v>
      </x:c>
      <x:c r="B2595" s="12" t="n">
        <x:v>26968.357668</x:v>
      </x:c>
      <x:c r="C2595" s="13" t="n">
        <x:v>484</x:v>
      </x:c>
      <x:c r="D2595" s="12" t="n">
        <x:v>248717.91999999998</x:v>
      </x:c>
      <x:c r="E2595" s="12" t="n">
        <x:v>820.635552</x:v>
      </x:c>
      <x:c r="F2595" s="12" t="n">
        <x:f>SUM(B2595,D2595:E2595)</x:f>
        <x:v>276506.91322</x:v>
      </x:c>
      <x:c r="G2595" s="12" t="n">
        <x:f>MAX(G2594,F2595)</x:f>
        <x:v>323626.477668</x:v>
      </x:c>
      <x:c r="H2595" s="14" t="n">
        <x:f>F2595/G2595-1</x:f>
        <x:v>-0.1455986073436758</x:v>
      </x:c>
      <x:c r="I2595" s="14" t="n">
        <x:f>F2595/F2594-1</x:f>
        <x:v>-0.021461900556941083</x:v>
      </x:c>
      <x:c r="J2595" s="12" t="n">
        <x:v>0</x:v>
      </x:c>
      <x:c r="K2595" s="12" t="n">
        <x:v>0</x:v>
      </x:c>
      <x:c r="L2595" s="12" t="n">
        <x:v>0</x:v>
      </x:c>
      <x:c r="M2595" s="2" t="str">
        <x:v>持有</x:v>
      </x:c>
    </x:row>
    <x:row r="2596" ht="23" customHeight="1">
      <x:c r="A2596" s="11" t="d">
        <x:v>2025-04-22T00:00:00.000Z</x:v>
      </x:c>
      <x:c r="B2596" s="12" t="n">
        <x:v>26968.357668</x:v>
      </x:c>
      <x:c r="C2596" s="13" t="n">
        <x:v>484</x:v>
      </x:c>
      <x:c r="D2596" s="12" t="n">
        <x:v>255189</x:v>
      </x:c>
      <x:c r="E2596" s="12" t="n">
        <x:v>820.635552</x:v>
      </x:c>
      <x:c r="F2596" s="12" t="n">
        <x:f>SUM(B2596,D2596:E2596)</x:f>
        <x:v>282977.99322</x:v>
      </x:c>
      <x:c r="G2596" s="12" t="n">
        <x:f>MAX(G2595,F2596)</x:f>
        <x:v>323626.477668</x:v>
      </x:c>
      <x:c r="H2596" s="14" t="n">
        <x:f>F2596/G2596-1</x:f>
        <x:v>-0.12560308643750773</x:v>
      </x:c>
      <x:c r="I2596" s="14" t="n">
        <x:f>F2596/F2595-1</x:f>
        <x:v>0.02340295916887758</x:v>
      </x:c>
      <x:c r="J2596" s="12" t="n">
        <x:v>0</x:v>
      </x:c>
      <x:c r="K2596" s="12" t="n">
        <x:v>0</x:v>
      </x:c>
      <x:c r="L2596" s="12" t="n">
        <x:v>0</x:v>
      </x:c>
      <x:c r="M2596" s="2" t="str">
        <x:v>持有</x:v>
      </x:c>
    </x:row>
    <x:row r="2597" ht="23" customHeight="1">
      <x:c r="A2597" s="11" t="d">
        <x:v>2025-04-23T00:00:00.000Z</x:v>
      </x:c>
      <x:c r="B2597" s="12" t="n">
        <x:v>26968.357668</x:v>
      </x:c>
      <x:c r="C2597" s="13" t="n">
        <x:v>484</x:v>
      </x:c>
      <x:c r="D2597" s="12" t="n">
        <x:v>259143.27999999997</x:v>
      </x:c>
      <x:c r="E2597" s="12" t="n">
        <x:v>820.635552</x:v>
      </x:c>
      <x:c r="F2597" s="12" t="n">
        <x:f>SUM(B2597,D2597:E2597)</x:f>
        <x:v>286932.27322</x:v>
      </x:c>
      <x:c r="G2597" s="12" t="n">
        <x:f>MAX(G2596,F2597)</x:f>
        <x:v>323626.477668</x:v>
      </x:c>
      <x:c r="H2597" s="14" t="n">
        <x:f>F2597/G2597-1</x:f>
        <x:v>-0.11338443230112849</x:v>
      </x:c>
      <x:c r="I2597" s="14" t="n">
        <x:f>F2597/F2596-1</x:f>
        <x:v>0.01397380748589061</x:v>
      </x:c>
      <x:c r="J2597" s="12" t="n">
        <x:v>0</x:v>
      </x:c>
      <x:c r="K2597" s="12" t="n">
        <x:v>0</x:v>
      </x:c>
      <x:c r="L2597" s="12" t="n">
        <x:v>0</x:v>
      </x:c>
      <x:c r="M2597" s="2" t="str">
        <x:v>持有</x:v>
      </x:c>
    </x:row>
    <x:row r="2598" ht="23" customHeight="1">
      <x:c r="A2598" s="11" t="d">
        <x:v>2025-04-24T00:00:00.000Z</x:v>
      </x:c>
      <x:c r="B2598" s="12" t="n">
        <x:v>26968.357668</x:v>
      </x:c>
      <x:c r="C2598" s="13" t="n">
        <x:v>484</x:v>
      </x:c>
      <x:c r="D2598" s="12" t="n">
        <x:v>264597.96</x:v>
      </x:c>
      <x:c r="E2598" s="12" t="n">
        <x:v>820.635552</x:v>
      </x:c>
      <x:c r="F2598" s="12" t="n">
        <x:f>SUM(B2598,D2598:E2598)</x:f>
        <x:v>292386.95322</x:v>
      </x:c>
      <x:c r="G2598" s="12" t="n">
        <x:f>MAX(G2597,F2598)</x:f>
        <x:v>323626.477668</x:v>
      </x:c>
      <x:c r="H2598" s="14" t="n">
        <x:f>F2598/G2598-1</x:f>
        <x:v>-0.09652956912891342</x:v>
      </x:c>
      <x:c r="I2598" s="14" t="n">
        <x:f>F2598/F2597-1</x:f>
        <x:v>0.01901033975295552</x:v>
      </x:c>
      <x:c r="J2598" s="12" t="n">
        <x:v>0</x:v>
      </x:c>
      <x:c r="K2598" s="12" t="n">
        <x:v>0</x:v>
      </x:c>
      <x:c r="L2598" s="12" t="n">
        <x:v>0</x:v>
      </x:c>
      <x:c r="M2598" s="2" t="str">
        <x:v>持有</x:v>
      </x:c>
    </x:row>
    <x:row r="2599" ht="23" customHeight="1">
      <x:c r="A2599" s="11" t="d">
        <x:v>2025-04-25T00:00:00.000Z</x:v>
      </x:c>
      <x:c r="B2599" s="12" t="n">
        <x:v>26968.357668</x:v>
      </x:c>
      <x:c r="C2599" s="13" t="n">
        <x:v>484</x:v>
      </x:c>
      <x:c r="D2599" s="12" t="n">
        <x:v>266509.76</x:v>
      </x:c>
      <x:c r="E2599" s="12" t="n">
        <x:v>820.635552</x:v>
      </x:c>
      <x:c r="F2599" s="12" t="n">
        <x:f>SUM(B2599,D2599:E2599)</x:f>
        <x:v>294298.75322</x:v>
      </x:c>
      <x:c r="G2599" s="12" t="n">
        <x:f>MAX(G2598,F2599)</x:f>
        <x:v>323626.477668</x:v>
      </x:c>
      <x:c r="H2599" s="14" t="n">
        <x:f>F2599/G2599-1</x:f>
        <x:v>-0.09062214148647785</x:v>
      </x:c>
      <x:c r="I2599" s="14" t="n">
        <x:f>F2599/F2598-1</x:f>
        <x:v>0.0065385954432839455</x:v>
      </x:c>
      <x:c r="J2599" s="12" t="n">
        <x:v>0</x:v>
      </x:c>
      <x:c r="K2599" s="12" t="n">
        <x:v>0</x:v>
      </x:c>
      <x:c r="L2599" s="12" t="n">
        <x:v>0</x:v>
      </x:c>
      <x:c r="M2599" s="2" t="str">
        <x:v>持有</x:v>
      </x:c>
    </x:row>
    <x:row r="2600" ht="23" customHeight="1">
      <x:c r="A2600" s="11" t="d">
        <x:v>2025-04-28T00:00:00.000Z</x:v>
      </x:c>
      <x:c r="B2600" s="12" t="n">
        <x:v>26968.357668</x:v>
      </x:c>
      <x:c r="C2600" s="13" t="n">
        <x:v>484</x:v>
      </x:c>
      <x:c r="D2600" s="12" t="n">
        <x:v>266611.4</x:v>
      </x:c>
      <x:c r="E2600" s="12" t="n">
        <x:v>820.635552</x:v>
      </x:c>
      <x:c r="F2600" s="12" t="n">
        <x:f>SUM(B2600,D2600:E2600)</x:f>
        <x:v>294400.39322</x:v>
      </x:c>
      <x:c r="G2600" s="12" t="n">
        <x:f>MAX(G2599,F2600)</x:f>
        <x:v>323626.477668</x:v>
      </x:c>
      <x:c r="H2600" s="14" t="n">
        <x:f>F2600/G2600-1</x:f>
        <x:v>-0.09030807571308253</x:v>
      </x:c>
      <x:c r="I2600" s="14" t="n">
        <x:f>F2600/F2599-1</x:f>
        <x:v>0.0003453633387431321</x:v>
      </x:c>
      <x:c r="J2600" s="12" t="n">
        <x:v>0</x:v>
      </x:c>
      <x:c r="K2600" s="12" t="n">
        <x:v>0</x:v>
      </x:c>
      <x:c r="L2600" s="12" t="n">
        <x:v>0</x:v>
      </x:c>
      <x:c r="M2600" s="2" t="str">
        <x:v>持有</x:v>
      </x:c>
    </x:row>
    <x:row r="2601" ht="23" customHeight="1">
      <x:c r="A2601" s="11" t="d">
        <x:v>2025-04-29T00:00:00.000Z</x:v>
      </x:c>
      <x:c r="B2601" s="12" t="n">
        <x:v>26968.357668</x:v>
      </x:c>
      <x:c r="C2601" s="13" t="n">
        <x:v>484</x:v>
      </x:c>
      <x:c r="D2601" s="12" t="n">
        <x:v>268290.88</x:v>
      </x:c>
      <x:c r="E2601" s="12" t="n">
        <x:v>820.635552</x:v>
      </x:c>
      <x:c r="F2601" s="12" t="n">
        <x:f>SUM(B2601,D2601:E2601)</x:f>
        <x:v>296079.87322</x:v>
      </x:c>
      <x:c r="G2601" s="12" t="n">
        <x:f>MAX(G2600,F2601)</x:f>
        <x:v>323626.477668</x:v>
      </x:c>
      <x:c r="H2601" s="14" t="n">
        <x:f>F2601/G2601-1</x:f>
        <x:v>-0.0851185126955506</x:v>
      </x:c>
      <x:c r="I2601" s="14" t="n">
        <x:f>F2601/F2600-1</x:f>
        <x:v>0.005704747815146183</x:v>
      </x:c>
      <x:c r="J2601" s="12" t="n">
        <x:v>0</x:v>
      </x:c>
      <x:c r="K2601" s="12" t="n">
        <x:v>0</x:v>
      </x:c>
      <x:c r="L2601" s="12" t="n">
        <x:v>0</x:v>
      </x:c>
      <x:c r="M2601" s="2" t="str">
        <x:v>持有</x:v>
      </x:c>
    </x:row>
    <x:row r="2602" ht="23" customHeight="1">
      <x:c r="A2602" s="11" t="d">
        <x:v>2025-04-30T00:00:00.000Z</x:v>
      </x:c>
      <x:c r="B2602" s="12" t="n">
        <x:v>27788.99322</x:v>
      </x:c>
      <x:c r="C2602" s="13" t="n">
        <x:v>484</x:v>
      </x:c>
      <x:c r="D2602" s="12" t="n">
        <x:v>268397.36</x:v>
      </x:c>
      <x:c r="E2602" s="12" t="n">
        <x:v>0</x:v>
      </x:c>
      <x:c r="F2602" s="12" t="n">
        <x:f>SUM(B2602,D2602:E2602)</x:f>
        <x:v>296186.35322</x:v>
      </x:c>
      <x:c r="G2602" s="12" t="n">
        <x:f>MAX(G2601,F2602)</x:f>
        <x:v>323626.477668</x:v>
      </x:c>
      <x:c r="H2602" s="14" t="n">
        <x:f>F2602/G2602-1</x:f>
        <x:v>-0.0847894914091365</x:v>
      </x:c>
      <x:c r="I2602" s="14" t="n">
        <x:f>F2602/F2601-1</x:f>
        <x:v>0.00035963268574112917</x:v>
      </x:c>
      <x:c r="J2602" s="12" t="n">
        <x:v>0</x:v>
      </x:c>
      <x:c r="K2602" s="12" t="n">
        <x:v>820.635552</x:v>
      </x:c>
      <x:c r="L2602" s="12" t="n">
        <x:v>0</x:v>
      </x:c>
      <x:c r="M2602" s="2" t="str">
        <x:v>持有</x:v>
      </x:c>
    </x:row>
    <x:row r="2603" ht="23" customHeight="1">
      <x:c r="A2603" s="11" t="d">
        <x:v>2025-05-01T00:00:00.000Z</x:v>
      </x:c>
      <x:c r="B2603" s="12" t="n">
        <x:v>27788.99322</x:v>
      </x:c>
      <x:c r="C2603" s="13" t="n">
        <x:v>484</x:v>
      </x:c>
      <x:c r="D2603" s="12" t="n">
        <x:v>270299.48000000004</x:v>
      </x:c>
      <x:c r="E2603" s="12" t="n">
        <x:v>0</x:v>
      </x:c>
      <x:c r="F2603" s="12" t="n">
        <x:f>SUM(B2603,D2603:E2603)</x:f>
        <x:v>298088.47322000004</x:v>
      </x:c>
      <x:c r="G2603" s="12" t="n">
        <x:f>MAX(G2602,F2603)</x:f>
        <x:v>323626.477668</x:v>
      </x:c>
      <x:c r="H2603" s="14" t="n">
        <x:f>F2603/G2603-1</x:f>
        <x:v>-0.07891197479273837</x:v>
      </x:c>
      <x:c r="I2603" s="14" t="n">
        <x:f>F2603/F2602-1</x:f>
        <x:v>0.006422037947802384</x:v>
      </x:c>
      <x:c r="J2603" s="12" t="n">
        <x:v>0</x:v>
      </x:c>
      <x:c r="K2603" s="12" t="n">
        <x:v>0</x:v>
      </x:c>
      <x:c r="L2603" s="12" t="n">
        <x:v>0</x:v>
      </x:c>
      <x:c r="M2603" s="2" t="str">
        <x:v>持有</x:v>
      </x:c>
    </x:row>
    <x:row r="2604" ht="23" customHeight="1">
      <x:c r="A2604" s="11" t="d">
        <x:v>2025-05-02T00:00:00.000Z</x:v>
      </x:c>
      <x:c r="B2604" s="12" t="n">
        <x:v>27788.99322</x:v>
      </x:c>
      <x:c r="C2604" s="13" t="n">
        <x:v>484</x:v>
      </x:c>
      <x:c r="D2604" s="12" t="n">
        <x:v>274311.83999999997</x:v>
      </x:c>
      <x:c r="E2604" s="12" t="n">
        <x:v>0</x:v>
      </x:c>
      <x:c r="F2604" s="12" t="n">
        <x:f>SUM(B2604,D2604:E2604)</x:f>
        <x:v>302100.83322</x:v>
      </x:c>
      <x:c r="G2604" s="12" t="n">
        <x:f>MAX(G2603,F2604)</x:f>
        <x:v>323626.477668</x:v>
      </x:c>
      <x:c r="H2604" s="14" t="n">
        <x:f>F2604/G2604-1</x:f>
        <x:v>-0.06651385450013336</x:v>
      </x:c>
      <x:c r="I2604" s="14" t="n">
        <x:f>F2604/F2603-1</x:f>
        <x:v>0.01346029907382107</x:v>
      </x:c>
      <x:c r="J2604" s="12" t="n">
        <x:v>0</x:v>
      </x:c>
      <x:c r="K2604" s="12" t="n">
        <x:v>0</x:v>
      </x:c>
      <x:c r="L2604" s="12" t="n">
        <x:v>0</x:v>
      </x:c>
      <x:c r="M2604" s="2" t="str">
        <x:v>持有</x:v>
      </x:c>
    </x:row>
    <x:row r="2605" ht="23" customHeight="1">
      <x:c r="A2605" s="11" t="d">
        <x:v>2025-05-05T00:00:00.000Z</x:v>
      </x:c>
      <x:c r="B2605" s="12" t="n">
        <x:v>27788.99322</x:v>
      </x:c>
      <x:c r="C2605" s="13" t="n">
        <x:v>484</x:v>
      </x:c>
      <x:c r="D2605" s="12" t="n">
        <x:v>272738.83999999997</x:v>
      </x:c>
      <x:c r="E2605" s="12" t="n">
        <x:v>0</x:v>
      </x:c>
      <x:c r="F2605" s="12" t="n">
        <x:f>SUM(B2605,D2605:E2605)</x:f>
        <x:v>300527.83322</x:v>
      </x:c>
      <x:c r="G2605" s="12" t="n">
        <x:f>MAX(G2604,F2605)</x:f>
        <x:v>323626.477668</x:v>
      </x:c>
      <x:c r="H2605" s="14" t="n">
        <x:f>F2605/G2605-1</x:f>
        <x:v>-0.07137439623125119</x:v>
      </x:c>
      <x:c r="I2605" s="14" t="n">
        <x:f>F2605/F2604-1</x:f>
        <x:v>-0.005206870776336081</x:v>
      </x:c>
      <x:c r="J2605" s="12" t="n">
        <x:v>0</x:v>
      </x:c>
      <x:c r="K2605" s="12" t="n">
        <x:v>0</x:v>
      </x:c>
      <x:c r="L2605" s="12" t="n">
        <x:v>0</x:v>
      </x:c>
      <x:c r="M2605" s="2" t="str">
        <x:v>持有</x:v>
      </x:c>
    </x:row>
    <x:row r="2606" ht="23" customHeight="1">
      <x:c r="A2606" s="11" t="d">
        <x:v>2025-05-06T00:00:00.000Z</x:v>
      </x:c>
      <x:c r="B2606" s="12" t="n">
        <x:v>27788.99322</x:v>
      </x:c>
      <x:c r="C2606" s="13" t="n">
        <x:v>484</x:v>
      </x:c>
      <x:c r="D2606" s="12" t="n">
        <x:v>270459.19999999995</x:v>
      </x:c>
      <x:c r="E2606" s="12" t="n">
        <x:v>0</x:v>
      </x:c>
      <x:c r="F2606" s="12" t="n">
        <x:f>SUM(B2606,D2606:E2606)</x:f>
        <x:v>298248.19321999996</x:v>
      </x:c>
      <x:c r="G2606" s="12" t="n">
        <x:f>MAX(G2605,F2606)</x:f>
        <x:v>323626.477668</x:v>
      </x:c>
      <x:c r="H2606" s="14" t="n">
        <x:f>F2606/G2606-1</x:f>
        <x:v>-0.0784184428631175</x:v>
      </x:c>
      <x:c r="I2606" s="14" t="n">
        <x:f>F2606/F2605-1</x:f>
        <x:v>-0.007585453818286458</x:v>
      </x:c>
      <x:c r="J2606" s="12" t="n">
        <x:v>0</x:v>
      </x:c>
      <x:c r="K2606" s="12" t="n">
        <x:v>0</x:v>
      </x:c>
      <x:c r="L2606" s="12" t="n">
        <x:v>0</x:v>
      </x:c>
      <x:c r="M2606" s="2" t="str">
        <x:v>持有</x:v>
      </x:c>
    </x:row>
    <x:row r="2607" ht="23" customHeight="1">
      <x:c r="A2607" s="11" t="d">
        <x:v>2025-05-07T00:00:00.000Z</x:v>
      </x:c>
      <x:c r="B2607" s="12" t="n">
        <x:v>27788.99322</x:v>
      </x:c>
      <x:c r="C2607" s="13" t="n">
        <x:v>484</x:v>
      </x:c>
      <x:c r="D2607" s="12" t="n">
        <x:v>271596.6</x:v>
      </x:c>
      <x:c r="E2607" s="12" t="n">
        <x:v>0</x:v>
      </x:c>
      <x:c r="F2607" s="12" t="n">
        <x:f>SUM(B2607,D2607:E2607)</x:f>
        <x:v>299385.59322</x:v>
      </x:c>
      <x:c r="G2607" s="12" t="n">
        <x:f>MAX(G2606,F2607)</x:f>
        <x:v>323626.477668</x:v>
      </x:c>
      <x:c r="H2607" s="14" t="n">
        <x:f>F2607/G2607-1</x:f>
        <x:v>-0.07490389730369373</x:v>
      </x:c>
      <x:c r="I2607" s="14" t="n">
        <x:f>F2607/F2606-1</x:f>
        <x:v>0.003813602314636677</x:v>
      </x:c>
      <x:c r="J2607" s="12" t="n">
        <x:v>0</x:v>
      </x:c>
      <x:c r="K2607" s="12" t="n">
        <x:v>0</x:v>
      </x:c>
      <x:c r="L2607" s="12" t="n">
        <x:v>0</x:v>
      </x:c>
      <x:c r="M2607" s="2" t="str">
        <x:v>持有</x:v>
      </x:c>
    </x:row>
    <x:row r="2608" ht="23" customHeight="1">
      <x:c r="A2608" s="11" t="d">
        <x:v>2025-05-08T00:00:00.000Z</x:v>
      </x:c>
      <x:c r="B2608" s="12" t="n">
        <x:v>27788.99322</x:v>
      </x:c>
      <x:c r="C2608" s="13" t="n">
        <x:v>484</x:v>
      </x:c>
      <x:c r="D2608" s="12" t="n">
        <x:v>273489.04</x:v>
      </x:c>
      <x:c r="E2608" s="12" t="n">
        <x:v>0</x:v>
      </x:c>
      <x:c r="F2608" s="12" t="n">
        <x:f>SUM(B2608,D2608:E2608)</x:f>
        <x:v>301278.03322</x:v>
      </x:c>
      <x:c r="G2608" s="12" t="n">
        <x:f>MAX(G2607,F2608)</x:f>
        <x:v>323626.477668</x:v>
      </x:c>
      <x:c r="H2608" s="14" t="n">
        <x:f>F2608/G2608-1</x:f>
        <x:v>-0.06905629171333338</x:v>
      </x:c>
      <x:c r="I2608" s="14" t="n">
        <x:f>F2608/F2607-1</x:f>
        <x:v>0.00632107904607615</x:v>
      </x:c>
      <x:c r="J2608" s="12" t="n">
        <x:v>0</x:v>
      </x:c>
      <x:c r="K2608" s="12" t="n">
        <x:v>0</x:v>
      </x:c>
      <x:c r="L2608" s="12" t="n">
        <x:v>0</x:v>
      </x:c>
      <x:c r="M2608" s="2" t="str">
        <x:v>持有</x:v>
      </x:c>
    </x:row>
    <x:row r="2609" ht="23" customHeight="1">
      <x:c r="A2609" s="11" t="d">
        <x:v>2025-05-09T00:00:00.000Z</x:v>
      </x:c>
      <x:c r="B2609" s="12" t="n">
        <x:v>27788.99322</x:v>
      </x:c>
      <x:c r="C2609" s="13" t="n">
        <x:v>484</x:v>
      </x:c>
      <x:c r="D2609" s="12" t="n">
        <x:v>273140.56</x:v>
      </x:c>
      <x:c r="E2609" s="12" t="n">
        <x:v>0</x:v>
      </x:c>
      <x:c r="F2609" s="12" t="n">
        <x:f>SUM(B2609,D2609:E2609)</x:f>
        <x:v>300929.55322</x:v>
      </x:c>
      <x:c r="G2609" s="12" t="n">
        <x:f>MAX(G2608,F2609)</x:f>
        <x:v>323626.477668</x:v>
      </x:c>
      <x:c r="H2609" s="14" t="n">
        <x:f>F2609/G2609-1</x:f>
        <x:v>-0.07013308865068868</x:v>
      </x:c>
      <x:c r="I2609" s="14" t="n">
        <x:f>F2609/F2608-1</x:f>
        <x:v>-0.0011566724472922285</x:v>
      </x:c>
      <x:c r="J2609" s="12" t="n">
        <x:v>0</x:v>
      </x:c>
      <x:c r="K2609" s="12" t="n">
        <x:v>0</x:v>
      </x:c>
      <x:c r="L2609" s="12" t="n">
        <x:v>0</x:v>
      </x:c>
      <x:c r="M2609" s="2" t="str">
        <x:v>持有</x:v>
      </x:c>
    </x:row>
    <x:row r="2610" ht="23" customHeight="1">
      <x:c r="A2610" s="11" t="d">
        <x:v>2025-05-12T00:00:00.000Z</x:v>
      </x:c>
      <x:c r="B2610" s="12" t="n">
        <x:v>27788.99322</x:v>
      </x:c>
      <x:c r="C2610" s="13" t="n">
        <x:v>484</x:v>
      </x:c>
      <x:c r="D2610" s="12" t="n">
        <x:v>282167.16000000003</x:v>
      </x:c>
      <x:c r="E2610" s="12" t="n">
        <x:v>0</x:v>
      </x:c>
      <x:c r="F2610" s="12" t="n">
        <x:f>SUM(B2610,D2610:E2610)</x:f>
        <x:v>309956.15322000004</x:v>
      </x:c>
      <x:c r="G2610" s="12" t="n">
        <x:f>MAX(G2609,F2610)</x:f>
        <x:v>323626.477668</x:v>
      </x:c>
      <x:c r="H2610" s="14" t="n">
        <x:f>F2610/G2610-1</x:f>
        <x:v>-0.04224105687058144</x:v>
      </x:c>
      <x:c r="I2610" s="14" t="n">
        <x:f>F2610/F2609-1</x:f>
        <x:v>0.02999572459206412</x:v>
      </x:c>
      <x:c r="J2610" s="12" t="n">
        <x:v>0</x:v>
      </x:c>
      <x:c r="K2610" s="12" t="n">
        <x:v>0</x:v>
      </x:c>
      <x:c r="L2610" s="12" t="n">
        <x:v>0</x:v>
      </x:c>
      <x:c r="M2610" s="2" t="str">
        <x:v>持有</x:v>
      </x:c>
    </x:row>
    <x:row r="2611" ht="23" customHeight="1">
      <x:c r="A2611" s="11" t="d">
        <x:v>2025-05-13T00:00:00.000Z</x:v>
      </x:c>
      <x:c r="B2611" s="12" t="n">
        <x:v>27788.99322</x:v>
      </x:c>
      <x:c r="C2611" s="13" t="n">
        <x:v>484</x:v>
      </x:c>
      <x:c r="D2611" s="12" t="n">
        <x:v>284030.56</x:v>
      </x:c>
      <x:c r="E2611" s="12" t="n">
        <x:v>0</x:v>
      </x:c>
      <x:c r="F2611" s="12" t="n">
        <x:f>SUM(B2611,D2611:E2611)</x:f>
        <x:v>311819.55322</x:v>
      </x:c>
      <x:c r="G2611" s="12" t="n">
        <x:f>MAX(G2610,F2611)</x:f>
        <x:v>323626.477668</x:v>
      </x:c>
      <x:c r="H2611" s="14" t="n">
        <x:f>F2611/G2611-1</x:f>
        <x:v>-0.0364831843583342</x:v>
      </x:c>
      <x:c r="I2611" s="14" t="n">
        <x:f>F2611/F2610-1</x:f>
        <x:v>0.006011818060851271</x:v>
      </x:c>
      <x:c r="J2611" s="12" t="n">
        <x:v>0</x:v>
      </x:c>
      <x:c r="K2611" s="12" t="n">
        <x:v>0</x:v>
      </x:c>
      <x:c r="L2611" s="12" t="n">
        <x:v>0</x:v>
      </x:c>
      <x:c r="M2611" s="2" t="str">
        <x:v>持有</x:v>
      </x:c>
    </x:row>
    <x:row r="2612" ht="23" customHeight="1">
      <x:c r="A2612" s="11" t="d">
        <x:v>2025-05-14T00:00:00.000Z</x:v>
      </x:c>
      <x:c r="B2612" s="12" t="n">
        <x:v>27788.99322</x:v>
      </x:c>
      <x:c r="C2612" s="13" t="n">
        <x:v>484</x:v>
      </x:c>
      <x:c r="D2612" s="12" t="n">
        <x:v>284393.56</x:v>
      </x:c>
      <x:c r="E2612" s="12" t="n">
        <x:v>0</x:v>
      </x:c>
      <x:c r="F2612" s="12" t="n">
        <x:f>SUM(B2612,D2612:E2612)</x:f>
        <x:v>312182.55322</x:v>
      </x:c>
      <x:c r="G2612" s="12" t="n">
        <x:f>MAX(G2611,F2612)</x:f>
        <x:v>323626.477668</x:v>
      </x:c>
      <x:c r="H2612" s="14" t="n">
        <x:f>F2612/G2612-1</x:f>
        <x:v>-0.03536152088192246</x:v>
      </x:c>
      <x:c r="I2612" s="14" t="n">
        <x:f>F2612/F2611-1</x:f>
        <x:v>0.0011641348217310554</x:v>
      </x:c>
      <x:c r="J2612" s="12" t="n">
        <x:v>0</x:v>
      </x:c>
      <x:c r="K2612" s="12" t="n">
        <x:v>0</x:v>
      </x:c>
      <x:c r="L2612" s="12" t="n">
        <x:v>0</x:v>
      </x:c>
      <x:c r="M2612" s="2" t="str">
        <x:v>持有</x:v>
      </x:c>
    </x:row>
    <x:row r="2613" ht="23" customHeight="1">
      <x:c r="A2613" s="11" t="d">
        <x:v>2025-05-15T00:00:00.000Z</x:v>
      </x:c>
      <x:c r="B2613" s="12" t="n">
        <x:v>27788.99322</x:v>
      </x:c>
      <x:c r="C2613" s="13" t="n">
        <x:v>484</x:v>
      </x:c>
      <x:c r="D2613" s="12" t="n">
        <x:v>285782.64</x:v>
      </x:c>
      <x:c r="E2613" s="12" t="n">
        <x:v>0</x:v>
      </x:c>
      <x:c r="F2613" s="12" t="n">
        <x:f>SUM(B2613,D2613:E2613)</x:f>
        <x:v>313571.63322</x:v>
      </x:c>
      <x:c r="G2613" s="12" t="n">
        <x:f>MAX(G2612,F2613)</x:f>
        <x:v>323626.477668</x:v>
      </x:c>
      <x:c r="H2613" s="14" t="n">
        <x:f>F2613/G2613-1</x:f>
        <x:v>-0.031069288645519832</x:v>
      </x:c>
      <x:c r="I2613" s="14" t="n">
        <x:f>F2613/F2612-1</x:f>
        <x:v>0.004449576011447132</x:v>
      </x:c>
      <x:c r="J2613" s="12" t="n">
        <x:v>0</x:v>
      </x:c>
      <x:c r="K2613" s="12" t="n">
        <x:v>0</x:v>
      </x:c>
      <x:c r="L2613" s="12" t="n">
        <x:v>0</x:v>
      </x:c>
      <x:c r="M2613" s="2" t="str">
        <x:v>持有</x:v>
      </x:c>
    </x:row>
    <x:row r="2614" ht="23" customHeight="1">
      <x:c r="A2614" s="11" t="d">
        <x:v>2025-05-16T00:00:00.000Z</x:v>
      </x:c>
      <x:c r="B2614" s="12" t="n">
        <x:v>27788.99322</x:v>
      </x:c>
      <x:c r="C2614" s="13" t="n">
        <x:v>484</x:v>
      </x:c>
      <x:c r="D2614" s="12" t="n">
        <x:v>287592.80000000005</x:v>
      </x:c>
      <x:c r="E2614" s="12" t="n">
        <x:v>0</x:v>
      </x:c>
      <x:c r="F2614" s="12" t="n">
        <x:f>SUM(B2614,D2614:E2614)</x:f>
        <x:v>315381.79322000005</x:v>
      </x:c>
      <x:c r="G2614" s="12" t="n">
        <x:f>MAX(G2613,F2614)</x:f>
        <x:v>323626.477668</x:v>
      </x:c>
      <x:c r="H2614" s="14" t="n">
        <x:f>F2614/G2614-1</x:f>
        <x:v>-0.025475926776479474</x:v>
      </x:c>
      <x:c r="I2614" s="14" t="n">
        <x:f>F2614/F2613-1</x:f>
        <x:v>0.005772716050274962</x:v>
      </x:c>
      <x:c r="J2614" s="12" t="n">
        <x:v>0</x:v>
      </x:c>
      <x:c r="K2614" s="12" t="n">
        <x:v>0</x:v>
      </x:c>
      <x:c r="L2614" s="12" t="n">
        <x:v>0</x:v>
      </x:c>
      <x:c r="M2614" s="2" t="str">
        <x:v>持有</x:v>
      </x:c>
    </x:row>
    <x:row r="2615" ht="23" customHeight="1">
      <x:c r="A2615" s="11" t="d">
        <x:v>2025-05-19T00:00:00.000Z</x:v>
      </x:c>
      <x:c r="B2615" s="12" t="n">
        <x:v>27788.99322</x:v>
      </x:c>
      <x:c r="C2615" s="13" t="n">
        <x:v>484</x:v>
      </x:c>
      <x:c r="D2615" s="12" t="n">
        <x:v>287907.4</x:v>
      </x:c>
      <x:c r="E2615" s="12" t="n">
        <x:v>0</x:v>
      </x:c>
      <x:c r="F2615" s="12" t="n">
        <x:f>SUM(B2615,D2615:E2615)</x:f>
        <x:v>315696.39322</x:v>
      </x:c>
      <x:c r="G2615" s="12" t="n">
        <x:f>MAX(G2614,F2615)</x:f>
        <x:v>323626.477668</x:v>
      </x:c>
      <x:c r="H2615" s="14" t="n">
        <x:f>F2615/G2615-1</x:f>
        <x:v>-0.024503818430255953</x:v>
      </x:c>
      <x:c r="I2615" s="14" t="n">
        <x:f>F2615/F2614-1</x:f>
        <x:v>0.0009975211212669421</x:v>
      </x:c>
      <x:c r="J2615" s="12" t="n">
        <x:v>0</x:v>
      </x:c>
      <x:c r="K2615" s="12" t="n">
        <x:v>0</x:v>
      </x:c>
      <x:c r="L2615" s="12" t="n">
        <x:v>0</x:v>
      </x:c>
      <x:c r="M2615" s="2" t="str">
        <x:v>持有</x:v>
      </x:c>
    </x:row>
    <x:row r="2616" ht="23" customHeight="1">
      <x:c r="A2616" s="11" t="d">
        <x:v>2025-05-20T00:00:00.000Z</x:v>
      </x:c>
      <x:c r="B2616" s="12" t="n">
        <x:v>27788.99322</x:v>
      </x:c>
      <x:c r="C2616" s="13" t="n">
        <x:v>484</x:v>
      </x:c>
      <x:c r="D2616" s="12" t="n">
        <x:v>286939.4</x:v>
      </x:c>
      <x:c r="E2616" s="12" t="n">
        <x:v>0</x:v>
      </x:c>
      <x:c r="F2616" s="12" t="n">
        <x:f>SUM(B2616,D2616:E2616)</x:f>
        <x:v>314728.39322</x:v>
      </x:c>
      <x:c r="G2616" s="12" t="n">
        <x:f>MAX(G2615,F2616)</x:f>
        <x:v>323626.477668</x:v>
      </x:c>
      <x:c r="H2616" s="14" t="n">
        <x:f>F2616/G2616-1</x:f>
        <x:v>-0.027494921034020736</x:v>
      </x:c>
      <x:c r="I2616" s="14" t="n">
        <x:f>F2616/F2615-1</x:f>
        <x:v>-0.0030662371214530415</x:v>
      </x:c>
      <x:c r="J2616" s="12" t="n">
        <x:v>0</x:v>
      </x:c>
      <x:c r="K2616" s="12" t="n">
        <x:v>0</x:v>
      </x:c>
      <x:c r="L2616" s="12" t="n">
        <x:v>0</x:v>
      </x:c>
      <x:c r="M2616" s="2" t="str">
        <x:v>持有</x:v>
      </x:c>
    </x:row>
    <x:row r="2617" ht="23" customHeight="1">
      <x:c r="A2617" s="11" t="d">
        <x:v>2025-05-21T00:00:00.000Z</x:v>
      </x:c>
      <x:c r="B2617" s="12" t="n">
        <x:v>27788.99322</x:v>
      </x:c>
      <x:c r="C2617" s="13" t="n">
        <x:v>484</x:v>
      </x:c>
      <x:c r="D2617" s="12" t="n">
        <x:v>282104.24</x:v>
      </x:c>
      <x:c r="E2617" s="12" t="n">
        <x:v>0</x:v>
      </x:c>
      <x:c r="F2617" s="12" t="n">
        <x:f>SUM(B2617,D2617:E2617)</x:f>
        <x:v>309893.23322</x:v>
      </x:c>
      <x:c r="G2617" s="12" t="n">
        <x:f>MAX(G2616,F2617)</x:f>
        <x:v>323626.477668</x:v>
      </x:c>
      <x:c r="H2617" s="14" t="n">
        <x:f>F2617/G2617-1</x:f>
        <x:v>-0.04243547853982632</x:v>
      </x:c>
      <x:c r="I2617" s="14" t="n">
        <x:f>F2617/F2616-1</x:f>
        <x:v>-0.015362960902673195</x:v>
      </x:c>
      <x:c r="J2617" s="12" t="n">
        <x:v>0</x:v>
      </x:c>
      <x:c r="K2617" s="12" t="n">
        <x:v>0</x:v>
      </x:c>
      <x:c r="L2617" s="12" t="n">
        <x:v>0</x:v>
      </x:c>
      <x:c r="M2617" s="2" t="str">
        <x:v>持有</x:v>
      </x:c>
    </x:row>
    <x:row r="2618" ht="23" customHeight="1">
      <x:c r="A2618" s="11" t="d">
        <x:v>2025-05-22T00:00:00.000Z</x:v>
      </x:c>
      <x:c r="B2618" s="12" t="n">
        <x:v>27788.99322</x:v>
      </x:c>
      <x:c r="C2618" s="13" t="n">
        <x:v>484</x:v>
      </x:c>
      <x:c r="D2618" s="12" t="n">
        <x:v>282215.56</x:v>
      </x:c>
      <x:c r="E2618" s="12" t="n">
        <x:v>0</x:v>
      </x:c>
      <x:c r="F2618" s="12" t="n">
        <x:f>SUM(B2618,D2618:E2618)</x:f>
        <x:v>310004.55322</x:v>
      </x:c>
      <x:c r="G2618" s="12" t="n">
        <x:f>MAX(G2617,F2618)</x:f>
        <x:v>323626.477668</x:v>
      </x:c>
      <x:c r="H2618" s="14" t="n">
        <x:f>F2618/G2618-1</x:f>
        <x:v>-0.04209150174039333</x:v>
      </x:c>
      <x:c r="I2618" s="14" t="n">
        <x:f>F2618/F2617-1</x:f>
        <x:v>0.00035922049295278313</x:v>
      </x:c>
      <x:c r="J2618" s="12" t="n">
        <x:v>0</x:v>
      </x:c>
      <x:c r="K2618" s="12" t="n">
        <x:v>0</x:v>
      </x:c>
      <x:c r="L2618" s="12" t="n">
        <x:v>0</x:v>
      </x:c>
      <x:c r="M2618" s="2" t="str">
        <x:v>持有</x:v>
      </x:c>
    </x:row>
    <x:row r="2619" ht="23" customHeight="1">
      <x:c r="A2619" s="11" t="d">
        <x:v>2025-05-23T00:00:00.000Z</x:v>
      </x:c>
      <x:c r="B2619" s="12" t="n">
        <x:v>27788.99322</x:v>
      </x:c>
      <x:c r="C2619" s="13" t="n">
        <x:v>484</x:v>
      </x:c>
      <x:c r="D2619" s="12" t="n">
        <x:v>280289.24</x:v>
      </x:c>
      <x:c r="E2619" s="12" t="n">
        <x:v>0</x:v>
      </x:c>
      <x:c r="F2619" s="12" t="n">
        <x:f>SUM(B2619,D2619:E2619)</x:f>
        <x:v>308078.23322</x:v>
      </x:c>
      <x:c r="G2619" s="12" t="n">
        <x:f>MAX(G2618,F2619)</x:f>
        <x:v>323626.477668</x:v>
      </x:c>
      <x:c r="H2619" s="14" t="n">
        <x:f>F2619/G2619-1</x:f>
        <x:v>-0.048043795921885346</x:v>
      </x:c>
      <x:c r="I2619" s="14" t="n">
        <x:f>F2619/F2618-1</x:f>
        <x:v>-0.006213844216129805</x:v>
      </x:c>
      <x:c r="J2619" s="12" t="n">
        <x:v>0</x:v>
      </x:c>
      <x:c r="K2619" s="12" t="n">
        <x:v>0</x:v>
      </x:c>
      <x:c r="L2619" s="12" t="n">
        <x:v>0</x:v>
      </x:c>
      <x:c r="M2619" s="2" t="str">
        <x:v>持有</x:v>
      </x:c>
    </x:row>
    <x:row r="2620" ht="23" customHeight="1">
      <x:c r="A2620" s="11" t="d">
        <x:v>2025-05-27T00:00:00.000Z</x:v>
      </x:c>
      <x:c r="B2620" s="12" t="n">
        <x:v>27788.99322</x:v>
      </x:c>
      <x:c r="C2620" s="13" t="n">
        <x:v>484</x:v>
      </x:c>
      <x:c r="D2620" s="12" t="n">
        <x:v>286116.6</x:v>
      </x:c>
      <x:c r="E2620" s="12" t="n">
        <x:v>0</x:v>
      </x:c>
      <x:c r="F2620" s="12" t="n">
        <x:f>SUM(B2620,D2620:E2620)</x:f>
        <x:v>313905.59322</x:v>
      </x:c>
      <x:c r="G2620" s="12" t="n">
        <x:f>MAX(G2619,F2620)</x:f>
        <x:v>323626.477668</x:v>
      </x:c>
      <x:c r="H2620" s="14" t="n">
        <x:f>F2620/G2620-1</x:f>
        <x:v>-0.03003735824722109</x:v>
      </x:c>
      <x:c r="I2620" s="14" t="n">
        <x:f>F2620/F2619-1</x:f>
        <x:v>0.01891519546542786</x:v>
      </x:c>
      <x:c r="J2620" s="12" t="n">
        <x:v>0</x:v>
      </x:c>
      <x:c r="K2620" s="12" t="n">
        <x:v>0</x:v>
      </x:c>
      <x:c r="L2620" s="12" t="n">
        <x:v>0</x:v>
      </x:c>
      <x:c r="M2620" s="2" t="str">
        <x:v>持有</x:v>
      </x:c>
    </x:row>
    <x:row r="2621" ht="23" customHeight="1">
      <x:c r="A2621" s="11" t="d">
        <x:v>2025-05-28T00:00:00.000Z</x:v>
      </x:c>
      <x:c r="B2621" s="12" t="n">
        <x:v>27788.99322</x:v>
      </x:c>
      <x:c r="C2621" s="13" t="n">
        <x:v>484</x:v>
      </x:c>
      <x:c r="D2621" s="12" t="n">
        <x:v>284461.32</x:v>
      </x:c>
      <x:c r="E2621" s="12" t="n">
        <x:v>0</x:v>
      </x:c>
      <x:c r="F2621" s="12" t="n">
        <x:f>SUM(B2621,D2621:E2621)</x:f>
        <x:v>312250.31322</x:v>
      </x:c>
      <x:c r="G2621" s="12" t="n">
        <x:f>MAX(G2620,F2621)</x:f>
        <x:v>323626.477668</x:v>
      </x:c>
      <x:c r="H2621" s="14" t="n">
        <x:f>F2621/G2621-1</x:f>
        <x:v>-0.0351521436996588</x:v>
      </x:c>
      <x:c r="I2621" s="14" t="n">
        <x:f>F2621/F2620-1</x:f>
        <x:v>-0.00527317778259484</x:v>
      </x:c>
      <x:c r="J2621" s="12" t="n">
        <x:v>0</x:v>
      </x:c>
      <x:c r="K2621" s="12" t="n">
        <x:v>0</x:v>
      </x:c>
      <x:c r="L2621" s="12" t="n">
        <x:v>0</x:v>
      </x:c>
      <x:c r="M2621" s="2" t="str">
        <x:v>持有</x:v>
      </x:c>
    </x:row>
    <x:row r="2622" ht="23" customHeight="1">
      <x:c r="A2622" s="11" t="d">
        <x:v>2025-05-29T00:00:00.000Z</x:v>
      </x:c>
      <x:c r="B2622" s="12" t="n">
        <x:v>27788.99322</x:v>
      </x:c>
      <x:c r="C2622" s="13" t="n">
        <x:v>484</x:v>
      </x:c>
      <x:c r="D2622" s="12" t="n">
        <x:v>285584.19999999995</x:v>
      </x:c>
      <x:c r="E2622" s="12" t="n">
        <x:v>0</x:v>
      </x:c>
      <x:c r="F2622" s="12" t="n">
        <x:f>SUM(B2622,D2622:E2622)</x:f>
        <x:v>313373.19321999996</x:v>
      </x:c>
      <x:c r="G2622" s="12" t="n">
        <x:f>MAX(G2621,F2622)</x:f>
        <x:v>323626.477668</x:v>
      </x:c>
      <x:c r="H2622" s="14" t="n">
        <x:f>F2622/G2622-1</x:f>
        <x:v>-0.03168246467929181</x:v>
      </x:c>
      <x:c r="I2622" s="14" t="n">
        <x:f>F2622/F2621-1</x:f>
        <x:v>0.0035960892670388045</x:v>
      </x:c>
      <x:c r="J2622" s="12" t="n">
        <x:v>0</x:v>
      </x:c>
      <x:c r="K2622" s="12" t="n">
        <x:v>0</x:v>
      </x:c>
      <x:c r="L2622" s="12" t="n">
        <x:v>0</x:v>
      </x:c>
      <x:c r="M2622" s="2" t="str">
        <x:v>持有</x:v>
      </x:c>
    </x:row>
    <x:row r="2623" ht="23" customHeight="1">
      <x:c r="A2623" s="11" t="d">
        <x:v>2025-05-30T00:00:00.000Z</x:v>
      </x:c>
      <x:c r="B2623" s="12" t="n">
        <x:v>27788.99322</x:v>
      </x:c>
      <x:c r="C2623" s="13" t="n">
        <x:v>484</x:v>
      </x:c>
      <x:c r="D2623" s="12" t="n">
        <x:v>285264.76</x:v>
      </x:c>
      <x:c r="E2623" s="12" t="n">
        <x:v>0</x:v>
      </x:c>
      <x:c r="F2623" s="12" t="n">
        <x:f>SUM(B2623,D2623:E2623)</x:f>
        <x:v>313053.75322</x:v>
      </x:c>
      <x:c r="G2623" s="12" t="n">
        <x:f>MAX(G2622,F2623)</x:f>
        <x:v>323626.477668</x:v>
      </x:c>
      <x:c r="H2623" s="14" t="n">
        <x:f>F2623/G2623-1</x:f>
        <x:v>-0.032669528538534</x:v>
      </x:c>
      <x:c r="I2623" s="14" t="n">
        <x:f>F2623/F2622-1</x:f>
        <x:v>-0.001019359686505461</x:v>
      </x:c>
      <x:c r="J2623" s="12" t="n">
        <x:v>0</x:v>
      </x:c>
      <x:c r="K2623" s="12" t="n">
        <x:v>0</x:v>
      </x:c>
      <x:c r="L2623" s="12" t="n">
        <x:v>0</x:v>
      </x:c>
      <x:c r="M2623" s="2" t="str">
        <x:v>持有</x:v>
      </x:c>
    </x:row>
    <x:row r="2624" ht="23" customHeight="1">
      <x:c r="A2624" s="11" t="d">
        <x:v>2025-06-02T00:00:00.000Z</x:v>
      </x:c>
      <x:c r="B2624" s="12" t="n">
        <x:v>27788.99322</x:v>
      </x:c>
      <x:c r="C2624" s="13" t="n">
        <x:v>484</x:v>
      </x:c>
      <x:c r="D2624" s="12" t="n">
        <x:v>286871.64</x:v>
      </x:c>
      <x:c r="E2624" s="12" t="n">
        <x:v>0</x:v>
      </x:c>
      <x:c r="F2624" s="12" t="n">
        <x:f>SUM(B2624,D2624:E2624)</x:f>
        <x:v>314660.63322</x:v>
      </x:c>
      <x:c r="G2624" s="12" t="n">
        <x:f>MAX(G2623,F2624)</x:f>
        <x:v>323626.477668</x:v>
      </x:c>
      <x:c r="H2624" s="14" t="n">
        <x:f>F2624/G2624-1</x:f>
        <x:v>-0.027704298216284395</x:v>
      </x:c>
      <x:c r="I2624" s="14" t="n">
        <x:f>F2624/F2623-1</x:f>
        <x:v>0.005132920412140196</x:v>
      </x:c>
      <x:c r="J2624" s="12" t="n">
        <x:v>0</x:v>
      </x:c>
      <x:c r="K2624" s="12" t="n">
        <x:v>0</x:v>
      </x:c>
      <x:c r="L2624" s="12" t="n">
        <x:v>0</x:v>
      </x:c>
      <x:c r="M2624" s="2" t="str">
        <x:v>持有</x:v>
      </x:c>
    </x:row>
    <x:row r="2625" ht="23" customHeight="1">
      <x:c r="A2625" s="11" t="d">
        <x:v>2025-06-03T00:00:00.000Z</x:v>
      </x:c>
      <x:c r="B2625" s="12" t="n">
        <x:v>27788.99322</x:v>
      </x:c>
      <x:c r="C2625" s="13" t="n">
        <x:v>484</x:v>
      </x:c>
      <x:c r="D2625" s="12" t="n">
        <x:v>288507.56</x:v>
      </x:c>
      <x:c r="E2625" s="12" t="n">
        <x:v>0</x:v>
      </x:c>
      <x:c r="F2625" s="12" t="n">
        <x:f>SUM(B2625,D2625:E2625)</x:f>
        <x:v>316296.55322</x:v>
      </x:c>
      <x:c r="G2625" s="12" t="n">
        <x:f>MAX(G2624,F2625)</x:f>
        <x:v>323626.477668</x:v>
      </x:c>
      <x:c r="H2625" s="14" t="n">
        <x:f>F2625/G2625-1</x:f>
        <x:v>-0.022649334815921796</x:v>
      </x:c>
      <x:c r="I2625" s="14" t="n">
        <x:f>F2625/F2624-1</x:f>
        <x:v>0.005198997991134879</x:v>
      </x:c>
      <x:c r="J2625" s="12" t="n">
        <x:v>0</x:v>
      </x:c>
      <x:c r="K2625" s="12" t="n">
        <x:v>0</x:v>
      </x:c>
      <x:c r="L2625" s="12" t="n">
        <x:v>0</x:v>
      </x:c>
      <x:c r="M2625" s="2" t="str">
        <x:v>持有</x:v>
      </x:c>
    </x:row>
    <x:row r="2626" ht="23" customHeight="1">
      <x:c r="A2626" s="11" t="d">
        <x:v>2025-06-04T00:00:00.000Z</x:v>
      </x:c>
      <x:c r="B2626" s="12" t="n">
        <x:v>27788.99322</x:v>
      </x:c>
      <x:c r="C2626" s="13" t="n">
        <x:v>484</x:v>
      </x:c>
      <x:c r="D2626" s="12" t="n">
        <x:v>288430.12</x:v>
      </x:c>
      <x:c r="E2626" s="12" t="n">
        <x:v>0</x:v>
      </x:c>
      <x:c r="F2626" s="12" t="n">
        <x:f>SUM(B2626,D2626:E2626)</x:f>
        <x:v>316219.11322</x:v>
      </x:c>
      <x:c r="G2626" s="12" t="n">
        <x:f>MAX(G2625,F2626)</x:f>
        <x:v>323626.477668</x:v>
      </x:c>
      <x:c r="H2626" s="14" t="n">
        <x:f>F2626/G2626-1</x:f>
        <x:v>-0.02288862302422301</x:v>
      </x:c>
      <x:c r="I2626" s="14" t="n">
        <x:f>F2626/F2625-1</x:f>
        <x:v>-0.0002448335247781097</x:v>
      </x:c>
      <x:c r="J2626" s="12" t="n">
        <x:v>0</x:v>
      </x:c>
      <x:c r="K2626" s="12" t="n">
        <x:v>0</x:v>
      </x:c>
      <x:c r="L2626" s="12" t="n">
        <x:v>0</x:v>
      </x:c>
      <x:c r="M2626" s="2" t="str">
        <x:v>持有</x:v>
      </x:c>
    </x:row>
    <x:row r="2627" ht="23" customHeight="1">
      <x:c r="A2627" s="11" t="d">
        <x:v>2025-06-05T00:00:00.000Z</x:v>
      </x:c>
      <x:c r="B2627" s="12" t="n">
        <x:v>27788.99322</x:v>
      </x:c>
      <x:c r="C2627" s="13" t="n">
        <x:v>484</x:v>
      </x:c>
      <x:c r="D2627" s="12" t="n">
        <x:v>287036.19999999995</x:v>
      </x:c>
      <x:c r="E2627" s="12" t="n">
        <x:v>0</x:v>
      </x:c>
      <x:c r="F2627" s="12" t="n">
        <x:f>SUM(B2627,D2627:E2627)</x:f>
        <x:v>314825.19321999996</x:v>
      </x:c>
      <x:c r="G2627" s="12" t="n">
        <x:f>MAX(G2626,F2627)</x:f>
        <x:v>323626.477668</x:v>
      </x:c>
      <x:c r="H2627" s="14" t="n">
        <x:f>F2627/G2627-1</x:f>
        <x:v>-0.027195810773644524</x:v>
      </x:c>
      <x:c r="I2627" s="14" t="n">
        <x:f>F2627/F2626-1</x:f>
        <x:v>-0.004408082692428095</x:v>
      </x:c>
      <x:c r="J2627" s="12" t="n">
        <x:v>0</x:v>
      </x:c>
      <x:c r="K2627" s="12" t="n">
        <x:v>0</x:v>
      </x:c>
      <x:c r="L2627" s="12" t="n">
        <x:v>0</x:v>
      </x:c>
      <x:c r="M2627" s="2" t="str">
        <x:v>持有</x:v>
      </x:c>
    </x:row>
    <x:row r="2628" ht="23" customHeight="1">
      <x:c r="A2628" s="11" t="d">
        <x:v>2025-06-06T00:00:00.000Z</x:v>
      </x:c>
      <x:c r="B2628" s="12" t="n">
        <x:v>27788.99322</x:v>
      </x:c>
      <x:c r="C2628" s="13" t="n">
        <x:v>484</x:v>
      </x:c>
      <x:c r="D2628" s="12" t="n">
        <x:v>289983.76</x:v>
      </x:c>
      <x:c r="E2628" s="12" t="n">
        <x:v>0</x:v>
      </x:c>
      <x:c r="F2628" s="12" t="n">
        <x:f>SUM(B2628,D2628:E2628)</x:f>
        <x:v>317772.75322</x:v>
      </x:c>
      <x:c r="G2628" s="12" t="n">
        <x:f>MAX(G2627,F2628)</x:f>
        <x:v>323626.477668</x:v>
      </x:c>
      <x:c r="H2628" s="14" t="n">
        <x:f>F2628/G2628-1</x:f>
        <x:v>-0.0180879033451804</x:v>
      </x:c>
      <x:c r="I2628" s="14" t="n">
        <x:f>F2628/F2627-1</x:f>
        <x:v>0.009362528995385366</x:v>
      </x:c>
      <x:c r="J2628" s="12" t="n">
        <x:v>0</x:v>
      </x:c>
      <x:c r="K2628" s="12" t="n">
        <x:v>0</x:v>
      </x:c>
      <x:c r="L2628" s="12" t="n">
        <x:v>0</x:v>
      </x:c>
      <x:c r="M2628" s="2" t="str">
        <x:v>持有</x:v>
      </x:c>
    </x:row>
    <x:row r="2629" ht="23" customHeight="1">
      <x:c r="A2629" s="11" t="d">
        <x:v>2025-06-09T00:00:00.000Z</x:v>
      </x:c>
      <x:c r="B2629" s="12" t="n">
        <x:v>27788.99322</x:v>
      </x:c>
      <x:c r="C2629" s="13" t="n">
        <x:v>484</x:v>
      </x:c>
      <x:c r="D2629" s="12" t="n">
        <x:v>290245.12</x:v>
      </x:c>
      <x:c r="E2629" s="12" t="n">
        <x:v>0</x:v>
      </x:c>
      <x:c r="F2629" s="12" t="n">
        <x:f>SUM(B2629,D2629:E2629)</x:f>
        <x:v>318034.11322</x:v>
      </x:c>
      <x:c r="G2629" s="12" t="n">
        <x:f>MAX(G2628,F2629)</x:f>
        <x:v>323626.477668</x:v>
      </x:c>
      <x:c r="H2629" s="14" t="n">
        <x:f>F2629/G2629-1</x:f>
        <x:v>-0.017280305642163873</x:v>
      </x:c>
      <x:c r="I2629" s="14" t="n">
        <x:f>F2629/F2628-1</x:f>
        <x:v>0.0008224745430551739</x:v>
      </x:c>
      <x:c r="J2629" s="12" t="n">
        <x:v>0</x:v>
      </x:c>
      <x:c r="K2629" s="12" t="n">
        <x:v>0</x:v>
      </x:c>
      <x:c r="L2629" s="12" t="n">
        <x:v>0</x:v>
      </x:c>
      <x:c r="M2629" s="2" t="str">
        <x:v>持有</x:v>
      </x:c>
    </x:row>
    <x:row r="2630" ht="23" customHeight="1">
      <x:c r="A2630" s="11" t="d">
        <x:v>2025-06-10T00:00:00.000Z</x:v>
      </x:c>
      <x:c r="B2630" s="12" t="n">
        <x:v>27788.99322</x:v>
      </x:c>
      <x:c r="C2630" s="13" t="n">
        <x:v>484</x:v>
      </x:c>
      <x:c r="D2630" s="12" t="n">
        <x:v>291890.72000000003</x:v>
      </x:c>
      <x:c r="E2630" s="12" t="n">
        <x:v>0</x:v>
      </x:c>
      <x:c r="F2630" s="12" t="n">
        <x:f>SUM(B2630,D2630:E2630)</x:f>
        <x:v>319679.71322000003</x:v>
      </x:c>
      <x:c r="G2630" s="12" t="n">
        <x:f>MAX(G2629,F2630)</x:f>
        <x:v>323626.477668</x:v>
      </x:c>
      <x:c r="H2630" s="14" t="n">
        <x:f>F2630/G2630-1</x:f>
        <x:v>-0.012195431215763608</x:v>
      </x:c>
      <x:c r="I2630" s="14" t="n">
        <x:f>F2630/F2629-1</x:f>
        <x:v>0.005174287699325264</x:v>
      </x:c>
      <x:c r="J2630" s="12" t="n">
        <x:v>0</x:v>
      </x:c>
      <x:c r="K2630" s="12" t="n">
        <x:v>0</x:v>
      </x:c>
      <x:c r="L2630" s="12" t="n">
        <x:v>0</x:v>
      </x:c>
      <x:c r="M2630" s="2" t="str">
        <x:v>持有</x:v>
      </x:c>
    </x:row>
    <x:row r="2631" ht="23" customHeight="1">
      <x:c r="A2631" s="11" t="d">
        <x:v>2025-06-11T00:00:00.000Z</x:v>
      </x:c>
      <x:c r="B2631" s="12" t="n">
        <x:v>27788.99322</x:v>
      </x:c>
      <x:c r="C2631" s="13" t="n">
        <x:v>484</x:v>
      </x:c>
      <x:c r="D2631" s="12" t="n">
        <x:v>291058.24</x:v>
      </x:c>
      <x:c r="E2631" s="12" t="n">
        <x:v>0</x:v>
      </x:c>
      <x:c r="F2631" s="12" t="n">
        <x:f>SUM(B2631,D2631:E2631)</x:f>
        <x:v>318847.23322</x:v>
      </x:c>
      <x:c r="G2631" s="12" t="n">
        <x:f>MAX(G2630,F2631)</x:f>
        <x:v>323626.477668</x:v>
      </x:c>
      <x:c r="H2631" s="14" t="n">
        <x:f>F2631/G2631-1</x:f>
        <x:v>-0.014767779455001517</x:v>
      </x:c>
      <x:c r="I2631" s="14" t="n">
        <x:f>F2631/F2630-1</x:f>
        <x:v>-0.0026041064402079206</x:v>
      </x:c>
      <x:c r="J2631" s="12" t="n">
        <x:v>0</x:v>
      </x:c>
      <x:c r="K2631" s="12" t="n">
        <x:v>0</x:v>
      </x:c>
      <x:c r="L2631" s="12" t="n">
        <x:v>0</x:v>
      </x:c>
      <x:c r="M2631" s="2" t="str">
        <x:v>持有</x:v>
      </x:c>
    </x:row>
    <x:row r="2632" ht="23" customHeight="1">
      <x:c r="A2632" s="11" t="d">
        <x:v>2025-06-12T00:00:00.000Z</x:v>
      </x:c>
      <x:c r="B2632" s="12" t="n">
        <x:v>27788.99322</x:v>
      </x:c>
      <x:c r="C2632" s="13" t="n">
        <x:v>484</x:v>
      </x:c>
      <x:c r="D2632" s="12" t="n">
        <x:v>292215</x:v>
      </x:c>
      <x:c r="E2632" s="12" t="n">
        <x:v>0</x:v>
      </x:c>
      <x:c r="F2632" s="12" t="n">
        <x:f>SUM(B2632,D2632:E2632)</x:f>
        <x:v>320003.99322</x:v>
      </x:c>
      <x:c r="G2632" s="12" t="n">
        <x:f>MAX(G2631,F2632)</x:f>
        <x:v>323626.477668</x:v>
      </x:c>
      <x:c r="H2632" s="14" t="n">
        <x:f>F2632/G2632-1</x:f>
        <x:v>-0.011193411843502421</x:v>
      </x:c>
      <x:c r="I2632" s="14" t="n">
        <x:f>F2632/F2631-1</x:f>
        <x:v>0.003627944292688534</x:v>
      </x:c>
      <x:c r="J2632" s="12" t="n">
        <x:v>0</x:v>
      </x:c>
      <x:c r="K2632" s="12" t="n">
        <x:v>0</x:v>
      </x:c>
      <x:c r="L2632" s="12" t="n">
        <x:v>0</x:v>
      </x:c>
      <x:c r="M2632" s="2" t="str">
        <x:v>持有</x:v>
      </x:c>
    </x:row>
    <x:row r="2633" ht="23" customHeight="1">
      <x:c r="A2633" s="11" t="d">
        <x:v>2025-06-13T00:00:00.000Z</x:v>
      </x:c>
      <x:c r="B2633" s="12" t="n">
        <x:v>27788.99322</x:v>
      </x:c>
      <x:c r="C2633" s="13" t="n">
        <x:v>484</x:v>
      </x:c>
      <x:c r="D2633" s="12" t="n">
        <x:v>288948</x:v>
      </x:c>
      <x:c r="E2633" s="12" t="n">
        <x:v>0</x:v>
      </x:c>
      <x:c r="F2633" s="12" t="n">
        <x:f>SUM(B2633,D2633:E2633)</x:f>
        <x:v>316736.99322</x:v>
      </x:c>
      <x:c r="G2633" s="12" t="n">
        <x:f>MAX(G2632,F2633)</x:f>
        <x:v>323626.477668</x:v>
      </x:c>
      <x:c r="H2633" s="14" t="n">
        <x:f>F2633/G2633-1</x:f>
        <x:v>-0.021288383131208843</x:v>
      </x:c>
      <x:c r="I2633" s="14" t="n">
        <x:f>F2633/F2632-1</x:f>
        <x:v>-0.0102092476007134</x:v>
      </x:c>
      <x:c r="J2633" s="12" t="n">
        <x:v>0</x:v>
      </x:c>
      <x:c r="K2633" s="12" t="n">
        <x:v>0</x:v>
      </x:c>
      <x:c r="L2633" s="12" t="n">
        <x:v>0</x:v>
      </x:c>
      <x:c r="M2633" s="2" t="str">
        <x:v>持有</x:v>
      </x:c>
    </x:row>
    <x:row r="2634" ht="23" customHeight="1">
      <x:c r="A2634" s="11" t="d">
        <x:v>2025-06-16T00:00:00.000Z</x:v>
      </x:c>
      <x:c r="B2634" s="12" t="n">
        <x:v>27788.99322</x:v>
      </x:c>
      <x:c r="C2634" s="13" t="n">
        <x:v>484</x:v>
      </x:c>
      <x:c r="D2634" s="12" t="n">
        <x:v>291697.12</x:v>
      </x:c>
      <x:c r="E2634" s="12" t="n">
        <x:v>0</x:v>
      </x:c>
      <x:c r="F2634" s="12" t="n">
        <x:f>SUM(B2634,D2634:E2634)</x:f>
        <x:v>319486.11322</x:v>
      </x:c>
      <x:c r="G2634" s="12" t="n">
        <x:f>MAX(G2633,F2634)</x:f>
        <x:v>323626.477668</x:v>
      </x:c>
      <x:c r="H2634" s="14" t="n">
        <x:f>F2634/G2634-1</x:f>
        <x:v>-0.012793651736516698</x:v>
      </x:c>
      <x:c r="I2634" s="14" t="n">
        <x:f>F2634/F2633-1</x:f>
        <x:v>0.008679504001259719</x:v>
      </x:c>
      <x:c r="J2634" s="12" t="n">
        <x:v>0</x:v>
      </x:c>
      <x:c r="K2634" s="12" t="n">
        <x:v>0</x:v>
      </x:c>
      <x:c r="L2634" s="12" t="n">
        <x:v>0</x:v>
      </x:c>
      <x:c r="M2634" s="2" t="str">
        <x:v>持有</x:v>
      </x:c>
    </x:row>
    <x:row r="2635" ht="23" customHeight="1">
      <x:c r="A2635" s="11" t="d">
        <x:v>2025-06-17T00:00:00.000Z</x:v>
      </x:c>
      <x:c r="B2635" s="12" t="n">
        <x:v>27788.99322</x:v>
      </x:c>
      <x:c r="C2635" s="13" t="n">
        <x:v>484</x:v>
      </x:c>
      <x:c r="D2635" s="12" t="n">
        <x:v>289204.51999999996</x:v>
      </x:c>
      <x:c r="E2635" s="12" t="n">
        <x:v>0</x:v>
      </x:c>
      <x:c r="F2635" s="12" t="n">
        <x:f>SUM(B2635,D2635:E2635)</x:f>
        <x:v>316993.51321999996</x:v>
      </x:c>
      <x:c r="G2635" s="12" t="n">
        <x:f>MAX(G2634,F2635)</x:f>
        <x:v>323626.477668</x:v>
      </x:c>
      <x:c r="H2635" s="14" t="n">
        <x:f>F2635/G2635-1</x:f>
        <x:v>-0.020495740941211205</x:v>
      </x:c>
      <x:c r="I2635" s="14" t="n">
        <x:f>F2635/F2634-1</x:f>
        <x:v>-0.007801904047965991</x:v>
      </x:c>
      <x:c r="J2635" s="12" t="n">
        <x:v>0</x:v>
      </x:c>
      <x:c r="K2635" s="12" t="n">
        <x:v>0</x:v>
      </x:c>
      <x:c r="L2635" s="12" t="n">
        <x:v>0</x:v>
      </x:c>
      <x:c r="M2635" s="2" t="str">
        <x:v>持有</x:v>
      </x:c>
    </x:row>
    <x:row r="2636" ht="23" customHeight="1">
      <x:c r="A2636" s="11" t="d">
        <x:v>2025-06-18T00:00:00.000Z</x:v>
      </x:c>
      <x:c r="B2636" s="12" t="n">
        <x:v>27788.99322</x:v>
      </x:c>
      <x:c r="C2636" s="13" t="n">
        <x:v>484</x:v>
      </x:c>
      <x:c r="D2636" s="12" t="n">
        <x:v>289160.96</x:v>
      </x:c>
      <x:c r="E2636" s="12" t="n">
        <x:v>0</x:v>
      </x:c>
      <x:c r="F2636" s="12" t="n">
        <x:f>SUM(B2636,D2636:E2636)</x:f>
        <x:v>316949.95322</x:v>
      </x:c>
      <x:c r="G2636" s="12" t="n">
        <x:f>MAX(G2635,F2636)</x:f>
        <x:v>323626.477668</x:v>
      </x:c>
      <x:c r="H2636" s="14" t="n">
        <x:f>F2636/G2636-1</x:f>
        <x:v>-0.020630340558380422</x:v>
      </x:c>
      <x:c r="I2636" s="14" t="n">
        <x:f>F2636/F2635-1</x:f>
        <x:v>-0.00013741606115991178</x:v>
      </x:c>
      <x:c r="J2636" s="12" t="n">
        <x:v>0</x:v>
      </x:c>
      <x:c r="K2636" s="12" t="n">
        <x:v>0</x:v>
      </x:c>
      <x:c r="L2636" s="12" t="n">
        <x:v>0</x:v>
      </x:c>
      <x:c r="M2636" s="2" t="str">
        <x:v>持有</x:v>
      </x:c>
    </x:row>
    <x:row r="2637" ht="23" customHeight="1">
      <x:c r="A2637" s="11" t="d">
        <x:v>2025-06-20T00:00:00.000Z</x:v>
      </x:c>
      <x:c r="B2637" s="12" t="n">
        <x:v>27788.99322</x:v>
      </x:c>
      <x:c r="C2637" s="13" t="n">
        <x:v>484</x:v>
      </x:c>
      <x:c r="D2637" s="12" t="n">
        <x:v>287631.51999999996</x:v>
      </x:c>
      <x:c r="E2637" s="12" t="n">
        <x:v>852.380628</x:v>
      </x:c>
      <x:c r="F2637" s="12" t="n">
        <x:f>SUM(B2637,D2637:E2637)</x:f>
        <x:v>316272.893848</x:v>
      </x:c>
      <x:c r="G2637" s="12" t="n">
        <x:f>MAX(G2636,F2637)</x:f>
        <x:v>323626.477668</x:v>
      </x:c>
      <x:c r="H2637" s="14" t="n">
        <x:f>F2637/G2637-1</x:f>
        <x:v>-0.022722441850211772</x:v>
      </x:c>
      <x:c r="I2637" s="14" t="n">
        <x:f>F2637/F2636-1</x:f>
        <x:v>-0.002136171231835071</x:v>
      </x:c>
      <x:c r="J2637" s="12" t="n">
        <x:v>852.380628</x:v>
      </x:c>
      <x:c r="K2637" s="12" t="n">
        <x:v>0</x:v>
      </x:c>
      <x:c r="L2637" s="12" t="n">
        <x:v>0</x:v>
      </x:c>
      <x:c r="M2637" s="2" t="str">
        <x:v>持有</x:v>
      </x:c>
    </x:row>
    <x:row r="2638" ht="23" customHeight="1">
      <x:c r="A2638" s="11" t="d">
        <x:v>2025-06-23T00:00:00.000Z</x:v>
      </x:c>
      <x:c r="B2638" s="12" t="n">
        <x:v>27788.99322</x:v>
      </x:c>
      <x:c r="C2638" s="13" t="n">
        <x:v>484</x:v>
      </x:c>
      <x:c r="D2638" s="12" t="n">
        <x:v>290472.6</x:v>
      </x:c>
      <x:c r="E2638" s="12" t="n">
        <x:v>852.380628</x:v>
      </x:c>
      <x:c r="F2638" s="12" t="n">
        <x:f>SUM(B2638,D2638:E2638)</x:f>
        <x:v>319113.973848</x:v>
      </x:c>
      <x:c r="G2638" s="12" t="n">
        <x:f>MAX(G2637,F2638)</x:f>
        <x:v>323626.477668</x:v>
      </x:c>
      <x:c r="H2638" s="14" t="n">
        <x:f>F2638/G2638-1</x:f>
        <x:v>-0.01394355570816197</x:v>
      </x:c>
      <x:c r="I2638" s="14" t="n">
        <x:f>F2638/F2637-1</x:f>
        <x:v>0.008983001879906416</x:v>
      </x:c>
      <x:c r="J2638" s="12" t="n">
        <x:v>0</x:v>
      </x:c>
      <x:c r="K2638" s="12" t="n">
        <x:v>0</x:v>
      </x:c>
      <x:c r="L2638" s="12" t="n">
        <x:v>0</x:v>
      </x:c>
      <x:c r="M2638" s="2" t="str">
        <x:v>持有</x:v>
      </x:c>
    </x:row>
    <x:row r="2639" ht="23" customHeight="1">
      <x:c r="A2639" s="11" t="d">
        <x:v>2025-06-24T00:00:00.000Z</x:v>
      </x:c>
      <x:c r="B2639" s="12" t="n">
        <x:v>27788.99322</x:v>
      </x:c>
      <x:c r="C2639" s="13" t="n">
        <x:v>484</x:v>
      </x:c>
      <x:c r="D2639" s="12" t="n">
        <x:v>293681.51999999996</x:v>
      </x:c>
      <x:c r="E2639" s="12" t="n">
        <x:v>852.380628</x:v>
      </x:c>
      <x:c r="F2639" s="12" t="n">
        <x:f>SUM(B2639,D2639:E2639)</x:f>
        <x:v>322322.893848</x:v>
      </x:c>
      <x:c r="G2639" s="12" t="n">
        <x:f>MAX(G2638,F2639)</x:f>
        <x:v>323626.477668</x:v>
      </x:c>
      <x:c r="H2639" s="14" t="n">
        <x:f>F2639/G2639-1</x:f>
        <x:v>-0.004028050576681541</x:v>
      </x:c>
      <x:c r="I2639" s="14" t="n">
        <x:f>F2639/F2638-1</x:f>
        <x:v>0.010055717589880553</x:v>
      </x:c>
      <x:c r="J2639" s="12" t="n">
        <x:v>0</x:v>
      </x:c>
      <x:c r="K2639" s="12" t="n">
        <x:v>0</x:v>
      </x:c>
      <x:c r="L2639" s="12" t="n">
        <x:v>0</x:v>
      </x:c>
      <x:c r="M2639" s="2" t="str">
        <x:v>持有</x:v>
      </x:c>
    </x:row>
    <x:row r="2640" ht="23" customHeight="1">
      <x:c r="A2640" s="11" t="d">
        <x:v>2025-06-25T00:00:00.000Z</x:v>
      </x:c>
      <x:c r="B2640" s="12" t="n">
        <x:v>27788.99322</x:v>
      </x:c>
      <x:c r="C2640" s="13" t="n">
        <x:v>484</x:v>
      </x:c>
      <x:c r="D2640" s="12" t="n">
        <x:v>293846.08</x:v>
      </x:c>
      <x:c r="E2640" s="12" t="n">
        <x:v>852.380628</x:v>
      </x:c>
      <x:c r="F2640" s="12" t="n">
        <x:f>SUM(B2640,D2640:E2640)</x:f>
        <x:v>322487.45384800003</x:v>
      </x:c>
      <x:c r="G2640" s="12" t="n">
        <x:f>MAX(G2639,F2640)</x:f>
        <x:v>323626.477668</x:v>
      </x:c>
      <x:c r="H2640" s="14" t="n">
        <x:f>F2640/G2640-1</x:f>
        <x:v>-0.003519563134041337</x:v>
      </x:c>
      <x:c r="I2640" s="14" t="n">
        <x:f>F2640/F2639-1</x:f>
        <x:v>0.0005105439394499367</x:v>
      </x:c>
      <x:c r="J2640" s="12" t="n">
        <x:v>0</x:v>
      </x:c>
      <x:c r="K2640" s="12" t="n">
        <x:v>0</x:v>
      </x:c>
      <x:c r="L2640" s="12" t="n">
        <x:v>0</x:v>
      </x:c>
      <x:c r="M2640" s="2" t="str">
        <x:v>持有</x:v>
      </x:c>
    </x:row>
    <x:row r="2641" ht="23" customHeight="1">
      <x:c r="A2641" s="11" t="d">
        <x:v>2025-06-26T00:00:00.000Z</x:v>
      </x:c>
      <x:c r="B2641" s="12" t="n">
        <x:v>27788.99322</x:v>
      </x:c>
      <x:c r="C2641" s="13" t="n">
        <x:v>484</x:v>
      </x:c>
      <x:c r="D2641" s="12" t="n">
        <x:v>296145.08</x:v>
      </x:c>
      <x:c r="E2641" s="12" t="n">
        <x:v>852.380628</x:v>
      </x:c>
      <x:c r="F2641" s="12" t="n">
        <x:f>SUM(B2641,D2641:E2641)</x:f>
        <x:v>324786.45384800003</x:v>
      </x:c>
      <x:c r="G2641" s="12" t="n">
        <x:f>MAX(G2640,F2641)</x:f>
        <x:v>324786.45384800003</x:v>
      </x:c>
      <x:c r="H2641" s="14" t="n">
        <x:f>F2641/G2641-1</x:f>
        <x:v>0</x:v>
      </x:c>
      <x:c r="I2641" s="14" t="n">
        <x:f>F2641/F2640-1</x:f>
        <x:v>0.007128959507006538</x:v>
      </x:c>
      <x:c r="J2641" s="12" t="n">
        <x:v>0</x:v>
      </x:c>
      <x:c r="K2641" s="12" t="n">
        <x:v>0</x:v>
      </x:c>
      <x:c r="L2641" s="12" t="n">
        <x:v>0</x:v>
      </x:c>
      <x:c r="M2641" s="2" t="str">
        <x:v>持有</x:v>
      </x:c>
    </x:row>
    <x:row r="2642" ht="23" customHeight="1">
      <x:c r="A2642" s="11" t="d">
        <x:v>2025-06-27T00:00:00.000Z</x:v>
      </x:c>
      <x:c r="B2642" s="12" t="n">
        <x:v>27788.99322</x:v>
      </x:c>
      <x:c r="C2642" s="13" t="n">
        <x:v>484</x:v>
      </x:c>
      <x:c r="D2642" s="12" t="n">
        <x:v>297616.44</x:v>
      </x:c>
      <x:c r="E2642" s="12" t="n">
        <x:v>852.380628</x:v>
      </x:c>
      <x:c r="F2642" s="12" t="n">
        <x:f>SUM(B2642,D2642:E2642)</x:f>
        <x:v>326257.813848</x:v>
      </x:c>
      <x:c r="G2642" s="12" t="n">
        <x:f>MAX(G2641,F2642)</x:f>
        <x:v>326257.813848</x:v>
      </x:c>
      <x:c r="H2642" s="14" t="n">
        <x:f>F2642/G2642-1</x:f>
        <x:v>0</x:v>
      </x:c>
      <x:c r="I2642" s="14" t="n">
        <x:f>F2642/F2641-1</x:f>
        <x:v>0.004530238199800696</x:v>
      </x:c>
      <x:c r="J2642" s="12" t="n">
        <x:v>0</x:v>
      </x:c>
      <x:c r="K2642" s="12" t="n">
        <x:v>0</x:v>
      </x:c>
      <x:c r="L2642" s="12" t="n">
        <x:v>0</x:v>
      </x:c>
      <x:c r="M2642" s="2" t="str">
        <x:v>持有</x:v>
      </x:c>
    </x:row>
    <x:row r="2643" ht="23" customHeight="1">
      <x:c r="A2643" s="11" t="d">
        <x:v>2025-06-30T00:00:00.000Z</x:v>
      </x:c>
      <x:c r="B2643" s="12" t="n">
        <x:v>27788.99322</x:v>
      </x:c>
      <x:c r="C2643" s="13" t="n">
        <x:v>484</x:v>
      </x:c>
      <x:c r="D2643" s="12" t="n">
        <x:v>299039.4</x:v>
      </x:c>
      <x:c r="E2643" s="12" t="n">
        <x:v>852.380628</x:v>
      </x:c>
      <x:c r="F2643" s="12" t="n">
        <x:f>SUM(B2643,D2643:E2643)</x:f>
        <x:v>327680.77384800004</x:v>
      </x:c>
      <x:c r="G2643" s="12" t="n">
        <x:f>MAX(G2642,F2643)</x:f>
        <x:v>327680.77384800004</x:v>
      </x:c>
      <x:c r="H2643" s="14" t="n">
        <x:f>F2643/G2643-1</x:f>
        <x:v>0</x:v>
      </x:c>
      <x:c r="I2643" s="14" t="n">
        <x:f>F2643/F2642-1</x:f>
        <x:v>0.004361458759307935</x:v>
      </x:c>
      <x:c r="J2643" s="12" t="n">
        <x:v>0</x:v>
      </x:c>
      <x:c r="K2643" s="12" t="n">
        <x:v>0</x:v>
      </x:c>
      <x:c r="L2643" s="12" t="n">
        <x:v>0</x:v>
      </x:c>
      <x:c r="M2643" s="2" t="str">
        <x:v>持有</x:v>
      </x:c>
    </x:row>
    <x:row r="2644" ht="23" customHeight="1">
      <x:c r="A2644" s="11" t="d">
        <x:v>2025-07-01T00:00:00.000Z</x:v>
      </x:c>
      <x:c r="B2644" s="12" t="n">
        <x:v>27788.99322</x:v>
      </x:c>
      <x:c r="C2644" s="13" t="n">
        <x:v>484</x:v>
      </x:c>
      <x:c r="D2644" s="12" t="n">
        <x:v>298942.6</x:v>
      </x:c>
      <x:c r="E2644" s="12" t="n">
        <x:v>852.380628</x:v>
      </x:c>
      <x:c r="F2644" s="12" t="n">
        <x:f>SUM(B2644,D2644:E2644)</x:f>
        <x:v>327583.973848</x:v>
      </x:c>
      <x:c r="G2644" s="12" t="n">
        <x:f>MAX(G2643,F2644)</x:f>
        <x:v>327680.77384800004</x:v>
      </x:c>
      <x:c r="H2644" s="14" t="n">
        <x:f>F2644/G2644-1</x:f>
        <x:v>-0.0002954094586121725</x:v>
      </x:c>
      <x:c r="I2644" s="14" t="n">
        <x:f>F2644/F2643-1</x:f>
        <x:v>-0.0002954094586121725</x:v>
      </x:c>
      <x:c r="J2644" s="12" t="n">
        <x:v>0</x:v>
      </x:c>
      <x:c r="K2644" s="12" t="n">
        <x:v>0</x:v>
      </x:c>
      <x:c r="L2644" s="12" t="n">
        <x:v>0</x:v>
      </x:c>
      <x:c r="M2644" s="2" t="str">
        <x:v>持有</x:v>
      </x:c>
    </x:row>
    <x:row r="2645" ht="23" customHeight="1">
      <x:c r="A2645" s="11" t="d">
        <x:v>2025-07-02T00:00:00.000Z</x:v>
      </x:c>
      <x:c r="B2645" s="12" t="n">
        <x:v>27788.99322</x:v>
      </x:c>
      <x:c r="C2645" s="13" t="n">
        <x:v>484</x:v>
      </x:c>
      <x:c r="D2645" s="12" t="n">
        <x:v>300297.80000000005</x:v>
      </x:c>
      <x:c r="E2645" s="12" t="n">
        <x:v>852.380628</x:v>
      </x:c>
      <x:c r="F2645" s="12" t="n">
        <x:f>SUM(B2645,D2645:E2645)</x:f>
        <x:v>328939.17384800006</x:v>
      </x:c>
      <x:c r="G2645" s="12" t="n">
        <x:f>MAX(G2644,F2645)</x:f>
        <x:v>328939.17384800006</x:v>
      </x:c>
      <x:c r="H2645" s="14" t="n">
        <x:f>F2645/G2645-1</x:f>
        <x:v>0</x:v>
      </x:c>
      <x:c r="I2645" s="14" t="n">
        <x:f>F2645/F2644-1</x:f>
        <x:v>0.004136954516062108</x:v>
      </x:c>
      <x:c r="J2645" s="12" t="n">
        <x:v>0</x:v>
      </x:c>
      <x:c r="K2645" s="12" t="n">
        <x:v>0</x:v>
      </x:c>
      <x:c r="L2645" s="12" t="n">
        <x:v>0</x:v>
      </x:c>
      <x:c r="M2645" s="2" t="str">
        <x:v>持有</x:v>
      </x:c>
    </x:row>
    <x:row r="2646" ht="23" customHeight="1">
      <x:c r="A2646" s="11" t="d">
        <x:v>2025-07-03T00:00:00.000Z</x:v>
      </x:c>
      <x:c r="B2646" s="12" t="n">
        <x:v>27788.99322</x:v>
      </x:c>
      <x:c r="C2646" s="13" t="n">
        <x:v>484</x:v>
      </x:c>
      <x:c r="D2646" s="12" t="n">
        <x:v>302664.56</x:v>
      </x:c>
      <x:c r="E2646" s="12" t="n">
        <x:v>852.380628</x:v>
      </x:c>
      <x:c r="F2646" s="12" t="n">
        <x:f>SUM(B2646,D2646:E2646)</x:f>
        <x:v>331305.933848</x:v>
      </x:c>
      <x:c r="G2646" s="12" t="n">
        <x:f>MAX(G2645,F2646)</x:f>
        <x:v>331305.933848</x:v>
      </x:c>
      <x:c r="H2646" s="14" t="n">
        <x:f>F2646/G2646-1</x:f>
        <x:v>0</x:v>
      </x:c>
      <x:c r="I2646" s="14" t="n">
        <x:f>F2646/F2645-1</x:f>
        <x:v>0.0071951296414869415</x:v>
      </x:c>
      <x:c r="J2646" s="12" t="n">
        <x:v>0</x:v>
      </x:c>
      <x:c r="K2646" s="12" t="n">
        <x:v>0</x:v>
      </x:c>
      <x:c r="L2646" s="12" t="n">
        <x:v>0</x:v>
      </x:c>
      <x:c r="M2646" s="2" t="str">
        <x:v>持有</x:v>
      </x:c>
    </x:row>
    <x:row r="2647" ht="23" customHeight="1">
      <x:c r="A2647" s="11" t="d">
        <x:v>2025-07-07T00:00:00.000Z</x:v>
      </x:c>
      <x:c r="B2647" s="12" t="n">
        <x:v>27788.99322</x:v>
      </x:c>
      <x:c r="C2647" s="13" t="n">
        <x:v>484</x:v>
      </x:c>
      <x:c r="D2647" s="12" t="n">
        <x:v>300409.12</x:v>
      </x:c>
      <x:c r="E2647" s="12" t="n">
        <x:v>852.380628</x:v>
      </x:c>
      <x:c r="F2647" s="12" t="n">
        <x:f>SUM(B2647,D2647:E2647)</x:f>
        <x:v>329050.493848</x:v>
      </x:c>
      <x:c r="G2647" s="12" t="n">
        <x:f>MAX(G2646,F2647)</x:f>
        <x:v>331305.933848</x:v>
      </x:c>
      <x:c r="H2647" s="14" t="n">
        <x:f>F2647/G2647-1</x:f>
        <x:v>-0.006807725940202403</x:v>
      </x:c>
      <x:c r="I2647" s="14" t="n">
        <x:f>F2647/F2646-1</x:f>
        <x:v>-0.006807725940202403</x:v>
      </x:c>
      <x:c r="J2647" s="12" t="n">
        <x:v>0</x:v>
      </x:c>
      <x:c r="K2647" s="12" t="n">
        <x:v>0</x:v>
      </x:c>
      <x:c r="L2647" s="12" t="n">
        <x:v>0</x:v>
      </x:c>
      <x:c r="M2647" s="2" t="str">
        <x:v>持有</x:v>
      </x:c>
    </x:row>
    <x:row r="2648" ht="23" customHeight="1">
      <x:c r="A2648" s="11" t="d">
        <x:v>2025-07-08T00:00:00.000Z</x:v>
      </x:c>
      <x:c r="B2648" s="12" t="n">
        <x:v>27788.99322</x:v>
      </x:c>
      <x:c r="C2648" s="13" t="n">
        <x:v>484</x:v>
      </x:c>
      <x:c r="D2648" s="12" t="n">
        <x:v>300244.56</x:v>
      </x:c>
      <x:c r="E2648" s="12" t="n">
        <x:v>852.380628</x:v>
      </x:c>
      <x:c r="F2648" s="12" t="n">
        <x:f>SUM(B2648,D2648:E2648)</x:f>
        <x:v>328885.933848</x:v>
      </x:c>
      <x:c r="G2648" s="12" t="n">
        <x:f>MAX(G2647,F2648)</x:f>
        <x:v>331305.933848</x:v>
      </x:c>
      <x:c r="H2648" s="14" t="n">
        <x:f>F2648/G2648-1</x:f>
        <x:v>-0.007304426974466094</x:v>
      </x:c>
      <x:c r="I2648" s="14" t="n">
        <x:f>F2648/F2647-1</x:f>
        <x:v>-0.000500105616240254</x:v>
      </x:c>
      <x:c r="J2648" s="12" t="n">
        <x:v>0</x:v>
      </x:c>
      <x:c r="K2648" s="12" t="n">
        <x:v>0</x:v>
      </x:c>
      <x:c r="L2648" s="12" t="n">
        <x:v>0</x:v>
      </x:c>
      <x:c r="M2648" s="2" t="str">
        <x:v>持有</x:v>
      </x:c>
    </x:row>
    <x:row r="2649" ht="23" customHeight="1">
      <x:c r="A2649" s="11" t="d">
        <x:v>2025-07-09T00:00:00.000Z</x:v>
      </x:c>
      <x:c r="B2649" s="12" t="n">
        <x:v>27788.99322</x:v>
      </x:c>
      <x:c r="C2649" s="13" t="n">
        <x:v>484</x:v>
      </x:c>
      <x:c r="D2649" s="12" t="n">
        <x:v>302045.04</x:v>
      </x:c>
      <x:c r="E2649" s="12" t="n">
        <x:v>852.380628</x:v>
      </x:c>
      <x:c r="F2649" s="12" t="n">
        <x:f>SUM(B2649,D2649:E2649)</x:f>
        <x:v>330686.413848</x:v>
      </x:c>
      <x:c r="G2649" s="12" t="n">
        <x:f>MAX(G2648,F2649)</x:f>
        <x:v>331305.933848</x:v>
      </x:c>
      <x:c r="H2649" s="14" t="n">
        <x:f>F2649/G2649-1</x:f>
        <x:v>-0.0018699333054633671</x:v>
      </x:c>
      <x:c r="I2649" s="14" t="n">
        <x:f>F2649/F2648-1</x:f>
        <x:v>0.005474481620220573</x:v>
      </x:c>
      <x:c r="J2649" s="12" t="n">
        <x:v>0</x:v>
      </x:c>
      <x:c r="K2649" s="12" t="n">
        <x:v>0</x:v>
      </x:c>
      <x:c r="L2649" s="12" t="n">
        <x:v>0</x:v>
      </x:c>
      <x:c r="M2649" s="2" t="str">
        <x:v>持有</x:v>
      </x:c>
    </x:row>
    <x:row r="2650" ht="23" customHeight="1">
      <x:c r="A2650" s="11" t="d">
        <x:v>2025-07-10T00:00:00.000Z</x:v>
      </x:c>
      <x:c r="B2650" s="12" t="n">
        <x:v>27788.99322</x:v>
      </x:c>
      <x:c r="C2650" s="13" t="n">
        <x:v>484</x:v>
      </x:c>
      <x:c r="D2650" s="12" t="n">
        <x:v>302896.88</x:v>
      </x:c>
      <x:c r="E2650" s="12" t="n">
        <x:v>852.380628</x:v>
      </x:c>
      <x:c r="F2650" s="12" t="n">
        <x:f>SUM(B2650,D2650:E2650)</x:f>
        <x:v>331538.253848</x:v>
      </x:c>
      <x:c r="G2650" s="12" t="n">
        <x:f>MAX(G2649,F2650)</x:f>
        <x:v>331538.253848</x:v>
      </x:c>
      <x:c r="H2650" s="14" t="n">
        <x:f>F2650/G2650-1</x:f>
        <x:v>0</x:v>
      </x:c>
      <x:c r="I2650" s="14" t="n">
        <x:f>F2650/F2649-1</x:f>
        <x:v>0.0025759751968266187</x:v>
      </x:c>
      <x:c r="J2650" s="12" t="n">
        <x:v>0</x:v>
      </x:c>
      <x:c r="K2650" s="12" t="n">
        <x:v>0</x:v>
      </x:c>
      <x:c r="L2650" s="12" t="n">
        <x:v>0</x:v>
      </x:c>
      <x:c r="M2650" s="2" t="str">
        <x:v>持有</x:v>
      </x:c>
    </x:row>
    <x:row r="2651" ht="23" customHeight="1">
      <x:c r="A2651" s="11" t="d">
        <x:v>2025-07-11T00:00:00.000Z</x:v>
      </x:c>
      <x:c r="B2651" s="12" t="n">
        <x:v>27788.99322</x:v>
      </x:c>
      <x:c r="C2651" s="13" t="n">
        <x:v>484</x:v>
      </x:c>
      <x:c r="D2651" s="12" t="n">
        <x:v>301832.08</x:v>
      </x:c>
      <x:c r="E2651" s="12" t="n">
        <x:v>852.380628</x:v>
      </x:c>
      <x:c r="F2651" s="12" t="n">
        <x:f>SUM(B2651,D2651:E2651)</x:f>
        <x:v>330473.45384800003</x:v>
      </x:c>
      <x:c r="G2651" s="12" t="n">
        <x:f>MAX(G2650,F2651)</x:f>
        <x:v>331538.253848</x:v>
      </x:c>
      <x:c r="H2651" s="14" t="n">
        <x:f>F2651/G2651-1</x:f>
        <x:v>-0.0032116957474480623</x:v>
      </x:c>
      <x:c r="I2651" s="14" t="n">
        <x:f>F2651/F2650-1</x:f>
        <x:v>-0.0032116957474480623</x:v>
      </x:c>
      <x:c r="J2651" s="12" t="n">
        <x:v>0</x:v>
      </x:c>
      <x:c r="K2651" s="12" t="n">
        <x:v>0</x:v>
      </x:c>
      <x:c r="L2651" s="12" t="n">
        <x:v>0</x:v>
      </x:c>
      <x:c r="M2651" s="2" t="str">
        <x:v>持有</x:v>
      </x:c>
    </x:row>
    <x:row r="2652" ht="23" customHeight="1">
      <x:c r="A2652" s="11" t="d">
        <x:v>2025-07-14T00:00:00.000Z</x:v>
      </x:c>
      <x:c r="B2652" s="12" t="n">
        <x:v>27788.99322</x:v>
      </x:c>
      <x:c r="C2652" s="13" t="n">
        <x:v>484</x:v>
      </x:c>
      <x:c r="D2652" s="12" t="n">
        <x:v>302408.04</x:v>
      </x:c>
      <x:c r="E2652" s="12" t="n">
        <x:v>852.380628</x:v>
      </x:c>
      <x:c r="F2652" s="12" t="n">
        <x:f>SUM(B2652,D2652:E2652)</x:f>
        <x:v>331049.413848</x:v>
      </x:c>
      <x:c r="G2652" s="12" t="n">
        <x:f>MAX(G2651,F2652)</x:f>
        <x:v>331538.253848</x:v>
      </x:c>
      <x:c r="H2652" s="14" t="n">
        <x:f>F2652/G2652-1</x:f>
        <x:v>-0.001474460320419424</x:v>
      </x:c>
      <x:c r="I2652" s="14" t="n">
        <x:f>F2652/F2651-1</x:f>
        <x:v>0.0017428328759649947</x:v>
      </x:c>
      <x:c r="J2652" s="12" t="n">
        <x:v>0</x:v>
      </x:c>
      <x:c r="K2652" s="12" t="n">
        <x:v>0</x:v>
      </x:c>
      <x:c r="L2652" s="12" t="n">
        <x:v>0</x:v>
      </x:c>
      <x:c r="M2652" s="2" t="str">
        <x:v>持有</x:v>
      </x:c>
    </x:row>
    <x:row r="2653" ht="23" customHeight="1">
      <x:c r="A2653" s="11" t="d">
        <x:v>2025-07-15T00:00:00.000Z</x:v>
      </x:c>
      <x:c r="B2653" s="12" t="n">
        <x:v>27788.99322</x:v>
      </x:c>
      <x:c r="C2653" s="13" t="n">
        <x:v>484</x:v>
      </x:c>
      <x:c r="D2653" s="12" t="n">
        <x:v>301115.76</x:v>
      </x:c>
      <x:c r="E2653" s="12" t="n">
        <x:v>852.380628</x:v>
      </x:c>
      <x:c r="F2653" s="12" t="n">
        <x:f>SUM(B2653,D2653:E2653)</x:f>
        <x:v>329757.133848</x:v>
      </x:c>
      <x:c r="G2653" s="12" t="n">
        <x:f>MAX(G2652,F2653)</x:f>
        <x:v>331538.253848</x:v>
      </x:c>
      <x:c r="H2653" s="14" t="n">
        <x:f>F2653/G2653-1</x:f>
        <x:v>-0.005372291068458712</x:v>
      </x:c>
      <x:c r="I2653" s="14" t="n">
        <x:f>F2653/F2652-1</x:f>
        <x:v>-0.0039035864313395896</x:v>
      </x:c>
      <x:c r="J2653" s="12" t="n">
        <x:v>0</x:v>
      </x:c>
      <x:c r="K2653" s="12" t="n">
        <x:v>0</x:v>
      </x:c>
      <x:c r="L2653" s="12" t="n">
        <x:v>0</x:v>
      </x:c>
      <x:c r="M2653" s="2" t="str">
        <x:v>持有</x:v>
      </x:c>
    </x:row>
    <x:row r="2654" ht="23" customHeight="1">
      <x:c r="A2654" s="11" t="d">
        <x:v>2025-07-16T00:00:00.000Z</x:v>
      </x:c>
      <x:c r="B2654" s="12" t="n">
        <x:v>27788.99322</x:v>
      </x:c>
      <x:c r="C2654" s="13" t="n">
        <x:v>484</x:v>
      </x:c>
      <x:c r="D2654" s="12" t="n">
        <x:v>302122.48000000004</x:v>
      </x:c>
      <x:c r="E2654" s="12" t="n">
        <x:v>852.380628</x:v>
      </x:c>
      <x:c r="F2654" s="12" t="n">
        <x:f>SUM(B2654,D2654:E2654)</x:f>
        <x:v>330763.85384800006</x:v>
      </x:c>
      <x:c r="G2654" s="12" t="n">
        <x:f>MAX(G2653,F2654)</x:f>
        <x:v>331538.253848</x:v>
      </x:c>
      <x:c r="H2654" s="14" t="n">
        <x:f>F2654/G2654-1</x:f>
        <x:v>-0.0023357787254166817</x:v>
      </x:c>
      <x:c r="I2654" s="14" t="n">
        <x:f>F2654/F2653-1</x:f>
        <x:v>0.0030529134828787274</x:v>
      </x:c>
      <x:c r="J2654" s="12" t="n">
        <x:v>0</x:v>
      </x:c>
      <x:c r="K2654" s="12" t="n">
        <x:v>0</x:v>
      </x:c>
      <x:c r="L2654" s="12" t="n">
        <x:v>0</x:v>
      </x:c>
      <x:c r="M2654" s="2" t="str">
        <x:v>持有</x:v>
      </x:c>
    </x:row>
    <x:row r="2655" ht="23" customHeight="1">
      <x:c r="A2655" s="11" t="d">
        <x:v>2025-07-17T00:00:00.000Z</x:v>
      </x:c>
      <x:c r="B2655" s="12" t="n">
        <x:v>27788.99322</x:v>
      </x:c>
      <x:c r="C2655" s="13" t="n">
        <x:v>484</x:v>
      </x:c>
      <x:c r="D2655" s="12" t="n">
        <x:v>303971.36</x:v>
      </x:c>
      <x:c r="E2655" s="12" t="n">
        <x:v>852.380628</x:v>
      </x:c>
      <x:c r="F2655" s="12" t="n">
        <x:f>SUM(B2655,D2655:E2655)</x:f>
        <x:v>332612.733848</x:v>
      </x:c>
      <x:c r="G2655" s="12" t="n">
        <x:f>MAX(G2654,F2655)</x:f>
        <x:v>332612.733848</x:v>
      </x:c>
      <x:c r="H2655" s="14" t="n">
        <x:f>F2655/G2655-1</x:f>
        <x:v>0</x:v>
      </x:c>
      <x:c r="I2655" s="14" t="n">
        <x:f>F2655/F2654-1</x:f>
        <x:v>0.005589728074850697</x:v>
      </x:c>
      <x:c r="J2655" s="12" t="n">
        <x:v>0</x:v>
      </x:c>
      <x:c r="K2655" s="12" t="n">
        <x:v>0</x:v>
      </x:c>
      <x:c r="L2655" s="12" t="n">
        <x:v>0</x:v>
      </x:c>
      <x:c r="M2655" s="2" t="str">
        <x:v>持有</x:v>
      </x:c>
    </x:row>
    <x:row r="2656" ht="23" customHeight="1">
      <x:c r="A2656" s="11" t="d">
        <x:v>2025-07-18T00:00:00.000Z</x:v>
      </x:c>
      <x:c r="B2656" s="12" t="n">
        <x:v>27788.99322</x:v>
      </x:c>
      <x:c r="C2656" s="13" t="n">
        <x:v>484</x:v>
      </x:c>
      <x:c r="D2656" s="12" t="n">
        <x:v>303748.72000000003</x:v>
      </x:c>
      <x:c r="E2656" s="12" t="n">
        <x:v>852.380628</x:v>
      </x:c>
      <x:c r="F2656" s="12" t="n">
        <x:f>SUM(B2656,D2656:E2656)</x:f>
        <x:v>332390.09384800005</x:v>
      </x:c>
      <x:c r="G2656" s="12" t="n">
        <x:f>MAX(G2655,F2656)</x:f>
        <x:v>332612.733848</x:v>
      </x:c>
      <x:c r="H2656" s="14" t="n">
        <x:f>F2656/G2656-1</x:f>
        <x:v>-0.0006693670366261228</x:v>
      </x:c>
      <x:c r="I2656" s="14" t="n">
        <x:f>F2656/F2655-1</x:f>
        <x:v>-0.0006693670366261228</x:v>
      </x:c>
      <x:c r="J2656" s="12" t="n">
        <x:v>0</x:v>
      </x:c>
      <x:c r="K2656" s="12" t="n">
        <x:v>0</x:v>
      </x:c>
      <x:c r="L2656" s="12" t="n">
        <x:v>0</x:v>
      </x:c>
      <x:c r="M2656" s="2" t="str">
        <x:v>持有</x:v>
      </x:c>
    </x:row>
    <x:row r="2657" ht="23" customHeight="1">
      <x:c r="A2657" s="11" t="d">
        <x:v>2025-07-21T00:00:00.000Z</x:v>
      </x:c>
      <x:c r="B2657" s="12" t="n">
        <x:v>27788.99322</x:v>
      </x:c>
      <x:c r="C2657" s="13" t="n">
        <x:v>484</x:v>
      </x:c>
      <x:c r="D2657" s="12" t="n">
        <x:v>304324.68</x:v>
      </x:c>
      <x:c r="E2657" s="12" t="n">
        <x:v>852.380628</x:v>
      </x:c>
      <x:c r="F2657" s="12" t="n">
        <x:f>SUM(B2657,D2657:E2657)</x:f>
        <x:v>332966.053848</x:v>
      </x:c>
      <x:c r="G2657" s="12" t="n">
        <x:f>MAX(G2656,F2657)</x:f>
        <x:v>332966.053848</x:v>
      </x:c>
      <x:c r="H2657" s="14" t="n">
        <x:f>F2657/G2657-1</x:f>
        <x:v>0</x:v>
      </x:c>
      <x:c r="I2657" s="14" t="n">
        <x:f>F2657/F2656-1</x:f>
        <x:v>0.001732783288852513</x:v>
      </x:c>
      <x:c r="J2657" s="12" t="n">
        <x:v>0</x:v>
      </x:c>
      <x:c r="K2657" s="12" t="n">
        <x:v>0</x:v>
      </x:c>
      <x:c r="L2657" s="12" t="n">
        <x:v>0</x:v>
      </x:c>
      <x:c r="M2657" s="2" t="str">
        <x:v>持有</x:v>
      </x:c>
    </x:row>
    <x:row r="2658" ht="23" customHeight="1">
      <x:c r="A2658" s="11" t="d">
        <x:v>2025-07-22T00:00:00.000Z</x:v>
      </x:c>
      <x:c r="B2658" s="12" t="n">
        <x:v>27788.99322</x:v>
      </x:c>
      <x:c r="C2658" s="13" t="n">
        <x:v>484</x:v>
      </x:c>
      <x:c r="D2658" s="12" t="n">
        <x:v>304368.24</x:v>
      </x:c>
      <x:c r="E2658" s="12" t="n">
        <x:v>852.380628</x:v>
      </x:c>
      <x:c r="F2658" s="12" t="n">
        <x:f>SUM(B2658,D2658:E2658)</x:f>
        <x:v>333009.613848</x:v>
      </x:c>
      <x:c r="G2658" s="12" t="n">
        <x:f>MAX(G2657,F2658)</x:f>
        <x:v>333009.613848</x:v>
      </x:c>
      <x:c r="H2658" s="14" t="n">
        <x:f>F2658/G2658-1</x:f>
        <x:v>0</x:v>
      </x:c>
      <x:c r="I2658" s="14" t="n">
        <x:f>F2658/F2657-1</x:f>
        <x:v>0.00013082414707632495</x:v>
      </x:c>
      <x:c r="J2658" s="12" t="n">
        <x:v>0</x:v>
      </x:c>
      <x:c r="K2658" s="12" t="n">
        <x:v>0</x:v>
      </x:c>
      <x:c r="L2658" s="12" t="n">
        <x:v>0</x:v>
      </x:c>
      <x:c r="M2658" s="2" t="str">
        <x:v>持有</x:v>
      </x:c>
    </x:row>
    <x:row r="2659" ht="23" customHeight="1">
      <x:c r="A2659" s="11" t="d">
        <x:v>2025-07-23T00:00:00.000Z</x:v>
      </x:c>
      <x:c r="B2659" s="12" t="n">
        <x:v>27788.99322</x:v>
      </x:c>
      <x:c r="C2659" s="13" t="n">
        <x:v>484</x:v>
      </x:c>
      <x:c r="D2659" s="12" t="n">
        <x:v>306957.64</x:v>
      </x:c>
      <x:c r="E2659" s="12" t="n">
        <x:v>852.380628</x:v>
      </x:c>
      <x:c r="F2659" s="12" t="n">
        <x:f>SUM(B2659,D2659:E2659)</x:f>
        <x:v>335599.01384800003</x:v>
      </x:c>
      <x:c r="G2659" s="12" t="n">
        <x:f>MAX(G2658,F2659)</x:f>
        <x:v>335599.01384800003</x:v>
      </x:c>
      <x:c r="H2659" s="14" t="n">
        <x:f>F2659/G2659-1</x:f>
        <x:v>0</x:v>
      </x:c>
      <x:c r="I2659" s="14" t="n">
        <x:f>F2659/F2658-1</x:f>
        <x:v>0.007775751486808202</x:v>
      </x:c>
      <x:c r="J2659" s="12" t="n">
        <x:v>0</x:v>
      </x:c>
      <x:c r="K2659" s="12" t="n">
        <x:v>0</x:v>
      </x:c>
      <x:c r="L2659" s="12" t="n">
        <x:v>0</x:v>
      </x:c>
      <x:c r="M2659" s="2" t="str">
        <x:v>持有</x:v>
      </x:c>
    </x:row>
    <x:row r="2660" ht="23" customHeight="1">
      <x:c r="A2660" s="11" t="d">
        <x:v>2025-07-24T00:00:00.000Z</x:v>
      </x:c>
      <x:c r="B2660" s="12" t="n">
        <x:v>27788.99322</x:v>
      </x:c>
      <x:c r="C2660" s="13" t="n">
        <x:v>484</x:v>
      </x:c>
      <x:c r="D2660" s="12" t="n">
        <x:v>307059.27999999997</x:v>
      </x:c>
      <x:c r="E2660" s="12" t="n">
        <x:v>852.380628</x:v>
      </x:c>
      <x:c r="F2660" s="12" t="n">
        <x:f>SUM(B2660,D2660:E2660)</x:f>
        <x:v>335700.653848</x:v>
      </x:c>
      <x:c r="G2660" s="12" t="n">
        <x:f>MAX(G2659,F2660)</x:f>
        <x:v>335700.653848</x:v>
      </x:c>
      <x:c r="H2660" s="14" t="n">
        <x:f>F2660/G2660-1</x:f>
        <x:v>0</x:v>
      </x:c>
      <x:c r="I2660" s="14" t="n">
        <x:f>F2660/F2659-1</x:f>
        <x:v>0.00030286143822211287</x:v>
      </x:c>
      <x:c r="J2660" s="12" t="n">
        <x:v>0</x:v>
      </x:c>
      <x:c r="K2660" s="12" t="n">
        <x:v>0</x:v>
      </x:c>
      <x:c r="L2660" s="12" t="n">
        <x:v>0</x:v>
      </x:c>
      <x:c r="M2660" s="2" t="str">
        <x:v>持有</x:v>
      </x:c>
    </x:row>
    <x:row r="2661" ht="23" customHeight="1">
      <x:c r="A2661" s="11" t="d">
        <x:v>2025-07-25T00:00:00.000Z</x:v>
      </x:c>
      <x:c r="B2661" s="12" t="n">
        <x:v>27788.99322</x:v>
      </x:c>
      <x:c r="C2661" s="13" t="n">
        <x:v>484</x:v>
      </x:c>
      <x:c r="D2661" s="12" t="n">
        <x:v>308356.4</x:v>
      </x:c>
      <x:c r="E2661" s="12" t="n">
        <x:v>852.380628</x:v>
      </x:c>
      <x:c r="F2661" s="12" t="n">
        <x:f>SUM(B2661,D2661:E2661)</x:f>
        <x:v>336997.77384800004</x:v>
      </x:c>
      <x:c r="G2661" s="12" t="n">
        <x:f>MAX(G2660,F2661)</x:f>
        <x:v>336997.77384800004</x:v>
      </x:c>
      <x:c r="H2661" s="14" t="n">
        <x:f>F2661/G2661-1</x:f>
        <x:v>0</x:v>
      </x:c>
      <x:c r="I2661" s="14" t="n">
        <x:f>F2661/F2660-1</x:f>
        <x:v>0.0038639185987030533</x:v>
      </x:c>
      <x:c r="J2661" s="12" t="n">
        <x:v>0</x:v>
      </x:c>
      <x:c r="K2661" s="12" t="n">
        <x:v>0</x:v>
      </x:c>
      <x:c r="L2661" s="12" t="n">
        <x:v>0</x:v>
      </x:c>
      <x:c r="M2661" s="2" t="str">
        <x:v>持有</x:v>
      </x:c>
    </x:row>
    <x:row r="2662" ht="23" customHeight="1">
      <x:c r="A2662" s="11" t="d">
        <x:v>2025-07-28T00:00:00.000Z</x:v>
      </x:c>
      <x:c r="B2662" s="12" t="n">
        <x:v>27788.99322</x:v>
      </x:c>
      <x:c r="C2662" s="13" t="n">
        <x:v>484</x:v>
      </x:c>
      <x:c r="D2662" s="12" t="n">
        <x:v>308278.96</x:v>
      </x:c>
      <x:c r="E2662" s="12" t="n">
        <x:v>852.380628</x:v>
      </x:c>
      <x:c r="F2662" s="12" t="n">
        <x:f>SUM(B2662,D2662:E2662)</x:f>
        <x:v>336920.33384800004</x:v>
      </x:c>
      <x:c r="G2662" s="12" t="n">
        <x:f>MAX(G2661,F2662)</x:f>
        <x:v>336997.77384800004</x:v>
      </x:c>
      <x:c r="H2662" s="14" t="n">
        <x:f>F2662/G2662-1</x:f>
        <x:v>-0.00022979380283660866</x:v>
      </x:c>
      <x:c r="I2662" s="14" t="n">
        <x:f>F2662/F2661-1</x:f>
        <x:v>-0.00022979380283660866</x:v>
      </x:c>
      <x:c r="J2662" s="12" t="n">
        <x:v>0</x:v>
      </x:c>
      <x:c r="K2662" s="12" t="n">
        <x:v>0</x:v>
      </x:c>
      <x:c r="L2662" s="12" t="n">
        <x:v>0</x:v>
      </x:c>
      <x:c r="M2662" s="2" t="str">
        <x:v>持有</x:v>
      </x:c>
    </x:row>
    <x:row r="2663" ht="23" customHeight="1">
      <x:c r="A2663" s="11" t="d">
        <x:v>2025-07-29T00:00:00.000Z</x:v>
      </x:c>
      <x:c r="B2663" s="12" t="n">
        <x:v>27788.99322</x:v>
      </x:c>
      <x:c r="C2663" s="13" t="n">
        <x:v>484</x:v>
      </x:c>
      <x:c r="D2663" s="12" t="n">
        <x:v>307465.83999999997</x:v>
      </x:c>
      <x:c r="E2663" s="12" t="n">
        <x:v>852.380628</x:v>
      </x:c>
      <x:c r="F2663" s="12" t="n">
        <x:f>SUM(B2663,D2663:E2663)</x:f>
        <x:v>336107.213848</x:v>
      </x:c>
      <x:c r="G2663" s="12" t="n">
        <x:f>MAX(G2662,F2663)</x:f>
        <x:v>336997.77384800004</x:v>
      </x:c>
      <x:c r="H2663" s="14" t="n">
        <x:f>F2663/G2663-1</x:f>
        <x:v>-0.0026426287326209996</x:v>
      </x:c>
      <x:c r="I2663" s="14" t="n">
        <x:f>F2663/F2662-1</x:f>
        <x:v>-0.0024133895117380844</x:v>
      </x:c>
      <x:c r="J2663" s="12" t="n">
        <x:v>0</x:v>
      </x:c>
      <x:c r="K2663" s="12" t="n">
        <x:v>0</x:v>
      </x:c>
      <x:c r="L2663" s="12" t="n">
        <x:v>0</x:v>
      </x:c>
      <x:c r="M2663" s="2" t="str">
        <x:v>持有</x:v>
      </x:c>
    </x:row>
    <x:row r="2664" ht="23" customHeight="1">
      <x:c r="A2664" s="11" t="d">
        <x:v>2025-07-30T00:00:00.000Z</x:v>
      </x:c>
      <x:c r="B2664" s="12" t="n">
        <x:v>27788.99322</x:v>
      </x:c>
      <x:c r="C2664" s="13" t="n">
        <x:v>484</x:v>
      </x:c>
      <x:c r="D2664" s="12" t="n">
        <x:v>307078.64</x:v>
      </x:c>
      <x:c r="E2664" s="12" t="n">
        <x:v>852.380628</x:v>
      </x:c>
      <x:c r="F2664" s="12" t="n">
        <x:f>SUM(B2664,D2664:E2664)</x:f>
        <x:v>335720.01384800003</x:v>
      </x:c>
      <x:c r="G2664" s="12" t="n">
        <x:f>MAX(G2663,F2664)</x:f>
        <x:v>336997.77384800004</x:v>
      </x:c>
      <x:c r="H2664" s="14" t="n">
        <x:f>F2664/G2664-1</x:f>
        <x:v>-0.003791597746803932</x:v>
      </x:c>
      <x:c r="I2664" s="14" t="n">
        <x:f>F2664/F2663-1</x:f>
        <x:v>-0.0011520133577824776</x:v>
      </x:c>
      <x:c r="J2664" s="12" t="n">
        <x:v>0</x:v>
      </x:c>
      <x:c r="K2664" s="12" t="n">
        <x:v>0</x:v>
      </x:c>
      <x:c r="L2664" s="12" t="n">
        <x:v>0</x:v>
      </x:c>
      <x:c r="M2664" s="2" t="str">
        <x:v>持有</x:v>
      </x:c>
    </x:row>
    <x:row r="2665" ht="23" customHeight="1">
      <x:c r="A2665" s="11" t="d">
        <x:v>2025-07-31T00:00:00.000Z</x:v>
      </x:c>
      <x:c r="B2665" s="12" t="n">
        <x:v>28641.373848</x:v>
      </x:c>
      <x:c r="C2665" s="13" t="n">
        <x:v>484</x:v>
      </x:c>
      <x:c r="D2665" s="12" t="n">
        <x:v>305926.72000000003</x:v>
      </x:c>
      <x:c r="E2665" s="12" t="n">
        <x:v>0</x:v>
      </x:c>
      <x:c r="F2665" s="12" t="n">
        <x:f>SUM(B2665,D2665:E2665)</x:f>
        <x:v>334568.09384800005</x:v>
      </x:c>
      <x:c r="G2665" s="12" t="n">
        <x:f>MAX(G2664,F2665)</x:f>
        <x:v>336997.77384800004</x:v>
      </x:c>
      <x:c r="H2665" s="14" t="n">
        <x:f>F2665/G2665-1</x:f>
        <x:v>-0.007209780563998236</x:v>
      </x:c>
      <x:c r="I2665" s="14" t="n">
        <x:f>F2665/F2664-1</x:f>
        <x:v>-0.0034311925190183556</x:v>
      </x:c>
      <x:c r="J2665" s="12" t="n">
        <x:v>0</x:v>
      </x:c>
      <x:c r="K2665" s="12" t="n">
        <x:v>852.380628</x:v>
      </x:c>
      <x:c r="L2665" s="12" t="n">
        <x:v>0</x:v>
      </x:c>
      <x:c r="M2665" s="2" t="str">
        <x:v>持有</x:v>
      </x:c>
    </x:row>
    <x:row r="2666" ht="23" customHeight="1">
      <x:c r="A2666" s="11" t="d">
        <x:v>2025-08-01T00:00:00.000Z</x:v>
      </x:c>
      <x:c r="B2666" s="12" t="n">
        <x:v>28641.373848</x:v>
      </x:c>
      <x:c r="C2666" s="13" t="n">
        <x:v>484</x:v>
      </x:c>
      <x:c r="D2666" s="12" t="n">
        <x:v>300912.48000000004</x:v>
      </x:c>
      <x:c r="E2666" s="12" t="n">
        <x:v>0</x:v>
      </x:c>
      <x:c r="F2666" s="12" t="n">
        <x:f>SUM(B2666,D2666:E2666)</x:f>
        <x:v>329553.85384800006</x:v>
      </x:c>
      <x:c r="G2666" s="12" t="n">
        <x:f>MAX(G2665,F2666)</x:f>
        <x:v>336997.77384800004</x:v>
      </x:c>
      <x:c r="H2666" s="14" t="n">
        <x:f>F2666/G2666-1</x:f>
        <x:v>-0.022088929297668036</x:v>
      </x:c>
      <x:c r="I2666" s="14" t="n">
        <x:f>F2666/F2665-1</x:f>
        <x:v>-0.014987203179864572</x:v>
      </x:c>
      <x:c r="J2666" s="12" t="n">
        <x:v>0</x:v>
      </x:c>
      <x:c r="K2666" s="12" t="n">
        <x:v>0</x:v>
      </x:c>
      <x:c r="L2666" s="12" t="n">
        <x:v>0</x:v>
      </x:c>
      <x:c r="M2666" s="2" t="str">
        <x:v>持有</x:v>
      </x:c>
    </x:row>
    <x:row r="2667" ht="23" customHeight="1">
      <x:c r="A2667" s="11" t="d">
        <x:v>2025-08-04T00:00:00.000Z</x:v>
      </x:c>
      <x:c r="B2667" s="12" t="n">
        <x:v>28641.373848</x:v>
      </x:c>
      <x:c r="C2667" s="13" t="n">
        <x:v>484</x:v>
      </x:c>
      <x:c r="D2667" s="12" t="n">
        <x:v>305486.27999999997</x:v>
      </x:c>
      <x:c r="E2667" s="12" t="n">
        <x:v>0</x:v>
      </x:c>
      <x:c r="F2667" s="12" t="n">
        <x:f>SUM(B2667,D2667:E2667)</x:f>
        <x:v>334127.653848</x:v>
      </x:c>
      <x:c r="G2667" s="12" t="n">
        <x:f>MAX(G2666,F2667)</x:f>
        <x:v>336997.77384800004</x:v>
      </x:c>
      <x:c r="H2667" s="14" t="n">
        <x:f>F2667/G2667-1</x:f>
        <x:v>-0.008516732817631545</x:v>
      </x:c>
      <x:c r="I2667" s="14" t="n">
        <x:f>F2667/F2666-1</x:f>
        <x:v>0.013878763505856373</x:v>
      </x:c>
      <x:c r="J2667" s="12" t="n">
        <x:v>0</x:v>
      </x:c>
      <x:c r="K2667" s="12" t="n">
        <x:v>0</x:v>
      </x:c>
      <x:c r="L2667" s="12" t="n">
        <x:v>0</x:v>
      </x:c>
      <x:c r="M2667" s="2" t="str">
        <x:v>持有</x:v>
      </x:c>
    </x:row>
    <x:row r="2668" ht="23" customHeight="1">
      <x:c r="A2668" s="11" t="d">
        <x:v>2025-08-05T00:00:00.000Z</x:v>
      </x:c>
      <x:c r="B2668" s="12" t="n">
        <x:v>28641.373848</x:v>
      </x:c>
      <x:c r="C2668" s="13" t="n">
        <x:v>484</x:v>
      </x:c>
      <x:c r="D2668" s="12" t="n">
        <x:v>303937.48000000004</x:v>
      </x:c>
      <x:c r="E2668" s="12" t="n">
        <x:v>0</x:v>
      </x:c>
      <x:c r="F2668" s="12" t="n">
        <x:f>SUM(B2668,D2668:E2668)</x:f>
        <x:v>332578.85384800006</x:v>
      </x:c>
      <x:c r="G2668" s="12" t="n">
        <x:f>MAX(G2667,F2668)</x:f>
        <x:v>336997.77384800004</x:v>
      </x:c>
      <x:c r="H2668" s="14" t="n">
        <x:f>F2668/G2668-1</x:f>
        <x:v>-0.013112608874363385</x:v>
      </x:c>
      <x:c r="I2668" s="14" t="n">
        <x:f>F2668/F2667-1</x:f>
        <x:v>-0.0046353541293666645</x:v>
      </x:c>
      <x:c r="J2668" s="12" t="n">
        <x:v>0</x:v>
      </x:c>
      <x:c r="K2668" s="12" t="n">
        <x:v>0</x:v>
      </x:c>
      <x:c r="L2668" s="12" t="n">
        <x:v>0</x:v>
      </x:c>
      <x:c r="M2668" s="2" t="str">
        <x:v>持有</x:v>
      </x:c>
    </x:row>
    <x:row r="2669" ht="23" customHeight="1">
      <x:c r="A2669" s="11" t="d">
        <x:v>2025-08-06T00:00:00.000Z</x:v>
      </x:c>
      <x:c r="B2669" s="12" t="n">
        <x:v>28641.373848</x:v>
      </x:c>
      <x:c r="C2669" s="13" t="n">
        <x:v>484</x:v>
      </x:c>
      <x:c r="D2669" s="12" t="n">
        <x:v>306265.51999999996</x:v>
      </x:c>
      <x:c r="E2669" s="12" t="n">
        <x:v>0</x:v>
      </x:c>
      <x:c r="F2669" s="12" t="n">
        <x:f>SUM(B2669,D2669:E2669)</x:f>
        <x:v>334906.893848</x:v>
      </x:c>
      <x:c r="G2669" s="12" t="n">
        <x:f>MAX(G2668,F2669)</x:f>
        <x:v>336997.77384800004</x:v>
      </x:c>
      <x:c r="H2669" s="14" t="n">
        <x:f>F2669/G2669-1</x:f>
        <x:v>-0.006204432676588323</x:v>
      </x:c>
      <x:c r="I2669" s="14" t="n">
        <x:f>F2669/F2668-1</x:f>
        <x:v>0.006999963987680102</x:v>
      </x:c>
      <x:c r="J2669" s="12" t="n">
        <x:v>0</x:v>
      </x:c>
      <x:c r="K2669" s="12" t="n">
        <x:v>0</x:v>
      </x:c>
      <x:c r="L2669" s="12" t="n">
        <x:v>0</x:v>
      </x:c>
      <x:c r="M2669" s="2" t="str">
        <x:v>持有</x:v>
      </x:c>
    </x:row>
    <x:row r="2670" ht="23" customHeight="1">
      <x:c r="A2670" s="11" t="d">
        <x:v>2025-08-07T00:00:00.000Z</x:v>
      </x:c>
      <x:c r="B2670" s="12" t="n">
        <x:v>28641.373848</x:v>
      </x:c>
      <x:c r="C2670" s="13" t="n">
        <x:v>484</x:v>
      </x:c>
      <x:c r="D2670" s="12" t="n">
        <x:v>306009</x:v>
      </x:c>
      <x:c r="E2670" s="12" t="n">
        <x:v>0</x:v>
      </x:c>
      <x:c r="F2670" s="12" t="n">
        <x:f>SUM(B2670,D2670:E2670)</x:f>
        <x:v>334650.373848</x:v>
      </x:c>
      <x:c r="G2670" s="12" t="n">
        <x:f>MAX(G2669,F2670)</x:f>
        <x:v>336997.77384800004</x:v>
      </x:c>
      <x:c r="H2670" s="14" t="n">
        <x:f>F2670/G2670-1</x:f>
        <x:v>-0.006965624648484492</x:v>
      </x:c>
      <x:c r="I2670" s="14" t="n">
        <x:f>F2670/F2669-1</x:f>
        <x:v>-0.0007659442212508694</x:v>
      </x:c>
      <x:c r="J2670" s="12" t="n">
        <x:v>0</x:v>
      </x:c>
      <x:c r="K2670" s="12" t="n">
        <x:v>0</x:v>
      </x:c>
      <x:c r="L2670" s="12" t="n">
        <x:v>0</x:v>
      </x:c>
      <x:c r="M2670" s="2" t="str">
        <x:v>持有</x:v>
      </x:c>
    </x:row>
    <x:row r="2671" ht="23" customHeight="1">
      <x:c r="A2671" s="11" t="d">
        <x:v>2025-08-08T00:00:00.000Z</x:v>
      </x:c>
      <x:c r="B2671" s="12" t="n">
        <x:v>28641.373848</x:v>
      </x:c>
      <x:c r="C2671" s="13" t="n">
        <x:v>484</x:v>
      </x:c>
      <x:c r="D2671" s="12" t="n">
        <x:v>308395.12</x:v>
      </x:c>
      <x:c r="E2671" s="12" t="n">
        <x:v>0</x:v>
      </x:c>
      <x:c r="F2671" s="12" t="n">
        <x:f>SUM(B2671,D2671:E2671)</x:f>
        <x:v>337036.493848</x:v>
      </x:c>
      <x:c r="G2671" s="12" t="n">
        <x:f>MAX(G2670,F2671)</x:f>
        <x:v>337036.493848</x:v>
      </x:c>
      <x:c r="H2671" s="14" t="n">
        <x:f>F2671/G2671-1</x:f>
        <x:v>0</x:v>
      </x:c>
      <x:c r="I2671" s="14" t="n">
        <x:f>F2671/F2670-1</x:f>
        <x:v>0.007130187761522633</x:v>
      </x:c>
      <x:c r="J2671" s="12" t="n">
        <x:v>0</x:v>
      </x:c>
      <x:c r="K2671" s="12" t="n">
        <x:v>0</x:v>
      </x:c>
      <x:c r="L2671" s="12" t="n">
        <x:v>0</x:v>
      </x:c>
      <x:c r="M2671" s="2" t="str">
        <x:v>持有</x:v>
      </x:c>
    </x:row>
    <x:row r="2672" ht="23" customHeight="1">
      <x:c r="A2672" s="11" t="d">
        <x:v>2025-08-11T00:00:00.000Z</x:v>
      </x:c>
      <x:c r="B2672" s="12" t="n">
        <x:v>28641.373848</x:v>
      </x:c>
      <x:c r="C2672" s="13" t="n">
        <x:v>484</x:v>
      </x:c>
      <x:c r="D2672" s="12" t="n">
        <x:v>307785.27999999997</x:v>
      </x:c>
      <x:c r="E2672" s="12" t="n">
        <x:v>0</x:v>
      </x:c>
      <x:c r="F2672" s="12" t="n">
        <x:f>SUM(B2672,D2672:E2672)</x:f>
        <x:v>336426.653848</x:v>
      </x:c>
      <x:c r="G2672" s="12" t="n">
        <x:f>MAX(G2671,F2672)</x:f>
        <x:v>337036.493848</x:v>
      </x:c>
      <x:c r="H2672" s="14" t="n">
        <x:f>F2672/G2672-1</x:f>
        <x:v>-0.001809418300782184</x:v>
      </x:c>
      <x:c r="I2672" s="14" t="n">
        <x:f>F2672/F2671-1</x:f>
        <x:v>-0.001809418300782184</x:v>
      </x:c>
      <x:c r="J2672" s="12" t="n">
        <x:v>0</x:v>
      </x:c>
      <x:c r="K2672" s="12" t="n">
        <x:v>0</x:v>
      </x:c>
      <x:c r="L2672" s="12" t="n">
        <x:v>0</x:v>
      </x:c>
      <x:c r="M2672" s="2" t="str">
        <x:v>持有</x:v>
      </x:c>
    </x:row>
    <x:row r="2673" ht="23" customHeight="1">
      <x:c r="A2673" s="11" t="d">
        <x:v>2025-08-12T00:00:00.000Z</x:v>
      </x:c>
      <x:c r="B2673" s="12" t="n">
        <x:v>28641.373848</x:v>
      </x:c>
      <x:c r="C2673" s="13" t="n">
        <x:v>484</x:v>
      </x:c>
      <x:c r="D2673" s="12" t="n">
        <x:v>311061.96</x:v>
      </x:c>
      <x:c r="E2673" s="12" t="n">
        <x:v>0</x:v>
      </x:c>
      <x:c r="F2673" s="12" t="n">
        <x:f>SUM(B2673,D2673:E2673)</x:f>
        <x:v>339703.33384800004</x:v>
      </x:c>
      <x:c r="G2673" s="12" t="n">
        <x:f>MAX(G2672,F2673)</x:f>
        <x:v>339703.33384800004</x:v>
      </x:c>
      <x:c r="H2673" s="14" t="n">
        <x:f>F2673/G2673-1</x:f>
        <x:v>0</x:v>
      </x:c>
      <x:c r="I2673" s="14" t="n">
        <x:f>F2673/F2672-1</x:f>
        <x:v>0.009739656363495053</x:v>
      </x:c>
      <x:c r="J2673" s="12" t="n">
        <x:v>0</x:v>
      </x:c>
      <x:c r="K2673" s="12" t="n">
        <x:v>0</x:v>
      </x:c>
      <x:c r="L2673" s="12" t="n">
        <x:v>0</x:v>
      </x:c>
      <x:c r="M2673" s="2" t="str">
        <x:v>持有</x:v>
      </x:c>
    </x:row>
    <x:row r="2674" ht="23" customHeight="1">
      <x:c r="A2674" s="11" t="d">
        <x:v>2025-08-13T00:00:00.000Z</x:v>
      </x:c>
      <x:c r="B2674" s="12" t="n">
        <x:v>28641.373848</x:v>
      </x:c>
      <x:c r="C2674" s="13" t="n">
        <x:v>484</x:v>
      </x:c>
      <x:c r="D2674" s="12" t="n">
        <x:v>312126.76</x:v>
      </x:c>
      <x:c r="E2674" s="12" t="n">
        <x:v>0</x:v>
      </x:c>
      <x:c r="F2674" s="12" t="n">
        <x:f>SUM(B2674,D2674:E2674)</x:f>
        <x:v>340768.133848</x:v>
      </x:c>
      <x:c r="G2674" s="12" t="n">
        <x:f>MAX(G2673,F2674)</x:f>
        <x:v>340768.133848</x:v>
      </x:c>
      <x:c r="H2674" s="14" t="n">
        <x:f>F2674/G2674-1</x:f>
        <x:v>0</x:v>
      </x:c>
      <x:c r="I2674" s="14" t="n">
        <x:f>F2674/F2673-1</x:f>
        <x:v>0.003134499705782723</x:v>
      </x:c>
      <x:c r="J2674" s="12" t="n">
        <x:v>0</x:v>
      </x:c>
      <x:c r="K2674" s="12" t="n">
        <x:v>0</x:v>
      </x:c>
      <x:c r="L2674" s="12" t="n">
        <x:v>0</x:v>
      </x:c>
      <x:c r="M2674" s="2" t="str">
        <x:v>持有</x:v>
      </x:c>
    </x:row>
    <x:row r="2675" ht="23" customHeight="1">
      <x:c r="A2675" s="11" t="d">
        <x:v>2025-08-14T00:00:00.000Z</x:v>
      </x:c>
      <x:c r="B2675" s="12" t="n">
        <x:v>28641.373848</x:v>
      </x:c>
      <x:c r="C2675" s="13" t="n">
        <x:v>484</x:v>
      </x:c>
      <x:c r="D2675" s="12" t="n">
        <x:v>312155.80000000005</x:v>
      </x:c>
      <x:c r="E2675" s="12" t="n">
        <x:v>0</x:v>
      </x:c>
      <x:c r="F2675" s="12" t="n">
        <x:f>SUM(B2675,D2675:E2675)</x:f>
        <x:v>340797.17384800006</x:v>
      </x:c>
      <x:c r="G2675" s="12" t="n">
        <x:f>MAX(G2674,F2675)</x:f>
        <x:v>340797.17384800006</x:v>
      </x:c>
      <x:c r="H2675" s="14" t="n">
        <x:f>F2675/G2675-1</x:f>
        <x:v>0</x:v>
      </x:c>
      <x:c r="I2675" s="14" t="n">
        <x:f>F2675/F2674-1</x:f>
        <x:v>0.000085219235942402</x:v>
      </x:c>
      <x:c r="J2675" s="12" t="n">
        <x:v>0</x:v>
      </x:c>
      <x:c r="K2675" s="12" t="n">
        <x:v>0</x:v>
      </x:c>
      <x:c r="L2675" s="12" t="n">
        <x:v>0</x:v>
      </x:c>
      <x:c r="M2675" s="2" t="str">
        <x:v>持有</x:v>
      </x:c>
    </x:row>
    <x:row r="2676" ht="23" customHeight="1">
      <x:c r="A2676" s="11" t="d">
        <x:v>2025-08-15T00:00:00.000Z</x:v>
      </x:c>
      <x:c r="B2676" s="12" t="n">
        <x:v>28641.373848</x:v>
      </x:c>
      <x:c r="C2676" s="13" t="n">
        <x:v>484</x:v>
      </x:c>
      <x:c r="D2676" s="12" t="n">
        <x:v>311424.96</x:v>
      </x:c>
      <x:c r="E2676" s="12" t="n">
        <x:v>0</x:v>
      </x:c>
      <x:c r="F2676" s="12" t="n">
        <x:f>SUM(B2676,D2676:E2676)</x:f>
        <x:v>340066.33384800004</x:v>
      </x:c>
      <x:c r="G2676" s="12" t="n">
        <x:f>MAX(G2675,F2676)</x:f>
        <x:v>340797.17384800006</x:v>
      </x:c>
      <x:c r="H2676" s="14" t="n">
        <x:f>F2676/G2676-1</x:f>
        <x:v>-0.00214450135178057</x:v>
      </x:c>
      <x:c r="I2676" s="14" t="n">
        <x:f>F2676/F2675-1</x:f>
        <x:v>-0.00214450135178057</x:v>
      </x:c>
      <x:c r="J2676" s="12" t="n">
        <x:v>0</x:v>
      </x:c>
      <x:c r="K2676" s="12" t="n">
        <x:v>0</x:v>
      </x:c>
      <x:c r="L2676" s="12" t="n">
        <x:v>0</x:v>
      </x:c>
      <x:c r="M2676" s="2" t="str">
        <x:v>持有</x:v>
      </x:c>
    </x:row>
    <x:row r="2677" ht="23" customHeight="1">
      <x:c r="A2677" s="11" t="d">
        <x:v>2025-08-18T00:00:00.000Z</x:v>
      </x:c>
      <x:c r="B2677" s="12" t="n">
        <x:v>28641.373848</x:v>
      </x:c>
      <x:c r="C2677" s="13" t="n">
        <x:v>484</x:v>
      </x:c>
      <x:c r="D2677" s="12" t="n">
        <x:v>311357.19999999995</x:v>
      </x:c>
      <x:c r="E2677" s="12" t="n">
        <x:v>0</x:v>
      </x:c>
      <x:c r="F2677" s="12" t="n">
        <x:f>SUM(B2677,D2677:E2677)</x:f>
        <x:v>339998.57384799997</x:v>
      </x:c>
      <x:c r="G2677" s="12" t="n">
        <x:f>MAX(G2676,F2677)</x:f>
        <x:v>340797.17384800006</x:v>
      </x:c>
      <x:c r="H2677" s="14" t="n">
        <x:f>F2677/G2677-1</x:f>
        <x:v>-0.0023433292916809068</x:v>
      </x:c>
      <x:c r="I2677" s="14" t="n">
        <x:f>F2677/F2676-1</x:f>
        <x:v>-0.000199255243038432</x:v>
      </x:c>
      <x:c r="J2677" s="12" t="n">
        <x:v>0</x:v>
      </x:c>
      <x:c r="K2677" s="12" t="n">
        <x:v>0</x:v>
      </x:c>
      <x:c r="L2677" s="12" t="n">
        <x:v>0</x:v>
      </x:c>
      <x:c r="M2677" s="2" t="str">
        <x:v>持有</x:v>
      </x:c>
    </x:row>
    <x:row r="2678" ht="23" customHeight="1">
      <x:c r="A2678" s="11" t="d">
        <x:v>2025-08-19T00:00:00.000Z</x:v>
      </x:c>
      <x:c r="B2678" s="12" t="n">
        <x:v>28641.373848</x:v>
      </x:c>
      <x:c r="C2678" s="13" t="n">
        <x:v>484</x:v>
      </x:c>
      <x:c r="D2678" s="12" t="n">
        <x:v>309668.04</x:v>
      </x:c>
      <x:c r="E2678" s="12" t="n">
        <x:v>0</x:v>
      </x:c>
      <x:c r="F2678" s="12" t="n">
        <x:f>SUM(B2678,D2678:E2678)</x:f>
        <x:v>338309.413848</x:v>
      </x:c>
      <x:c r="G2678" s="12" t="n">
        <x:f>MAX(G2677,F2678)</x:f>
        <x:v>340797.17384800006</x:v>
      </x:c>
      <x:c r="H2678" s="14" t="n">
        <x:f>F2678/G2678-1</x:f>
        <x:v>-0.007299825793478099</x:v>
      </x:c>
      <x:c r="I2678" s="14" t="n">
        <x:f>F2678/F2677-1</x:f>
        <x:v>-0.004968138486237117</x:v>
      </x:c>
      <x:c r="J2678" s="12" t="n">
        <x:v>0</x:v>
      </x:c>
      <x:c r="K2678" s="12" t="n">
        <x:v>0</x:v>
      </x:c>
      <x:c r="L2678" s="12" t="n">
        <x:v>0</x:v>
      </x:c>
      <x:c r="M2678" s="2" t="str">
        <x:v>持有</x:v>
      </x:c>
    </x:row>
    <x:row r="2679" ht="23" customHeight="1">
      <x:c r="A2679" s="11" t="d">
        <x:v>2025-08-20T00:00:00.000Z</x:v>
      </x:c>
      <x:c r="B2679" s="12" t="n">
        <x:v>28641.373848</x:v>
      </x:c>
      <x:c r="C2679" s="13" t="n">
        <x:v>484</x:v>
      </x:c>
      <x:c r="D2679" s="12" t="n">
        <x:v>308845.24</x:v>
      </x:c>
      <x:c r="E2679" s="12" t="n">
        <x:v>0</x:v>
      </x:c>
      <x:c r="F2679" s="12" t="n">
        <x:f>SUM(B2679,D2679:E2679)</x:f>
        <x:v>337486.613848</x:v>
      </x:c>
      <x:c r="G2679" s="12" t="n">
        <x:f>MAX(G2678,F2679)</x:f>
        <x:v>340797.17384800006</x:v>
      </x:c>
      <x:c r="H2679" s="14" t="n">
        <x:f>F2679/G2679-1</x:f>
        <x:v>-0.009714165063694491</x:v>
      </x:c>
      <x:c r="I2679" s="14" t="n">
        <x:f>F2679/F2678-1</x:f>
        <x:v>-0.002432093126352286</x:v>
      </x:c>
      <x:c r="J2679" s="12" t="n">
        <x:v>0</x:v>
      </x:c>
      <x:c r="K2679" s="12" t="n">
        <x:v>0</x:v>
      </x:c>
      <x:c r="L2679" s="12" t="n">
        <x:v>0</x:v>
      </x:c>
      <x:c r="M2679" s="2" t="str">
        <x:v>持有</x:v>
      </x:c>
    </x:row>
    <x:row r="2680" ht="23" customHeight="1">
      <x:c r="A2680" s="11" t="d">
        <x:v>2025-08-21T00:00:00.000Z</x:v>
      </x:c>
      <x:c r="B2680" s="12" t="n">
        <x:v>28641.373848</x:v>
      </x:c>
      <x:c r="C2680" s="13" t="n">
        <x:v>484</x:v>
      </x:c>
      <x:c r="D2680" s="12" t="n">
        <x:v>307606.19999999995</x:v>
      </x:c>
      <x:c r="E2680" s="12" t="n">
        <x:v>0</x:v>
      </x:c>
      <x:c r="F2680" s="12" t="n">
        <x:f>SUM(B2680,D2680:E2680)</x:f>
        <x:v>336247.57384799997</x:v>
      </x:c>
      <x:c r="G2680" s="12" t="n">
        <x:f>MAX(G2679,F2680)</x:f>
        <x:v>340797.17384800006</x:v>
      </x:c>
      <x:c r="H2680" s="14" t="n">
        <x:f>F2680/G2680-1</x:f>
        <x:v>-0.013349875964726365</x:v>
      </x:c>
      <x:c r="I2680" s="14" t="n">
        <x:f>F2680/F2679-1</x:f>
        <x:v>-0.0036713752461841054</x:v>
      </x:c>
      <x:c r="J2680" s="12" t="n">
        <x:v>0</x:v>
      </x:c>
      <x:c r="K2680" s="12" t="n">
        <x:v>0</x:v>
      </x:c>
      <x:c r="L2680" s="12" t="n">
        <x:v>0</x:v>
      </x:c>
      <x:c r="M2680" s="2" t="str">
        <x:v>持有</x:v>
      </x:c>
    </x:row>
    <x:row r="2681" ht="23" customHeight="1">
      <x:c r="A2681" s="11" t="d">
        <x:v>2025-08-22T00:00:00.000Z</x:v>
      </x:c>
      <x:c r="B2681" s="12" t="n">
        <x:v>28641.373848</x:v>
      </x:c>
      <x:c r="C2681" s="13" t="n">
        <x:v>484</x:v>
      </x:c>
      <x:c r="D2681" s="12" t="n">
        <x:v>312330.04</x:v>
      </x:c>
      <x:c r="E2681" s="12" t="n">
        <x:v>0</x:v>
      </x:c>
      <x:c r="F2681" s="12" t="n">
        <x:f>SUM(B2681,D2681:E2681)</x:f>
        <x:v>340971.413848</x:v>
      </x:c>
      <x:c r="G2681" s="12" t="n">
        <x:f>MAX(G2680,F2681)</x:f>
        <x:v>340971.413848</x:v>
      </x:c>
      <x:c r="H2681" s="14" t="n">
        <x:f>F2681/G2681-1</x:f>
        <x:v>0</x:v>
      </x:c>
      <x:c r="I2681" s="14" t="n">
        <x:f>F2681/F2680-1</x:f>
        <x:v>0.014048696161404584</x:v>
      </x:c>
      <x:c r="J2681" s="12" t="n">
        <x:v>0</x:v>
      </x:c>
      <x:c r="K2681" s="12" t="n">
        <x:v>0</x:v>
      </x:c>
      <x:c r="L2681" s="12" t="n">
        <x:v>0</x:v>
      </x:c>
      <x:c r="M2681" s="2" t="str">
        <x:v>持有</x:v>
      </x:c>
    </x:row>
    <x:row r="2682" ht="23" customHeight="1">
      <x:c r="A2682" s="11" t="d">
        <x:v>2025-08-25T00:00:00.000Z</x:v>
      </x:c>
      <x:c r="B2682" s="12" t="n">
        <x:v>28641.373848</x:v>
      </x:c>
      <x:c r="C2682" s="13" t="n">
        <x:v>484</x:v>
      </x:c>
      <x:c r="D2682" s="12" t="n">
        <x:v>310955.48000000004</x:v>
      </x:c>
      <x:c r="E2682" s="12" t="n">
        <x:v>0</x:v>
      </x:c>
      <x:c r="F2682" s="12" t="n">
        <x:f>SUM(B2682,D2682:E2682)</x:f>
        <x:v>339596.85384800006</x:v>
      </x:c>
      <x:c r="G2682" s="12" t="n">
        <x:f>MAX(G2681,F2682)</x:f>
        <x:v>340971.413848</x:v>
      </x:c>
      <x:c r="H2682" s="14" t="n">
        <x:f>F2682/G2682-1</x:f>
        <x:v>-0.004031305687733355</x:v>
      </x:c>
      <x:c r="I2682" s="14" t="n">
        <x:f>F2682/F2681-1</x:f>
        <x:v>-0.004031305687733355</x:v>
      </x:c>
      <x:c r="J2682" s="12" t="n">
        <x:v>0</x:v>
      </x:c>
      <x:c r="K2682" s="12" t="n">
        <x:v>0</x:v>
      </x:c>
      <x:c r="L2682" s="12" t="n">
        <x:v>0</x:v>
      </x:c>
      <x:c r="M2682" s="2" t="str">
        <x:v>持有</x:v>
      </x:c>
    </x:row>
    <x:row r="2683" ht="23" customHeight="1">
      <x:c r="A2683" s="11" t="d">
        <x:v>2025-08-26T00:00:00.000Z</x:v>
      </x:c>
      <x:c r="B2683" s="12" t="n">
        <x:v>28641.373848</x:v>
      </x:c>
      <x:c r="C2683" s="13" t="n">
        <x:v>484</x:v>
      </x:c>
      <x:c r="D2683" s="12" t="n">
        <x:v>312257.44</x:v>
      </x:c>
      <x:c r="E2683" s="12" t="n">
        <x:v>0</x:v>
      </x:c>
      <x:c r="F2683" s="12" t="n">
        <x:f>SUM(B2683,D2683:E2683)</x:f>
        <x:v>340898.813848</x:v>
      </x:c>
      <x:c r="G2683" s="12" t="n">
        <x:f>MAX(G2682,F2683)</x:f>
        <x:v>340971.413848</x:v>
      </x:c>
      <x:c r="H2683" s="14" t="n">
        <x:f>F2683/G2683-1</x:f>
        <x:v>-0.00021292107505632707</x:v>
      </x:c>
      <x:c r="I2683" s="14" t="n">
        <x:f>F2683/F2682-1</x:f>
        <x:v>0.0038338399936492795</x:v>
      </x:c>
      <x:c r="J2683" s="12" t="n">
        <x:v>0</x:v>
      </x:c>
      <x:c r="K2683" s="12" t="n">
        <x:v>0</x:v>
      </x:c>
      <x:c r="L2683" s="12" t="n">
        <x:v>0</x:v>
      </x:c>
      <x:c r="M2683" s="2" t="str">
        <x:v>持有</x:v>
      </x:c>
    </x:row>
    <x:row r="2684" ht="23" customHeight="1">
      <x:c r="A2684" s="11" t="d">
        <x:v>2025-08-27T00:00:00.000Z</x:v>
      </x:c>
      <x:c r="B2684" s="12" t="n">
        <x:v>28641.373848</x:v>
      </x:c>
      <x:c r="C2684" s="13" t="n">
        <x:v>484</x:v>
      </x:c>
      <x:c r="D2684" s="12" t="n">
        <x:v>312968.92</x:v>
      </x:c>
      <x:c r="E2684" s="12" t="n">
        <x:v>0</x:v>
      </x:c>
      <x:c r="F2684" s="12" t="n">
        <x:f>SUM(B2684,D2684:E2684)</x:f>
        <x:v>341610.293848</x:v>
      </x:c>
      <x:c r="G2684" s="12" t="n">
        <x:f>MAX(G2683,F2684)</x:f>
        <x:v>341610.293848</x:v>
      </x:c>
      <x:c r="H2684" s="14" t="n">
        <x:f>F2684/G2684-1</x:f>
        <x:v>0</x:v>
      </x:c>
      <x:c r="I2684" s="14" t="n">
        <x:f>F2684/F2683-1</x:f>
        <x:v>0.002087070916935607</x:v>
      </x:c>
      <x:c r="J2684" s="12" t="n">
        <x:v>0</x:v>
      </x:c>
      <x:c r="K2684" s="12" t="n">
        <x:v>0</x:v>
      </x:c>
      <x:c r="L2684" s="12" t="n">
        <x:v>0</x:v>
      </x:c>
      <x:c r="M2684" s="2" t="str">
        <x:v>持有</x:v>
      </x:c>
    </x:row>
    <x:row r="2685" ht="23" customHeight="1">
      <x:c r="A2685" s="11" t="d">
        <x:v>2025-08-28T00:00:00.000Z</x:v>
      </x:c>
      <x:c r="B2685" s="12" t="n">
        <x:v>28641.373848</x:v>
      </x:c>
      <x:c r="C2685" s="13" t="n">
        <x:v>484</x:v>
      </x:c>
      <x:c r="D2685" s="12" t="n">
        <x:v>314077.27999999997</x:v>
      </x:c>
      <x:c r="E2685" s="12" t="n">
        <x:v>0</x:v>
      </x:c>
      <x:c r="F2685" s="12" t="n">
        <x:f>SUM(B2685,D2685:E2685)</x:f>
        <x:v>342718.653848</x:v>
      </x:c>
      <x:c r="G2685" s="12" t="n">
        <x:f>MAX(G2684,F2685)</x:f>
        <x:v>342718.653848</x:v>
      </x:c>
      <x:c r="H2685" s="14" t="n">
        <x:f>F2685/G2685-1</x:f>
        <x:v>0</x:v>
      </x:c>
      <x:c r="I2685" s="14" t="n">
        <x:f>F2685/F2684-1</x:f>
        <x:v>0.0032445158121996442</x:v>
      </x:c>
      <x:c r="J2685" s="12" t="n">
        <x:v>0</x:v>
      </x:c>
      <x:c r="K2685" s="12" t="n">
        <x:v>0</x:v>
      </x:c>
      <x:c r="L2685" s="12" t="n">
        <x:v>0</x:v>
      </x:c>
      <x:c r="M2685" s="2" t="str">
        <x:v>持有</x:v>
      </x:c>
    </x:row>
    <x:row r="2686" ht="23" customHeight="1">
      <x:c r="A2686" s="11" t="d">
        <x:v>2025-08-29T00:00:00.000Z</x:v>
      </x:c>
      <x:c r="B2686" s="12" t="n">
        <x:v>28641.373848</x:v>
      </x:c>
      <x:c r="C2686" s="13" t="n">
        <x:v>484</x:v>
      </x:c>
      <x:c r="D2686" s="12" t="n">
        <x:v>312204.19999999995</x:v>
      </x:c>
      <x:c r="E2686" s="12" t="n">
        <x:v>0</x:v>
      </x:c>
      <x:c r="F2686" s="12" t="n">
        <x:f>SUM(B2686,D2686:E2686)</x:f>
        <x:v>340845.57384799997</x:v>
      </x:c>
      <x:c r="G2686" s="12" t="n">
        <x:f>MAX(G2685,F2686)</x:f>
        <x:v>342718.653848</x:v>
      </x:c>
      <x:c r="H2686" s="14" t="n">
        <x:f>F2686/G2686-1</x:f>
        <x:v>-0.00546535760154665</x:v>
      </x:c>
      <x:c r="I2686" s="14" t="n">
        <x:f>F2686/F2685-1</x:f>
        <x:v>-0.00546535760154665</x:v>
      </x:c>
      <x:c r="J2686" s="12" t="n">
        <x:v>0</x:v>
      </x:c>
      <x:c r="K2686" s="12" t="n">
        <x:v>0</x:v>
      </x:c>
      <x:c r="L2686" s="12" t="n">
        <x:v>0</x:v>
      </x:c>
      <x:c r="M2686" s="2" t="str">
        <x:v>持有</x:v>
      </x:c>
    </x:row>
    <x:row r="2687" ht="23" customHeight="1">
      <x:c r="A2687" s="11" t="d">
        <x:v>2025-09-02T00:00:00.000Z</x:v>
      </x:c>
      <x:c r="B2687" s="12" t="n">
        <x:v>28641.373848</x:v>
      </x:c>
      <x:c r="C2687" s="13" t="n">
        <x:v>484</x:v>
      </x:c>
      <x:c r="D2687" s="12" t="n">
        <x:v>309890.68</x:v>
      </x:c>
      <x:c r="E2687" s="12" t="n">
        <x:v>0</x:v>
      </x:c>
      <x:c r="F2687" s="12" t="n">
        <x:f>SUM(B2687,D2687:E2687)</x:f>
        <x:v>338532.053848</x:v>
      </x:c>
      <x:c r="G2687" s="12" t="n">
        <x:f>MAX(G2686,F2687)</x:f>
        <x:v>342718.653848</x:v>
      </x:c>
      <x:c r="H2687" s="14" t="n">
        <x:f>F2687/G2687-1</x:f>
        <x:v>-0.012215850969865216</x:v>
      </x:c>
      <x:c r="I2687" s="14" t="n">
        <x:f>F2687/F2686-1</x:f>
        <x:v>-0.006787589974783348</x:v>
      </x:c>
      <x:c r="J2687" s="12" t="n">
        <x:v>0</x:v>
      </x:c>
      <x:c r="K2687" s="12" t="n">
        <x:v>0</x:v>
      </x:c>
      <x:c r="L2687" s="12" t="n">
        <x:v>0</x:v>
      </x:c>
      <x:c r="M2687" s="2" t="str">
        <x:v>持有</x:v>
      </x:c>
    </x:row>
    <x:row r="2688" ht="23" customHeight="1">
      <x:c r="A2688" s="11" t="d">
        <x:v>2025-09-03T00:00:00.000Z</x:v>
      </x:c>
      <x:c r="B2688" s="12" t="n">
        <x:v>28641.373848</x:v>
      </x:c>
      <x:c r="C2688" s="13" t="n">
        <x:v>484</x:v>
      </x:c>
      <x:c r="D2688" s="12" t="n">
        <x:v>311570.16000000003</x:v>
      </x:c>
      <x:c r="E2688" s="12" t="n">
        <x:v>0</x:v>
      </x:c>
      <x:c r="F2688" s="12" t="n">
        <x:f>SUM(B2688,D2688:E2688)</x:f>
        <x:v>340211.53384800005</x:v>
      </x:c>
      <x:c r="G2688" s="12" t="n">
        <x:f>MAX(G2687,F2688)</x:f>
        <x:v>342718.653848</x:v>
      </x:c>
      <x:c r="H2688" s="14" t="n">
        <x:f>F2688/G2688-1</x:f>
        <x:v>-0.0073153882108555335</x:v>
      </x:c>
      <x:c r="I2688" s="14" t="n">
        <x:f>F2688/F2687-1</x:f>
        <x:v>0.00496106640688776</x:v>
      </x:c>
      <x:c r="J2688" s="12" t="n">
        <x:v>0</x:v>
      </x:c>
      <x:c r="K2688" s="12" t="n">
        <x:v>0</x:v>
      </x:c>
      <x:c r="L2688" s="12" t="n">
        <x:v>0</x:v>
      </x:c>
      <x:c r="M2688" s="2" t="str">
        <x:v>持有</x:v>
      </x:c>
    </x:row>
    <x:row r="2689" ht="23" customHeight="1">
      <x:c r="A2689" s="11" t="d">
        <x:v>2025-09-04T00:00:00.000Z</x:v>
      </x:c>
      <x:c r="B2689" s="12" t="n">
        <x:v>28641.373848</x:v>
      </x:c>
      <x:c r="C2689" s="13" t="n">
        <x:v>484</x:v>
      </x:c>
      <x:c r="D2689" s="12" t="n">
        <x:v>314174.08</x:v>
      </x:c>
      <x:c r="E2689" s="12" t="n">
        <x:v>0</x:v>
      </x:c>
      <x:c r="F2689" s="12" t="n">
        <x:f>SUM(B2689,D2689:E2689)</x:f>
        <x:v>342815.45384800003</x:v>
      </x:c>
      <x:c r="G2689" s="12" t="n">
        <x:f>MAX(G2688,F2689)</x:f>
        <x:v>342815.45384800003</x:v>
      </x:c>
      <x:c r="H2689" s="14" t="n">
        <x:f>F2689/G2689-1</x:f>
        <x:v>0</x:v>
      </x:c>
      <x:c r="I2689" s="14" t="n">
        <x:f>F2689/F2688-1</x:f>
        <x:v>0.007653826343122727</x:v>
      </x:c>
      <x:c r="J2689" s="12" t="n">
        <x:v>0</x:v>
      </x:c>
      <x:c r="K2689" s="12" t="n">
        <x:v>0</x:v>
      </x:c>
      <x:c r="L2689" s="12" t="n">
        <x:v>0</x:v>
      </x:c>
      <x:c r="M2689" s="2" t="str">
        <x:v>持有</x:v>
      </x:c>
    </x:row>
    <x:row r="2690" ht="23" customHeight="1">
      <x:c r="A2690" s="11" t="d">
        <x:v>2025-09-05T00:00:00.000Z</x:v>
      </x:c>
      <x:c r="B2690" s="12" t="n">
        <x:v>28641.373848</x:v>
      </x:c>
      <x:c r="C2690" s="13" t="n">
        <x:v>484</x:v>
      </x:c>
      <x:c r="D2690" s="12" t="n">
        <x:v>313264.16000000003</x:v>
      </x:c>
      <x:c r="E2690" s="12" t="n">
        <x:v>0</x:v>
      </x:c>
      <x:c r="F2690" s="12" t="n">
        <x:f>SUM(B2690,D2690:E2690)</x:f>
        <x:v>341905.53384800005</x:v>
      </x:c>
      <x:c r="G2690" s="12" t="n">
        <x:f>MAX(G2689,F2690)</x:f>
        <x:v>342815.45384800003</x:v>
      </x:c>
      <x:c r="H2690" s="14" t="n">
        <x:f>F2690/G2690-1</x:f>
        <x:v>-0.0026542560721414254</x:v>
      </x:c>
      <x:c r="I2690" s="14" t="n">
        <x:f>F2690/F2689-1</x:f>
        <x:v>-0.0026542560721414254</x:v>
      </x:c>
      <x:c r="J2690" s="12" t="n">
        <x:v>0</x:v>
      </x:c>
      <x:c r="K2690" s="12" t="n">
        <x:v>0</x:v>
      </x:c>
      <x:c r="L2690" s="12" t="n">
        <x:v>0</x:v>
      </x:c>
      <x:c r="M2690" s="2" t="str">
        <x:v>持有</x:v>
      </x:c>
    </x:row>
    <x:row r="2691" ht="23" customHeight="1">
      <x:c r="A2691" s="11" t="d">
        <x:v>2025-09-08T00:00:00.000Z</x:v>
      </x:c>
      <x:c r="B2691" s="12" t="n">
        <x:v>28641.373848</x:v>
      </x:c>
      <x:c r="C2691" s="13" t="n">
        <x:v>484</x:v>
      </x:c>
      <x:c r="D2691" s="12" t="n">
        <x:v>314033.72000000003</x:v>
      </x:c>
      <x:c r="E2691" s="12" t="n">
        <x:v>0</x:v>
      </x:c>
      <x:c r="F2691" s="12" t="n">
        <x:f>SUM(B2691,D2691:E2691)</x:f>
        <x:v>342675.09384800005</x:v>
      </x:c>
      <x:c r="G2691" s="12" t="n">
        <x:f>MAX(G2690,F2691)</x:f>
        <x:v>342815.45384800003</x:v>
      </x:c>
      <x:c r="H2691" s="14" t="n">
        <x:f>F2691/G2691-1</x:f>
        <x:v>-0.00040943311751118205</x:v>
      </x:c>
      <x:c r="I2691" s="14" t="n">
        <x:f>F2691/F2690-1</x:f>
        <x:v>0.0022507971466239063</x:v>
      </x:c>
      <x:c r="J2691" s="12" t="n">
        <x:v>0</x:v>
      </x:c>
      <x:c r="K2691" s="12" t="n">
        <x:v>0</x:v>
      </x:c>
      <x:c r="L2691" s="12" t="n">
        <x:v>0</x:v>
      </x:c>
      <x:c r="M2691" s="2" t="str">
        <x:v>持有</x:v>
      </x:c>
    </x:row>
    <x:row r="2692" ht="23" customHeight="1">
      <x:c r="A2692" s="11" t="d">
        <x:v>2025-09-09T00:00:00.000Z</x:v>
      </x:c>
      <x:c r="B2692" s="12" t="n">
        <x:v>28641.373848</x:v>
      </x:c>
      <x:c r="C2692" s="13" t="n">
        <x:v>484</x:v>
      </x:c>
      <x:c r="D2692" s="12" t="n">
        <x:v>314759.72000000003</x:v>
      </x:c>
      <x:c r="E2692" s="12" t="n">
        <x:v>0</x:v>
      </x:c>
      <x:c r="F2692" s="12" t="n">
        <x:f>SUM(B2692,D2692:E2692)</x:f>
        <x:v>343401.09384800005</x:v>
      </x:c>
      <x:c r="G2692" s="12" t="n">
        <x:f>MAX(G2691,F2692)</x:f>
        <x:v>343401.09384800005</x:v>
      </x:c>
      <x:c r="H2692" s="14" t="n">
        <x:f>F2692/G2692-1</x:f>
        <x:v>0</x:v>
      </x:c>
      <x:c r="I2692" s="14" t="n">
        <x:f>F2692/F2691-1</x:f>
        <x:v>0.0021186249395821477</x:v>
      </x:c>
      <x:c r="J2692" s="12" t="n">
        <x:v>0</x:v>
      </x:c>
      <x:c r="K2692" s="12" t="n">
        <x:v>0</x:v>
      </x:c>
      <x:c r="L2692" s="12" t="n">
        <x:v>0</x:v>
      </x:c>
      <x:c r="M2692" s="2" t="str">
        <x:v>持有</x:v>
      </x:c>
    </x:row>
    <x:row r="2693" ht="23" customHeight="1">
      <x:c r="A2693" s="11" t="d">
        <x:v>2025-09-10T00:00:00.000Z</x:v>
      </x:c>
      <x:c r="B2693" s="12" t="n">
        <x:v>28641.373848</x:v>
      </x:c>
      <x:c r="C2693" s="13" t="n">
        <x:v>484</x:v>
      </x:c>
      <x:c r="D2693" s="12" t="n">
        <x:v>315669.64</x:v>
      </x:c>
      <x:c r="E2693" s="12" t="n">
        <x:v>0</x:v>
      </x:c>
      <x:c r="F2693" s="12" t="n">
        <x:f>SUM(B2693,D2693:E2693)</x:f>
        <x:v>344311.01384800003</x:v>
      </x:c>
      <x:c r="G2693" s="12" t="n">
        <x:f>MAX(G2692,F2693)</x:f>
        <x:v>344311.01384800003</x:v>
      </x:c>
      <x:c r="H2693" s="14" t="n">
        <x:f>F2693/G2693-1</x:f>
        <x:v>0</x:v>
      </x:c>
      <x:c r="I2693" s="14" t="n">
        <x:f>F2693/F2692-1</x:f>
        <x:v>0.0026497294746612443</x:v>
      </x:c>
      <x:c r="J2693" s="12" t="n">
        <x:v>0</x:v>
      </x:c>
      <x:c r="K2693" s="12" t="n">
        <x:v>0</x:v>
      </x:c>
      <x:c r="L2693" s="12" t="n">
        <x:v>0</x:v>
      </x:c>
      <x:c r="M2693" s="2" t="str">
        <x:v>持有</x:v>
      </x:c>
    </x:row>
    <x:row r="2694" ht="23" customHeight="1">
      <x:c r="A2694" s="11" t="d">
        <x:v>2025-09-11T00:00:00.000Z</x:v>
      </x:c>
      <x:c r="B2694" s="12" t="n">
        <x:v>28641.373848</x:v>
      </x:c>
      <x:c r="C2694" s="13" t="n">
        <x:v>484</x:v>
      </x:c>
      <x:c r="D2694" s="12" t="n">
        <x:v>318292.92</x:v>
      </x:c>
      <x:c r="E2694" s="12" t="n">
        <x:v>0</x:v>
      </x:c>
      <x:c r="F2694" s="12" t="n">
        <x:f>SUM(B2694,D2694:E2694)</x:f>
        <x:v>346934.293848</x:v>
      </x:c>
      <x:c r="G2694" s="12" t="n">
        <x:f>MAX(G2693,F2694)</x:f>
        <x:v>346934.293848</x:v>
      </x:c>
      <x:c r="H2694" s="14" t="n">
        <x:f>F2694/G2694-1</x:f>
        <x:v>0</x:v>
      </x:c>
      <x:c r="I2694" s="14" t="n">
        <x:f>F2694/F2693-1</x:f>
        <x:v>0.00761892560648092</x:v>
      </x:c>
      <x:c r="J2694" s="12" t="n">
        <x:v>0</x:v>
      </x:c>
      <x:c r="K2694" s="12" t="n">
        <x:v>0</x:v>
      </x:c>
      <x:c r="L2694" s="12" t="n">
        <x:v>0</x:v>
      </x:c>
      <x:c r="M2694" s="2" t="str">
        <x:v>持有</x:v>
      </x:c>
    </x:row>
    <x:row r="2695" ht="23" customHeight="1">
      <x:c r="A2695" s="11" t="d">
        <x:v>2025-09-12T00:00:00.000Z</x:v>
      </x:c>
      <x:c r="B2695" s="12" t="n">
        <x:v>28641.373848</x:v>
      </x:c>
      <x:c r="C2695" s="13" t="n">
        <x:v>484</x:v>
      </x:c>
      <x:c r="D2695" s="12" t="n">
        <x:v>318186.44</x:v>
      </x:c>
      <x:c r="E2695" s="12" t="n">
        <x:v>0</x:v>
      </x:c>
      <x:c r="F2695" s="12" t="n">
        <x:f>SUM(B2695,D2695:E2695)</x:f>
        <x:v>346827.813848</x:v>
      </x:c>
      <x:c r="G2695" s="12" t="n">
        <x:f>MAX(G2694,F2695)</x:f>
        <x:v>346934.293848</x:v>
      </x:c>
      <x:c r="H2695" s="14" t="n">
        <x:f>F2695/G2695-1</x:f>
        <x:v>-0.0003069169058468324</x:v>
      </x:c>
      <x:c r="I2695" s="14" t="n">
        <x:f>F2695/F2694-1</x:f>
        <x:v>-0.0003069169058468324</x:v>
      </x:c>
      <x:c r="J2695" s="12" t="n">
        <x:v>0</x:v>
      </x:c>
      <x:c r="K2695" s="12" t="n">
        <x:v>0</x:v>
      </x:c>
      <x:c r="L2695" s="12" t="n">
        <x:v>0</x:v>
      </x:c>
      <x:c r="M2695" s="2" t="str">
        <x:v>持有</x:v>
      </x:c>
    </x:row>
    <x:row r="2696" ht="23" customHeight="1">
      <x:c r="A2696" s="11" t="d">
        <x:v>2025-09-15T00:00:00.000Z</x:v>
      </x:c>
      <x:c r="B2696" s="12" t="n">
        <x:v>28641.373848</x:v>
      </x:c>
      <x:c r="C2696" s="13" t="n">
        <x:v>484</x:v>
      </x:c>
      <x:c r="D2696" s="12" t="n">
        <x:v>319880.44</x:v>
      </x:c>
      <x:c r="E2696" s="12" t="n">
        <x:v>0</x:v>
      </x:c>
      <x:c r="F2696" s="12" t="n">
        <x:f>SUM(B2696,D2696:E2696)</x:f>
        <x:v>348521.813848</x:v>
      </x:c>
      <x:c r="G2696" s="12" t="n">
        <x:f>MAX(G2695,F2696)</x:f>
        <x:v>348521.813848</x:v>
      </x:c>
      <x:c r="H2696" s="14" t="n">
        <x:f>F2696/G2696-1</x:f>
        <x:v>0</x:v>
      </x:c>
      <x:c r="I2696" s="14" t="n">
        <x:f>F2696/F2695-1</x:f>
        <x:v>0.004884268021083216</x:v>
      </x:c>
      <x:c r="J2696" s="12" t="n">
        <x:v>0</x:v>
      </x:c>
      <x:c r="K2696" s="12" t="n">
        <x:v>0</x:v>
      </x:c>
      <x:c r="L2696" s="12" t="n">
        <x:v>0</x:v>
      </x:c>
      <x:c r="M2696" s="2" t="str">
        <x:v>持有</x:v>
      </x:c>
    </x:row>
    <x:row r="2697" ht="23" customHeight="1">
      <x:c r="A2697" s="11" t="d">
        <x:v>2025-09-16T00:00:00.000Z</x:v>
      </x:c>
      <x:c r="B2697" s="12" t="n">
        <x:v>28641.373848</x:v>
      </x:c>
      <x:c r="C2697" s="13" t="n">
        <x:v>484</x:v>
      </x:c>
      <x:c r="D2697" s="12" t="n">
        <x:v>319440</x:v>
      </x:c>
      <x:c r="E2697" s="12" t="n">
        <x:v>0</x:v>
      </x:c>
      <x:c r="F2697" s="12" t="n">
        <x:f>SUM(B2697,D2697:E2697)</x:f>
        <x:v>348081.373848</x:v>
      </x:c>
      <x:c r="G2697" s="12" t="n">
        <x:f>MAX(G2696,F2697)</x:f>
        <x:v>348521.813848</x:v>
      </x:c>
      <x:c r="H2697" s="14" t="n">
        <x:f>F2697/G2697-1</x:f>
        <x:v>-0.0012637372540247327</x:v>
      </x:c>
      <x:c r="I2697" s="14" t="n">
        <x:f>F2697/F2696-1</x:f>
        <x:v>-0.0012637372540247327</x:v>
      </x:c>
      <x:c r="J2697" s="12" t="n">
        <x:v>0</x:v>
      </x:c>
      <x:c r="K2697" s="12" t="n">
        <x:v>0</x:v>
      </x:c>
      <x:c r="L2697" s="12" t="n">
        <x:v>0</x:v>
      </x:c>
      <x:c r="M2697" s="2" t="str">
        <x:v>持有</x:v>
      </x:c>
    </x:row>
    <x:row r="2698" ht="23" customHeight="1">
      <x:c r="A2698" s="11" t="d">
        <x:v>2025-09-17T00:00:00.000Z</x:v>
      </x:c>
      <x:c r="B2698" s="12" t="n">
        <x:v>28641.373848</x:v>
      </x:c>
      <x:c r="C2698" s="13" t="n">
        <x:v>484</x:v>
      </x:c>
      <x:c r="D2698" s="12" t="n">
        <x:v>319043.12</x:v>
      </x:c>
      <x:c r="E2698" s="12" t="n">
        <x:v>0</x:v>
      </x:c>
      <x:c r="F2698" s="12" t="n">
        <x:f>SUM(B2698,D2698:E2698)</x:f>
        <x:v>347684.493848</x:v>
      </x:c>
      <x:c r="G2698" s="12" t="n">
        <x:f>MAX(G2697,F2698)</x:f>
        <x:v>348521.813848</x:v>
      </x:c>
      <x:c r="H2698" s="14" t="n">
        <x:f>F2698/G2698-1</x:f>
        <x:v>-0.0024024895049041817</x:v>
      </x:c>
      <x:c r="I2698" s="14" t="n">
        <x:f>F2698/F2697-1</x:f>
        <x:v>-0.0011401931554467781</x:v>
      </x:c>
      <x:c r="J2698" s="12" t="n">
        <x:v>0</x:v>
      </x:c>
      <x:c r="K2698" s="12" t="n">
        <x:v>0</x:v>
      </x:c>
      <x:c r="L2698" s="12" t="n">
        <x:v>0</x:v>
      </x:c>
      <x:c r="M2698" s="2" t="str">
        <x:v>持有</x:v>
      </x:c>
    </x:row>
    <x:row r="2699" ht="23" customHeight="1">
      <x:c r="A2699" s="11" t="d">
        <x:v>2025-09-18T00:00:00.000Z</x:v>
      </x:c>
      <x:c r="B2699" s="12" t="n">
        <x:v>28641.373848</x:v>
      </x:c>
      <x:c r="C2699" s="13" t="n">
        <x:v>484</x:v>
      </x:c>
      <x:c r="D2699" s="12" t="n">
        <x:v>320533.83999999997</x:v>
      </x:c>
      <x:c r="E2699" s="12" t="n">
        <x:v>0</x:v>
      </x:c>
      <x:c r="F2699" s="12" t="n">
        <x:f>SUM(B2699,D2699:E2699)</x:f>
        <x:v>349175.213848</x:v>
      </x:c>
      <x:c r="G2699" s="12" t="n">
        <x:f>MAX(G2698,F2699)</x:f>
        <x:v>349175.213848</x:v>
      </x:c>
      <x:c r="H2699" s="14" t="n">
        <x:f>F2699/G2699-1</x:f>
        <x:v>0</x:v>
      </x:c>
      <x:c r="I2699" s="14" t="n">
        <x:f>F2699/F2698-1</x:f>
        <x:v>0.004287565382917746</x:v>
      </x:c>
      <x:c r="J2699" s="12" t="n">
        <x:v>0</x:v>
      </x:c>
      <x:c r="K2699" s="12" t="n">
        <x:v>0</x:v>
      </x:c>
      <x:c r="L2699" s="12" t="n">
        <x:v>0</x:v>
      </x:c>
      <x:c r="M2699" s="2" t="str">
        <x:v>持有</x:v>
      </x:c>
    </x:row>
    <x:row r="2700" ht="23" customHeight="1">
      <x:c r="A2700" s="11" t="d">
        <x:v>2025-09-19T00:00:00.000Z</x:v>
      </x:c>
      <x:c r="B2700" s="12" t="n">
        <x:v>28641.373848</x:v>
      </x:c>
      <x:c r="C2700" s="13" t="n">
        <x:v>484</x:v>
      </x:c>
      <x:c r="D2700" s="12" t="n">
        <x:v>321230.80000000005</x:v>
      </x:c>
      <x:c r="E2700" s="12" t="n">
        <x:v>886.259176</x:v>
      </x:c>
      <x:c r="F2700" s="12" t="n">
        <x:f>SUM(B2700,D2700:E2700)</x:f>
        <x:v>350758.4330240001</x:v>
      </x:c>
      <x:c r="G2700" s="12" t="n">
        <x:f>MAX(G2699,F2700)</x:f>
        <x:v>350758.4330240001</x:v>
      </x:c>
      <x:c r="H2700" s="14" t="n">
        <x:f>F2700/G2700-1</x:f>
        <x:v>0</x:v>
      </x:c>
      <x:c r="I2700" s="14" t="n">
        <x:f>F2700/F2699-1</x:f>
        <x:v>0.004534168272004813</x:v>
      </x:c>
      <x:c r="J2700" s="12" t="n">
        <x:v>886.259176</x:v>
      </x:c>
      <x:c r="K2700" s="12" t="n">
        <x:v>0</x:v>
      </x:c>
      <x:c r="L2700" s="12" t="n">
        <x:v>0</x:v>
      </x:c>
      <x:c r="M2700" s="2" t="str">
        <x:v>持有</x:v>
      </x:c>
    </x:row>
    <x:row r="2701" ht="23" customHeight="1">
      <x:c r="A2701" s="11" t="d">
        <x:v>2025-09-22T00:00:00.000Z</x:v>
      </x:c>
      <x:c r="B2701" s="12" t="n">
        <x:v>28641.373848</x:v>
      </x:c>
      <x:c r="C2701" s="13" t="n">
        <x:v>484</x:v>
      </x:c>
      <x:c r="D2701" s="12" t="n">
        <x:v>322750.56</x:v>
      </x:c>
      <x:c r="E2701" s="12" t="n">
        <x:v>886.259176</x:v>
      </x:c>
      <x:c r="F2701" s="12" t="n">
        <x:f>SUM(B2701,D2701:E2701)</x:f>
        <x:v>352278.19302400004</x:v>
      </x:c>
      <x:c r="G2701" s="12" t="n">
        <x:f>MAX(G2700,F2701)</x:f>
        <x:v>352278.19302400004</x:v>
      </x:c>
      <x:c r="H2701" s="14" t="n">
        <x:f>F2701/G2701-1</x:f>
        <x:v>0</x:v>
      </x:c>
      <x:c r="I2701" s="14" t="n">
        <x:f>F2701/F2700-1</x:f>
        <x:v>0.004332782499048227</x:v>
      </x:c>
      <x:c r="J2701" s="12" t="n">
        <x:v>0</x:v>
      </x:c>
      <x:c r="K2701" s="12" t="n">
        <x:v>0</x:v>
      </x:c>
      <x:c r="L2701" s="12" t="n">
        <x:v>0</x:v>
      </x:c>
      <x:c r="M2701" s="2" t="str">
        <x:v>持有</x:v>
      </x:c>
    </x:row>
    <x:row r="2702" ht="23" customHeight="1">
      <x:c r="A2702" s="11" t="d">
        <x:v>2025-09-23T00:00:00.000Z</x:v>
      </x:c>
      <x:c r="B2702" s="12" t="n">
        <x:v>28641.373848</x:v>
      </x:c>
      <x:c r="C2702" s="13" t="n">
        <x:v>484</x:v>
      </x:c>
      <x:c r="D2702" s="12" t="n">
        <x:v>320993.64</x:v>
      </x:c>
      <x:c r="E2702" s="12" t="n">
        <x:v>886.259176</x:v>
      </x:c>
      <x:c r="F2702" s="12" t="n">
        <x:f>SUM(B2702,D2702:E2702)</x:f>
        <x:v>350521.27302400005</x:v>
      </x:c>
      <x:c r="G2702" s="12" t="n">
        <x:f>MAX(G2701,F2702)</x:f>
        <x:v>352278.19302400004</x:v>
      </x:c>
      <x:c r="H2702" s="14" t="n">
        <x:f>F2702/G2702-1</x:f>
        <x:v>-0.004987308424964865</x:v>
      </x:c>
      <x:c r="I2702" s="14" t="n">
        <x:f>F2702/F2701-1</x:f>
        <x:v>-0.004987308424964865</x:v>
      </x:c>
      <x:c r="J2702" s="12" t="n">
        <x:v>0</x:v>
      </x:c>
      <x:c r="K2702" s="12" t="n">
        <x:v>0</x:v>
      </x:c>
      <x:c r="L2702" s="12" t="n">
        <x:v>0</x:v>
      </x:c>
      <x:c r="M2702" s="2" t="str">
        <x:v>持有</x:v>
      </x:c>
    </x:row>
    <x:row r="2703" ht="23" customHeight="1">
      <x:c r="A2703" s="11" t="d">
        <x:v>2025-09-24T00:00:00.000Z</x:v>
      </x:c>
      <x:c r="B2703" s="12" t="n">
        <x:v>28641.373848</x:v>
      </x:c>
      <x:c r="C2703" s="13" t="n">
        <x:v>484</x:v>
      </x:c>
      <x:c r="D2703" s="12" t="n">
        <x:v>319972.4</x:v>
      </x:c>
      <x:c r="E2703" s="12" t="n">
        <x:v>886.259176</x:v>
      </x:c>
      <x:c r="F2703" s="12" t="n">
        <x:f>SUM(B2703,D2703:E2703)</x:f>
        <x:v>349500.03302400006</x:v>
      </x:c>
      <x:c r="G2703" s="12" t="n">
        <x:f>MAX(G2702,F2703)</x:f>
        <x:v>352278.19302400004</x:v>
      </x:c>
      <x:c r="H2703" s="14" t="n">
        <x:f>F2703/G2703-1</x:f>
        <x:v>-0.007886267316611018</x:v>
      </x:c>
      <x:c r="I2703" s="14" t="n">
        <x:f>F2703/F2702-1</x:f>
        <x:v>-0.0029134893616857838</x:v>
      </x:c>
      <x:c r="J2703" s="12" t="n">
        <x:v>0</x:v>
      </x:c>
      <x:c r="K2703" s="12" t="n">
        <x:v>0</x:v>
      </x:c>
      <x:c r="L2703" s="12" t="n">
        <x:v>0</x:v>
      </x:c>
      <x:c r="M2703" s="2" t="str">
        <x:v>持有</x:v>
      </x:c>
    </x:row>
    <x:row r="2704" ht="23" customHeight="1">
      <x:c r="A2704" s="11" t="d">
        <x:v>2025-09-25T00:00:00.000Z</x:v>
      </x:c>
      <x:c r="B2704" s="12" t="n">
        <x:v>28641.373848</x:v>
      </x:c>
      <x:c r="C2704" s="13" t="n">
        <x:v>484</x:v>
      </x:c>
      <x:c r="D2704" s="12" t="n">
        <x:v>318496.19999999995</x:v>
      </x:c>
      <x:c r="E2704" s="12" t="n">
        <x:v>886.259176</x:v>
      </x:c>
      <x:c r="F2704" s="12" t="n">
        <x:f>SUM(B2704,D2704:E2704)</x:f>
        <x:v>348023.833024</x:v>
      </x:c>
      <x:c r="G2704" s="12" t="n">
        <x:f>MAX(G2703,F2704)</x:f>
        <x:v>352278.19302400004</x:v>
      </x:c>
      <x:c r="H2704" s="14" t="n">
        <x:f>F2704/G2704-1</x:f>
        <x:v>-0.012076705524915132</x:v>
      </x:c>
      <x:c r="I2704" s="14" t="n">
        <x:f>F2704/F2703-1</x:f>
        <x:v>-0.00422374781263235</x:v>
      </x:c>
      <x:c r="J2704" s="12" t="n">
        <x:v>0</x:v>
      </x:c>
      <x:c r="K2704" s="12" t="n">
        <x:v>0</x:v>
      </x:c>
      <x:c r="L2704" s="12" t="n">
        <x:v>0</x:v>
      </x:c>
      <x:c r="M2704" s="2" t="str">
        <x:v>持有</x:v>
      </x:c>
    </x:row>
    <x:row r="2705" ht="23" customHeight="1">
      <x:c r="A2705" s="11" t="d">
        <x:v>2025-09-26T00:00:00.000Z</x:v>
      </x:c>
      <x:c r="B2705" s="12" t="n">
        <x:v>28641.373848</x:v>
      </x:c>
      <x:c r="C2705" s="13" t="n">
        <x:v>484</x:v>
      </x:c>
      <x:c r="D2705" s="12" t="n">
        <x:v>320320.88</x:v>
      </x:c>
      <x:c r="E2705" s="12" t="n">
        <x:v>886.259176</x:v>
      </x:c>
      <x:c r="F2705" s="12" t="n">
        <x:f>SUM(B2705,D2705:E2705)</x:f>
        <x:v>349848.51302400004</x:v>
      </x:c>
      <x:c r="G2705" s="12" t="n">
        <x:f>MAX(G2704,F2705)</x:f>
        <x:v>352278.19302400004</x:v>
      </x:c>
      <x:c r="H2705" s="14" t="n">
        <x:f>F2705/G2705-1</x:f>
        <x:v>-0.006897049116618037</x:v>
      </x:c>
      <x:c r="I2705" s="14" t="n">
        <x:f>F2705/F2704-1</x:f>
        <x:v>0.00524297426456477</x:v>
      </x:c>
      <x:c r="J2705" s="12" t="n">
        <x:v>0</x:v>
      </x:c>
      <x:c r="K2705" s="12" t="n">
        <x:v>0</x:v>
      </x:c>
      <x:c r="L2705" s="12" t="n">
        <x:v>0</x:v>
      </x:c>
      <x:c r="M2705" s="2" t="str">
        <x:v>持有</x:v>
      </x:c>
    </x:row>
    <x:row r="2706" ht="23" customHeight="1">
      <x:c r="A2706" s="11" t="d">
        <x:v>2025-09-29T00:00:00.000Z</x:v>
      </x:c>
      <x:c r="B2706" s="12" t="n">
        <x:v>28641.373848</x:v>
      </x:c>
      <x:c r="C2706" s="13" t="n">
        <x:v>484</x:v>
      </x:c>
      <x:c r="D2706" s="12" t="n">
        <x:v>321221.12</x:v>
      </x:c>
      <x:c r="E2706" s="12" t="n">
        <x:v>886.259176</x:v>
      </x:c>
      <x:c r="F2706" s="12" t="n">
        <x:f>SUM(B2706,D2706:E2706)</x:f>
        <x:v>350748.75302400003</x:v>
      </x:c>
      <x:c r="G2706" s="12" t="n">
        <x:f>MAX(G2705,F2706)</x:f>
        <x:v>352278.19302400004</x:v>
      </x:c>
      <x:c r="H2706" s="14" t="n">
        <x:f>F2706/G2706-1</x:f>
        <x:v>-0.00434156876663605</x:v>
      </x:c>
      <x:c r="I2706" s="14" t="n">
        <x:f>F2706/F2705-1</x:f>
        <x:v>0.002573228030093855</x:v>
      </x:c>
      <x:c r="J2706" s="12" t="n">
        <x:v>0</x:v>
      </x:c>
      <x:c r="K2706" s="12" t="n">
        <x:v>0</x:v>
      </x:c>
      <x:c r="L2706" s="12" t="n">
        <x:v>0</x:v>
      </x:c>
      <x:c r="M2706" s="2" t="str">
        <x:v>持有</x:v>
      </x:c>
    </x:row>
    <x:row r="2707" ht="23" customHeight="1">
      <x:c r="A2707" s="11" t="d">
        <x:v>2025-09-30T00:00:00.000Z</x:v>
      </x:c>
      <x:c r="B2707" s="12" t="n">
        <x:v>28641.373848</x:v>
      </x:c>
      <x:c r="C2707" s="13" t="n">
        <x:v>484</x:v>
      </x:c>
      <x:c r="D2707" s="12" t="n">
        <x:v>322431.12</x:v>
      </x:c>
      <x:c r="E2707" s="12" t="n">
        <x:v>886.259176</x:v>
      </x:c>
      <x:c r="F2707" s="12" t="n">
        <x:f>SUM(B2707,D2707:E2707)</x:f>
        <x:v>351958.75302400003</x:v>
      </x:c>
      <x:c r="G2707" s="12" t="n">
        <x:f>MAX(G2706,F2707)</x:f>
        <x:v>352278.19302400004</x:v>
      </x:c>
      <x:c r="H2707" s="14" t="n">
        <x:f>F2707/G2707-1</x:f>
        <x:v>-0.0009067833499936118</x:v>
      </x:c>
      <x:c r="I2707" s="14" t="n">
        <x:f>F2707/F2706-1</x:f>
        <x:v>0.003449762799063283</x:v>
      </x:c>
      <x:c r="J2707" s="12" t="n">
        <x:v>0</x:v>
      </x:c>
      <x:c r="K2707" s="12" t="n">
        <x:v>0</x:v>
      </x:c>
      <x:c r="L2707" s="12" t="n">
        <x:v>0</x:v>
      </x:c>
      <x:c r="M2707" s="2" t="str">
        <x:v>持有</x:v>
      </x:c>
    </x:row>
    <x:row r="2708" ht="23" customHeight="1">
      <x:c r="A2708" s="11" t="d">
        <x:v>2025-10-01T00:00:00.000Z</x:v>
      </x:c>
      <x:c r="B2708" s="12" t="n">
        <x:v>28641.373848</x:v>
      </x:c>
      <x:c r="C2708" s="13" t="n">
        <x:v>484</x:v>
      </x:c>
      <x:c r="D2708" s="12" t="n">
        <x:v>323529.80000000005</x:v>
      </x:c>
      <x:c r="E2708" s="12" t="n">
        <x:v>886.259176</x:v>
      </x:c>
      <x:c r="F2708" s="12" t="n">
        <x:f>SUM(B2708,D2708:E2708)</x:f>
        <x:v>353057.4330240001</x:v>
      </x:c>
      <x:c r="G2708" s="12" t="n">
        <x:f>MAX(G2707,F2708)</x:f>
        <x:v>353057.4330240001</x:v>
      </x:c>
      <x:c r="H2708" s="14" t="n">
        <x:f>F2708/G2708-1</x:f>
        <x:v>0</x:v>
      </x:c>
      <x:c r="I2708" s="14" t="n">
        <x:f>F2708/F2707-1</x:f>
        <x:v>0.003121615787532672</x:v>
      </x:c>
      <x:c r="J2708" s="12" t="n">
        <x:v>0</x:v>
      </x:c>
      <x:c r="K2708" s="12" t="n">
        <x:v>0</x:v>
      </x:c>
      <x:c r="L2708" s="12" t="n">
        <x:v>0</x:v>
      </x:c>
      <x:c r="M2708" s="2" t="str">
        <x:v>持有</x:v>
      </x:c>
    </x:row>
    <x:row r="2709" ht="23" customHeight="1">
      <x:c r="A2709" s="11" t="d">
        <x:v>2025-10-02T00:00:00.000Z</x:v>
      </x:c>
      <x:c r="B2709" s="12" t="n">
        <x:v>28641.373848</x:v>
      </x:c>
      <x:c r="C2709" s="13" t="n">
        <x:v>484</x:v>
      </x:c>
      <x:c r="D2709" s="12" t="n">
        <x:v>323902.48000000004</x:v>
      </x:c>
      <x:c r="E2709" s="12" t="n">
        <x:v>886.259176</x:v>
      </x:c>
      <x:c r="F2709" s="12" t="n">
        <x:f>SUM(B2709,D2709:E2709)</x:f>
        <x:v>353430.1130240001</x:v>
      </x:c>
      <x:c r="G2709" s="12" t="n">
        <x:f>MAX(G2708,F2709)</x:f>
        <x:v>353430.1130240001</x:v>
      </x:c>
      <x:c r="H2709" s="14" t="n">
        <x:f>F2709/G2709-1</x:f>
        <x:v>0</x:v>
      </x:c>
      <x:c r="I2709" s="14" t="n">
        <x:f>F2709/F2708-1</x:f>
        <x:v>0.0010555789657447079</x:v>
      </x:c>
      <x:c r="J2709" s="12" t="n">
        <x:v>0</x:v>
      </x:c>
      <x:c r="K2709" s="12" t="n">
        <x:v>0</x:v>
      </x:c>
      <x:c r="L2709" s="12" t="n">
        <x:v>0</x:v>
      </x:c>
      <x:c r="M2709" s="2" t="str">
        <x:v>持有</x:v>
      </x:c>
    </x:row>
    <x:row r="2710" ht="23" customHeight="1">
      <x:c r="A2710" s="11" t="d">
        <x:v>2025-10-03T00:00:00.000Z</x:v>
      </x:c>
      <x:c r="B2710" s="12" t="n">
        <x:v>28641.373848</x:v>
      </x:c>
      <x:c r="C2710" s="13" t="n">
        <x:v>484</x:v>
      </x:c>
      <x:c r="D2710" s="12" t="n">
        <x:v>323897.64</x:v>
      </x:c>
      <x:c r="E2710" s="12" t="n">
        <x:v>886.259176</x:v>
      </x:c>
      <x:c r="F2710" s="12" t="n">
        <x:f>SUM(B2710,D2710:E2710)</x:f>
        <x:v>353425.27302400005</x:v>
      </x:c>
      <x:c r="G2710" s="12" t="n">
        <x:f>MAX(G2709,F2710)</x:f>
        <x:v>353430.1130240001</x:v>
      </x:c>
      <x:c r="H2710" s="14" t="n">
        <x:f>F2710/G2710-1</x:f>
        <x:v>-0.000013694362256289061</x:v>
      </x:c>
      <x:c r="I2710" s="14" t="n">
        <x:f>F2710/F2709-1</x:f>
        <x:v>-0.000013694362256289061</x:v>
      </x:c>
      <x:c r="J2710" s="12" t="n">
        <x:v>0</x:v>
      </x:c>
      <x:c r="K2710" s="12" t="n">
        <x:v>0</x:v>
      </x:c>
      <x:c r="L2710" s="12" t="n">
        <x:v>0</x:v>
      </x:c>
      <x:c r="M2710" s="2" t="str">
        <x:v>持有</x:v>
      </x:c>
    </x:row>
    <x:row r="2711" ht="23" customHeight="1">
      <x:c r="A2711" s="11" t="d">
        <x:v>2025-10-06T00:00:00.000Z</x:v>
      </x:c>
      <x:c r="B2711" s="12" t="n">
        <x:v>28641.373848</x:v>
      </x:c>
      <x:c r="C2711" s="13" t="n">
        <x:v>484</x:v>
      </x:c>
      <x:c r="D2711" s="12" t="n">
        <x:v>325059.24</x:v>
      </x:c>
      <x:c r="E2711" s="12" t="n">
        <x:v>886.259176</x:v>
      </x:c>
      <x:c r="F2711" s="12" t="n">
        <x:f>SUM(B2711,D2711:E2711)</x:f>
        <x:v>354586.87302400003</x:v>
      </x:c>
      <x:c r="G2711" s="12" t="n">
        <x:f>MAX(G2710,F2711)</x:f>
        <x:v>354586.87302400003</x:v>
      </x:c>
      <x:c r="H2711" s="14" t="n">
        <x:f>F2711/G2711-1</x:f>
        <x:v>0</x:v>
      </x:c>
      <x:c r="I2711" s="14" t="n">
        <x:f>F2711/F2710-1</x:f>
        <x:v>0.003286691950637799</x:v>
      </x:c>
      <x:c r="J2711" s="12" t="n">
        <x:v>0</x:v>
      </x:c>
      <x:c r="K2711" s="12" t="n">
        <x:v>0</x:v>
      </x:c>
      <x:c r="L2711" s="12" t="n">
        <x:v>0</x:v>
      </x:c>
      <x:c r="M2711" s="2" t="str">
        <x:v>持有</x:v>
      </x:c>
    </x:row>
    <x:row r="2712" ht="23" customHeight="1">
      <x:c r="A2712" s="11" t="d">
        <x:v>2025-10-07T00:00:00.000Z</x:v>
      </x:c>
      <x:c r="B2712" s="12" t="n">
        <x:v>28641.373848</x:v>
      </x:c>
      <x:c r="C2712" s="13" t="n">
        <x:v>484</x:v>
      </x:c>
      <x:c r="D2712" s="12" t="n">
        <x:v>323854.08</x:v>
      </x:c>
      <x:c r="E2712" s="12" t="n">
        <x:v>886.259176</x:v>
      </x:c>
      <x:c r="F2712" s="12" t="n">
        <x:f>SUM(B2712,D2712:E2712)</x:f>
        <x:v>353381.71302400006</x:v>
      </x:c>
      <x:c r="G2712" s="12" t="n">
        <x:f>MAX(G2711,F2712)</x:f>
        <x:v>354586.87302400003</x:v>
      </x:c>
      <x:c r="H2712" s="14" t="n">
        <x:f>F2712/G2712-1</x:f>
        <x:v>-0.0033987721816154393</x:v>
      </x:c>
      <x:c r="I2712" s="14" t="n">
        <x:f>F2712/F2711-1</x:f>
        <x:v>-0.0033987721816154393</x:v>
      </x:c>
      <x:c r="J2712" s="12" t="n">
        <x:v>0</x:v>
      </x:c>
      <x:c r="K2712" s="12" t="n">
        <x:v>0</x:v>
      </x:c>
      <x:c r="L2712" s="12" t="n">
        <x:v>0</x:v>
      </x:c>
      <x:c r="M2712" s="2" t="str">
        <x:v>持有</x:v>
      </x:c>
    </x:row>
    <x:row r="2713" ht="23" customHeight="1">
      <x:c r="A2713" s="11" t="d">
        <x:v>2025-10-08T00:00:00.000Z</x:v>
      </x:c>
      <x:c r="B2713" s="12" t="n">
        <x:v>28641.373848</x:v>
      </x:c>
      <x:c r="C2713" s="13" t="n">
        <x:v>484</x:v>
      </x:c>
      <x:c r="D2713" s="12" t="n">
        <x:v>325785.24</x:v>
      </x:c>
      <x:c r="E2713" s="12" t="n">
        <x:v>886.259176</x:v>
      </x:c>
      <x:c r="F2713" s="12" t="n">
        <x:f>SUM(B2713,D2713:E2713)</x:f>
        <x:v>355312.87302400003</x:v>
      </x:c>
      <x:c r="G2713" s="12" t="n">
        <x:f>MAX(G2712,F2713)</x:f>
        <x:v>355312.87302400003</x:v>
      </x:c>
      <x:c r="H2713" s="14" t="n">
        <x:f>F2713/G2713-1</x:f>
        <x:v>0</x:v>
      </x:c>
      <x:c r="I2713" s="14" t="n">
        <x:f>F2713/F2712-1</x:f>
        <x:v>0.005464798909582624</x:v>
      </x:c>
      <x:c r="J2713" s="12" t="n">
        <x:v>0</x:v>
      </x:c>
      <x:c r="K2713" s="12" t="n">
        <x:v>0</x:v>
      </x:c>
      <x:c r="L2713" s="12" t="n">
        <x:v>0</x:v>
      </x:c>
      <x:c r="M2713" s="2" t="str">
        <x:v>持有</x:v>
      </x:c>
    </x:row>
    <x:row r="2714" ht="23" customHeight="1">
      <x:c r="A2714" s="11" t="d">
        <x:v>2025-10-09T00:00:00.000Z</x:v>
      </x:c>
      <x:c r="B2714" s="12" t="n">
        <x:v>28641.373848</x:v>
      </x:c>
      <x:c r="C2714" s="13" t="n">
        <x:v>484</x:v>
      </x:c>
      <x:c r="D2714" s="12" t="n">
        <x:v>324841.44</x:v>
      </x:c>
      <x:c r="E2714" s="12" t="n">
        <x:v>886.259176</x:v>
      </x:c>
      <x:c r="F2714" s="12" t="n">
        <x:f>SUM(B2714,D2714:E2714)</x:f>
        <x:v>354369.07302400004</x:v>
      </x:c>
      <x:c r="G2714" s="12" t="n">
        <x:f>MAX(G2713,F2714)</x:f>
        <x:v>355312.87302400003</x:v>
      </x:c>
      <x:c r="H2714" s="14" t="n">
        <x:f>F2714/G2714-1</x:f>
        <x:v>-0.0026562505094945843</x:v>
      </x:c>
      <x:c r="I2714" s="14" t="n">
        <x:f>F2714/F2713-1</x:f>
        <x:v>-0.0026562505094945843</x:v>
      </x:c>
      <x:c r="J2714" s="12" t="n">
        <x:v>0</x:v>
      </x:c>
      <x:c r="K2714" s="12" t="n">
        <x:v>0</x:v>
      </x:c>
      <x:c r="L2714" s="12" t="n">
        <x:v>0</x:v>
      </x:c>
      <x:c r="M2714" s="2" t="str">
        <x:v>持有</x:v>
      </x:c>
    </x:row>
    <x:row r="2715" ht="23" customHeight="1">
      <x:c r="A2715" s="11" t="d">
        <x:v>2025-10-10T00:00:00.000Z</x:v>
      </x:c>
      <x:c r="B2715" s="12" t="n">
        <x:v>28641.373848</x:v>
      </x:c>
      <x:c r="C2715" s="13" t="n">
        <x:v>484</x:v>
      </x:c>
      <x:c r="D2715" s="12" t="n">
        <x:v>316061.68</x:v>
      </x:c>
      <x:c r="E2715" s="12" t="n">
        <x:v>886.259176</x:v>
      </x:c>
      <x:c r="F2715" s="12" t="n">
        <x:f>SUM(B2715,D2715:E2715)</x:f>
        <x:v>345589.31302400003</x:v>
      </x:c>
      <x:c r="G2715" s="12" t="n">
        <x:f>MAX(G2714,F2715)</x:f>
        <x:v>355312.87302400003</x:v>
      </x:c>
      <x:c r="H2715" s="14" t="n">
        <x:f>F2715/G2715-1</x:f>
        <x:v>-0.027366191146536933</x:v>
      </x:c>
      <x:c r="I2715" s="14" t="n">
        <x:f>F2715/F2714-1</x:f>
        <x:v>-0.02477575123889375</x:v>
      </x:c>
      <x:c r="J2715" s="12" t="n">
        <x:v>0</x:v>
      </x:c>
      <x:c r="K2715" s="12" t="n">
        <x:v>0</x:v>
      </x:c>
      <x:c r="L2715" s="12" t="n">
        <x:v>0</x:v>
      </x:c>
      <x:c r="M2715" s="2" t="str">
        <x:v>持有</x:v>
      </x:c>
    </x:row>
    <x:row r="2716" ht="23" customHeight="1">
      <x:c r="A2716" s="11" t="d">
        <x:v>2025-10-13T00:00:00.000Z</x:v>
      </x:c>
      <x:c r="B2716" s="12" t="n">
        <x:v>28641.373848</x:v>
      </x:c>
      <x:c r="C2716" s="13" t="n">
        <x:v>484</x:v>
      </x:c>
      <x:c r="D2716" s="12" t="n">
        <x:v>320911.36</x:v>
      </x:c>
      <x:c r="E2716" s="12" t="n">
        <x:v>886.259176</x:v>
      </x:c>
      <x:c r="F2716" s="12" t="n">
        <x:f>SUM(B2716,D2716:E2716)</x:f>
        <x:v>350438.993024</x:v>
      </x:c>
      <x:c r="G2716" s="12" t="n">
        <x:f>MAX(G2715,F2716)</x:f>
        <x:v>355312.87302400003</x:v>
      </x:c>
      <x:c r="H2716" s="14" t="n">
        <x:f>F2716/G2716-1</x:f>
        <x:v>-0.013717150066979933</x:v>
      </x:c>
      <x:c r="I2716" s="14" t="n">
        <x:f>F2716/F2715-1</x:f>
        <x:v>0.014033072833080418</x:v>
      </x:c>
      <x:c r="J2716" s="12" t="n">
        <x:v>0</x:v>
      </x:c>
      <x:c r="K2716" s="12" t="n">
        <x:v>0</x:v>
      </x:c>
      <x:c r="L2716" s="12" t="n">
        <x:v>0</x:v>
      </x:c>
      <x:c r="M2716" s="2" t="str">
        <x:v>持有</x:v>
      </x:c>
    </x:row>
    <x:row r="2717" ht="23" customHeight="1">
      <x:c r="A2717" s="11" t="d">
        <x:v>2025-10-14T00:00:00.000Z</x:v>
      </x:c>
      <x:c r="B2717" s="12" t="n">
        <x:v>28641.373848</x:v>
      </x:c>
      <x:c r="C2717" s="13" t="n">
        <x:v>484</x:v>
      </x:c>
      <x:c r="D2717" s="12" t="n">
        <x:v>320519.32</x:v>
      </x:c>
      <x:c r="E2717" s="12" t="n">
        <x:v>886.259176</x:v>
      </x:c>
      <x:c r="F2717" s="12" t="n">
        <x:f>SUM(B2717,D2717:E2717)</x:f>
        <x:v>350046.95302400005</x:v>
      </x:c>
      <x:c r="G2717" s="12" t="n">
        <x:f>MAX(G2716,F2717)</x:f>
        <x:v>355312.87302400003</x:v>
      </x:c>
      <x:c r="H2717" s="14" t="n">
        <x:f>F2717/G2717-1</x:f>
        <x:v>-0.014820515663231504</x:v>
      </x:c>
      <x:c r="I2717" s="14" t="n">
        <x:f>F2717/F2716-1</x:f>
        <x:v>-0.00111871112462969</x:v>
      </x:c>
      <x:c r="J2717" s="12" t="n">
        <x:v>0</x:v>
      </x:c>
      <x:c r="K2717" s="12" t="n">
        <x:v>0</x:v>
      </x:c>
      <x:c r="L2717" s="12" t="n">
        <x:v>0</x:v>
      </x:c>
      <x:c r="M2717" s="2" t="str">
        <x:v>持有</x:v>
      </x:c>
    </x:row>
    <x:row r="2718" ht="23" customHeight="1">
      <x:c r="A2718" s="11" t="d">
        <x:v>2025-10-15T00:00:00.000Z</x:v>
      </x:c>
      <x:c r="B2718" s="12" t="n">
        <x:v>28641.373848</x:v>
      </x:c>
      <x:c r="C2718" s="13" t="n">
        <x:v>484</x:v>
      </x:c>
      <x:c r="D2718" s="12" t="n">
        <x:v>321942.27999999997</x:v>
      </x:c>
      <x:c r="E2718" s="12" t="n">
        <x:v>886.259176</x:v>
      </x:c>
      <x:c r="F2718" s="12" t="n">
        <x:f>SUM(B2718,D2718:E2718)</x:f>
        <x:v>351469.913024</x:v>
      </x:c>
      <x:c r="G2718" s="12" t="n">
        <x:f>MAX(G2717,F2718)</x:f>
        <x:v>355312.87302400003</x:v>
      </x:c>
      <x:c r="H2718" s="14" t="n">
        <x:f>F2718/G2718-1</x:f>
        <x:v>-0.010815707202762814</x:v>
      </x:c>
      <x:c r="I2718" s="14" t="n">
        <x:f>F2718/F2717-1</x:f>
        <x:v>0.004065054666830381</x:v>
      </x:c>
      <x:c r="J2718" s="12" t="n">
        <x:v>0</x:v>
      </x:c>
      <x:c r="K2718" s="12" t="n">
        <x:v>0</x:v>
      </x:c>
      <x:c r="L2718" s="12" t="n">
        <x:v>0</x:v>
      </x:c>
      <x:c r="M2718" s="2" t="str">
        <x:v>持有</x:v>
      </x:c>
    </x:row>
    <x:row r="2719" ht="23" customHeight="1">
      <x:c r="A2719" s="11" t="d">
        <x:v>2025-10-16T00:00:00.000Z</x:v>
      </x:c>
      <x:c r="B2719" s="12" t="n">
        <x:v>28641.373848</x:v>
      </x:c>
      <x:c r="C2719" s="13" t="n">
        <x:v>484</x:v>
      </x:c>
      <x:c r="D2719" s="12" t="n">
        <x:v>319749.76</x:v>
      </x:c>
      <x:c r="E2719" s="12" t="n">
        <x:v>886.259176</x:v>
      </x:c>
      <x:c r="F2719" s="12" t="n">
        <x:f>SUM(B2719,D2719:E2719)</x:f>
        <x:v>349277.39302400005</x:v>
      </x:c>
      <x:c r="G2719" s="12" t="n">
        <x:f>MAX(G2718,F2719)</x:f>
        <x:v>355312.87302400003</x:v>
      </x:c>
      <x:c r="H2719" s="14" t="n">
        <x:f>F2719/G2719-1</x:f>
        <x:v>-0.01698638146328102</x:v>
      </x:c>
      <x:c r="I2719" s="14" t="n">
        <x:f>F2719/F2718-1</x:f>
        <x:v>-0.0062381442016923305</x:v>
      </x:c>
      <x:c r="J2719" s="12" t="n">
        <x:v>0</x:v>
      </x:c>
      <x:c r="K2719" s="12" t="n">
        <x:v>0</x:v>
      </x:c>
      <x:c r="L2719" s="12" t="n">
        <x:v>0</x:v>
      </x:c>
      <x:c r="M2719" s="2" t="str">
        <x:v>持有</x:v>
      </x:c>
    </x:row>
    <x:row r="2720" ht="23" customHeight="1">
      <x:c r="A2720" s="11" t="d">
        <x:v>2025-10-17T00:00:00.000Z</x:v>
      </x:c>
      <x:c r="B2720" s="12" t="n">
        <x:v>28641.373848</x:v>
      </x:c>
      <x:c r="C2720" s="13" t="n">
        <x:v>484</x:v>
      </x:c>
      <x:c r="D2720" s="12" t="n">
        <x:v>321564.76</x:v>
      </x:c>
      <x:c r="E2720" s="12" t="n">
        <x:v>886.259176</x:v>
      </x:c>
      <x:c r="F2720" s="12" t="n">
        <x:f>SUM(B2720,D2720:E2720)</x:f>
        <x:v>351092.39302400005</x:v>
      </x:c>
      <x:c r="G2720" s="12" t="n">
        <x:f>MAX(G2719,F2720)</x:f>
        <x:v>355312.87302400003</x:v>
      </x:c>
      <x:c r="H2720" s="14" t="n">
        <x:f>F2720/G2720-1</x:f>
        <x:v>-0.011878207406560537</x:v>
      </x:c>
      <x:c r="I2720" s="14" t="n">
        <x:f>F2720/F2719-1</x:f>
        <x:v>0.0051964428166562104</x:v>
      </x:c>
      <x:c r="J2720" s="12" t="n">
        <x:v>0</x:v>
      </x:c>
      <x:c r="K2720" s="12" t="n">
        <x:v>0</x:v>
      </x:c>
      <x:c r="L2720" s="12" t="n">
        <x:v>0</x:v>
      </x:c>
      <x:c r="M2720" s="2" t="str">
        <x:v>持有</x:v>
      </x:c>
    </x:row>
    <x:row r="2721" ht="23" customHeight="1">
      <x:c r="A2721" s="11" t="d">
        <x:v>2025-10-20T00:00:00.000Z</x:v>
      </x:c>
      <x:c r="B2721" s="12" t="n">
        <x:v>28641.373848</x:v>
      </x:c>
      <x:c r="C2721" s="13" t="n">
        <x:v>484</x:v>
      </x:c>
      <x:c r="D2721" s="12" t="n">
        <x:v>324909.19999999995</x:v>
      </x:c>
      <x:c r="E2721" s="12" t="n">
        <x:v>886.259176</x:v>
      </x:c>
      <x:c r="F2721" s="12" t="n">
        <x:f>SUM(B2721,D2721:E2721)</x:f>
        <x:v>354436.833024</x:v>
      </x:c>
      <x:c r="G2721" s="12" t="n">
        <x:f>MAX(G2720,F2721)</x:f>
        <x:v>355312.87302400003</x:v>
      </x:c>
      <x:c r="H2721" s="14" t="n">
        <x:f>F2721/G2721-1</x:f>
        <x:v>-0.0024655453447105513</x:v>
      </x:c>
      <x:c r="I2721" s="14" t="n">
        <x:f>F2721/F2720-1</x:f>
        <x:v>0.009525811628084302</x:v>
      </x:c>
      <x:c r="J2721" s="12" t="n">
        <x:v>0</x:v>
      </x:c>
      <x:c r="K2721" s="12" t="n">
        <x:v>0</x:v>
      </x:c>
      <x:c r="L2721" s="12" t="n">
        <x:v>0</x:v>
      </x:c>
      <x:c r="M2721" s="2" t="str">
        <x:v>持有</x:v>
      </x:c>
    </x:row>
    <x:row r="2722" ht="23" customHeight="1">
      <x:c r="A2722" s="11" t="d">
        <x:v>2025-10-21T00:00:00.000Z</x:v>
      </x:c>
      <x:c r="B2722" s="12" t="n">
        <x:v>28641.373848</x:v>
      </x:c>
      <x:c r="C2722" s="13" t="n">
        <x:v>484</x:v>
      </x:c>
      <x:c r="D2722" s="12" t="n">
        <x:v>324904.36</x:v>
      </x:c>
      <x:c r="E2722" s="12" t="n">
        <x:v>886.259176</x:v>
      </x:c>
      <x:c r="F2722" s="12" t="n">
        <x:f>SUM(B2722,D2722:E2722)</x:f>
        <x:v>354431.993024</x:v>
      </x:c>
      <x:c r="G2722" s="12" t="n">
        <x:f>MAX(G2721,F2722)</x:f>
        <x:v>355312.87302400003</x:v>
      </x:c>
      <x:c r="H2722" s="14" t="n">
        <x:f>F2722/G2722-1</x:f>
        <x:v>-0.0024791671421949824</x:v>
      </x:c>
      <x:c r="I2722" s="14" t="n">
        <x:f>F2722/F2721-1</x:f>
        <x:v>-0.000013655465654238697</x:v>
      </x:c>
      <x:c r="J2722" s="12" t="n">
        <x:v>0</x:v>
      </x:c>
      <x:c r="K2722" s="12" t="n">
        <x:v>0</x:v>
      </x:c>
      <x:c r="L2722" s="12" t="n">
        <x:v>0</x:v>
      </x:c>
      <x:c r="M2722" s="2" t="str">
        <x:v>持有</x:v>
      </x:c>
    </x:row>
    <x:row r="2723" ht="23" customHeight="1">
      <x:c r="A2723" s="11" t="d">
        <x:v>2025-10-22T00:00:00.000Z</x:v>
      </x:c>
      <x:c r="B2723" s="12" t="n">
        <x:v>28641.373848</x:v>
      </x:c>
      <x:c r="C2723" s="13" t="n">
        <x:v>484</x:v>
      </x:c>
      <x:c r="D2723" s="12" t="n">
        <x:v>323215.19999999995</x:v>
      </x:c>
      <x:c r="E2723" s="12" t="n">
        <x:v>886.259176</x:v>
      </x:c>
      <x:c r="F2723" s="12" t="n">
        <x:f>SUM(B2723,D2723:E2723)</x:f>
        <x:v>352742.833024</x:v>
      </x:c>
      <x:c r="G2723" s="12" t="n">
        <x:f>MAX(G2722,F2723)</x:f>
        <x:v>355312.87302400003</x:v>
      </x:c>
      <x:c r="H2723" s="14" t="n">
        <x:f>F2723/G2723-1</x:f>
        <x:v>-0.007233174464316261</x:v>
      </x:c>
      <x:c r="I2723" s="14" t="n">
        <x:f>F2723/F2722-1</x:f>
        <x:v>-0.004765822592899038</x:v>
      </x:c>
      <x:c r="J2723" s="12" t="n">
        <x:v>0</x:v>
      </x:c>
      <x:c r="K2723" s="12" t="n">
        <x:v>0</x:v>
      </x:c>
      <x:c r="L2723" s="12" t="n">
        <x:v>0</x:v>
      </x:c>
      <x:c r="M2723" s="2" t="str">
        <x:v>持有</x:v>
      </x:c>
    </x:row>
    <x:row r="2724" ht="23" customHeight="1">
      <x:c r="A2724" s="11" t="d">
        <x:v>2025-10-23T00:00:00.000Z</x:v>
      </x:c>
      <x:c r="B2724" s="12" t="n">
        <x:v>28641.373848</x:v>
      </x:c>
      <x:c r="C2724" s="13" t="n">
        <x:v>484</x:v>
      </x:c>
      <x:c r="D2724" s="12" t="n">
        <x:v>325131.83999999997</x:v>
      </x:c>
      <x:c r="E2724" s="12" t="n">
        <x:v>886.259176</x:v>
      </x:c>
      <x:c r="F2724" s="12" t="n">
        <x:f>SUM(B2724,D2724:E2724)</x:f>
        <x:v>354659.473024</x:v>
      </x:c>
      <x:c r="G2724" s="12" t="n">
        <x:f>MAX(G2723,F2724)</x:f>
        <x:v>355312.87302400003</x:v>
      </x:c>
      <x:c r="H2724" s="14" t="n">
        <x:f>F2724/G2724-1</x:f>
        <x:v>-0.001838942660419396</x:v>
      </x:c>
      <x:c r="I2724" s="14" t="n">
        <x:f>F2724/F2723-1</x:f>
        <x:v>0.0054335334996575835</x:v>
      </x:c>
      <x:c r="J2724" s="12" t="n">
        <x:v>0</x:v>
      </x:c>
      <x:c r="K2724" s="12" t="n">
        <x:v>0</x:v>
      </x:c>
      <x:c r="L2724" s="12" t="n">
        <x:v>0</x:v>
      </x:c>
      <x:c r="M2724" s="2" t="str">
        <x:v>持有</x:v>
      </x:c>
    </x:row>
    <x:row r="2725" ht="23" customHeight="1">
      <x:c r="A2725" s="11" t="d">
        <x:v>2025-10-24T00:00:00.000Z</x:v>
      </x:c>
      <x:c r="B2725" s="12" t="n">
        <x:v>28641.373848</x:v>
      </x:c>
      <x:c r="C2725" s="13" t="n">
        <x:v>484</x:v>
      </x:c>
      <x:c r="D2725" s="12" t="n">
        <x:v>327789</x:v>
      </x:c>
      <x:c r="E2725" s="12" t="n">
        <x:v>886.259176</x:v>
      </x:c>
      <x:c r="F2725" s="12" t="n">
        <x:f>SUM(B2725,D2725:E2725)</x:f>
        <x:v>357316.63302400004</x:v>
      </x:c>
      <x:c r="G2725" s="12" t="n">
        <x:f>MAX(G2724,F2725)</x:f>
        <x:v>357316.63302400004</x:v>
      </x:c>
      <x:c r="H2725" s="14" t="n">
        <x:f>F2725/G2725-1</x:f>
        <x:v>0</x:v>
      </x:c>
      <x:c r="I2725" s="14" t="n">
        <x:f>F2725/F2724-1</x:f>
        <x:v>0.007492144443073112</x:v>
      </x:c>
      <x:c r="J2725" s="12" t="n">
        <x:v>0</x:v>
      </x:c>
      <x:c r="K2725" s="12" t="n">
        <x:v>0</x:v>
      </x:c>
      <x:c r="L2725" s="12" t="n">
        <x:v>0</x:v>
      </x:c>
      <x:c r="M2725" s="2" t="str">
        <x:v>持有</x:v>
      </x:c>
    </x:row>
    <x:row r="2726" ht="23" customHeight="1">
      <x:c r="A2726" s="11" t="d">
        <x:v>2025-10-27T00:00:00.000Z</x:v>
      </x:c>
      <x:c r="B2726" s="12" t="n">
        <x:v>28641.373848</x:v>
      </x:c>
      <x:c r="C2726" s="13" t="n">
        <x:v>484</x:v>
      </x:c>
      <x:c r="D2726" s="12" t="n">
        <x:v>331656.16000000003</x:v>
      </x:c>
      <x:c r="E2726" s="12" t="n">
        <x:v>886.259176</x:v>
      </x:c>
      <x:c r="F2726" s="12" t="n">
        <x:f>SUM(B2726,D2726:E2726)</x:f>
        <x:v>361183.7930240001</x:v>
      </x:c>
      <x:c r="G2726" s="12" t="n">
        <x:f>MAX(G2725,F2726)</x:f>
        <x:v>361183.7930240001</x:v>
      </x:c>
      <x:c r="H2726" s="14" t="n">
        <x:f>F2726/G2726-1</x:f>
        <x:v>0</x:v>
      </x:c>
      <x:c r="I2726" s="14" t="n">
        <x:f>F2726/F2725-1</x:f>
        <x:v>0.010822781932293246</x:v>
      </x:c>
      <x:c r="J2726" s="12" t="n">
        <x:v>0</x:v>
      </x:c>
      <x:c r="K2726" s="12" t="n">
        <x:v>0</x:v>
      </x:c>
      <x:c r="L2726" s="12" t="n">
        <x:v>0</x:v>
      </x:c>
      <x:c r="M2726" s="2" t="str">
        <x:v>持有</x:v>
      </x:c>
    </x:row>
    <x:row r="2727" ht="23" customHeight="1">
      <x:c r="A2727" s="11" t="d">
        <x:v>2025-10-28T00:00:00.000Z</x:v>
      </x:c>
      <x:c r="B2727" s="12" t="n">
        <x:v>28641.373848</x:v>
      </x:c>
      <x:c r="C2727" s="13" t="n">
        <x:v>484</x:v>
      </x:c>
      <x:c r="D2727" s="12" t="n">
        <x:v>332537.04</x:v>
      </x:c>
      <x:c r="E2727" s="12" t="n">
        <x:v>886.259176</x:v>
      </x:c>
      <x:c r="F2727" s="12" t="n">
        <x:f>SUM(B2727,D2727:E2727)</x:f>
        <x:v>362064.673024</x:v>
      </x:c>
      <x:c r="G2727" s="12" t="n">
        <x:f>MAX(G2726,F2727)</x:f>
        <x:v>362064.673024</x:v>
      </x:c>
      <x:c r="H2727" s="14" t="n">
        <x:f>F2727/G2727-1</x:f>
        <x:v>0</x:v>
      </x:c>
      <x:c r="I2727" s="14" t="n">
        <x:f>F2727/F2726-1</x:f>
        <x:v>0.0024388691215206926</x:v>
      </x:c>
      <x:c r="J2727" s="12" t="n">
        <x:v>0</x:v>
      </x:c>
      <x:c r="K2727" s="12" t="n">
        <x:v>0</x:v>
      </x:c>
      <x:c r="L2727" s="12" t="n">
        <x:v>0</x:v>
      </x:c>
      <x:c r="M2727" s="2" t="str">
        <x:v>持有</x:v>
      </x:c>
    </x:row>
    <x:row r="2728" ht="23" customHeight="1">
      <x:c r="A2728" s="11" t="d">
        <x:v>2025-10-29T00:00:00.000Z</x:v>
      </x:c>
      <x:c r="B2728" s="12" t="n">
        <x:v>28641.373848</x:v>
      </x:c>
      <x:c r="C2728" s="13" t="n">
        <x:v>484</x:v>
      </x:c>
      <x:c r="D2728" s="12" t="n">
        <x:v>332696.76</x:v>
      </x:c>
      <x:c r="E2728" s="12" t="n">
        <x:v>886.259176</x:v>
      </x:c>
      <x:c r="F2728" s="12" t="n">
        <x:f>SUM(B2728,D2728:E2728)</x:f>
        <x:v>362224.39302400005</x:v>
      </x:c>
      <x:c r="G2728" s="12" t="n">
        <x:f>MAX(G2727,F2728)</x:f>
        <x:v>362224.39302400005</x:v>
      </x:c>
      <x:c r="H2728" s="14" t="n">
        <x:f>F2728/G2728-1</x:f>
        <x:v>0</x:v>
      </x:c>
      <x:c r="I2728" s="14" t="n">
        <x:f>F2728/F2727-1</x:f>
        <x:v>0.00044113665844847105</x:v>
      </x:c>
      <x:c r="J2728" s="12" t="n">
        <x:v>0</x:v>
      </x:c>
      <x:c r="K2728" s="12" t="n">
        <x:v>0</x:v>
      </x:c>
      <x:c r="L2728" s="12" t="n">
        <x:v>0</x:v>
      </x:c>
      <x:c r="M2728" s="2" t="str">
        <x:v>持有</x:v>
      </x:c>
    </x:row>
    <x:row r="2729" ht="23" customHeight="1">
      <x:c r="A2729" s="11" t="d">
        <x:v>2025-10-30T00:00:00.000Z</x:v>
      </x:c>
      <x:c r="B2729" s="12" t="n">
        <x:v>28641.373848</x:v>
      </x:c>
      <x:c r="C2729" s="13" t="n">
        <x:v>484</x:v>
      </x:c>
      <x:c r="D2729" s="12" t="n">
        <x:v>329037.72000000003</x:v>
      </x:c>
      <x:c r="E2729" s="12" t="n">
        <x:v>886.259176</x:v>
      </x:c>
      <x:c r="F2729" s="12" t="n">
        <x:f>SUM(B2729,D2729:E2729)</x:f>
        <x:v>358565.35302400007</x:v>
      </x:c>
      <x:c r="G2729" s="12" t="n">
        <x:f>MAX(G2728,F2729)</x:f>
        <x:v>362224.39302400005</x:v>
      </x:c>
      <x:c r="H2729" s="14" t="n">
        <x:f>F2729/G2729-1</x:f>
        <x:v>-0.010101583632876832</x:v>
      </x:c>
      <x:c r="I2729" s="14" t="n">
        <x:f>F2729/F2728-1</x:f>
        <x:v>-0.010101583632876832</x:v>
      </x:c>
      <x:c r="J2729" s="12" t="n">
        <x:v>0</x:v>
      </x:c>
      <x:c r="K2729" s="12" t="n">
        <x:v>0</x:v>
      </x:c>
      <x:c r="L2729" s="12" t="n">
        <x:v>0</x:v>
      </x:c>
      <x:c r="M2729" s="2" t="str">
        <x:v>持有</x:v>
      </x:c>
    </x:row>
    <x:row r="2730" ht="23" customHeight="1">
      <x:c r="A2730" s="11" t="d">
        <x:v>2025-10-31T00:00:00.000Z</x:v>
      </x:c>
      <x:c r="B2730" s="12" t="n">
        <x:v>29527.633024</x:v>
      </x:c>
      <x:c r="C2730" s="13" t="n">
        <x:v>484</x:v>
      </x:c>
      <x:c r="D2730" s="12" t="n">
        <x:v>330117.04</x:v>
      </x:c>
      <x:c r="E2730" s="12" t="n">
        <x:v>0</x:v>
      </x:c>
      <x:c r="F2730" s="12" t="n">
        <x:f>SUM(B2730,D2730:E2730)</x:f>
        <x:v>359644.67302399996</x:v>
      </x:c>
      <x:c r="G2730" s="12" t="n">
        <x:f>MAX(G2729,F2730)</x:f>
        <x:v>362224.39302400005</x:v>
      </x:c>
      <x:c r="H2730" s="14" t="n">
        <x:f>F2730/G2730-1</x:f>
        <x:v>-0.007121883698840703</x:v>
      </x:c>
      <x:c r="I2730" s="14" t="n">
        <x:f>F2730/F2729-1</x:f>
        <x:v>0.0030101067794121583</x:v>
      </x:c>
      <x:c r="J2730" s="12" t="n">
        <x:v>0</x:v>
      </x:c>
      <x:c r="K2730" s="12" t="n">
        <x:v>886.259176</x:v>
      </x:c>
      <x:c r="L2730" s="12" t="n">
        <x:v>0</x:v>
      </x:c>
      <x:c r="M2730" s="2" t="str">
        <x:v>持有</x:v>
      </x:c>
    </x:row>
    <x:row r="2731" ht="23" customHeight="1">
      <x:c r="A2731" s="11" t="d">
        <x:v>2025-11-03T00:00:00.000Z</x:v>
      </x:c>
      <x:c r="B2731" s="12" t="n">
        <x:v>29527.633024</x:v>
      </x:c>
      <x:c r="C2731" s="13" t="n">
        <x:v>484</x:v>
      </x:c>
      <x:c r="D2731" s="12" t="n">
        <x:v>330736.56</x:v>
      </x:c>
      <x:c r="E2731" s="12" t="n">
        <x:v>0</x:v>
      </x:c>
      <x:c r="F2731" s="12" t="n">
        <x:f>SUM(B2731,D2731:E2731)</x:f>
        <x:v>360264.193024</x:v>
      </x:c>
      <x:c r="G2731" s="12" t="n">
        <x:f>MAX(G2730,F2731)</x:f>
        <x:v>362224.39302400005</x:v>
      </x:c>
      <x:c r="H2731" s="14" t="n">
        <x:f>F2731/G2731-1</x:f>
        <x:v>-0.005411562660469937</x:v>
      </x:c>
      <x:c r="I2731" s="14" t="n">
        <x:f>F2731/F2730-1</x:f>
        <x:v>0.0017225891177281571</x:v>
      </x:c>
      <x:c r="J2731" s="12" t="n">
        <x:v>0</x:v>
      </x:c>
      <x:c r="K2731" s="12" t="n">
        <x:v>0</x:v>
      </x:c>
      <x:c r="L2731" s="12" t="n">
        <x:v>0</x:v>
      </x:c>
      <x:c r="M2731" s="2" t="str">
        <x:v>持有</x:v>
      </x:c>
    </x:row>
    <x:row r="2732" ht="23" customHeight="1">
      <x:c r="A2732" s="11" t="d">
        <x:v>2025-11-04T00:00:00.000Z</x:v>
      </x:c>
      <x:c r="B2732" s="12" t="n">
        <x:v>29527.633024</x:v>
      </x:c>
      <x:c r="C2732" s="13" t="n">
        <x:v>484</x:v>
      </x:c>
      <x:c r="D2732" s="12" t="n">
        <x:v>326816.16000000003</x:v>
      </x:c>
      <x:c r="E2732" s="12" t="n">
        <x:v>0</x:v>
      </x:c>
      <x:c r="F2732" s="12" t="n">
        <x:f>SUM(B2732,D2732:E2732)</x:f>
        <x:v>356343.793024</x:v>
      </x:c>
      <x:c r="G2732" s="12" t="n">
        <x:f>MAX(G2731,F2732)</x:f>
        <x:v>362224.39302400005</x:v>
      </x:c>
      <x:c r="H2732" s="14" t="n">
        <x:f>F2732/G2732-1</x:f>
        <x:v>-0.016234687981409368</x:v>
      </x:c>
      <x:c r="I2732" s="14" t="n">
        <x:f>F2732/F2731-1</x:f>
        <x:v>-0.010882014021689868</x:v>
      </x:c>
      <x:c r="J2732" s="12" t="n">
        <x:v>0</x:v>
      </x:c>
      <x:c r="K2732" s="12" t="n">
        <x:v>0</x:v>
      </x:c>
      <x:c r="L2732" s="12" t="n">
        <x:v>0</x:v>
      </x:c>
      <x:c r="M2732" s="2" t="str">
        <x:v>持有</x:v>
      </x:c>
    </x:row>
    <x:row r="2733" ht="23" customHeight="1">
      <x:c r="A2733" s="11" t="d">
        <x:v>2025-11-05T00:00:00.000Z</x:v>
      </x:c>
      <x:c r="B2733" s="12" t="n">
        <x:v>29527.633024</x:v>
      </x:c>
      <x:c r="C2733" s="13" t="n">
        <x:v>484</x:v>
      </x:c>
      <x:c r="D2733" s="12" t="n">
        <x:v>327948.72000000003</x:v>
      </x:c>
      <x:c r="E2733" s="12" t="n">
        <x:v>0</x:v>
      </x:c>
      <x:c r="F2733" s="12" t="n">
        <x:f>SUM(B2733,D2733:E2733)</x:f>
        <x:v>357476.353024</x:v>
      </x:c>
      <x:c r="G2733" s="12" t="n">
        <x:f>MAX(G2732,F2733)</x:f>
        <x:v>362224.39302400005</x:v>
      </x:c>
      <x:c r="H2733" s="14" t="n">
        <x:f>F2733/G2733-1</x:f>
        <x:v>-0.013108007333137994</x:v>
      </x:c>
      <x:c r="I2733" s="14" t="n">
        <x:f>F2733/F2732-1</x:f>
        <x:v>0.0031782790164207597</x:v>
      </x:c>
      <x:c r="J2733" s="12" t="n">
        <x:v>0</x:v>
      </x:c>
      <x:c r="K2733" s="12" t="n">
        <x:v>0</x:v>
      </x:c>
      <x:c r="L2733" s="12" t="n">
        <x:v>0</x:v>
      </x:c>
      <x:c r="M2733" s="2" t="str">
        <x:v>持有</x:v>
      </x:c>
    </x:row>
    <x:row r="2734" ht="23" customHeight="1">
      <x:c r="A2734" s="11" t="d">
        <x:v>2025-11-06T00:00:00.000Z</x:v>
      </x:c>
      <x:c r="B2734" s="12" t="n">
        <x:v>29527.633024</x:v>
      </x:c>
      <x:c r="C2734" s="13" t="n">
        <x:v>484</x:v>
      </x:c>
      <x:c r="D2734" s="12" t="n">
        <x:v>324430.04</x:v>
      </x:c>
      <x:c r="E2734" s="12" t="n">
        <x:v>0</x:v>
      </x:c>
      <x:c r="F2734" s="12" t="n">
        <x:f>SUM(B2734,D2734:E2734)</x:f>
        <x:v>353957.67302399996</x:v>
      </x:c>
      <x:c r="G2734" s="12" t="n">
        <x:f>MAX(G2733,F2734)</x:f>
        <x:v>362224.39302400005</x:v>
      </x:c>
      <x:c r="H2734" s="14" t="n">
        <x:f>F2734/G2734-1</x:f>
        <x:v>-0.02282209635575916</x:v>
      </x:c>
      <x:c r="I2734" s="14" t="n">
        <x:f>F2734/F2733-1</x:f>
        <x:v>-0.00984311261495896</x:v>
      </x:c>
      <x:c r="J2734" s="12" t="n">
        <x:v>0</x:v>
      </x:c>
      <x:c r="K2734" s="12" t="n">
        <x:v>0</x:v>
      </x:c>
      <x:c r="L2734" s="12" t="n">
        <x:v>0</x:v>
      </x:c>
      <x:c r="M2734" s="2" t="str">
        <x:v>持有</x:v>
      </x:c>
    </x:row>
    <x:row r="2735" ht="23" customHeight="1">
      <x:c r="A2735" s="11" t="d">
        <x:v>2025-11-07T00:00:00.000Z</x:v>
      </x:c>
      <x:c r="B2735" s="12" t="n">
        <x:v>29527.633024</x:v>
      </x:c>
      <x:c r="C2735" s="13" t="n">
        <x:v>484</x:v>
      </x:c>
      <x:c r="D2735" s="12" t="n">
        <x:v>324749.48000000004</x:v>
      </x:c>
      <x:c r="E2735" s="12" t="n">
        <x:v>0</x:v>
      </x:c>
      <x:c r="F2735" s="12" t="n">
        <x:f>SUM(B2735,D2735:E2735)</x:f>
        <x:v>354277.113024</x:v>
      </x:c>
      <x:c r="G2735" s="12" t="n">
        <x:f>MAX(G2734,F2735)</x:f>
        <x:v>362224.39302400005</x:v>
      </x:c>
      <x:c r="H2735" s="14" t="n">
        <x:f>F2735/G2735-1</x:f>
        <x:v>-0.02194021207034902</x:v>
      </x:c>
      <x:c r="I2735" s="14" t="n">
        <x:f>F2735/F2734-1</x:f>
        <x:v>0.0009024807889344011</x:v>
      </x:c>
      <x:c r="J2735" s="12" t="n">
        <x:v>0</x:v>
      </x:c>
      <x:c r="K2735" s="12" t="n">
        <x:v>0</x:v>
      </x:c>
      <x:c r="L2735" s="12" t="n">
        <x:v>0</x:v>
      </x:c>
      <x:c r="M2735" s="2" t="str">
        <x:v>持有</x:v>
      </x:c>
    </x:row>
    <x:row r="2736" ht="23" customHeight="1">
      <x:c r="A2736" s="11" t="d">
        <x:v>2025-11-10T00:00:00.000Z</x:v>
      </x:c>
      <x:c r="B2736" s="12" t="n">
        <x:v>29527.633024</x:v>
      </x:c>
      <x:c r="C2736" s="13" t="n">
        <x:v>484</x:v>
      </x:c>
      <x:c r="D2736" s="12" t="n">
        <x:v>329816.96</x:v>
      </x:c>
      <x:c r="E2736" s="12" t="n">
        <x:v>0</x:v>
      </x:c>
      <x:c r="F2736" s="12" t="n">
        <x:f>SUM(B2736,D2736:E2736)</x:f>
        <x:v>359344.593024</x:v>
      </x:c>
      <x:c r="G2736" s="12" t="n">
        <x:f>MAX(G2735,F2736)</x:f>
        <x:v>362224.39302400005</x:v>
      </x:c>
      <x:c r="H2736" s="14" t="n">
        <x:f>F2736/G2736-1</x:f>
        <x:v>-0.00795032045180133</x:v>
      </x:c>
      <x:c r="I2736" s="14" t="n">
        <x:f>F2736/F2735-1</x:f>
        <x:v>0.014303718229906393</x:v>
      </x:c>
      <x:c r="J2736" s="12" t="n">
        <x:v>0</x:v>
      </x:c>
      <x:c r="K2736" s="12" t="n">
        <x:v>0</x:v>
      </x:c>
      <x:c r="L2736" s="12" t="n">
        <x:v>0</x:v>
      </x:c>
      <x:c r="M2736" s="2" t="str">
        <x:v>持有</x:v>
      </x:c>
    </x:row>
    <x:row r="2737" ht="23" customHeight="1">
      <x:c r="A2737" s="11" t="d">
        <x:v>2025-11-11T00:00:00.000Z</x:v>
      </x:c>
      <x:c r="B2737" s="12" t="n">
        <x:v>29527.633024</x:v>
      </x:c>
      <x:c r="C2737" s="13" t="n">
        <x:v>484</x:v>
      </x:c>
      <x:c r="D2737" s="12" t="n">
        <x:v>330572</x:v>
      </x:c>
      <x:c r="E2737" s="12" t="n">
        <x:v>0</x:v>
      </x:c>
      <x:c r="F2737" s="12" t="n">
        <x:f>SUM(B2737,D2737:E2737)</x:f>
        <x:v>360099.633024</x:v>
      </x:c>
      <x:c r="G2737" s="12" t="n">
        <x:f>MAX(G2736,F2737)</x:f>
        <x:v>362224.39302400005</x:v>
      </x:c>
      <x:c r="H2737" s="14" t="n">
        <x:f>F2737/G2737-1</x:f>
        <x:v>-0.005865866686287191</x:v>
      </x:c>
      <x:c r="I2737" s="14" t="n">
        <x:f>F2737/F2736-1</x:f>
        <x:v>0.0021011586501025192</x:v>
      </x:c>
      <x:c r="J2737" s="12" t="n">
        <x:v>0</x:v>
      </x:c>
      <x:c r="K2737" s="12" t="n">
        <x:v>0</x:v>
      </x:c>
      <x:c r="L2737" s="12" t="n">
        <x:v>0</x:v>
      </x:c>
      <x:c r="M2737" s="2" t="str">
        <x:v>持有</x:v>
      </x:c>
    </x:row>
    <x:row r="2738" ht="23" customHeight="1">
      <x:c r="A2738" s="11" t="d">
        <x:v>2025-11-12T00:00:00.000Z</x:v>
      </x:c>
      <x:c r="B2738" s="12" t="n">
        <x:v>29527.633024</x:v>
      </x:c>
      <x:c r="C2738" s="13" t="n">
        <x:v>484</x:v>
      </x:c>
      <x:c r="D2738" s="12" t="n">
        <x:v>330755.92</x:v>
      </x:c>
      <x:c r="E2738" s="12" t="n">
        <x:v>0</x:v>
      </x:c>
      <x:c r="F2738" s="12" t="n">
        <x:f>SUM(B2738,D2738:E2738)</x:f>
        <x:v>360283.55302399996</x:v>
      </x:c>
      <x:c r="G2738" s="12" t="n">
        <x:f>MAX(G2737,F2738)</x:f>
        <x:v>362224.39302400005</x:v>
      </x:c>
      <x:c r="H2738" s="14" t="n">
        <x:f>F2738/G2738-1</x:f>
        <x:v>-0.005358115128020868</x:v>
      </x:c>
      <x:c r="I2738" s="14" t="n">
        <x:f>F2738/F2737-1</x:f>
        <x:v>0.0005107475352181812</x:v>
      </x:c>
      <x:c r="J2738" s="12" t="n">
        <x:v>0</x:v>
      </x:c>
      <x:c r="K2738" s="12" t="n">
        <x:v>0</x:v>
      </x:c>
      <x:c r="L2738" s="12" t="n">
        <x:v>0</x:v>
      </x:c>
      <x:c r="M2738" s="2" t="str">
        <x:v>持有</x:v>
      </x:c>
    </x:row>
    <x:row r="2739" ht="23" customHeight="1">
      <x:c r="A2739" s="11" t="d">
        <x:v>2025-11-13T00:00:00.000Z</x:v>
      </x:c>
      <x:c r="B2739" s="12" t="n">
        <x:v>29527.633024</x:v>
      </x:c>
      <x:c r="C2739" s="13" t="n">
        <x:v>484</x:v>
      </x:c>
      <x:c r="D2739" s="12" t="n">
        <x:v>325267.36</x:v>
      </x:c>
      <x:c r="E2739" s="12" t="n">
        <x:v>0</x:v>
      </x:c>
      <x:c r="F2739" s="12" t="n">
        <x:f>SUM(B2739,D2739:E2739)</x:f>
        <x:v>354794.99302399997</x:v>
      </x:c>
      <x:c r="G2739" s="12" t="n">
        <x:f>MAX(G2738,F2739)</x:f>
        <x:v>362224.39302400005</x:v>
      </x:c>
      <x:c r="H2739" s="14" t="n">
        <x:f>F2739/G2739-1</x:f>
        <x:v>-0.020510490577336227</x:v>
      </x:c>
      <x:c r="I2739" s="14" t="n">
        <x:f>F2739/F2738-1</x:f>
        <x:v>-0.015234000980428819</x:v>
      </x:c>
      <x:c r="J2739" s="12" t="n">
        <x:v>0</x:v>
      </x:c>
      <x:c r="K2739" s="12" t="n">
        <x:v>0</x:v>
      </x:c>
      <x:c r="L2739" s="12" t="n">
        <x:v>0</x:v>
      </x:c>
      <x:c r="M2739" s="2" t="str">
        <x:v>持有</x:v>
      </x:c>
    </x:row>
    <x:row r="2740" ht="23" customHeight="1">
      <x:c r="A2740" s="11" t="d">
        <x:v>2025-11-14T00:00:00.000Z</x:v>
      </x:c>
      <x:c r="B2740" s="12" t="n">
        <x:v>29527.633024</x:v>
      </x:c>
      <x:c r="C2740" s="13" t="n">
        <x:v>484</x:v>
      </x:c>
      <x:c r="D2740" s="12" t="n">
        <x:v>325214.12</x:v>
      </x:c>
      <x:c r="E2740" s="12" t="n">
        <x:v>0</x:v>
      </x:c>
      <x:c r="F2740" s="12" t="n">
        <x:f>SUM(B2740,D2740:E2740)</x:f>
        <x:v>354741.753024</x:v>
      </x:c>
      <x:c r="G2740" s="12" t="n">
        <x:f>MAX(G2739,F2740)</x:f>
        <x:v>362224.39302400005</x:v>
      </x:c>
      <x:c r="H2740" s="14" t="n">
        <x:f>F2740/G2740-1</x:f>
        <x:v>-0.02065747129157114</x:v>
      </x:c>
      <x:c r="I2740" s="14" t="n">
        <x:f>F2740/F2739-1</x:f>
        <x:v>-0.0001500584874273292</x:v>
      </x:c>
      <x:c r="J2740" s="12" t="n">
        <x:v>0</x:v>
      </x:c>
      <x:c r="K2740" s="12" t="n">
        <x:v>0</x:v>
      </x:c>
      <x:c r="L2740" s="12" t="n">
        <x:v>0</x:v>
      </x:c>
      <x:c r="M2740" s="2" t="str">
        <x:v>持有</x:v>
      </x:c>
    </x:row>
    <x:row r="2741" ht="23" customHeight="1">
      <x:c r="A2741" s="11" t="d">
        <x:v>2025-11-17T00:00:00.000Z</x:v>
      </x:c>
      <x:c r="B2741" s="12" t="n">
        <x:v>29527.633024</x:v>
      </x:c>
      <x:c r="C2741" s="13" t="n">
        <x:v>484</x:v>
      </x:c>
      <x:c r="D2741" s="12" t="n">
        <x:v>322184.27999999997</x:v>
      </x:c>
      <x:c r="E2741" s="12" t="n">
        <x:v>0</x:v>
      </x:c>
      <x:c r="F2741" s="12" t="n">
        <x:f>SUM(B2741,D2741:E2741)</x:f>
        <x:v>351711.91302399995</x:v>
      </x:c>
      <x:c r="G2741" s="12" t="n">
        <x:f>MAX(G2740,F2741)</x:f>
        <x:v>362224.39302400005</x:v>
      </x:c>
      <x:c r="H2741" s="14" t="n">
        <x:f>F2741/G2741-1</x:f>
        <x:v>-0.029022010119852837</x:v>
      </x:c>
      <x:c r="I2741" s="14" t="n">
        <x:f>F2741/F2740-1</x:f>
        <x:v>-0.008540973748289105</x:v>
      </x:c>
      <x:c r="J2741" s="12" t="n">
        <x:v>0</x:v>
      </x:c>
      <x:c r="K2741" s="12" t="n">
        <x:v>0</x:v>
      </x:c>
      <x:c r="L2741" s="12" t="n">
        <x:v>0</x:v>
      </x:c>
      <x:c r="M2741" s="2" t="str">
        <x:v>持有</x:v>
      </x:c>
    </x:row>
    <x:row r="2742" ht="23" customHeight="1">
      <x:c r="A2742" s="11" t="d">
        <x:v>2025-11-18T00:00:00.000Z</x:v>
      </x:c>
      <x:c r="B2742" s="12" t="n">
        <x:v>29527.633024</x:v>
      </x:c>
      <x:c r="C2742" s="13" t="n">
        <x:v>484</x:v>
      </x:c>
      <x:c r="D2742" s="12" t="n">
        <x:v>319478.72000000003</x:v>
      </x:c>
      <x:c r="E2742" s="12" t="n">
        <x:v>0</x:v>
      </x:c>
      <x:c r="F2742" s="12" t="n">
        <x:f>SUM(B2742,D2742:E2742)</x:f>
        <x:v>349006.353024</x:v>
      </x:c>
      <x:c r="G2742" s="12" t="n">
        <x:f>MAX(G2741,F2742)</x:f>
        <x:v>362224.39302400005</x:v>
      </x:c>
      <x:c r="H2742" s="14" t="n">
        <x:f>F2742/G2742-1</x:f>
        <x:v>-0.03649130277961221</x:v>
      </x:c>
      <x:c r="I2742" s="14" t="n">
        <x:f>F2742/F2741-1</x:f>
        <x:v>-0.007692545801868622</x:v>
      </x:c>
      <x:c r="J2742" s="12" t="n">
        <x:v>0</x:v>
      </x:c>
      <x:c r="K2742" s="12" t="n">
        <x:v>0</x:v>
      </x:c>
      <x:c r="L2742" s="12" t="n">
        <x:v>0</x:v>
      </x:c>
      <x:c r="M2742" s="2" t="str">
        <x:v>持有</x:v>
      </x:c>
    </x:row>
    <x:row r="2743" ht="23" customHeight="1">
      <x:c r="A2743" s="11" t="d">
        <x:v>2025-11-19T00:00:00.000Z</x:v>
      </x:c>
      <x:c r="B2743" s="12" t="n">
        <x:v>29527.633024</x:v>
      </x:c>
      <x:c r="C2743" s="13" t="n">
        <x:v>484</x:v>
      </x:c>
      <x:c r="D2743" s="12" t="n">
        <x:v>320712.92</x:v>
      </x:c>
      <x:c r="E2743" s="12" t="n">
        <x:v>0</x:v>
      </x:c>
      <x:c r="F2743" s="12" t="n">
        <x:f>SUM(B2743,D2743:E2743)</x:f>
        <x:v>350240.55302399996</x:v>
      </x:c>
      <x:c r="G2743" s="12" t="n">
        <x:f>MAX(G2742,F2743)</x:f>
        <x:v>362224.39302400005</x:v>
      </x:c>
      <x:c r="H2743" s="14" t="n">
        <x:f>F2743/G2743-1</x:f>
        <x:v>-0.0330840225859832</x:v>
      </x:c>
      <x:c r="I2743" s="14" t="n">
        <x:f>F2743/F2742-1</x:f>
        <x:v>0.0035363253112905557</x:v>
      </x:c>
      <x:c r="J2743" s="12" t="n">
        <x:v>0</x:v>
      </x:c>
      <x:c r="K2743" s="12" t="n">
        <x:v>0</x:v>
      </x:c>
      <x:c r="L2743" s="12" t="n">
        <x:v>0</x:v>
      </x:c>
      <x:c r="M2743" s="2" t="str">
        <x:v>持有</x:v>
      </x:c>
    </x:row>
    <x:row r="2744" ht="23" customHeight="1">
      <x:c r="A2744" s="11" t="d">
        <x:v>2025-11-20T00:00:00.000Z</x:v>
      </x:c>
      <x:c r="B2744" s="12" t="n">
        <x:v>29527.633024</x:v>
      </x:c>
      <x:c r="C2744" s="13" t="n">
        <x:v>484</x:v>
      </x:c>
      <x:c r="D2744" s="12" t="n">
        <x:v>315824.51999999996</x:v>
      </x:c>
      <x:c r="E2744" s="12" t="n">
        <x:v>0</x:v>
      </x:c>
      <x:c r="F2744" s="12" t="n">
        <x:f>SUM(B2744,D2744:E2744)</x:f>
        <x:v>345352.15302399994</x:v>
      </x:c>
      <x:c r="G2744" s="12" t="n">
        <x:f>MAX(G2743,F2744)</x:f>
        <x:v>362224.39302400005</x:v>
      </x:c>
      <x:c r="H2744" s="14" t="n">
        <x:f>F2744/G2744-1</x:f>
        <x:v>-0.04657952452937697</x:v>
      </x:c>
      <x:c r="I2744" s="14" t="n">
        <x:f>F2744/F2743-1</x:f>
        <x:v>-0.013957264393838043</x:v>
      </x:c>
      <x:c r="J2744" s="12" t="n">
        <x:v>0</x:v>
      </x:c>
      <x:c r="K2744" s="12" t="n">
        <x:v>0</x:v>
      </x:c>
      <x:c r="L2744" s="12" t="n">
        <x:v>0</x:v>
      </x:c>
      <x:c r="M2744" s="2" t="str">
        <x:v>持有</x:v>
      </x:c>
    </x:row>
    <x:row r="2745" ht="23" customHeight="1">
      <x:c r="A2745" s="11" t="d">
        <x:v>2025-11-21T00:00:00.000Z</x:v>
      </x:c>
      <x:c r="B2745" s="12" t="n">
        <x:v>29527.633024</x:v>
      </x:c>
      <x:c r="C2745" s="13" t="n">
        <x:v>484</x:v>
      </x:c>
      <x:c r="D2745" s="12" t="n">
        <x:v>318970.51999999996</x:v>
      </x:c>
      <x:c r="E2745" s="12" t="n">
        <x:v>0</x:v>
      </x:c>
      <x:c r="F2745" s="12" t="n">
        <x:f>SUM(B2745,D2745:E2745)</x:f>
        <x:v>348498.15302399994</x:v>
      </x:c>
      <x:c r="G2745" s="12" t="n">
        <x:f>MAX(G2744,F2745)</x:f>
        <x:v>362224.39302400005</x:v>
      </x:c>
      <x:c r="H2745" s="14" t="n">
        <x:f>F2745/G2745-1</x:f>
        <x:v>-0.03789430050640086</x:v>
      </x:c>
      <x:c r="I2745" s="14" t="n">
        <x:f>F2745/F2744-1</x:f>
        <x:v>0.009109542165736562</x:v>
      </x:c>
      <x:c r="J2745" s="12" t="n">
        <x:v>0</x:v>
      </x:c>
      <x:c r="K2745" s="12" t="n">
        <x:v>0</x:v>
      </x:c>
      <x:c r="L2745" s="12" t="n">
        <x:v>0</x:v>
      </x:c>
      <x:c r="M2745" s="2" t="str">
        <x:v>持有</x:v>
      </x:c>
    </x:row>
    <x:row r="2746" ht="23" customHeight="1">
      <x:c r="A2746" s="11" t="d">
        <x:v>2025-11-24T00:00:00.000Z</x:v>
      </x:c>
      <x:c r="B2746" s="12" t="n">
        <x:v>29527.633024</x:v>
      </x:c>
      <x:c r="C2746" s="13" t="n">
        <x:v>484</x:v>
      </x:c>
      <x:c r="D2746" s="12" t="n">
        <x:v>323665.32</x:v>
      </x:c>
      <x:c r="E2746" s="12" t="n">
        <x:v>0</x:v>
      </x:c>
      <x:c r="F2746" s="12" t="n">
        <x:f>SUM(B2746,D2746:E2746)</x:f>
        <x:v>353192.953024</x:v>
      </x:c>
      <x:c r="G2746" s="12" t="n">
        <x:f>MAX(G2745,F2746)</x:f>
        <x:v>362224.39302400005</x:v>
      </x:c>
      <x:c r="H2746" s="14" t="n">
        <x:f>F2746/G2746-1</x:f>
        <x:v>-0.024933273887497887</x:v>
      </x:c>
      <x:c r="I2746" s="14" t="n">
        <x:f>F2746/F2745-1</x:f>
        <x:v>0.013471520463629982</x:v>
      </x:c>
      <x:c r="J2746" s="12" t="n">
        <x:v>0</x:v>
      </x:c>
      <x:c r="K2746" s="12" t="n">
        <x:v>0</x:v>
      </x:c>
      <x:c r="L2746" s="12" t="n">
        <x:v>0</x:v>
      </x:c>
      <x:c r="M2746" s="2" t="str">
        <x:v>持有</x:v>
      </x:c>
    </x:row>
    <x:row r="2747" ht="23" customHeight="1">
      <x:c r="A2747" s="11" t="d">
        <x:v>2025-11-25T00:00:00.000Z</x:v>
      </x:c>
      <x:c r="B2747" s="12" t="n">
        <x:v>29527.633024</x:v>
      </x:c>
      <x:c r="C2747" s="13" t="n">
        <x:v>484</x:v>
      </x:c>
      <x:c r="D2747" s="12" t="n">
        <x:v>326709.68</x:v>
      </x:c>
      <x:c r="E2747" s="12" t="n">
        <x:v>0</x:v>
      </x:c>
      <x:c r="F2747" s="12" t="n">
        <x:f>SUM(B2747,D2747:E2747)</x:f>
        <x:v>356237.313024</x:v>
      </x:c>
      <x:c r="G2747" s="12" t="n">
        <x:f>MAX(G2746,F2747)</x:f>
        <x:v>362224.39302400005</x:v>
      </x:c>
      <x:c r="H2747" s="14" t="n">
        <x:f>F2747/G2747-1</x:f>
        <x:v>-0.016528649409879415</x:v>
      </x:c>
      <x:c r="I2747" s="14" t="n">
        <x:f>F2747/F2746-1</x:f>
        <x:v>0.008619537773714159</x:v>
      </x:c>
      <x:c r="J2747" s="12" t="n">
        <x:v>0</x:v>
      </x:c>
      <x:c r="K2747" s="12" t="n">
        <x:v>0</x:v>
      </x:c>
      <x:c r="L2747" s="12" t="n">
        <x:v>0</x:v>
      </x:c>
      <x:c r="M2747" s="2" t="str">
        <x:v>持有</x:v>
      </x:c>
    </x:row>
    <x:row r="2748" ht="23" customHeight="1">
      <x:c r="A2748" s="11" t="d">
        <x:v>2025-11-26T00:00:00.000Z</x:v>
      </x:c>
      <x:c r="B2748" s="12" t="n">
        <x:v>29527.633024</x:v>
      </x:c>
      <x:c r="C2748" s="13" t="n">
        <x:v>484</x:v>
      </x:c>
      <x:c r="D2748" s="12" t="n">
        <x:v>328965.12</x:v>
      </x:c>
      <x:c r="E2748" s="12" t="n">
        <x:v>0</x:v>
      </x:c>
      <x:c r="F2748" s="12" t="n">
        <x:f>SUM(B2748,D2748:E2748)</x:f>
        <x:v>358492.753024</x:v>
      </x:c>
      <x:c r="G2748" s="12" t="n">
        <x:f>MAX(G2747,F2748)</x:f>
        <x:v>362224.39302400005</x:v>
      </x:c>
      <x:c r="H2748" s="14" t="n">
        <x:f>F2748/G2748-1</x:f>
        <x:v>-0.010302011879561146</x:v>
      </x:c>
      <x:c r="I2748" s="14" t="n">
        <x:f>F2748/F2747-1</x:f>
        <x:v>0.006331285122420871</x:v>
      </x:c>
      <x:c r="J2748" s="12" t="n">
        <x:v>0</x:v>
      </x:c>
      <x:c r="K2748" s="12" t="n">
        <x:v>0</x:v>
      </x:c>
      <x:c r="L2748" s="12" t="n">
        <x:v>0</x:v>
      </x:c>
      <x:c r="M2748" s="2" t="str">
        <x:v>持有</x:v>
      </x:c>
    </x:row>
    <x:row r="2749" ht="23" customHeight="1">
      <x:c r="A2749" s="11" t="d">
        <x:v>2025-11-28T00:00:00.000Z</x:v>
      </x:c>
      <x:c r="B2749" s="12" t="n">
        <x:v>29527.633024</x:v>
      </x:c>
      <x:c r="C2749" s="13" t="n">
        <x:v>484</x:v>
      </x:c>
      <x:c r="D2749" s="12" t="n">
        <x:v>330760.76</x:v>
      </x:c>
      <x:c r="E2749" s="12" t="n">
        <x:v>0</x:v>
      </x:c>
      <x:c r="F2749" s="12" t="n">
        <x:f>SUM(B2749,D2749:E2749)</x:f>
        <x:v>360288.393024</x:v>
      </x:c>
      <x:c r="G2749" s="12" t="n">
        <x:f>MAX(G2748,F2749)</x:f>
        <x:v>362224.39302400005</x:v>
      </x:c>
      <x:c r="H2749" s="14" t="n">
        <x:f>F2749/G2749-1</x:f>
        <x:v>-0.005344753244908573</x:v>
      </x:c>
      <x:c r="I2749" s="14" t="n">
        <x:f>F2749/F2748-1</x:f>
        <x:v>0.005008859969562129</x:v>
      </x:c>
      <x:c r="J2749" s="12" t="n">
        <x:v>0</x:v>
      </x:c>
      <x:c r="K2749" s="12" t="n">
        <x:v>0</x:v>
      </x:c>
      <x:c r="L2749" s="12" t="n">
        <x:v>0</x:v>
      </x:c>
      <x:c r="M2749" s="2" t="str">
        <x:v>持有</x:v>
      </x:c>
    </x:row>
    <x:row r="2750" ht="23" customHeight="1">
      <x:c r="A2750" s="11" t="d">
        <x:v>2025-12-01T00:00:00.000Z</x:v>
      </x:c>
      <x:c r="B2750" s="12" t="n">
        <x:v>29527.633024</x:v>
      </x:c>
      <x:c r="C2750" s="13" t="n">
        <x:v>484</x:v>
      </x:c>
      <x:c r="D2750" s="12" t="n">
        <x:v>329250.68</x:v>
      </x:c>
      <x:c r="E2750" s="12" t="n">
        <x:v>0</x:v>
      </x:c>
      <x:c r="F2750" s="12" t="n">
        <x:f>SUM(B2750,D2750:E2750)</x:f>
        <x:v>358778.313024</x:v>
      </x:c>
      <x:c r="G2750" s="12" t="n">
        <x:f>MAX(G2749,F2750)</x:f>
        <x:v>362224.39302400005</x:v>
      </x:c>
      <x:c r="H2750" s="14" t="n">
        <x:f>F2750/G2750-1</x:f>
        <x:v>-0.009513660775937183</x:v>
      </x:c>
      <x:c r="I2750" s="14" t="n">
        <x:f>F2750/F2749-1</x:f>
        <x:v>-0.004191309043639957</x:v>
      </x:c>
      <x:c r="J2750" s="12" t="n">
        <x:v>0</x:v>
      </x:c>
      <x:c r="K2750" s="12" t="n">
        <x:v>0</x:v>
      </x:c>
      <x:c r="L2750" s="12" t="n">
        <x:v>0</x:v>
      </x:c>
      <x:c r="M2750" s="2" t="str">
        <x:v>持有</x:v>
      </x:c>
    </x:row>
    <x:row r="2751" ht="23" customHeight="1">
      <x:c r="A2751" s="11" t="d">
        <x:v>2025-12-02T00:00:00.000Z</x:v>
      </x:c>
      <x:c r="B2751" s="12" t="n">
        <x:v>29527.633024</x:v>
      </x:c>
      <x:c r="C2751" s="13" t="n">
        <x:v>484</x:v>
      </x:c>
      <x:c r="D2751" s="12" t="n">
        <x:v>329860.51999999996</x:v>
      </x:c>
      <x:c r="E2751" s="12" t="n">
        <x:v>0</x:v>
      </x:c>
      <x:c r="F2751" s="12" t="n">
        <x:f>SUM(B2751,D2751:E2751)</x:f>
        <x:v>359388.15302399994</x:v>
      </x:c>
      <x:c r="G2751" s="12" t="n">
        <x:f>MAX(G2750,F2751)</x:f>
        <x:v>362224.39302400005</x:v>
      </x:c>
      <x:c r="H2751" s="14" t="n">
        <x:f>F2751/G2751-1</x:f>
        <x:v>-0.007830063503791118</x:v>
      </x:c>
      <x:c r="I2751" s="14" t="n">
        <x:f>F2751/F2750-1</x:f>
        <x:v>0.0016997682910648848</x:v>
      </x:c>
      <x:c r="J2751" s="12" t="n">
        <x:v>0</x:v>
      </x:c>
      <x:c r="K2751" s="12" t="n">
        <x:v>0</x:v>
      </x:c>
      <x:c r="L2751" s="12" t="n">
        <x:v>0</x:v>
      </x:c>
      <x:c r="M2751" s="2" t="str">
        <x:v>持有</x:v>
      </x:c>
    </x:row>
    <x:row r="2752" ht="23" customHeight="1">
      <x:c r="A2752" s="11" t="d">
        <x:v>2025-12-03T00:00:00.000Z</x:v>
      </x:c>
      <x:c r="B2752" s="12" t="n">
        <x:v>29527.633024</x:v>
      </x:c>
      <x:c r="C2752" s="13" t="n">
        <x:v>484</x:v>
      </x:c>
      <x:c r="D2752" s="12" t="n">
        <x:v>331002.76</x:v>
      </x:c>
      <x:c r="E2752" s="12" t="n">
        <x:v>0</x:v>
      </x:c>
      <x:c r="F2752" s="12" t="n">
        <x:f>SUM(B2752,D2752:E2752)</x:f>
        <x:v>360530.393024</x:v>
      </x:c>
      <x:c r="G2752" s="12" t="n">
        <x:f>MAX(G2751,F2752)</x:f>
        <x:v>362224.39302400005</x:v>
      </x:c>
      <x:c r="H2752" s="14" t="n">
        <x:f>F2752/G2752-1</x:f>
        <x:v>-0.004676659089295043</x:v>
      </x:c>
      <x:c r="I2752" s="14" t="n">
        <x:f>F2752/F2751-1</x:f>
        <x:v>0.0031782906319779425</x:v>
      </x:c>
      <x:c r="J2752" s="12" t="n">
        <x:v>0</x:v>
      </x:c>
      <x:c r="K2752" s="12" t="n">
        <x:v>0</x:v>
      </x:c>
      <x:c r="L2752" s="12" t="n">
        <x:v>0</x:v>
      </x:c>
      <x:c r="M2752" s="2" t="str">
        <x:v>持有</x:v>
      </x:c>
    </x:row>
    <x:row r="2753" ht="23" customHeight="1">
      <x:c r="A2753" s="11" t="d">
        <x:v>2025-12-04T00:00:00.000Z</x:v>
      </x:c>
      <x:c r="B2753" s="12" t="n">
        <x:v>29527.633024</x:v>
      </x:c>
      <x:c r="C2753" s="13" t="n">
        <x:v>484</x:v>
      </x:c>
      <x:c r="D2753" s="12" t="n">
        <x:v>331244.76</x:v>
      </x:c>
      <x:c r="E2753" s="12" t="n">
        <x:v>0</x:v>
      </x:c>
      <x:c r="F2753" s="12" t="n">
        <x:f>SUM(B2753,D2753:E2753)</x:f>
        <x:v>360772.393024</x:v>
      </x:c>
      <x:c r="G2753" s="12" t="n">
        <x:f>MAX(G2752,F2753)</x:f>
        <x:v>362224.39302400005</x:v>
      </x:c>
      <x:c r="H2753" s="14" t="n">
        <x:f>F2753/G2753-1</x:f>
        <x:v>-0.004008564933681513</x:v>
      </x:c>
      <x:c r="I2753" s="14" t="n">
        <x:f>F2753/F2752-1</x:f>
        <x:v>0.0006712332848561875</x:v>
      </x:c>
      <x:c r="J2753" s="12" t="n">
        <x:v>0</x:v>
      </x:c>
      <x:c r="K2753" s="12" t="n">
        <x:v>0</x:v>
      </x:c>
      <x:c r="L2753" s="12" t="n">
        <x:v>0</x:v>
      </x:c>
      <x:c r="M2753" s="2" t="str">
        <x:v>持有</x:v>
      </x:c>
    </x:row>
    <x:row r="2754" ht="23" customHeight="1">
      <x:c r="A2754" s="11" t="d">
        <x:v>2025-12-05T00:00:00.000Z</x:v>
      </x:c>
      <x:c r="B2754" s="12" t="n">
        <x:v>29527.633024</x:v>
      </x:c>
      <x:c r="C2754" s="13" t="n">
        <x:v>484</x:v>
      </x:c>
      <x:c r="D2754" s="12" t="n">
        <x:v>331873.96</x:v>
      </x:c>
      <x:c r="E2754" s="12" t="n">
        <x:v>0</x:v>
      </x:c>
      <x:c r="F2754" s="12" t="n">
        <x:f>SUM(B2754,D2754:E2754)</x:f>
        <x:v>361401.593024</x:v>
      </x:c>
      <x:c r="G2754" s="12" t="n">
        <x:f>MAX(G2753,F2754)</x:f>
        <x:v>362224.39302400005</x:v>
      </x:c>
      <x:c r="H2754" s="14" t="n">
        <x:f>F2754/G2754-1</x:f>
        <x:v>-0.0022715201290861575</x:v>
      </x:c>
      <x:c r="I2754" s="14" t="n">
        <x:f>F2754/F2753-1</x:f>
        <x:v>0.001744035885689721</x:v>
      </x:c>
      <x:c r="J2754" s="12" t="n">
        <x:v>0</x:v>
      </x:c>
      <x:c r="K2754" s="12" t="n">
        <x:v>0</x:v>
      </x:c>
      <x:c r="L2754" s="12" t="n">
        <x:v>0</x:v>
      </x:c>
      <x:c r="M2754" s="2" t="str">
        <x:v>持有</x:v>
      </x:c>
    </x:row>
    <x:row r="2755" ht="23" customHeight="1">
      <x:c r="A2755" s="11" t="d">
        <x:v>2025-12-08T00:00:00.000Z</x:v>
      </x:c>
      <x:c r="B2755" s="12" t="n">
        <x:v>29527.633024</x:v>
      </x:c>
      <x:c r="C2755" s="13" t="n">
        <x:v>484</x:v>
      </x:c>
      <x:c r="D2755" s="12" t="n">
        <x:v>330876.92</x:v>
      </x:c>
      <x:c r="E2755" s="12" t="n">
        <x:v>0</x:v>
      </x:c>
      <x:c r="F2755" s="12" t="n">
        <x:f>SUM(B2755,D2755:E2755)</x:f>
        <x:v>360404.55302399996</x:v>
      </x:c>
      <x:c r="G2755" s="12" t="n">
        <x:f>MAX(G2754,F2755)</x:f>
        <x:v>362224.39302400005</x:v>
      </x:c>
      <x:c r="H2755" s="14" t="n">
        <x:f>F2755/G2755-1</x:f>
        <x:v>-0.005024068050214159</x:v>
      </x:c>
      <x:c r="I2755" s="14" t="n">
        <x:f>F2755/F2754-1</x:f>
        <x:v>-0.002758814624078898</x:v>
      </x:c>
      <x:c r="J2755" s="12" t="n">
        <x:v>0</x:v>
      </x:c>
      <x:c r="K2755" s="12" t="n">
        <x:v>0</x:v>
      </x:c>
      <x:c r="L2755" s="12" t="n">
        <x:v>0</x:v>
      </x:c>
      <x:c r="M2755" s="2" t="str">
        <x:v>持有</x:v>
      </x:c>
    </x:row>
    <x:row r="2756" ht="23" customHeight="1">
      <x:c r="A2756" s="11" t="d">
        <x:v>2025-12-09T00:00:00.000Z</x:v>
      </x:c>
      <x:c r="B2756" s="12" t="n">
        <x:v>29527.633024</x:v>
      </x:c>
      <x:c r="C2756" s="13" t="n">
        <x:v>484</x:v>
      </x:c>
      <x:c r="D2756" s="12" t="n">
        <x:v>330591.36</x:v>
      </x:c>
      <x:c r="E2756" s="12" t="n">
        <x:v>0</x:v>
      </x:c>
      <x:c r="F2756" s="12" t="n">
        <x:f>SUM(B2756,D2756:E2756)</x:f>
        <x:v>360118.99302399997</x:v>
      </x:c>
      <x:c r="G2756" s="12" t="n">
        <x:f>MAX(G2755,F2756)</x:f>
        <x:v>362224.39302400005</x:v>
      </x:c>
      <x:c r="H2756" s="14" t="n">
        <x:f>F2756/G2756-1</x:f>
        <x:v>-0.005812419153838122</x:v>
      </x:c>
      <x:c r="I2756" s="14" t="n">
        <x:f>F2756/F2755-1</x:f>
        <x:v>-0.0007923318326696904</x:v>
      </x:c>
      <x:c r="J2756" s="12" t="n">
        <x:v>0</x:v>
      </x:c>
      <x:c r="K2756" s="12" t="n">
        <x:v>0</x:v>
      </x:c>
      <x:c r="L2756" s="12" t="n">
        <x:v>0</x:v>
      </x:c>
      <x:c r="M2756" s="2" t="str">
        <x:v>持有</x:v>
      </x:c>
    </x:row>
    <x:row r="2757" ht="23" customHeight="1">
      <x:c r="A2757" s="11" t="d">
        <x:v>2025-12-10T00:00:00.000Z</x:v>
      </x:c>
      <x:c r="B2757" s="12" t="n">
        <x:v>29527.633024</x:v>
      </x:c>
      <x:c r="C2757" s="13" t="n">
        <x:v>484</x:v>
      </x:c>
      <x:c r="D2757" s="12" t="n">
        <x:v>332783.88</x:v>
      </x:c>
      <x:c r="E2757" s="12" t="n">
        <x:v>0</x:v>
      </x:c>
      <x:c r="F2757" s="12" t="n">
        <x:f>SUM(B2757,D2757:E2757)</x:f>
        <x:v>362311.513024</x:v>
      </x:c>
      <x:c r="G2757" s="12" t="n">
        <x:f>MAX(G2756,F2757)</x:f>
        <x:v>362311.513024</x:v>
      </x:c>
      <x:c r="H2757" s="14" t="n">
        <x:f>F2757/G2757-1</x:f>
        <x:v>0</x:v>
      </x:c>
      <x:c r="I2757" s="14" t="n">
        <x:f>F2757/F2756-1</x:f>
        <x:v>0.006088320923006485</x:v>
      </x:c>
      <x:c r="J2757" s="12" t="n">
        <x:v>0</x:v>
      </x:c>
      <x:c r="K2757" s="12" t="n">
        <x:v>0</x:v>
      </x:c>
      <x:c r="L2757" s="12" t="n">
        <x:v>0</x:v>
      </x:c>
      <x:c r="M2757" s="2" t="str">
        <x:v>持有</x:v>
      </x:c>
    </x:row>
    <x:row r="2758" ht="23" customHeight="1">
      <x:c r="A2758" s="11" t="d">
        <x:v>2025-12-11T00:00:00.000Z</x:v>
      </x:c>
      <x:c r="B2758" s="12" t="n">
        <x:v>29527.633024</x:v>
      </x:c>
      <x:c r="C2758" s="13" t="n">
        <x:v>484</x:v>
      </x:c>
      <x:c r="D2758" s="12" t="n">
        <x:v>333558.27999999997</x:v>
      </x:c>
      <x:c r="E2758" s="12" t="n">
        <x:v>0</x:v>
      </x:c>
      <x:c r="F2758" s="12" t="n">
        <x:f>SUM(B2758,D2758:E2758)</x:f>
        <x:v>363085.91302399995</x:v>
      </x:c>
      <x:c r="G2758" s="12" t="n">
        <x:f>MAX(G2757,F2758)</x:f>
        <x:v>363085.91302399995</x:v>
      </x:c>
      <x:c r="H2758" s="14" t="n">
        <x:f>F2758/G2758-1</x:f>
        <x:v>0</x:v>
      </x:c>
      <x:c r="I2758" s="14" t="n">
        <x:f>F2758/F2757-1</x:f>
        <x:v>0.0021373872266341465</x:v>
      </x:c>
      <x:c r="J2758" s="12" t="n">
        <x:v>0</x:v>
      </x:c>
      <x:c r="K2758" s="12" t="n">
        <x:v>0</x:v>
      </x:c>
      <x:c r="L2758" s="12" t="n">
        <x:v>0</x:v>
      </x:c>
      <x:c r="M2758" s="2" t="str">
        <x:v>持有</x:v>
      </x:c>
    </x:row>
    <x:row r="2759" ht="23" customHeight="1">
      <x:c r="A2759" s="11" t="d">
        <x:v>2025-12-12T00:00:00.000Z</x:v>
      </x:c>
      <x:c r="B2759" s="12" t="n">
        <x:v>29527.633024</x:v>
      </x:c>
      <x:c r="C2759" s="13" t="n">
        <x:v>484</x:v>
      </x:c>
      <x:c r="D2759" s="12" t="n">
        <x:v>329971.83999999997</x:v>
      </x:c>
      <x:c r="E2759" s="12" t="n">
        <x:v>0</x:v>
      </x:c>
      <x:c r="F2759" s="12" t="n">
        <x:f>SUM(B2759,D2759:E2759)</x:f>
        <x:v>359499.47302399995</x:v>
      </x:c>
      <x:c r="G2759" s="12" t="n">
        <x:f>MAX(G2758,F2759)</x:f>
        <x:v>363085.91302399995</x:v>
      </x:c>
      <x:c r="H2759" s="14" t="n">
        <x:f>F2759/G2759-1</x:f>
        <x:v>-0.009877662204324955</x:v>
      </x:c>
      <x:c r="I2759" s="14" t="n">
        <x:f>F2759/F2758-1</x:f>
        <x:v>-0.009877662204324955</x:v>
      </x:c>
      <x:c r="J2759" s="12" t="n">
        <x:v>0</x:v>
      </x:c>
      <x:c r="K2759" s="12" t="n">
        <x:v>0</x:v>
      </x:c>
      <x:c r="L2759" s="12" t="n">
        <x:v>0</x:v>
      </x:c>
      <x:c r="M2759" s="2" t="str">
        <x:v>持有</x:v>
      </x:c>
    </x:row>
    <x:row r="2760" ht="23" customHeight="1">
      <x:c r="A2760" s="11" t="d">
        <x:v>2025-12-15T00:00:00.000Z</x:v>
      </x:c>
      <x:c r="B2760" s="12" t="n">
        <x:v>29527.633024</x:v>
      </x:c>
      <x:c r="C2760" s="13" t="n">
        <x:v>484</x:v>
      </x:c>
      <x:c r="D2760" s="12" t="n">
        <x:v>329473.32</x:v>
      </x:c>
      <x:c r="E2760" s="12" t="n">
        <x:v>0</x:v>
      </x:c>
      <x:c r="F2760" s="12" t="n">
        <x:f>SUM(B2760,D2760:E2760)</x:f>
        <x:v>359000.953024</x:v>
      </x:c>
      <x:c r="G2760" s="12" t="n">
        <x:f>MAX(G2759,F2760)</x:f>
        <x:v>363085.91302399995</x:v>
      </x:c>
      <x:c r="H2760" s="14" t="n">
        <x:f>F2760/G2760-1</x:f>
        <x:v>-0.011250670580904454</x:v>
      </x:c>
      <x:c r="I2760" s="14" t="n">
        <x:f>F2760/F2759-1</x:f>
        <x:v>-0.001386705787929432</x:v>
      </x:c>
      <x:c r="J2760" s="12" t="n">
        <x:v>0</x:v>
      </x:c>
      <x:c r="K2760" s="12" t="n">
        <x:v>0</x:v>
      </x:c>
      <x:c r="L2760" s="12" t="n">
        <x:v>0</x:v>
      </x:c>
      <x:c r="M2760" s="2" t="str">
        <x:v>持有</x:v>
      </x:c>
    </x:row>
    <x:row r="2761" ht="23" customHeight="1">
      <x:c r="A2761" s="11" t="d">
        <x:v>2025-12-16T00:00:00.000Z</x:v>
      </x:c>
      <x:c r="B2761" s="12" t="n">
        <x:v>29527.633024</x:v>
      </x:c>
      <x:c r="C2761" s="13" t="n">
        <x:v>484</x:v>
      </x:c>
      <x:c r="D2761" s="12" t="n">
        <x:v>328573.08</x:v>
      </x:c>
      <x:c r="E2761" s="12" t="n">
        <x:v>0</x:v>
      </x:c>
      <x:c r="F2761" s="12" t="n">
        <x:f>SUM(B2761,D2761:E2761)</x:f>
        <x:v>358100.713024</x:v>
      </x:c>
      <x:c r="G2761" s="12" t="n">
        <x:f>MAX(G2760,F2761)</x:f>
        <x:v>363085.91302399995</x:v>
      </x:c>
      <x:c r="H2761" s="14" t="n">
        <x:f>F2761/G2761-1</x:f>
        <x:v>-0.013730083765795764</x:v>
      </x:c>
      <x:c r="I2761" s="14" t="n">
        <x:f>F2761/F2760-1</x:f>
        <x:v>-0.002507625655076784</x:v>
      </x:c>
      <x:c r="J2761" s="12" t="n">
        <x:v>0</x:v>
      </x:c>
      <x:c r="K2761" s="12" t="n">
        <x:v>0</x:v>
      </x:c>
      <x:c r="L2761" s="12" t="n">
        <x:v>0</x:v>
      </x:c>
      <x:c r="M2761" s="2" t="str">
        <x:v>持有</x:v>
      </x:c>
    </x:row>
    <x:row r="2762" ht="23" customHeight="1">
      <x:c r="A2762" s="11" t="d">
        <x:v>2025-12-17T00:00:00.000Z</x:v>
      </x:c>
      <x:c r="B2762" s="12" t="n">
        <x:v>29527.633024</x:v>
      </x:c>
      <x:c r="C2762" s="13" t="n">
        <x:v>484</x:v>
      </x:c>
      <x:c r="D2762" s="12" t="n">
        <x:v>324957.6</x:v>
      </x:c>
      <x:c r="E2762" s="12" t="n">
        <x:v>0</x:v>
      </x:c>
      <x:c r="F2762" s="12" t="n">
        <x:f>SUM(B2762,D2762:E2762)</x:f>
        <x:v>354485.23302399996</x:v>
      </x:c>
      <x:c r="G2762" s="12" t="n">
        <x:f>MAX(G2761,F2762)</x:f>
        <x:v>363085.91302399995</x:v>
      </x:c>
      <x:c r="H2762" s="14" t="n">
        <x:f>F2762/G2762-1</x:f>
        <x:v>-0.023687727040601292</x:v>
      </x:c>
      <x:c r="I2762" s="14" t="n">
        <x:f>F2762/F2761-1</x:f>
        <x:v>-0.010096265850656705</x:v>
      </x:c>
      <x:c r="J2762" s="12" t="n">
        <x:v>0</x:v>
      </x:c>
      <x:c r="K2762" s="12" t="n">
        <x:v>0</x:v>
      </x:c>
      <x:c r="L2762" s="12" t="n">
        <x:v>0</x:v>
      </x:c>
      <x:c r="M2762" s="2" t="str">
        <x:v>持有</x:v>
      </x:c>
    </x:row>
    <x:row r="2763" ht="23" customHeight="1">
      <x:c r="A2763" s="11" t="d">
        <x:v>2025-12-18T00:00:00.000Z</x:v>
      </x:c>
      <x:c r="B2763" s="12" t="n">
        <x:v>29527.633024</x:v>
      </x:c>
      <x:c r="C2763" s="13" t="n">
        <x:v>484</x:v>
      </x:c>
      <x:c r="D2763" s="12" t="n">
        <x:v>327411.48000000004</x:v>
      </x:c>
      <x:c r="E2763" s="12" t="n">
        <x:v>0</x:v>
      </x:c>
      <x:c r="F2763" s="12" t="n">
        <x:f>SUM(B2763,D2763:E2763)</x:f>
        <x:v>356939.113024</x:v>
      </x:c>
      <x:c r="G2763" s="12" t="n">
        <x:f>MAX(G2762,F2763)</x:f>
        <x:v>363085.91302399995</x:v>
      </x:c>
      <x:c r="H2763" s="14" t="n">
        <x:f>F2763/G2763-1</x:f>
        <x:v>-0.01692932658501023</x:v>
      </x:c>
      <x:c r="I2763" s="14" t="n">
        <x:f>F2763/F2762-1</x:f>
        <x:v>0.006922375804111258</x:v>
      </x:c>
      <x:c r="J2763" s="12" t="n">
        <x:v>0</x:v>
      </x:c>
      <x:c r="K2763" s="12" t="n">
        <x:v>0</x:v>
      </x:c>
      <x:c r="L2763" s="12" t="n">
        <x:v>0</x:v>
      </x:c>
      <x:c r="M2763" s="2" t="str">
        <x:v>持有</x:v>
      </x:c>
    </x:row>
    <x:row r="2764" ht="23" customHeight="1">
      <x:c r="A2764" s="11" t="d">
        <x:v>2025-12-19T00:00:00.000Z</x:v>
      </x:c>
      <x:c r="B2764" s="12" t="n">
        <x:v>29527.633024</x:v>
      </x:c>
      <x:c r="C2764" s="13" t="n">
        <x:v>484</x:v>
      </x:c>
      <x:c r="D2764" s="12" t="n">
        <x:v>329405.56</x:v>
      </x:c>
      <x:c r="E2764" s="12" t="n">
        <x:v>964.790112</x:v>
      </x:c>
      <x:c r="F2764" s="12" t="n">
        <x:f>SUM(B2764,D2764:E2764)</x:f>
        <x:v>359897.983136</x:v>
      </x:c>
      <x:c r="G2764" s="12" t="n">
        <x:f>MAX(G2763,F2764)</x:f>
        <x:v>363085.91302399995</x:v>
      </x:c>
      <x:c r="H2764" s="14" t="n">
        <x:f>F2764/G2764-1</x:f>
        <x:v>-0.008780097970336964</x:v>
      </x:c>
      <x:c r="I2764" s="14" t="n">
        <x:f>F2764/F2763-1</x:f>
        <x:v>0.00828956537413994</x:v>
      </x:c>
      <x:c r="J2764" s="12" t="n">
        <x:v>964.790112</x:v>
      </x:c>
      <x:c r="K2764" s="12" t="n">
        <x:v>0</x:v>
      </x:c>
      <x:c r="L2764" s="12" t="n">
        <x:v>0</x:v>
      </x:c>
      <x:c r="M2764" s="2" t="str">
        <x:v>持有</x:v>
      </x:c>
    </x:row>
    <x:row r="2765" ht="23" customHeight="1">
      <x:c r="A2765" s="11" t="d">
        <x:v>2025-12-22T00:00:00.000Z</x:v>
      </x:c>
      <x:c r="B2765" s="12" t="n">
        <x:v>29527.633024</x:v>
      </x:c>
      <x:c r="C2765" s="13" t="n">
        <x:v>484</x:v>
      </x:c>
      <x:c r="D2765" s="12" t="n">
        <x:v>331457.72000000003</x:v>
      </x:c>
      <x:c r="E2765" s="12" t="n">
        <x:v>964.790112</x:v>
      </x:c>
      <x:c r="F2765" s="12" t="n">
        <x:f>SUM(B2765,D2765:E2765)</x:f>
        <x:v>361950.143136</x:v>
      </x:c>
      <x:c r="G2765" s="12" t="n">
        <x:f>MAX(G2764,F2765)</x:f>
        <x:v>363085.91302399995</x:v>
      </x:c>
      <x:c r="H2765" s="14" t="n">
        <x:f>F2765/G2765-1</x:f>
        <x:v>-0.003128102323057713</x:v>
      </x:c>
      <x:c r="I2765" s="14" t="n">
        <x:f>F2765/F2764-1</x:f>
        <x:v>0.005702060295304623</x:v>
      </x:c>
      <x:c r="J2765" s="12" t="n">
        <x:v>0</x:v>
      </x:c>
      <x:c r="K2765" s="12" t="n">
        <x:v>0</x:v>
      </x:c>
      <x:c r="L2765" s="12" t="n">
        <x:v>0</x:v>
      </x:c>
      <x:c r="M2765" s="2" t="str">
        <x:v>持有</x:v>
      </x:c>
    </x:row>
    <x:row r="2766" ht="23" customHeight="1">
      <x:c r="A2766" s="11" t="d">
        <x:v>2025-12-23T00:00:00.000Z</x:v>
      </x:c>
      <x:c r="B2766" s="12" t="n">
        <x:v>29527.633024</x:v>
      </x:c>
      <x:c r="C2766" s="13" t="n">
        <x:v>484</x:v>
      </x:c>
      <x:c r="D2766" s="12" t="n">
        <x:v>332972.64</x:v>
      </x:c>
      <x:c r="E2766" s="12" t="n">
        <x:v>964.790112</x:v>
      </x:c>
      <x:c r="F2766" s="12" t="n">
        <x:f>SUM(B2766,D2766:E2766)</x:f>
        <x:v>363465.063136</x:v>
      </x:c>
      <x:c r="G2766" s="12" t="n">
        <x:f>MAX(G2765,F2766)</x:f>
        <x:v>363465.063136</x:v>
      </x:c>
      <x:c r="H2766" s="14" t="n">
        <x:f>F2766/G2766-1</x:f>
        <x:v>0</x:v>
      </x:c>
      <x:c r="I2766" s="14" t="n">
        <x:f>F2766/F2765-1</x:f>
        <x:v>0.00418543832273266</x:v>
      </x:c>
      <x:c r="J2766" s="12" t="n">
        <x:v>0</x:v>
      </x:c>
      <x:c r="K2766" s="12" t="n">
        <x:v>0</x:v>
      </x:c>
      <x:c r="L2766" s="12" t="n">
        <x:v>0</x:v>
      </x:c>
      <x:c r="M2766" s="2" t="str">
        <x:v>持有</x:v>
      </x:c>
    </x:row>
    <x:row r="2767" ht="23" customHeight="1">
      <x:c r="A2767" s="11" t="d">
        <x:v>2025-12-24T00:00:00.000Z</x:v>
      </x:c>
      <x:c r="B2767" s="12" t="n">
        <x:v>29527.633024</x:v>
      </x:c>
      <x:c r="C2767" s="13" t="n">
        <x:v>484</x:v>
      </x:c>
      <x:c r="D2767" s="12" t="n">
        <x:v>334143.92</x:v>
      </x:c>
      <x:c r="E2767" s="12" t="n">
        <x:v>964.790112</x:v>
      </x:c>
      <x:c r="F2767" s="12" t="n">
        <x:f>SUM(B2767,D2767:E2767)</x:f>
        <x:v>364636.343136</x:v>
      </x:c>
      <x:c r="G2767" s="12" t="n">
        <x:f>MAX(G2766,F2767)</x:f>
        <x:v>364636.343136</x:v>
      </x:c>
      <x:c r="H2767" s="14" t="n">
        <x:f>F2767/G2767-1</x:f>
        <x:v>0</x:v>
      </x:c>
      <x:c r="I2767" s="14" t="n">
        <x:f>F2767/F2766-1</x:f>
        <x:v>0.003222538061551372</x:v>
      </x:c>
      <x:c r="J2767" s="12" t="n">
        <x:v>0</x:v>
      </x:c>
      <x:c r="K2767" s="12" t="n">
        <x:v>0</x:v>
      </x:c>
      <x:c r="L2767" s="12" t="n">
        <x:v>0</x:v>
      </x:c>
      <x:c r="M2767" s="2" t="str">
        <x:v>持有</x:v>
      </x:c>
    </x:row>
    <x:row r="2768" ht="23" customHeight="1">
      <x:c r="A2768" s="11" t="d">
        <x:v>2025-12-26T00:00:00.000Z</x:v>
      </x:c>
      <x:c r="B2768" s="12" t="n">
        <x:v>29527.633024</x:v>
      </x:c>
      <x:c r="C2768" s="13" t="n">
        <x:v>484</x:v>
      </x:c>
      <x:c r="D2768" s="12" t="n">
        <x:v>334110.04</x:v>
      </x:c>
      <x:c r="E2768" s="12" t="n">
        <x:v>964.790112</x:v>
      </x:c>
      <x:c r="F2768" s="12" t="n">
        <x:f>SUM(B2768,D2768:E2768)</x:f>
        <x:v>364602.463136</x:v>
      </x:c>
      <x:c r="G2768" s="12" t="n">
        <x:f>MAX(G2767,F2768)</x:f>
        <x:v>364636.343136</x:v>
      </x:c>
      <x:c r="H2768" s="14" t="n">
        <x:f>F2768/G2768-1</x:f>
        <x:v>-0.0000929144903896173</x:v>
      </x:c>
      <x:c r="I2768" s="14" t="n">
        <x:f>F2768/F2767-1</x:f>
        <x:v>-0.0000929144903896173</x:v>
      </x:c>
      <x:c r="J2768" s="12" t="n">
        <x:v>0</x:v>
      </x:c>
      <x:c r="K2768" s="12" t="n">
        <x:v>0</x:v>
      </x:c>
      <x:c r="L2768" s="12" t="n">
        <x:v>0</x:v>
      </x:c>
      <x:c r="M2768" s="2" t="str">
        <x:v>持有</x:v>
      </x:c>
    </x:row>
    <x:row r="2769" ht="23" customHeight="1">
      <x:c r="A2769" s="11" t="d">
        <x:v>2025-12-29T00:00:00.000Z</x:v>
      </x:c>
      <x:c r="B2769" s="12" t="n">
        <x:v>29527.633024</x:v>
      </x:c>
      <x:c r="C2769" s="13" t="n">
        <x:v>484</x:v>
      </x:c>
      <x:c r="D2769" s="12" t="n">
        <x:v>332919.4</x:v>
      </x:c>
      <x:c r="E2769" s="12" t="n">
        <x:v>964.790112</x:v>
      </x:c>
      <x:c r="F2769" s="12" t="n">
        <x:f>SUM(B2769,D2769:E2769)</x:f>
        <x:v>363411.823136</x:v>
      </x:c>
      <x:c r="G2769" s="12" t="n">
        <x:f>MAX(G2768,F2769)</x:f>
        <x:v>364636.343136</x:v>
      </x:c>
      <x:c r="H2769" s="14" t="n">
        <x:f>F2769/G2769-1</x:f>
        <x:v>-0.0033581951526516773</x:v>
      </x:c>
      <x:c r="I2769" s="14" t="n">
        <x:f>F2769/F2768-1</x:f>
        <x:v>-0.0032655840823430093</x:v>
      </x:c>
      <x:c r="J2769" s="12" t="n">
        <x:v>0</x:v>
      </x:c>
      <x:c r="K2769" s="12" t="n">
        <x:v>0</x:v>
      </x:c>
      <x:c r="L2769" s="12" t="n">
        <x:v>0</x:v>
      </x:c>
      <x:c r="M2769" s="2" t="str">
        <x:v>持有</x:v>
      </x:c>
    </x:row>
    <x:row r="2770" ht="23" customHeight="1">
      <x:c r="A2770" s="11" t="d">
        <x:v>2025-12-30T00:00:00.000Z</x:v>
      </x:c>
      <x:c r="B2770" s="12" t="n">
        <x:v>29527.633024</x:v>
      </x:c>
      <x:c r="C2770" s="13" t="n">
        <x:v>484</x:v>
      </x:c>
      <x:c r="D2770" s="12" t="n">
        <x:v>332512.83999999997</x:v>
      </x:c>
      <x:c r="E2770" s="12" t="n">
        <x:v>964.790112</x:v>
      </x:c>
      <x:c r="F2770" s="12" t="n">
        <x:f>SUM(B2770,D2770:E2770)</x:f>
        <x:v>363005.26313599997</x:v>
      </x:c>
      <x:c r="G2770" s="12" t="n">
        <x:f>MAX(G2769,F2770)</x:f>
        <x:v>364636.343136</x:v>
      </x:c>
      <x:c r="H2770" s="14" t="n">
        <x:f>F2770/G2770-1</x:f>
        <x:v>-0.004473169037326752</x:v>
      </x:c>
      <x:c r="I2770" s="14" t="n">
        <x:f>F2770/F2769-1</x:f>
        <x:v>-0.0011187308010282004</x:v>
      </x:c>
      <x:c r="J2770" s="12" t="n">
        <x:v>0</x:v>
      </x:c>
      <x:c r="K2770" s="12" t="n">
        <x:v>0</x:v>
      </x:c>
      <x:c r="L2770" s="12" t="n">
        <x:v>0</x:v>
      </x:c>
      <x:c r="M2770" s="2" t="str">
        <x:v>持有</x:v>
      </x:c>
    </x:row>
    <x:row r="2771" ht="23" customHeight="1">
      <x:c r="A2771" s="11" t="d">
        <x:v>2025-12-31T00:00:00.000Z</x:v>
      </x:c>
      <x:c r="B2771" s="12" t="n">
        <x:v>29527.633024</x:v>
      </x:c>
      <x:c r="C2771" s="13" t="n">
        <x:v>484</x:v>
      </x:c>
      <x:c r="D2771" s="12" t="n">
        <x:v>330049.27999999997</x:v>
      </x:c>
      <x:c r="E2771" s="12" t="n">
        <x:v>964.790112</x:v>
      </x:c>
      <x:c r="F2771" s="12" t="n">
        <x:f>SUM(B2771,D2771:E2771)</x:f>
        <x:v>360541.70313599997</x:v>
      </x:c>
      <x:c r="G2771" s="12" t="n">
        <x:f>MAX(G2770,F2771)</x:f>
        <x:v>364636.343136</x:v>
      </x:c>
      <x:c r="H2771" s="14" t="n">
        <x:f>F2771/G2771-1</x:f>
        <x:v>-0.011229379838511688</x:v>
      </x:c>
      <x:c r="I2771" s="14" t="n">
        <x:f>F2771/F2770-1</x:f>
        <x:v>-0.006786568268231985</x:v>
      </x:c>
      <x:c r="J2771" s="12" t="n">
        <x:v>0</x:v>
      </x:c>
      <x:c r="K2771" s="12" t="n">
        <x:v>0</x:v>
      </x:c>
      <x:c r="L2771" s="12" t="n">
        <x:v>0</x:v>
      </x:c>
      <x:c r="M2771" s="2" t="str">
        <x:v>持有</x:v>
      </x:c>
    </x:row>
    <x:row r="2772" ht="23" customHeight="1">
      <x:c r="A2772" s="2"/>
      <x:c r="B2772" s="2"/>
      <x:c r="C2772" s="2"/>
      <x:c r="D2772" s="2"/>
      <x:c r="E2772" s="2"/>
      <x:c r="F2772" s="2"/>
      <x:c r="G2772" s="2"/>
      <x:c r="H2772" s="2"/>
      <x:c r="I2772" s="2"/>
      <x:c r="J2772" s="2"/>
      <x:c r="K2772" s="2"/>
      <x:c r="L2772" s="2"/>
      <x:c r="M277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4" t="str">
        <x:v>SPY教学案例 交易明细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5" t="str">
        <x:v>来源为本章实际运行。含97笔结束交易与1笔未平仓；未平仓退出价为期末估值价，卖出成本为零。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10" t="str">
        <x:v>编号</x:v>
      </x:c>
      <x:c r="B5" s="10" t="str">
        <x:v>入场日</x:v>
      </x:c>
      <x:c r="C5" s="10" t="str">
        <x:v>退出日或状态</x:v>
      </x:c>
      <x:c r="D5" s="10" t="str">
        <x:v>份额</x:v>
      </x:c>
      <x:c r="E5" s="10" t="str">
        <x:v>买入价</x:v>
      </x:c>
      <x:c r="F5" s="10" t="str">
        <x:v>退出或估值价</x:v>
      </x:c>
      <x:c r="G5" s="10" t="str">
        <x:v>分红权利</x:v>
      </x:c>
      <x:c r="H5" s="10" t="str">
        <x:v>价格损益</x:v>
      </x:c>
      <x:c r="I5" s="10" t="str">
        <x:v>净损益</x:v>
      </x:c>
      <x:c r="J5" s="10" t="str">
        <x:v>买入支出</x:v>
      </x:c>
      <x:c r="K5" s="10" t="str">
        <x:v>单笔回报</x:v>
      </x:c>
      <x:c r="L5" s="10" t="str">
        <x:v>已结束</x:v>
      </x:c>
      <x:c r="M5" s="10" t="str">
        <x:v>持有交易日</x:v>
      </x:c>
    </x:row>
    <x:row r="6" ht="23" customHeight="1">
      <x:c r="A6" s="2" t="n">
        <x:v>1</x:v>
      </x:c>
      <x:c r="B6" s="11" t="d">
        <x:v>2015-01-02T00:00:00.000Z</x:v>
      </x:c>
      <x:c r="C6" s="11" t="d">
        <x:v>2015-01-06T00:00:00.000Z</x:v>
      </x:c>
      <x:c r="D6" s="13" t="n">
        <x:v>484</x:v>
      </x:c>
      <x:c r="E6" s="12" t="n">
        <x:v>206.58638</x:v>
      </x:c>
      <x:c r="F6" s="12" t="n">
        <x:v>201.88791</x:v>
      </x:c>
      <x:c r="G6" s="12" t="n">
        <x:v>0</x:v>
      </x:c>
      <x:c r="H6" s="12" t="n">
        <x:f>D6*(F6-E6)</x:f>
        <x:v>-2274.0594799999935</x:v>
      </x:c>
      <x:c r="I6" s="12" t="n">
        <x:f>SUM(G6:H6)</x:f>
        <x:v>-2274.0594799999935</x:v>
      </x:c>
      <x:c r="J6" s="12" t="n">
        <x:f>D6*E6</x:f>
        <x:v>99987.80791999999</x:v>
      </x:c>
      <x:c r="K6" s="14" t="n">
        <x:f>I6/J6</x:f>
        <x:v>-0.022743367689583346</x:v>
      </x:c>
      <x:c r="L6" s="2" t="n">
        <x:v>1</x:v>
      </x:c>
      <x:c r="M6" s="2" t="n">
        <x:v>2</x:v>
      </x:c>
    </x:row>
    <x:row r="7" ht="23" customHeight="1">
      <x:c r="A7" s="2" t="n">
        <x:v>2</x:v>
      </x:c>
      <x:c r="B7" s="11" t="d">
        <x:v>2015-01-09T00:00:00.000Z</x:v>
      </x:c>
      <x:c r="C7" s="11" t="d">
        <x:v>2015-01-12T00:00:00.000Z</x:v>
      </x:c>
      <x:c r="D7" s="13" t="n">
        <x:v>473</x:v>
      </x:c>
      <x:c r="E7" s="12" t="n">
        <x:v>206.6064</x:v>
      </x:c>
      <x:c r="F7" s="12" t="n">
        <x:v>204.20559</x:v>
      </x:c>
      <x:c r="G7" s="12" t="n">
        <x:v>0</x:v>
      </x:c>
      <x:c r="H7" s="12" t="n">
        <x:f>D7*(F7-E7)</x:f>
        <x:v>-1135.5831300000034</x:v>
      </x:c>
      <x:c r="I7" s="12" t="n">
        <x:f>SUM(G7:H7)</x:f>
        <x:v>-1135.5831300000034</x:v>
      </x:c>
      <x:c r="J7" s="12" t="n">
        <x:f>D7*E7</x:f>
        <x:v>97724.8272</x:v>
      </x:c>
      <x:c r="K7" s="14" t="n">
        <x:f>I7/J7</x:f>
        <x:v>-0.011620211184164708</x:v>
      </x:c>
      <x:c r="L7" s="2" t="n">
        <x:v>1</x:v>
      </x:c>
      <x:c r="M7" s="2" t="n">
        <x:v>1</x:v>
      </x:c>
    </x:row>
    <x:row r="8" ht="23" customHeight="1">
      <x:c r="A8" s="2" t="n">
        <x:v>3</x:v>
      </x:c>
      <x:c r="B8" s="11" t="d">
        <x:v>2015-01-23T00:00:00.000Z</x:v>
      </x:c>
      <x:c r="C8" s="11" t="d">
        <x:v>2015-01-28T00:00:00.000Z</x:v>
      </x:c>
      <x:c r="D8" s="13" t="n">
        <x:v>468</x:v>
      </x:c>
      <x:c r="E8" s="12" t="n">
        <x:v>205.99579</x:v>
      </x:c>
      <x:c r="F8" s="12" t="n">
        <x:v>203.96583</x:v>
      </x:c>
      <x:c r="G8" s="12" t="n">
        <x:v>0</x:v>
      </x:c>
      <x:c r="H8" s="12" t="n">
        <x:f>D8*(F8-E8)</x:f>
        <x:v>-950.0212799999946</x:v>
      </x:c>
      <x:c r="I8" s="12" t="n">
        <x:f>SUM(G8:H8)</x:f>
        <x:v>-950.0212799999946</x:v>
      </x:c>
      <x:c r="J8" s="12" t="n">
        <x:f>D8*E8</x:f>
        <x:v>96406.02972</x:v>
      </x:c>
      <x:c r="K8" s="14" t="n">
        <x:f>I8/J8</x:f>
        <x:v>-0.009854376150114467</x:v>
      </x:c>
      <x:c r="L8" s="2" t="n">
        <x:v>1</x:v>
      </x:c>
      <x:c r="M8" s="2" t="n">
        <x:v>3</x:v>
      </x:c>
    </x:row>
    <x:row r="9" ht="23" customHeight="1">
      <x:c r="A9" s="2" t="n">
        <x:v>4</x:v>
      </x:c>
      <x:c r="B9" s="11" t="d">
        <x:v>2015-02-04T00:00:00.000Z</x:v>
      </x:c>
      <x:c r="C9" s="11" t="d">
        <x:v>2015-02-05T00:00:00.000Z</x:v>
      </x:c>
      <x:c r="D9" s="13" t="n">
        <x:v>468</x:v>
      </x:c>
      <x:c r="E9" s="12" t="n">
        <x:v>204.12392</x:v>
      </x:c>
      <x:c r="F9" s="12" t="n">
        <x:v>204.65514</x:v>
      </x:c>
      <x:c r="G9" s="12" t="n">
        <x:v>0</x:v>
      </x:c>
      <x:c r="H9" s="12" t="n">
        <x:f>D9*(F9-E9)</x:f>
        <x:v>248.61095999999554</x:v>
      </x:c>
      <x:c r="I9" s="12" t="n">
        <x:f>SUM(G9:H9)</x:f>
        <x:v>248.61095999999554</x:v>
      </x:c>
      <x:c r="J9" s="12" t="n">
        <x:f>D9*E9</x:f>
        <x:v>95529.99455999999</x:v>
      </x:c>
      <x:c r="K9" s="14" t="n">
        <x:f>I9/J9</x:f>
        <x:v>0.0026024387538706416</x:v>
      </x:c>
      <x:c r="L9" s="2" t="n">
        <x:v>1</x:v>
      </x:c>
      <x:c r="M9" s="2" t="n">
        <x:v>1</x:v>
      </x:c>
    </x:row>
    <x:row r="10" ht="23" customHeight="1">
      <x:c r="A10" s="2" t="n">
        <x:v>5</x:v>
      </x:c>
      <x:c r="B10" s="11" t="d">
        <x:v>2015-02-06T00:00:00.000Z</x:v>
      </x:c>
      <x:c r="C10" s="11" t="d">
        <x:v>2015-03-11T00:00:00.000Z</x:v>
      </x:c>
      <x:c r="D10" s="13" t="n">
        <x:v>463</x:v>
      </x:c>
      <x:c r="E10" s="12" t="n">
        <x:v>206.76656</x:v>
      </x:c>
      <x:c r="F10" s="12" t="n">
        <x:v>205.08471</x:v>
      </x:c>
      <x:c r="G10" s="12" t="n">
        <x:v>0</x:v>
      </x:c>
      <x:c r="H10" s="12" t="n">
        <x:f>D10*(F10-E10)</x:f>
        <x:v>-778.6965499999988</x:v>
      </x:c>
      <x:c r="I10" s="12" t="n">
        <x:f>SUM(G10:H10)</x:f>
        <x:v>-778.6965499999988</x:v>
      </x:c>
      <x:c r="J10" s="12" t="n">
        <x:f>D10*E10</x:f>
        <x:v>95732.91728</x:v>
      </x:c>
      <x:c r="K10" s="14" t="n">
        <x:f>I10/J10</x:f>
        <x:v>-0.008134052237460436</x:v>
      </x:c>
      <x:c r="L10" s="2" t="n">
        <x:v>1</x:v>
      </x:c>
      <x:c r="M10" s="2" t="n">
        <x:v>22</x:v>
      </x:c>
    </x:row>
    <x:row r="11" ht="23" customHeight="1">
      <x:c r="A11" s="2" t="n">
        <x:v>6</x:v>
      </x:c>
      <x:c r="B11" s="11" t="d">
        <x:v>2015-03-13T00:00:00.000Z</x:v>
      </x:c>
      <x:c r="C11" s="11" t="d">
        <x:v>2015-03-16T00:00:00.000Z</x:v>
      </x:c>
      <x:c r="D11" s="13" t="n">
        <x:v>459</x:v>
      </x:c>
      <x:c r="E11" s="12" t="n">
        <x:v>206.97677</x:v>
      </x:c>
      <x:c r="F11" s="12" t="n">
        <x:v>206.50329</x:v>
      </x:c>
      <x:c r="G11" s="12" t="n">
        <x:v>0</x:v>
      </x:c>
      <x:c r="H11" s="12" t="n">
        <x:f>D11*(F11-E11)</x:f>
        <x:v>-217.3273199999977</x:v>
      </x:c>
      <x:c r="I11" s="12" t="n">
        <x:f>SUM(G11:H11)</x:f>
        <x:v>-217.3273199999977</x:v>
      </x:c>
      <x:c r="J11" s="12" t="n">
        <x:f>D11*E11</x:f>
        <x:v>95002.33743</x:v>
      </x:c>
      <x:c r="K11" s="14" t="n">
        <x:f>I11/J11</x:f>
        <x:v>-0.002287599714692596</x:v>
      </x:c>
      <x:c r="L11" s="2" t="n">
        <x:v>1</x:v>
      </x:c>
      <x:c r="M11" s="2" t="n">
        <x:v>1</x:v>
      </x:c>
    </x:row>
    <x:row r="12" ht="23" customHeight="1">
      <x:c r="A12" s="2" t="n">
        <x:v>7</x:v>
      </x:c>
      <x:c r="B12" s="11" t="d">
        <x:v>2015-03-17T00:00:00.000Z</x:v>
      </x:c>
      <x:c r="C12" s="11" t="d">
        <x:v>2015-03-26T00:00:00.000Z</x:v>
      </x:c>
      <x:c r="D12" s="13" t="n">
        <x:v>456</x:v>
      </x:c>
      <x:c r="E12" s="12" t="n">
        <x:v>207.89769</x:v>
      </x:c>
      <x:c r="F12" s="12" t="n">
        <x:v>204.75504</x:v>
      </x:c>
      <x:c r="G12" s="12" t="n">
        <x:v>424.44936</x:v>
      </x:c>
      <x:c r="H12" s="12" t="n">
        <x:f>D12*(F12-E12)</x:f>
        <x:v>-1433.0484000000015</x:v>
      </x:c>
      <x:c r="I12" s="12" t="n">
        <x:f>SUM(G12:H12)</x:f>
        <x:v>-1008.5990400000014</x:v>
      </x:c>
      <x:c r="J12" s="12" t="n">
        <x:f>D12*E12</x:f>
        <x:v>94801.34664</x:v>
      </x:c>
      <x:c r="K12" s="14" t="n">
        <x:f>I12/J12</x:f>
        <x:v>-0.01063907925095273</x:v>
      </x:c>
      <x:c r="L12" s="2" t="n">
        <x:v>1</x:v>
      </x:c>
      <x:c r="M12" s="2" t="n">
        <x:v>7</x:v>
      </x:c>
    </x:row>
    <x:row r="13" ht="23" customHeight="1">
      <x:c r="A13" s="2" t="n">
        <x:v>8</x:v>
      </x:c>
      <x:c r="B13" s="11" t="d">
        <x:v>2015-03-31T00:00:00.000Z</x:v>
      </x:c>
      <x:c r="C13" s="11" t="d">
        <x:v>2015-04-01T00:00:00.000Z</x:v>
      </x:c>
      <x:c r="D13" s="13" t="n">
        <x:v>450</x:v>
      </x:c>
      <x:c r="E13" s="12" t="n">
        <x:v>207.46726</x:v>
      </x:c>
      <x:c r="F13" s="12" t="n">
        <x:v>206.18361</x:v>
      </x:c>
      <x:c r="G13" s="12" t="n">
        <x:v>0</x:v>
      </x:c>
      <x:c r="H13" s="12" t="n">
        <x:f>D13*(F13-E13)</x:f>
        <x:v>-577.6425000000103</x:v>
      </x:c>
      <x:c r="I13" s="12" t="n">
        <x:f>SUM(G13:H13)</x:f>
        <x:v>-577.6425000000103</x:v>
      </x:c>
      <x:c r="J13" s="12" t="n">
        <x:f>D13*E13</x:f>
        <x:v>93360.267</x:v>
      </x:c>
      <x:c r="K13" s="14" t="n">
        <x:f>I13/J13</x:f>
        <x:v>-0.006187241302555511</x:v>
      </x:c>
      <x:c r="L13" s="2" t="n">
        <x:v>1</x:v>
      </x:c>
      <x:c r="M13" s="2" t="n">
        <x:v>1</x:v>
      </x:c>
    </x:row>
    <x:row r="14" ht="23" customHeight="1">
      <x:c r="A14" s="2" t="n">
        <x:v>9</x:v>
      </x:c>
      <x:c r="B14" s="11" t="d">
        <x:v>2015-04-07T00:00:00.000Z</x:v>
      </x:c>
      <x:c r="C14" s="11" t="d">
        <x:v>2015-04-08T00:00:00.000Z</x:v>
      </x:c>
      <x:c r="D14" s="13" t="n">
        <x:v>446</x:v>
      </x:c>
      <x:c r="E14" s="12" t="n">
        <x:v>208.06786</x:v>
      </x:c>
      <x:c r="F14" s="12" t="n">
        <x:v>207.34245</x:v>
      </x:c>
      <x:c r="G14" s="12" t="n">
        <x:v>0</x:v>
      </x:c>
      <x:c r="H14" s="12" t="n">
        <x:f>D14*(F14-E14)</x:f>
        <x:v>-323.5328599999921</x:v>
      </x:c>
      <x:c r="I14" s="12" t="n">
        <x:f>SUM(G14:H14)</x:f>
        <x:v>-323.5328599999921</x:v>
      </x:c>
      <x:c r="J14" s="12" t="n">
        <x:f>D14*E14</x:f>
        <x:v>92798.26556</x:v>
      </x:c>
      <x:c r="K14" s="14" t="n">
        <x:f>I14/J14</x:f>
        <x:v>-0.0034864106354531754</x:v>
      </x:c>
      <x:c r="L14" s="2" t="n">
        <x:v>1</x:v>
      </x:c>
      <x:c r="M14" s="2" t="n">
        <x:v>1</x:v>
      </x:c>
    </x:row>
    <x:row r="15" ht="23" customHeight="1">
      <x:c r="A15" s="2" t="n">
        <x:v>10</x:v>
      </x:c>
      <x:c r="B15" s="11" t="d">
        <x:v>2015-04-09T00:00:00.000Z</x:v>
      </x:c>
      <x:c r="C15" s="11" t="d">
        <x:v>2015-04-20T00:00:00.000Z</x:v>
      </x:c>
      <x:c r="D15" s="13" t="n">
        <x:v>445</x:v>
      </x:c>
      <x:c r="E15" s="12" t="n">
        <x:v>207.98778</x:v>
      </x:c>
      <x:c r="F15" s="12" t="n">
        <x:v>208.85094</x:v>
      </x:c>
      <x:c r="G15" s="12" t="n">
        <x:v>0</x:v>
      </x:c>
      <x:c r="H15" s="12" t="n">
        <x:f>D15*(F15-E15)</x:f>
        <x:v>384.1062000000097</x:v>
      </x:c>
      <x:c r="I15" s="12" t="n">
        <x:f>SUM(G15:H15)</x:f>
        <x:v>384.1062000000097</x:v>
      </x:c>
      <x:c r="J15" s="12" t="n">
        <x:f>D15*E15</x:f>
        <x:v>92554.5621</x:v>
      </x:c>
      <x:c r="K15" s="14" t="n">
        <x:f>I15/J15</x:f>
        <x:v>0.004150051507833883</x:v>
      </x:c>
      <x:c r="L15" s="2" t="n">
        <x:v>1</x:v>
      </x:c>
      <x:c r="M15" s="2" t="n">
        <x:v>7</x:v>
      </x:c>
    </x:row>
    <x:row r="16" ht="23" customHeight="1">
      <x:c r="A16" s="2" t="n">
        <x:v>11</x:v>
      </x:c>
      <x:c r="B16" s="11" t="d">
        <x:v>2015-04-21T00:00:00.000Z</x:v>
      </x:c>
      <x:c r="C16" s="11" t="d">
        <x:v>2015-05-01T00:00:00.000Z</x:v>
      </x:c>
      <x:c r="D16" s="13" t="n">
        <x:v>440</x:v>
      </x:c>
      <x:c r="E16" s="12" t="n">
        <x:v>210.88067</x:v>
      </x:c>
      <x:c r="F16" s="12" t="n">
        <x:v>209.1906</x:v>
      </x:c>
      <x:c r="G16" s="12" t="n">
        <x:v>0</x:v>
      </x:c>
      <x:c r="H16" s="12" t="n">
        <x:f>D16*(F16-E16)</x:f>
        <x:v>-743.6308000000088</x:v>
      </x:c>
      <x:c r="I16" s="12" t="n">
        <x:f>SUM(G16:H16)</x:f>
        <x:v>-743.6308000000088</x:v>
      </x:c>
      <x:c r="J16" s="12" t="n">
        <x:f>D16*E16</x:f>
        <x:v>92787.4948</x:v>
      </x:c>
      <x:c r="K16" s="14" t="n">
        <x:f>I16/J16</x:f>
        <x:v>-0.008014342898284703</x:v>
      </x:c>
      <x:c r="L16" s="2" t="n">
        <x:v>1</x:v>
      </x:c>
      <x:c r="M16" s="2" t="n">
        <x:v>8</x:v>
      </x:c>
    </x:row>
    <x:row r="17" ht="23" customHeight="1">
      <x:c r="A17" s="2" t="n">
        <x:v>12</x:v>
      </x:c>
      <x:c r="B17" s="11" t="d">
        <x:v>2015-05-04T00:00:00.000Z</x:v>
      </x:c>
      <x:c r="C17" s="11" t="d">
        <x:v>2015-05-06T00:00:00.000Z</x:v>
      </x:c>
      <x:c r="D17" s="13" t="n">
        <x:v>438</x:v>
      </x:c>
      <x:c r="E17" s="12" t="n">
        <x:v>211.44123</x:v>
      </x:c>
      <x:c r="F17" s="12" t="n">
        <x:v>209.35044</x:v>
      </x:c>
      <x:c r="G17" s="12" t="n">
        <x:v>0</x:v>
      </x:c>
      <x:c r="H17" s="12" t="n">
        <x:f>D17*(F17-E17)</x:f>
        <x:v>-915.7660199999993</x:v>
      </x:c>
      <x:c r="I17" s="12" t="n">
        <x:f>SUM(G17:H17)</x:f>
        <x:v>-915.7660199999993</x:v>
      </x:c>
      <x:c r="J17" s="12" t="n">
        <x:f>D17*E17</x:f>
        <x:v>92611.25873999999</x:v>
      </x:c>
      <x:c r="K17" s="14" t="n">
        <x:f>I17/J17</x:f>
        <x:v>-0.009888279594287258</x:v>
      </x:c>
      <x:c r="L17" s="2" t="n">
        <x:v>1</x:v>
      </x:c>
      <x:c r="M17" s="2" t="n">
        <x:v>2</x:v>
      </x:c>
    </x:row>
    <x:row r="18" ht="23" customHeight="1">
      <x:c r="A18" s="2" t="n">
        <x:v>13</x:v>
      </x:c>
      <x:c r="B18" s="11" t="d">
        <x:v>2015-05-11T00:00:00.000Z</x:v>
      </x:c>
      <x:c r="C18" s="11" t="d">
        <x:v>2015-06-08T00:00:00.000Z</x:v>
      </x:c>
      <x:c r="D18" s="13" t="n">
        <x:v>433</x:v>
      </x:c>
      <x:c r="E18" s="12" t="n">
        <x:v>211.78157</x:v>
      </x:c>
      <x:c r="F18" s="12" t="n">
        <x:v>209.43036</x:v>
      </x:c>
      <x:c r="G18" s="12" t="n">
        <x:v>0</x:v>
      </x:c>
      <x:c r="H18" s="12" t="n">
        <x:f>D18*(F18-E18)</x:f>
        <x:v>-1018.0739299999916</x:v>
      </x:c>
      <x:c r="I18" s="12" t="n">
        <x:f>SUM(G18:H18)</x:f>
        <x:v>-1018.0739299999916</x:v>
      </x:c>
      <x:c r="J18" s="12" t="n">
        <x:f>D18*E18</x:f>
        <x:v>91701.41980999999</x:v>
      </x:c>
      <x:c r="K18" s="14" t="n">
        <x:f>I18/J18</x:f>
        <x:v>-0.011102051986865433</x:v>
      </x:c>
      <x:c r="L18" s="2" t="n">
        <x:v>1</x:v>
      </x:c>
      <x:c r="M18" s="2" t="n">
        <x:v>19</x:v>
      </x:c>
    </x:row>
    <x:row r="19" ht="23" customHeight="1">
      <x:c r="A19" s="2" t="n">
        <x:v>14</x:v>
      </x:c>
      <x:c r="B19" s="11" t="d">
        <x:v>2015-06-11T00:00:00.000Z</x:v>
      </x:c>
      <x:c r="C19" s="11" t="d">
        <x:v>2015-06-15T00:00:00.000Z</x:v>
      </x:c>
      <x:c r="D19" s="13" t="n">
        <x:v>428</x:v>
      </x:c>
      <x:c r="E19" s="12" t="n">
        <x:v>211.69148</x:v>
      </x:c>
      <x:c r="F19" s="12" t="n">
        <x:v>208.43136</x:v>
      </x:c>
      <x:c r="G19" s="12" t="n">
        <x:v>0</x:v>
      </x:c>
      <x:c r="H19" s="12" t="n">
        <x:f>D19*(F19-E19)</x:f>
        <x:v>-1395.3313600000001</x:v>
      </x:c>
      <x:c r="I19" s="12" t="n">
        <x:f>SUM(G19:H19)</x:f>
        <x:v>-1395.3313600000001</x:v>
      </x:c>
      <x:c r="J19" s="12" t="n">
        <x:f>D19*E19</x:f>
        <x:v>90603.95344000001</x:v>
      </x:c>
      <x:c r="K19" s="14" t="n">
        <x:f>I19/J19</x:f>
        <x:v>-0.015400336376315191</x:v>
      </x:c>
      <x:c r="L19" s="2" t="n">
        <x:v>1</x:v>
      </x:c>
      <x:c r="M19" s="2" t="n">
        <x:v>2</x:v>
      </x:c>
    </x:row>
    <x:row r="20" ht="23" customHeight="1">
      <x:c r="A20" s="2" t="n">
        <x:v>15</x:v>
      </x:c>
      <x:c r="B20" s="11" t="d">
        <x:v>2015-06-19T00:00:00.000Z</x:v>
      </x:c>
      <x:c r="C20" s="11" t="d">
        <x:v>2015-06-25T00:00:00.000Z</x:v>
      </x:c>
      <x:c r="D20" s="13" t="n">
        <x:v>421</x:v>
      </x:c>
      <x:c r="E20" s="12" t="n">
        <x:v>211.67146</x:v>
      </x:c>
      <x:c r="F20" s="12" t="n">
        <x:v>210.8889</x:v>
      </x:c>
      <x:c r="G20" s="12" t="n">
        <x:v>0</x:v>
      </x:c>
      <x:c r="H20" s="12" t="n">
        <x:f>D20*(F20-E20)</x:f>
        <x:v>-329.4577599999956</x:v>
      </x:c>
      <x:c r="I20" s="12" t="n">
        <x:f>SUM(G20:H20)</x:f>
        <x:v>-329.4577599999956</x:v>
      </x:c>
      <x:c r="J20" s="12" t="n">
        <x:f>D20*E20</x:f>
        <x:v>89113.68466</x:v>
      </x:c>
      <x:c r="K20" s="14" t="n">
        <x:f>I20/J20</x:f>
        <x:v>-0.0036970501360929315</x:v>
      </x:c>
      <x:c r="L20" s="2" t="n">
        <x:v>1</x:v>
      </x:c>
      <x:c r="M20" s="2" t="n">
        <x:v>4</x:v>
      </x:c>
    </x:row>
    <x:row r="21" ht="23" customHeight="1">
      <x:c r="A21" s="2" t="n">
        <x:v>16</x:v>
      </x:c>
      <x:c r="B21" s="11" t="d">
        <x:v>2015-07-15T00:00:00.000Z</x:v>
      </x:c>
      <x:c r="C21" s="11" t="d">
        <x:v>2015-07-24T00:00:00.000Z</x:v>
      </x:c>
      <x:c r="D21" s="13" t="n">
        <x:v>421</x:v>
      </x:c>
      <x:c r="E21" s="12" t="n">
        <x:v>210.94073</x:v>
      </x:c>
      <x:c r="F21" s="12" t="n">
        <x:v>210.0897</x:v>
      </x:c>
      <x:c r="G21" s="12" t="n">
        <x:v>0</x:v>
      </x:c>
      <x:c r="H21" s="12" t="n">
        <x:f>D21*(F21-E21)</x:f>
        <x:v>-358.28363000000365</x:v>
      </x:c>
      <x:c r="I21" s="12" t="n">
        <x:f>SUM(G21:H21)</x:f>
        <x:v>-358.28363000000365</x:v>
      </x:c>
      <x:c r="J21" s="12" t="n">
        <x:f>D21*E21</x:f>
        <x:v>88806.04733</x:v>
      </x:c>
      <x:c r="K21" s="14" t="n">
        <x:f>I21/J21</x:f>
        <x:v>-0.004034450814690974</x:v>
      </x:c>
      <x:c r="L21" s="2" t="n">
        <x:v>1</x:v>
      </x:c>
      <x:c r="M21" s="2" t="n">
        <x:v>7</x:v>
      </x:c>
    </x:row>
    <x:row r="22" ht="23" customHeight="1">
      <x:c r="A22" s="2" t="n">
        <x:v>17</x:v>
      </x:c>
      <x:c r="B22" s="11" t="d">
        <x:v>2015-07-30T00:00:00.000Z</x:v>
      </x:c>
      <x:c r="C22" s="11" t="d">
        <x:v>2015-08-04T00:00:00.000Z</x:v>
      </x:c>
      <x:c r="D22" s="13" t="n">
        <x:v>421</x:v>
      </x:c>
      <x:c r="E22" s="12" t="n">
        <x:v>210.37016</x:v>
      </x:c>
      <x:c r="F22" s="12" t="n">
        <x:v>209.4903</x:v>
      </x:c>
      <x:c r="G22" s="12" t="n">
        <x:v>0</x:v>
      </x:c>
      <x:c r="H22" s="12" t="n">
        <x:f>D22*(F22-E22)</x:f>
        <x:v>-370.4210600000033</x:v>
      </x:c>
      <x:c r="I22" s="12" t="n">
        <x:f>SUM(G22:H22)</x:f>
        <x:v>-370.4210600000033</x:v>
      </x:c>
      <x:c r="J22" s="12" t="n">
        <x:f>D22*E22</x:f>
        <x:v>88565.83736</x:v>
      </x:c>
      <x:c r="K22" s="14" t="n">
        <x:f>I22/J22</x:f>
        <x:v>-0.0041824372810288675</x:v>
      </x:c>
      <x:c r="L22" s="2" t="n">
        <x:v>1</x:v>
      </x:c>
      <x:c r="M22" s="2" t="n">
        <x:v>3</x:v>
      </x:c>
    </x:row>
    <x:row r="23" ht="23" customHeight="1">
      <x:c r="A23" s="2" t="n">
        <x:v>18</x:v>
      </x:c>
      <x:c r="B23" s="11" t="d">
        <x:v>2015-08-06T00:00:00.000Z</x:v>
      </x:c>
      <x:c r="C23" s="11" t="d">
        <x:v>2015-08-07T00:00:00.000Z</x:v>
      </x:c>
      <x:c r="D23" s="13" t="n">
        <x:v>419</x:v>
      </x:c>
      <x:c r="E23" s="12" t="n">
        <x:v>210.50029</x:v>
      </x:c>
      <x:c r="F23" s="12" t="n">
        <x:v>207.95184</x:v>
      </x:c>
      <x:c r="G23" s="12" t="n">
        <x:v>0</x:v>
      </x:c>
      <x:c r="H23" s="12" t="n">
        <x:f>D23*(F23-E23)</x:f>
        <x:v>-1067.800550000001</x:v>
      </x:c>
      <x:c r="I23" s="12" t="n">
        <x:f>SUM(G23:H23)</x:f>
        <x:v>-1067.800550000001</x:v>
      </x:c>
      <x:c r="J23" s="12" t="n">
        <x:f>D23*E23</x:f>
        <x:v>88199.62151</x:v>
      </x:c>
      <x:c r="K23" s="14" t="n">
        <x:f>I23/J23</x:f>
        <x:v>-0.012106634152380516</x:v>
      </x:c>
      <x:c r="L23" s="2" t="n">
        <x:v>1</x:v>
      </x:c>
      <x:c r="M23" s="2" t="n">
        <x:v>1</x:v>
      </x:c>
    </x:row>
    <x:row r="24" ht="23" customHeight="1">
      <x:c r="A24" s="2" t="n">
        <x:v>19</x:v>
      </x:c>
      <x:c r="B24" s="11" t="d">
        <x:v>2015-08-11T00:00:00.000Z</x:v>
      </x:c>
      <x:c r="C24" s="11" t="d">
        <x:v>2015-08-12T00:00:00.000Z</x:v>
      </x:c>
      <x:c r="D24" s="13" t="n">
        <x:v>416</x:v>
      </x:c>
      <x:c r="E24" s="12" t="n">
        <x:v>209.17897</x:v>
      </x:c>
      <x:c r="F24" s="12" t="n">
        <x:v>206.90289</x:v>
      </x:c>
      <x:c r="G24" s="12" t="n">
        <x:v>0</x:v>
      </x:c>
      <x:c r="H24" s="12" t="n">
        <x:f>D24*(F24-E24)</x:f>
        <x:v>-946.8492799999913</x:v>
      </x:c>
      <x:c r="I24" s="12" t="n">
        <x:f>SUM(G24:H24)</x:f>
        <x:v>-946.8492799999913</x:v>
      </x:c>
      <x:c r="J24" s="12" t="n">
        <x:f>D24*E24</x:f>
        <x:v>87018.45152</x:v>
      </x:c>
      <x:c r="K24" s="14" t="n">
        <x:f>I24/J24</x:f>
        <x:v>-0.010881017341274694</x:v>
      </x:c>
      <x:c r="L24" s="2" t="n">
        <x:v>1</x:v>
      </x:c>
      <x:c r="M24" s="2" t="n">
        <x:v>1</x:v>
      </x:c>
    </x:row>
    <x:row r="25" ht="23" customHeight="1">
      <x:c r="A25" s="2" t="n">
        <x:v>20</x:v>
      </x:c>
      <x:c r="B25" s="11" t="d">
        <x:v>2015-08-18T00:00:00.000Z</x:v>
      </x:c>
      <x:c r="C25" s="11" t="d">
        <x:v>2015-08-20T00:00:00.000Z</x:v>
      </x:c>
      <x:c r="D25" s="13" t="n">
        <x:v>409</x:v>
      </x:c>
      <x:c r="E25" s="12" t="n">
        <x:v>210.47026</x:v>
      </x:c>
      <x:c r="F25" s="12" t="n">
        <x:v>206.30349</x:v>
      </x:c>
      <x:c r="G25" s="12" t="n">
        <x:v>0</x:v>
      </x:c>
      <x:c r="H25" s="12" t="n">
        <x:f>D25*(F25-E25)</x:f>
        <x:v>-1704.208929999994</x:v>
      </x:c>
      <x:c r="I25" s="12" t="n">
        <x:f>SUM(G25:H25)</x:f>
        <x:v>-1704.208929999994</x:v>
      </x:c>
      <x:c r="J25" s="12" t="n">
        <x:f>D25*E25</x:f>
        <x:v>86082.33634</x:v>
      </x:c>
      <x:c r="K25" s="14" t="n">
        <x:f>I25/J25</x:f>
        <x:v>-0.01979742886239598</x:v>
      </x:c>
      <x:c r="L25" s="2" t="n">
        <x:v>1</x:v>
      </x:c>
      <x:c r="M25" s="2" t="n">
        <x:v>2</x:v>
      </x:c>
    </x:row>
    <x:row r="26" ht="23" customHeight="1">
      <x:c r="A26" s="2" t="n">
        <x:v>21</x:v>
      </x:c>
      <x:c r="B26" s="11" t="d">
        <x:v>2015-10-09T00:00:00.000Z</x:v>
      </x:c>
      <x:c r="C26" s="11" t="d">
        <x:v>2015-12-14T00:00:00.000Z</x:v>
      </x:c>
      <x:c r="D26" s="13" t="n">
        <x:v>419</x:v>
      </x:c>
      <x:c r="E26" s="12" t="n">
        <x:v>201.58138</x:v>
      </x:c>
      <x:c r="F26" s="12" t="n">
        <x:v>201.86793</x:v>
      </x:c>
      <x:c r="G26" s="12" t="n">
        <x:v>0</x:v>
      </x:c>
      <x:c r="H26" s="12" t="n">
        <x:f>D26*(F26-E26)</x:f>
        <x:v>120.06445000000227</x:v>
      </x:c>
      <x:c r="I26" s="12" t="n">
        <x:f>SUM(G26:H26)</x:f>
        <x:v>120.06445000000227</x:v>
      </x:c>
      <x:c r="J26" s="12" t="n">
        <x:f>D26*E26</x:f>
        <x:v>84462.59822</x:v>
      </x:c>
      <x:c r="K26" s="14" t="n">
        <x:f>I26/J26</x:f>
        <x:v>0.0014215102605211127</x:v>
      </x:c>
      <x:c r="L26" s="2" t="n">
        <x:v>1</x:v>
      </x:c>
      <x:c r="M26" s="2" t="n">
        <x:v>45</x:v>
      </x:c>
    </x:row>
    <x:row r="27" ht="23" customHeight="1">
      <x:c r="A27" s="2" t="n">
        <x:v>22</x:v>
      </x:c>
      <x:c r="B27" s="11" t="d">
        <x:v>2015-12-17T00:00:00.000Z</x:v>
      </x:c>
      <x:c r="C27" s="11" t="d">
        <x:v>2015-12-18T00:00:00.000Z</x:v>
      </x:c>
      <x:c r="D27" s="13" t="n">
        <x:v>405</x:v>
      </x:c>
      <x:c r="E27" s="12" t="n">
        <x:v>208.6084</x:v>
      </x:c>
      <x:c r="F27" s="12" t="n">
        <x:v>202.56723</x:v>
      </x:c>
      <x:c r="G27" s="12" t="n">
        <x:v>490.67775</x:v>
      </x:c>
      <x:c r="H27" s="12" t="n">
        <x:f>D27*(F27-E27)</x:f>
        <x:v>-2446.6738499999974</x:v>
      </x:c>
      <x:c r="I27" s="12" t="n">
        <x:f>SUM(G27:H27)</x:f>
        <x:v>-1955.9960999999973</x:v>
      </x:c>
      <x:c r="J27" s="12" t="n">
        <x:f>D27*E27</x:f>
        <x:v>84486.402</x:v>
      </x:c>
      <x:c r="K27" s="14" t="n">
        <x:f>I27/J27</x:f>
        <x:v>-0.02315160846830709</x:v>
      </x:c>
      <x:c r="L27" s="2" t="n">
        <x:v>1</x:v>
      </x:c>
      <x:c r="M27" s="2" t="n">
        <x:v>1</x:v>
      </x:c>
    </x:row>
    <x:row r="28" ht="23" customHeight="1">
      <x:c r="A28" s="2" t="n">
        <x:v>23</x:v>
      </x:c>
      <x:c r="B28" s="11" t="d">
        <x:v>2015-12-30T00:00:00.000Z</x:v>
      </x:c>
      <x:c r="C28" s="11" t="d">
        <x:v>2015-12-31T00:00:00.000Z</x:v>
      </x:c>
      <x:c r="D28" s="13" t="n">
        <x:v>396</x:v>
      </x:c>
      <x:c r="E28" s="12" t="n">
        <x:v>207.31711</x:v>
      </x:c>
      <x:c r="F28" s="12" t="n">
        <x:v>204.92487</x:v>
      </x:c>
      <x:c r="G28" s="12" t="n">
        <x:v>0</x:v>
      </x:c>
      <x:c r="H28" s="12" t="n">
        <x:f>D28*(F28-E28)</x:f>
        <x:v>-947.327040000006</x:v>
      </x:c>
      <x:c r="I28" s="12" t="n">
        <x:f>SUM(G28:H28)</x:f>
        <x:v>-947.327040000006</x:v>
      </x:c>
      <x:c r="J28" s="12" t="n">
        <x:f>D28*E28</x:f>
        <x:v>82097.57556000001</x:v>
      </x:c>
      <x:c r="K28" s="14" t="n">
        <x:f>I28/J28</x:f>
        <x:v>-0.011539037950123919</x:v>
      </x:c>
      <x:c r="L28" s="2" t="n">
        <x:v>1</x:v>
      </x:c>
      <x:c r="M28" s="2" t="n">
        <x:v>1</x:v>
      </x:c>
    </x:row>
    <x:row r="29" ht="23" customHeight="1">
      <x:c r="A29" s="2" t="n">
        <x:v>24</x:v>
      </x:c>
      <x:c r="B29" s="11" t="d">
        <x:v>2016-02-26T00:00:00.000Z</x:v>
      </x:c>
      <x:c r="C29" s="11" t="d">
        <x:v>2016-03-01T00:00:00.000Z</x:v>
      </x:c>
      <x:c r="D29" s="13" t="n">
        <x:v>415</x:v>
      </x:c>
      <x:c r="E29" s="12" t="n">
        <x:v>196.76657</x:v>
      </x:c>
      <x:c r="F29" s="12" t="n">
        <x:v>194.81499</x:v>
      </x:c>
      <x:c r="G29" s="12" t="n">
        <x:v>0</x:v>
      </x:c>
      <x:c r="H29" s="12" t="n">
        <x:f>D29*(F29-E29)</x:f>
        <x:v>-809.9057000000029</x:v>
      </x:c>
      <x:c r="I29" s="12" t="n">
        <x:f>SUM(G29:H29)</x:f>
        <x:v>-809.9057000000029</x:v>
      </x:c>
      <x:c r="J29" s="12" t="n">
        <x:f>D29*E29</x:f>
        <x:v>81658.12655</x:v>
      </x:c>
      <x:c r="K29" s="14" t="n">
        <x:f>I29/J29</x:f>
        <x:v>-0.00991824983278413</x:v>
      </x:c>
      <x:c r="L29" s="2" t="n">
        <x:v>1</x:v>
      </x:c>
      <x:c r="M29" s="2" t="n">
        <x:v>2</x:v>
      </x:c>
    </x:row>
    <x:row r="30" ht="23" customHeight="1">
      <x:c r="A30" s="2" t="n">
        <x:v>25</x:v>
      </x:c>
      <x:c r="B30" s="11" t="d">
        <x:v>2016-03-02T00:00:00.000Z</x:v>
      </x:c>
      <x:c r="C30" s="11" t="d">
        <x:v>2016-05-16T00:00:00.000Z</x:v>
      </x:c>
      <x:c r="D30" s="13" t="n">
        <x:v>408</x:v>
      </x:c>
      <x:c r="E30" s="12" t="n">
        <x:v>197.93774</x:v>
      </x:c>
      <x:c r="F30" s="12" t="n">
        <x:v>204.75504</x:v>
      </x:c>
      <x:c r="G30" s="12" t="n">
        <x:v>428.238432</x:v>
      </x:c>
      <x:c r="H30" s="12" t="n">
        <x:f>D30*(F30-E30)</x:f>
        <x:v>2781.458400000007</x:v>
      </x:c>
      <x:c r="I30" s="12" t="n">
        <x:f>SUM(G30:H30)</x:f>
        <x:v>3209.696832000007</x:v>
      </x:c>
      <x:c r="J30" s="12" t="n">
        <x:f>D30*E30</x:f>
        <x:v>80758.59792</x:v>
      </x:c>
      <x:c r="K30" s="14" t="n">
        <x:f>I30/J30</x:f>
        <x:v>0.0397443357694193</x:v>
      </x:c>
      <x:c r="L30" s="2" t="n">
        <x:v>1</x:v>
      </x:c>
      <x:c r="M30" s="2" t="n">
        <x:v>52</x:v>
      </x:c>
    </x:row>
    <x:row r="31" ht="23" customHeight="1">
      <x:c r="A31" s="2" t="n">
        <x:v>26</x:v>
      </x:c>
      <x:c r="B31" s="11" t="d">
        <x:v>2016-05-17T00:00:00.000Z</x:v>
      </x:c>
      <x:c r="C31" s="11" t="d">
        <x:v>2016-05-18T00:00:00.000Z</x:v>
      </x:c>
      <x:c r="D31" s="13" t="n">
        <x:v>407</x:v>
      </x:c>
      <x:c r="E31" s="12" t="n">
        <x:v>206.66646</x:v>
      </x:c>
      <x:c r="F31" s="12" t="n">
        <x:v>204.23556</x:v>
      </x:c>
      <x:c r="G31" s="12" t="n">
        <x:v>0</x:v>
      </x:c>
      <x:c r="H31" s="12" t="n">
        <x:f>D31*(F31-E31)</x:f>
        <x:v>-989.3763000000033</x:v>
      </x:c>
      <x:c r="I31" s="12" t="n">
        <x:f>SUM(G31:H31)</x:f>
        <x:v>-989.3763000000033</x:v>
      </x:c>
      <x:c r="J31" s="12" t="n">
        <x:f>D31*E31</x:f>
        <x:v>84113.24922</x:v>
      </x:c>
      <x:c r="K31" s="14" t="n">
        <x:f>I31/J31</x:f>
        <x:v>-0.011762431117269866</x:v>
      </x:c>
      <x:c r="L31" s="2" t="n">
        <x:v>1</x:v>
      </x:c>
      <x:c r="M31" s="2" t="n">
        <x:v>1</x:v>
      </x:c>
    </x:row>
    <x:row r="32" ht="23" customHeight="1">
      <x:c r="A32" s="2" t="n">
        <x:v>27</x:v>
      </x:c>
      <x:c r="B32" s="11" t="d">
        <x:v>2016-05-25T00:00:00.000Z</x:v>
      </x:c>
      <x:c r="C32" s="11" t="d">
        <x:v>2016-06-16T00:00:00.000Z</x:v>
      </x:c>
      <x:c r="D32" s="13" t="n">
        <x:v>398</x:v>
      </x:c>
      <x:c r="E32" s="12" t="n">
        <x:v>208.87867</x:v>
      </x:c>
      <x:c r="F32" s="12" t="n">
        <x:v>207.54225</x:v>
      </x:c>
      <x:c r="G32" s="12" t="n">
        <x:v>0</x:v>
      </x:c>
      <x:c r="H32" s="12" t="n">
        <x:f>D32*(F32-E32)</x:f>
        <x:v>-531.8951600000016</x:v>
      </x:c>
      <x:c r="I32" s="12" t="n">
        <x:f>SUM(G32:H32)</x:f>
        <x:v>-531.8951600000016</x:v>
      </x:c>
      <x:c r="J32" s="12" t="n">
        <x:f>D32*E32</x:f>
        <x:v>83133.71066</x:v>
      </x:c>
      <x:c r="K32" s="14" t="n">
        <x:f>I32/J32</x:f>
        <x:v>-0.0063980683140121685</x:v>
      </x:c>
      <x:c r="L32" s="2" t="n">
        <x:v>1</x:v>
      </x:c>
      <x:c r="M32" s="2" t="n">
        <x:v>15</x:v>
      </x:c>
    </x:row>
    <x:row r="33" ht="23" customHeight="1">
      <x:c r="A33" s="2" t="n">
        <x:v>28</x:v>
      </x:c>
      <x:c r="B33" s="11" t="d">
        <x:v>2016-06-17T00:00:00.000Z</x:v>
      </x:c>
      <x:c r="C33" s="11" t="d">
        <x:v>2016-06-20T00:00:00.000Z</x:v>
      </x:c>
      <x:c r="D33" s="13" t="n">
        <x:v>398</x:v>
      </x:c>
      <x:c r="E33" s="12" t="n">
        <x:v>207.37717</x:v>
      </x:c>
      <x:c r="F33" s="12" t="n">
        <x:v>208.61118</x:v>
      </x:c>
      <x:c r="G33" s="12" t="n">
        <x:v>0</x:v>
      </x:c>
      <x:c r="H33" s="12" t="n">
        <x:f>D33*(F33-E33)</x:f>
        <x:v>491.1359799999935</x:v>
      </x:c>
      <x:c r="I33" s="12" t="n">
        <x:f>SUM(G33:H33)</x:f>
        <x:v>491.1359799999935</x:v>
      </x:c>
      <x:c r="J33" s="12" t="n">
        <x:f>D33*E33</x:f>
        <x:v>82536.11366</x:v>
      </x:c>
      <x:c r="K33" s="14" t="n">
        <x:f>I33/J33</x:f>
        <x:v>0.005950558588488712</x:v>
      </x:c>
      <x:c r="L33" s="2" t="n">
        <x:v>1</x:v>
      </x:c>
      <x:c r="M33" s="2" t="n">
        <x:v>1</x:v>
      </x:c>
    </x:row>
    <x:row r="34" ht="23" customHeight="1">
      <x:c r="A34" s="2" t="n">
        <x:v>29</x:v>
      </x:c>
      <x:c r="B34" s="11" t="d">
        <x:v>2016-06-22T00:00:00.000Z</x:v>
      </x:c>
      <x:c r="C34" s="11" t="d">
        <x:v>2016-06-27T00:00:00.000Z</x:v>
      </x:c>
      <x:c r="D34" s="13" t="n">
        <x:v>397</x:v>
      </x:c>
      <x:c r="E34" s="12" t="n">
        <x:v>208.85865</x:v>
      </x:c>
      <x:c r="F34" s="12" t="n">
        <x:v>201.38841</x:v>
      </x:c>
      <x:c r="G34" s="12" t="n">
        <x:v>0</x:v>
      </x:c>
      <x:c r="H34" s="12" t="n">
        <x:f>D34*(F34-E34)</x:f>
        <x:v>-2965.6852800000074</x:v>
      </x:c>
      <x:c r="I34" s="12" t="n">
        <x:f>SUM(G34:H34)</x:f>
        <x:v>-2965.6852800000074</x:v>
      </x:c>
      <x:c r="J34" s="12" t="n">
        <x:f>D34*E34</x:f>
        <x:v>82916.88405000001</x:v>
      </x:c>
      <x:c r="K34" s="14" t="n">
        <x:f>I34/J34</x:f>
        <x:v>-0.035766964882709036</x:v>
      </x:c>
      <x:c r="L34" s="2" t="n">
        <x:v>1</x:v>
      </x:c>
      <x:c r="M34" s="2" t="n">
        <x:v>3</x:v>
      </x:c>
    </x:row>
    <x:row r="35" ht="23" customHeight="1">
      <x:c r="A35" s="2" t="n">
        <x:v>30</x:v>
      </x:c>
      <x:c r="B35" s="11" t="d">
        <x:v>2016-07-01T00:00:00.000Z</x:v>
      </x:c>
      <x:c r="C35" s="11" t="d">
        <x:v>2016-09-12T00:00:00.000Z</x:v>
      </x:c>
      <x:c r="D35" s="13" t="n">
        <x:v>382</x:v>
      </x:c>
      <x:c r="E35" s="12" t="n">
        <x:v>209.68948</x:v>
      </x:c>
      <x:c r="F35" s="12" t="n">
        <x:v>212.17761</x:v>
      </x:c>
      <x:c r="G35" s="12" t="n">
        <x:v>0</x:v>
      </x:c>
      <x:c r="H35" s="12" t="n">
        <x:f>D35*(F35-E35)</x:f>
        <x:v>950.4656599999939</x:v>
      </x:c>
      <x:c r="I35" s="12" t="n">
        <x:f>SUM(G35:H35)</x:f>
        <x:v>950.4656599999939</x:v>
      </x:c>
      <x:c r="J35" s="12" t="n">
        <x:f>D35*E35</x:f>
        <x:v>80101.38136</x:v>
      </x:c>
      <x:c r="K35" s="14" t="n">
        <x:f>I35/J35</x:f>
        <x:v>0.011865783633971453</x:v>
      </x:c>
      <x:c r="L35" s="2" t="n">
        <x:v>1</x:v>
      </x:c>
      <x:c r="M35" s="2" t="n">
        <x:v>49</x:v>
      </x:c>
    </x:row>
    <x:row r="36" ht="23" customHeight="1">
      <x:c r="A36" s="2" t="n">
        <x:v>31</x:v>
      </x:c>
      <x:c r="B36" s="11" t="d">
        <x:v>2016-09-23T00:00:00.000Z</x:v>
      </x:c>
      <x:c r="C36" s="11" t="d">
        <x:v>2016-09-26T00:00:00.000Z</x:v>
      </x:c>
      <x:c r="D36" s="13" t="n">
        <x:v>373</x:v>
      </x:c>
      <x:c r="E36" s="12" t="n">
        <x:v>216.93672</x:v>
      </x:c>
      <x:c r="F36" s="12" t="n">
        <x:v>214.80498</x:v>
      </x:c>
      <x:c r="G36" s="12" t="n">
        <x:v>0</x:v>
      </x:c>
      <x:c r="H36" s="12" t="n">
        <x:f>D36*(F36-E36)</x:f>
        <x:v>-795.1390200000029</x:v>
      </x:c>
      <x:c r="I36" s="12" t="n">
        <x:f>SUM(G36:H36)</x:f>
        <x:v>-795.1390200000029</x:v>
      </x:c>
      <x:c r="J36" s="12" t="n">
        <x:f>D36*E36</x:f>
        <x:v>80917.39656000001</x:v>
      </x:c>
      <x:c r="K36" s="14" t="n">
        <x:f>I36/J36</x:f>
        <x:v>-0.009826552185356207</x:v>
      </x:c>
      <x:c r="L36" s="2" t="n">
        <x:v>1</x:v>
      </x:c>
      <x:c r="M36" s="2" t="n">
        <x:v>1</x:v>
      </x:c>
    </x:row>
    <x:row r="37" ht="23" customHeight="1">
      <x:c r="A37" s="2" t="n">
        <x:v>32</x:v>
      </x:c>
      <x:c r="B37" s="11" t="d">
        <x:v>2016-11-10T00:00:00.000Z</x:v>
      </x:c>
      <x:c r="C37" s="11" t="d">
        <x:v>2017-04-13T00:00:00.000Z</x:v>
      </x:c>
      <x:c r="D37" s="13" t="n">
        <x:v>369</x:v>
      </x:c>
      <x:c r="E37" s="12" t="n">
        <x:v>217.5173</x:v>
      </x:c>
      <x:c r="F37" s="12" t="n">
        <x:v>233.40636</x:v>
      </x:c>
      <x:c r="G37" s="12" t="n">
        <x:v>871.595712</x:v>
      </x:c>
      <x:c r="H37" s="12" t="n">
        <x:f>D37*(F37-E37)</x:f>
        <x:v>5863.06314</x:v>
      </x:c>
      <x:c r="I37" s="12" t="n">
        <x:f>SUM(G37:H37)</x:f>
        <x:v>6734.6588520000005</x:v>
      </x:c>
      <x:c r="J37" s="12" t="n">
        <x:f>D37*E37</x:f>
        <x:v>80263.8837</x:v>
      </x:c>
      <x:c r="K37" s="14" t="n">
        <x:f>I37/J37</x:f>
        <x:v>0.08390646629026749</x:v>
      </x:c>
      <x:c r="L37" s="2" t="n">
        <x:v>1</x:v>
      </x:c>
      <x:c r="M37" s="2" t="n">
        <x:v>105</x:v>
      </x:c>
    </x:row>
    <x:row r="38" ht="23" customHeight="1">
      <x:c r="A38" s="2" t="n">
        <x:v>33</x:v>
      </x:c>
      <x:c r="B38" s="11" t="d">
        <x:v>2017-04-25T00:00:00.000Z</x:v>
      </x:c>
      <x:c r="C38" s="11" t="d">
        <x:v>2017-05-18T00:00:00.000Z</x:v>
      </x:c>
      <x:c r="D38" s="13" t="n">
        <x:v>363</x:v>
      </x:c>
      <x:c r="E38" s="12" t="n">
        <x:v>238.14791</x:v>
      </x:c>
      <x:c r="F38" s="12" t="n">
        <x:v>235.49427</x:v>
      </x:c>
      <x:c r="G38" s="12" t="n">
        <x:v>0</x:v>
      </x:c>
      <x:c r="H38" s="12" t="n">
        <x:f>D38*(F38-E38)</x:f>
        <x:v>-963.2713199999985</x:v>
      </x:c>
      <x:c r="I38" s="12" t="n">
        <x:f>SUM(G38:H38)</x:f>
        <x:v>-963.2713199999985</x:v>
      </x:c>
      <x:c r="J38" s="12" t="n">
        <x:f>D38*E38</x:f>
        <x:v>86447.69133</x:v>
      </x:c>
      <x:c r="K38" s="14" t="n">
        <x:f>I38/J38</x:f>
        <x:v>-0.01114282296241859</x:v>
      </x:c>
      <x:c r="L38" s="2" t="n">
        <x:v>1</x:v>
      </x:c>
      <x:c r="M38" s="2" t="n">
        <x:v>17</x:v>
      </x:c>
    </x:row>
    <x:row r="39" ht="23" customHeight="1">
      <x:c r="A39" s="2" t="n">
        <x:v>34</x:v>
      </x:c>
      <x:c r="B39" s="11" t="d">
        <x:v>2017-05-19T00:00:00.000Z</x:v>
      </x:c>
      <x:c r="C39" s="11" t="d">
        <x:v>2017-07-07T00:00:00.000Z</x:v>
      </x:c>
      <x:c r="D39" s="13" t="n">
        <x:v>362</x:v>
      </x:c>
      <x:c r="E39" s="12" t="n">
        <x:v>237.56733</x:v>
      </x:c>
      <x:c r="F39" s="12" t="n">
        <x:v>240.96879</x:v>
      </x:c>
      <x:c r="G39" s="12" t="n">
        <x:v>428.285096</x:v>
      </x:c>
      <x:c r="H39" s="12" t="n">
        <x:f>D39*(F39-E39)</x:f>
        <x:v>1231.3285200000053</x:v>
      </x:c>
      <x:c r="I39" s="12" t="n">
        <x:f>SUM(G39:H39)</x:f>
        <x:v>1659.6136160000053</x:v>
      </x:c>
      <x:c r="J39" s="12" t="n">
        <x:f>D39*E39</x:f>
        <x:v>85999.37346</x:v>
      </x:c>
      <x:c r="K39" s="14" t="n">
        <x:f>I39/J39</x:f>
        <x:v>0.019297973336653715</x:v>
      </x:c>
      <x:c r="L39" s="2" t="n">
        <x:v>1</x:v>
      </x:c>
      <x:c r="M39" s="2" t="n">
        <x:v>33</x:v>
      </x:c>
    </x:row>
    <x:row r="40" ht="23" customHeight="1">
      <x:c r="A40" s="2" t="n">
        <x:v>35</x:v>
      </x:c>
      <x:c r="B40" s="11" t="d">
        <x:v>2017-07-10T00:00:00.000Z</x:v>
      </x:c>
      <x:c r="C40" s="11" t="d">
        <x:v>2017-08-11T00:00:00.000Z</x:v>
      </x:c>
      <x:c r="D40" s="13" t="n">
        <x:v>360</x:v>
      </x:c>
      <x:c r="E40" s="12" t="n">
        <x:v>242.35211</x:v>
      </x:c>
      <x:c r="F40" s="12" t="n">
        <x:v>243.77598</x:v>
      </x:c>
      <x:c r="G40" s="12" t="n">
        <x:v>0</x:v>
      </x:c>
      <x:c r="H40" s="12" t="n">
        <x:f>D40*(F40-E40)</x:f>
        <x:v>512.5931999999978</x:v>
      </x:c>
      <x:c r="I40" s="12" t="n">
        <x:f>SUM(G40:H40)</x:f>
        <x:v>512.5931999999978</x:v>
      </x:c>
      <x:c r="J40" s="12" t="n">
        <x:f>D40*E40</x:f>
        <x:v>87246.7596</x:v>
      </x:c>
      <x:c r="K40" s="14" t="n">
        <x:f>I40/J40</x:f>
        <x:v>0.005875211897267961</x:v>
      </x:c>
      <x:c r="L40" s="2" t="n">
        <x:v>1</x:v>
      </x:c>
      <x:c r="M40" s="2" t="n">
        <x:v>24</x:v>
      </x:c>
    </x:row>
    <x:row r="41" ht="23" customHeight="1">
      <x:c r="A41" s="2" t="n">
        <x:v>36</x:v>
      </x:c>
      <x:c r="B41" s="11" t="d">
        <x:v>2017-08-15T00:00:00.000Z</x:v>
      </x:c>
      <x:c r="C41" s="11" t="d">
        <x:v>2017-08-18T00:00:00.000Z</x:v>
      </x:c>
      <x:c r="D41" s="13" t="n">
        <x:v>356</x:v>
      </x:c>
      <x:c r="E41" s="12" t="n">
        <x:v>247.22698</x:v>
      </x:c>
      <x:c r="F41" s="12" t="n">
        <x:v>242.6571</x:v>
      </x:c>
      <x:c r="G41" s="12" t="n">
        <x:v>0</x:v>
      </x:c>
      <x:c r="H41" s="12" t="n">
        <x:f>D41*(F41-E41)</x:f>
        <x:v>-1626.8772799999942</x:v>
      </x:c>
      <x:c r="I41" s="12" t="n">
        <x:f>SUM(G41:H41)</x:f>
        <x:v>-1626.8772799999942</x:v>
      </x:c>
      <x:c r="J41" s="12" t="n">
        <x:f>D41*E41</x:f>
        <x:v>88012.80488</x:v>
      </x:c>
      <x:c r="K41" s="14" t="n">
        <x:f>I41/J41</x:f>
        <x:v>-0.018484552131001173</x:v>
      </x:c>
      <x:c r="L41" s="2" t="n">
        <x:v>1</x:v>
      </x:c>
      <x:c r="M41" s="2" t="n">
        <x:v>3</x:v>
      </x:c>
    </x:row>
    <x:row r="42" ht="23" customHeight="1">
      <x:c r="A42" s="2" t="n">
        <x:v>37</x:v>
      </x:c>
      <x:c r="B42" s="11" t="d">
        <x:v>2017-08-23T00:00:00.000Z</x:v>
      </x:c>
      <x:c r="C42" s="11" t="d">
        <x:v>2017-08-24T00:00:00.000Z</x:v>
      </x:c>
      <x:c r="D42" s="13" t="n">
        <x:v>354</x:v>
      </x:c>
      <x:c r="E42" s="12" t="n">
        <x:v>244.57433</x:v>
      </x:c>
      <x:c r="F42" s="12" t="n">
        <x:v>244.755</x:v>
      </x:c>
      <x:c r="G42" s="12" t="n">
        <x:v>0</x:v>
      </x:c>
      <x:c r="H42" s="12" t="n">
        <x:f>D42*(F42-E42)</x:f>
        <x:v>63.95717999999721</x:v>
      </x:c>
      <x:c r="I42" s="12" t="n">
        <x:f>SUM(G42:H42)</x:f>
        <x:v>63.95717999999721</x:v>
      </x:c>
      <x:c r="J42" s="12" t="n">
        <x:f>D42*E42</x:f>
        <x:v>86579.31282</x:v>
      </x:c>
      <x:c r="K42" s="14" t="n">
        <x:f>I42/J42</x:f>
        <x:v>0.0007387120308169386</x:v>
      </x:c>
      <x:c r="L42" s="2" t="n">
        <x:v>1</x:v>
      </x:c>
      <x:c r="M42" s="2" t="n">
        <x:v>1</x:v>
      </x:c>
    </x:row>
    <x:row r="43" ht="23" customHeight="1">
      <x:c r="A43" s="2" t="n">
        <x:v>38</x:v>
      </x:c>
      <x:c r="B43" s="11" t="d">
        <x:v>2017-08-30T00:00:00.000Z</x:v>
      </x:c>
      <x:c r="C43" s="11" t="d">
        <x:v>2018-02-06T00:00:00.000Z</x:v>
      </x:c>
      <x:c r="D43" s="13" t="n">
        <x:v>353</x:v>
      </x:c>
      <x:c r="E43" s="12" t="n">
        <x:v>245.07483</x:v>
      </x:c>
      <x:c r="F43" s="12" t="n">
        <x:v>259.68006</x:v>
      </x:c>
      <x:c r="G43" s="12" t="n">
        <x:v>912.825171</x:v>
      </x:c>
      <x:c r="H43" s="12" t="n">
        <x:f>D43*(F43-E43)</x:f>
        <x:v>5155.646190000012</x:v>
      </x:c>
      <x:c r="I43" s="12" t="n">
        <x:f>SUM(G43:H43)</x:f>
        <x:v>6068.471361000013</x:v>
      </x:c>
      <x:c r="J43" s="12" t="n">
        <x:f>D43*E43</x:f>
        <x:v>86511.41498999999</x:v>
      </x:c>
      <x:c r="K43" s="14" t="n">
        <x:f>I43/J43</x:f>
        <x:v>0.07014648138284962</x:v>
      </x:c>
      <x:c r="L43" s="2" t="n">
        <x:v>1</x:v>
      </x:c>
      <x:c r="M43" s="2" t="n">
        <x:v>109</x:v>
      </x:c>
    </x:row>
    <x:row r="44" ht="23" customHeight="1">
      <x:c r="A44" s="2" t="n">
        <x:v>39</x:v>
      </x:c>
      <x:c r="B44" s="11" t="d">
        <x:v>2018-02-16T00:00:00.000Z</x:v>
      </x:c>
      <x:c r="C44" s="11" t="d">
        <x:v>2018-02-21T00:00:00.000Z</x:v>
      </x:c>
      <x:c r="D44" s="13" t="n">
        <x:v>340</x:v>
      </x:c>
      <x:c r="E44" s="12" t="n">
        <x:v>272.59232</x:v>
      </x:c>
      <x:c r="F44" s="12" t="n">
        <x:v>271.6281</x:v>
      </x:c>
      <x:c r="G44" s="12" t="n">
        <x:v>0</x:v>
      </x:c>
      <x:c r="H44" s="12" t="n">
        <x:f>D44*(F44-E44)</x:f>
        <x:v>-327.8347999999846</x:v>
      </x:c>
      <x:c r="I44" s="12" t="n">
        <x:f>SUM(G44:H44)</x:f>
        <x:v>-327.8347999999846</x:v>
      </x:c>
      <x:c r="J44" s="12" t="n">
        <x:f>D44*E44</x:f>
        <x:v>92681.38879999999</x:v>
      </x:c>
      <x:c r="K44" s="14" t="n">
        <x:f>I44/J44</x:f>
        <x:v>-0.0035372236459191328</x:v>
      </x:c>
      <x:c r="L44" s="2" t="n">
        <x:v>1</x:v>
      </x:c>
      <x:c r="M44" s="2" t="n">
        <x:v>2</x:v>
      </x:c>
    </x:row>
    <x:row r="45" ht="23" customHeight="1">
      <x:c r="A45" s="2" t="n">
        <x:v>40</x:v>
      </x:c>
      <x:c r="B45" s="11" t="d">
        <x:v>2018-02-26T00:00:00.000Z</x:v>
      </x:c>
      <x:c r="C45" s="11" t="d">
        <x:v>2018-03-01T00:00:00.000Z</x:v>
      </x:c>
      <x:c r="D45" s="13" t="n">
        <x:v>334</x:v>
      </x:c>
      <x:c r="E45" s="12" t="n">
        <x:v>276.20593</x:v>
      </x:c>
      <x:c r="F45" s="12" t="n">
        <x:v>271.13859</x:v>
      </x:c>
      <x:c r="G45" s="12" t="n">
        <x:v>0</x:v>
      </x:c>
      <x:c r="H45" s="12" t="n">
        <x:f>D45*(F45-E45)</x:f>
        <x:v>-1692.4915600000004</x:v>
      </x:c>
      <x:c r="I45" s="12" t="n">
        <x:f>SUM(G45:H45)</x:f>
        <x:v>-1692.4915600000004</x:v>
      </x:c>
      <x:c r="J45" s="12" t="n">
        <x:f>D45*E45</x:f>
        <x:v>92252.78062</x:v>
      </x:c>
      <x:c r="K45" s="14" t="n">
        <x:f>I45/J45</x:f>
        <x:v>-0.018346238981907452</x:v>
      </x:c>
      <x:c r="L45" s="2" t="n">
        <x:v>1</x:v>
      </x:c>
      <x:c r="M45" s="2" t="n">
        <x:v>3</x:v>
      </x:c>
    </x:row>
    <x:row r="46" ht="23" customHeight="1">
      <x:c r="A46" s="2" t="n">
        <x:v>41</x:v>
      </x:c>
      <x:c r="B46" s="11" t="d">
        <x:v>2018-03-09T00:00:00.000Z</x:v>
      </x:c>
      <x:c r="C46" s="11" t="d">
        <x:v>2018-03-19T00:00:00.000Z</x:v>
      </x:c>
      <x:c r="D46" s="13" t="n">
        <x:v>328</x:v>
      </x:c>
      <x:c r="E46" s="12" t="n">
        <x:v>275.9757</x:v>
      </x:c>
      <x:c r="F46" s="12" t="n">
        <x:v>273.07665</x:v>
      </x:c>
      <x:c r="G46" s="12" t="n">
        <x:v>359.7422</x:v>
      </x:c>
      <x:c r="H46" s="12" t="n">
        <x:f>D46*(F46-E46)</x:f>
        <x:v>-950.8884000000148</x:v>
      </x:c>
      <x:c r="I46" s="12" t="n">
        <x:f>SUM(G46:H46)</x:f>
        <x:v>-591.1462000000148</x:v>
      </x:c>
      <x:c r="J46" s="12" t="n">
        <x:f>D46*E46</x:f>
        <x:v>90520.02960000001</x:v>
      </x:c>
      <x:c r="K46" s="14" t="n">
        <x:f>I46/J46</x:f>
        <x:v>-0.006530556856998804</x:v>
      </x:c>
      <x:c r="L46" s="2" t="n">
        <x:v>1</x:v>
      </x:c>
      <x:c r="M46" s="2" t="n">
        <x:v>6</x:v>
      </x:c>
    </x:row>
    <x:row r="47" ht="23" customHeight="1">
      <x:c r="A47" s="2" t="n">
        <x:v>42</x:v>
      </x:c>
      <x:c r="B47" s="11" t="d">
        <x:v>2018-04-18T00:00:00.000Z</x:v>
      </x:c>
      <x:c r="C47" s="11" t="d">
        <x:v>2018-04-23T00:00:00.000Z</x:v>
      </x:c>
      <x:c r="D47" s="13" t="n">
        <x:v>331</x:v>
      </x:c>
      <x:c r="E47" s="12" t="n">
        <x:v>270.96069</x:v>
      </x:c>
      <x:c r="F47" s="12" t="n">
        <x:v>266.99274</x:v>
      </x:c>
      <x:c r="G47" s="12" t="n">
        <x:v>0</x:v>
      </x:c>
      <x:c r="H47" s="12" t="n">
        <x:f>D47*(F47-E47)</x:f>
        <x:v>-1313.3914499999912</x:v>
      </x:c>
      <x:c r="I47" s="12" t="n">
        <x:f>SUM(G47:H47)</x:f>
        <x:v>-1313.3914499999912</x:v>
      </x:c>
      <x:c r="J47" s="12" t="n">
        <x:f>D47*E47</x:f>
        <x:v>89687.98839</x:v>
      </x:c>
      <x:c r="K47" s="14" t="n">
        <x:f>I47/J47</x:f>
        <x:v>-0.014644006110258921</x:v>
      </x:c>
      <x:c r="L47" s="2" t="n">
        <x:v>1</x:v>
      </x:c>
      <x:c r="M47" s="2" t="n">
        <x:v>3</x:v>
      </x:c>
    </x:row>
    <x:row r="48" ht="23" customHeight="1">
      <x:c r="A48" s="2" t="n">
        <x:v>43</x:v>
      </x:c>
      <x:c r="B48" s="11" t="d">
        <x:v>2018-05-10T00:00:00.000Z</x:v>
      </x:c>
      <x:c r="C48" s="11" t="d">
        <x:v>2018-06-26T00:00:00.000Z</x:v>
      </x:c>
      <x:c r="D48" s="13" t="n">
        <x:v>328</x:v>
      </x:c>
      <x:c r="E48" s="12" t="n">
        <x:v>270.61034</x:v>
      </x:c>
      <x:c r="F48" s="12" t="n">
        <x:v>271.36836</x:v>
      </x:c>
      <x:c r="G48" s="12" t="n">
        <x:v>408.546304</x:v>
      </x:c>
      <x:c r="H48" s="12" t="n">
        <x:f>D48*(F48-E48)</x:f>
        <x:v>248.63055999999597</x:v>
      </x:c>
      <x:c r="I48" s="12" t="n">
        <x:f>SUM(G48:H48)</x:f>
        <x:v>657.1768639999959</x:v>
      </x:c>
      <x:c r="J48" s="12" t="n">
        <x:f>D48*E48</x:f>
        <x:v>88760.19152000001</x:v>
      </x:c>
      <x:c r="K48" s="14" t="n">
        <x:f>I48/J48</x:f>
        <x:v>0.007403959508716435</x:v>
      </x:c>
      <x:c r="L48" s="2" t="n">
        <x:v>1</x:v>
      </x:c>
      <x:c r="M48" s="2" t="n">
        <x:v>32</x:v>
      </x:c>
    </x:row>
    <x:row r="49" ht="23" customHeight="1">
      <x:c r="A49" s="2" t="n">
        <x:v>44</x:v>
      </x:c>
      <x:c r="B49" s="11" t="d">
        <x:v>2018-06-27T00:00:00.000Z</x:v>
      </x:c>
      <x:c r="C49" s="11" t="d">
        <x:v>2018-06-28T00:00:00.000Z</x:v>
      </x:c>
      <x:c r="D49" s="13" t="n">
        <x:v>326</x:v>
      </x:c>
      <x:c r="E49" s="12" t="n">
        <x:v>272.53226</x:v>
      </x:c>
      <x:c r="F49" s="12" t="n">
        <x:v>269.02071</x:v>
      </x:c>
      <x:c r="G49" s="12" t="n">
        <x:v>0</x:v>
      </x:c>
      <x:c r="H49" s="12" t="n">
        <x:f>D49*(F49-E49)</x:f>
        <x:v>-1144.7653</x:v>
      </x:c>
      <x:c r="I49" s="12" t="n">
        <x:f>SUM(G49:H49)</x:f>
        <x:v>-1144.7653</x:v>
      </x:c>
      <x:c r="J49" s="12" t="n">
        <x:f>D49*E49</x:f>
        <x:v>88845.51676</x:v>
      </x:c>
      <x:c r="K49" s="14" t="n">
        <x:f>I49/J49</x:f>
        <x:v>-0.012884896635723052</x:v>
      </x:c>
      <x:c r="L49" s="2" t="n">
        <x:v>1</x:v>
      </x:c>
      <x:c r="M49" s="2" t="n">
        <x:v>1</x:v>
      </x:c>
    </x:row>
    <x:row r="50" ht="23" customHeight="1">
      <x:c r="A50" s="2" t="n">
        <x:v>45</x:v>
      </x:c>
      <x:c r="B50" s="11" t="d">
        <x:v>2018-07-03T00:00:00.000Z</x:v>
      </x:c>
      <x:c r="C50" s="11" t="d">
        <x:v>2018-07-05T00:00:00.000Z</x:v>
      </x:c>
      <x:c r="D50" s="13" t="n">
        <x:v>321</x:v>
      </x:c>
      <x:c r="E50" s="12" t="n">
        <x:v>273.14287</x:v>
      </x:c>
      <x:c r="F50" s="12" t="n">
        <x:v>271.89783</x:v>
      </x:c>
      <x:c r="G50" s="12" t="n">
        <x:v>0</x:v>
      </x:c>
      <x:c r="H50" s="12" t="n">
        <x:f>D50*(F50-E50)</x:f>
        <x:v>-399.65784000000554</x:v>
      </x:c>
      <x:c r="I50" s="12" t="n">
        <x:f>SUM(G50:H50)</x:f>
        <x:v>-399.65784000000554</x:v>
      </x:c>
      <x:c r="J50" s="12" t="n">
        <x:f>D50*E50</x:f>
        <x:v>87678.86127000001</x:v>
      </x:c>
      <x:c r="K50" s="14" t="n">
        <x:f>I50/J50</x:f>
        <x:v>-0.004558200622260493</x:v>
      </x:c>
      <x:c r="L50" s="2" t="n">
        <x:v>1</x:v>
      </x:c>
      <x:c r="M50" s="2" t="n">
        <x:v>1</x:v>
      </x:c>
    </x:row>
    <x:row r="51" ht="23" customHeight="1">
      <x:c r="A51" s="2" t="n">
        <x:v>46</x:v>
      </x:c>
      <x:c r="B51" s="11" t="d">
        <x:v>2018-07-06T00:00:00.000Z</x:v>
      </x:c>
      <x:c r="C51" s="11" t="d">
        <x:v>2018-10-10T00:00:00.000Z</x:v>
      </x:c>
      <x:c r="D51" s="13" t="n">
        <x:v>320</x:v>
      </x:c>
      <x:c r="E51" s="12" t="n">
        <x:v>273.41314</x:v>
      </x:c>
      <x:c r="F51" s="12" t="n">
        <x:v>286.54317</x:v>
      </x:c>
      <x:c r="G51" s="12" t="n">
        <x:v>423.23552</x:v>
      </x:c>
      <x:c r="H51" s="12" t="n">
        <x:f>D51*(F51-E51)</x:f>
        <x:v>4201.6095999999925</x:v>
      </x:c>
      <x:c r="I51" s="12" t="n">
        <x:f>SUM(G51:H51)</x:f>
        <x:v>4624.845119999993</x:v>
      </x:c>
      <x:c r="J51" s="12" t="n">
        <x:f>D51*E51</x:f>
        <x:v>87492.2048</x:v>
      </x:c>
      <x:c r="K51" s="14" t="n">
        <x:f>I51/J51</x:f>
        <x:v>0.05286008199898504</x:v>
      </x:c>
      <x:c r="L51" s="2" t="n">
        <x:v>1</x:v>
      </x:c>
      <x:c r="M51" s="2" t="n">
        <x:v>67</x:v>
      </x:c>
    </x:row>
    <x:row r="52" ht="23" customHeight="1">
      <x:c r="A52" s="2" t="n">
        <x:v>47</x:v>
      </x:c>
      <x:c r="B52" s="11" t="d">
        <x:v>2018-12-04T00:00:00.000Z</x:v>
      </x:c>
      <x:c r="C52" s="11" t="d">
        <x:v>2018-12-06T00:00:00.000Z</x:v>
      </x:c>
      <x:c r="D52" s="13" t="n">
        <x:v>332</x:v>
      </x:c>
      <x:c r="E52" s="12" t="n">
        <x:v>278.64837</x:v>
      </x:c>
      <x:c r="F52" s="12" t="n">
        <x:v>265.65408</x:v>
      </x:c>
      <x:c r="G52" s="12" t="n">
        <x:v>0</x:v>
      </x:c>
      <x:c r="H52" s="12" t="n">
        <x:f>D52*(F52-E52)</x:f>
        <x:v>-4314.104279999992</x:v>
      </x:c>
      <x:c r="I52" s="12" t="n">
        <x:f>SUM(G52:H52)</x:f>
        <x:v>-4314.104279999992</x:v>
      </x:c>
      <x:c r="J52" s="12" t="n">
        <x:f>D52*E52</x:f>
        <x:v>92511.25884</x:v>
      </x:c>
      <x:c r="K52" s="14" t="n">
        <x:f>I52/J52</x:f>
        <x:v>-0.04663328911631522</x:v>
      </x:c>
      <x:c r="L52" s="2" t="n">
        <x:v>1</x:v>
      </x:c>
      <x:c r="M52" s="2" t="n">
        <x:v>1</x:v>
      </x:c>
    </x:row>
    <x:row r="53" ht="23" customHeight="1">
      <x:c r="A53" s="2" t="n">
        <x:v>48</x:v>
      </x:c>
      <x:c r="B53" s="11" t="d">
        <x:v>2019-01-18T00:00:00.000Z</x:v>
      </x:c>
      <x:c r="C53" s="11" t="d">
        <x:v>2019-05-14T00:00:00.000Z</x:v>
      </x:c>
      <x:c r="D53" s="13" t="n">
        <x:v>332</x:v>
      </x:c>
      <x:c r="E53" s="12" t="n">
        <x:v>265.24498</x:v>
      </x:c>
      <x:c r="F53" s="12" t="n">
        <x:v>281.70801</x:v>
      </x:c>
      <x:c r="G53" s="12" t="n">
        <x:v>409.395508</x:v>
      </x:c>
      <x:c r="H53" s="12" t="n">
        <x:f>D53*(F53-E53)</x:f>
        <x:v>5465.725960000002</x:v>
      </x:c>
      <x:c r="I53" s="12" t="n">
        <x:f>SUM(G53:H53)</x:f>
        <x:v>5875.121468000001</x:v>
      </x:c>
      <x:c r="J53" s="12" t="n">
        <x:f>D53*E53</x:f>
        <x:v>88061.33336</x:v>
      </x:c>
      <x:c r="K53" s="14" t="n">
        <x:f>I53/J53</x:f>
        <x:v>0.06671624473345358</x:v>
      </x:c>
      <x:c r="L53" s="2" t="n">
        <x:v>1</x:v>
      </x:c>
      <x:c r="M53" s="2" t="n">
        <x:v>79</x:v>
      </x:c>
    </x:row>
    <x:row r="54" ht="23" customHeight="1">
      <x:c r="A54" s="2" t="n">
        <x:v>49</x:v>
      </x:c>
      <x:c r="B54" s="11" t="d">
        <x:v>2019-05-17T00:00:00.000Z</x:v>
      </x:c>
      <x:c r="C54" s="11" t="d">
        <x:v>2019-05-20T00:00:00.000Z</x:v>
      </x:c>
      <x:c r="D54" s="13" t="n">
        <x:v>329</x:v>
      </x:c>
      <x:c r="E54" s="12" t="n">
        <x:v>285.42514</x:v>
      </x:c>
      <x:c r="F54" s="12" t="n">
        <x:v>283.77594</x:v>
      </x:c>
      <x:c r="G54" s="12" t="n">
        <x:v>0</x:v>
      </x:c>
      <x:c r="H54" s="12" t="n">
        <x:f>D54*(F54-E54)</x:f>
        <x:v>-542.5868000000025</x:v>
      </x:c>
      <x:c r="I54" s="12" t="n">
        <x:f>SUM(G54:H54)</x:f>
        <x:v>-542.5868000000025</x:v>
      </x:c>
      <x:c r="J54" s="12" t="n">
        <x:f>D54*E54</x:f>
        <x:v>93904.87106</x:v>
      </x:c>
      <x:c r="K54" s="14" t="n">
        <x:f>I54/J54</x:f>
        <x:v>-0.005778047441791594</x:v>
      </x:c>
      <x:c r="L54" s="2" t="n">
        <x:v>1</x:v>
      </x:c>
      <x:c r="M54" s="2" t="n">
        <x:v>1</x:v>
      </x:c>
    </x:row>
    <x:row r="55" ht="23" customHeight="1">
      <x:c r="A55" s="2" t="n">
        <x:v>50</x:v>
      </x:c>
      <x:c r="B55" s="11" t="d">
        <x:v>2019-06-10T00:00:00.000Z</x:v>
      </x:c>
      <x:c r="C55" s="11" t="d">
        <x:v>2019-08-06T00:00:00.000Z</x:v>
      </x:c>
      <x:c r="D55" s="13" t="n">
        <x:v>323</x:v>
      </x:c>
      <x:c r="E55" s="12" t="n">
        <x:v>289.65937</x:v>
      </x:c>
      <x:c r="F55" s="12" t="n">
        <x:v>285.62409</x:v>
      </x:c>
      <x:c r="G55" s="12" t="n">
        <x:v>462.41972</x:v>
      </x:c>
      <x:c r="H55" s="12" t="n">
        <x:f>D55*(F55-E55)</x:f>
        <x:v>-1303.39544</x:v>
      </x:c>
      <x:c r="I55" s="12" t="n">
        <x:f>SUM(G55:H55)</x:f>
        <x:v>-840.97572</x:v>
      </x:c>
      <x:c r="J55" s="12" t="n">
        <x:f>D55*E55</x:f>
        <x:v>93559.97651000001</x:v>
      </x:c>
      <x:c r="K55" s="14" t="n">
        <x:f>I55/J55</x:f>
        <x:v>-0.008988626882672568</x:v>
      </x:c>
      <x:c r="L55" s="2" t="n">
        <x:v>1</x:v>
      </x:c>
      <x:c r="M55" s="2" t="n">
        <x:v>40</x:v>
      </x:c>
    </x:row>
    <x:row r="56" ht="23" customHeight="1">
      <x:c r="A56" s="2" t="n">
        <x:v>51</x:v>
      </x:c>
      <x:c r="B56" s="11" t="d">
        <x:v>2019-08-09T00:00:00.000Z</x:v>
      </x:c>
      <x:c r="C56" s="11" t="d">
        <x:v>2019-08-12T00:00:00.000Z</x:v>
      </x:c>
      <x:c r="D56" s="13" t="n">
        <x:v>316</x:v>
      </x:c>
      <x:c r="E56" s="12" t="n">
        <x:v>292.87258</x:v>
      </x:c>
      <x:c r="F56" s="12" t="n">
        <x:v>289.67004</x:v>
      </x:c>
      <x:c r="G56" s="12" t="n">
        <x:v>0</x:v>
      </x:c>
      <x:c r="H56" s="12" t="n">
        <x:f>D56*(F56-E56)</x:f>
        <x:v>-1012.0026400000177</x:v>
      </x:c>
      <x:c r="I56" s="12" t="n">
        <x:f>SUM(G56:H56)</x:f>
        <x:v>-1012.0026400000177</x:v>
      </x:c>
      <x:c r="J56" s="12" t="n">
        <x:f>D56*E56</x:f>
        <x:v>92547.73528000001</x:v>
      </x:c>
      <x:c r="K56" s="14" t="n">
        <x:f>I56/J56</x:f>
        <x:v>-0.010934926035069776</x:v>
      </x:c>
      <x:c r="L56" s="2" t="n">
        <x:v>1</x:v>
      </x:c>
      <x:c r="M56" s="2" t="n">
        <x:v>1</x:v>
      </x:c>
    </x:row>
    <x:row r="57" ht="23" customHeight="1">
      <x:c r="A57" s="2" t="n">
        <x:v>52</x:v>
      </x:c>
      <x:c r="B57" s="11" t="d">
        <x:v>2019-09-05T00:00:00.000Z</x:v>
      </x:c>
      <x:c r="C57" s="11" t="d">
        <x:v>2019-10-02T00:00:00.000Z</x:v>
      </x:c>
      <x:c r="D57" s="13" t="n">
        <x:v>308</x:v>
      </x:c>
      <x:c r="E57" s="12" t="n">
        <x:v>297.08679</x:v>
      </x:c>
      <x:c r="F57" s="12" t="n">
        <x:v>291.2085</x:v>
      </x:c>
      <x:c r="G57" s="12" t="n">
        <x:v>426.154652</x:v>
      </x:c>
      <x:c r="H57" s="12" t="n">
        <x:f>D57*(F57-E57)</x:f>
        <x:v>-1810.5133199999977</x:v>
      </x:c>
      <x:c r="I57" s="12" t="n">
        <x:f>SUM(G57:H57)</x:f>
        <x:v>-1384.3586679999978</x:v>
      </x:c>
      <x:c r="J57" s="12" t="n">
        <x:f>D57*E57</x:f>
        <x:v>91502.73132</x:v>
      </x:c>
      <x:c r="K57" s="14" t="n">
        <x:f>I57/J57</x:f>
        <x:v>-0.015129151316354365</x:v>
      </x:c>
      <x:c r="L57" s="2" t="n">
        <x:v>1</x:v>
      </x:c>
      <x:c r="M57" s="2" t="n">
        <x:v>19</x:v>
      </x:c>
    </x:row>
    <x:row r="58" ht="23" customHeight="1">
      <x:c r="A58" s="2" t="n">
        <x:v>53</x:v>
      </x:c>
      <x:c r="B58" s="11" t="d">
        <x:v>2019-10-07T00:00:00.000Z</x:v>
      </x:c>
      <x:c r="C58" s="11" t="d">
        <x:v>2019-10-08T00:00:00.000Z</x:v>
      </x:c>
      <x:c r="D58" s="13" t="n">
        <x:v>306</x:v>
      </x:c>
      <x:c r="E58" s="12" t="n">
        <x:v>293.76347</x:v>
      </x:c>
      <x:c r="F58" s="12" t="n">
        <x:v>290.74896</x:v>
      </x:c>
      <x:c r="G58" s="12" t="n">
        <x:v>0</x:v>
      </x:c>
      <x:c r="H58" s="12" t="n">
        <x:f>D58*(F58-E58)</x:f>
        <x:v>-922.4400599999917</x:v>
      </x:c>
      <x:c r="I58" s="12" t="n">
        <x:f>SUM(G58:H58)</x:f>
        <x:v>-922.4400599999917</x:v>
      </x:c>
      <x:c r="J58" s="12" t="n">
        <x:f>D58*E58</x:f>
        <x:v>89891.62182</x:v>
      </x:c>
      <x:c r="K58" s="14" t="n">
        <x:f>I58/J58</x:f>
        <x:v>-0.010261691149004921</x:v>
      </x:c>
      <x:c r="L58" s="2" t="n">
        <x:v>1</x:v>
      </x:c>
      <x:c r="M58" s="2" t="n">
        <x:v>1</x:v>
      </x:c>
    </x:row>
    <x:row r="59" ht="23" customHeight="1">
      <x:c r="A59" s="2" t="n">
        <x:v>54</x:v>
      </x:c>
      <x:c r="B59" s="11" t="d">
        <x:v>2019-10-14T00:00:00.000Z</x:v>
      </x:c>
      <x:c r="C59" s="11" t="d">
        <x:v>2020-02-25T00:00:00.000Z</x:v>
      </x:c>
      <x:c r="D59" s="13" t="n">
        <x:v>300</x:v>
      </x:c>
      <x:c r="E59" s="12" t="n">
        <x:v>296.22593</x:v>
      </x:c>
      <x:c r="F59" s="12" t="n">
        <x:v>323.61606</x:v>
      </x:c>
      <x:c r="G59" s="12" t="n">
        <x:v>470.9976</x:v>
      </x:c>
      <x:c r="H59" s="12" t="n">
        <x:f>D59*(F59-E59)</x:f>
        <x:v>8217.039</x:v>
      </x:c>
      <x:c r="I59" s="12" t="n">
        <x:f>SUM(G59:H59)</x:f>
        <x:v>8688.036600000001</x:v>
      </x:c>
      <x:c r="J59" s="12" t="n">
        <x:f>D59*E59</x:f>
        <x:v>88867.779</x:v>
      </x:c>
      <x:c r="K59" s="14" t="n">
        <x:f>I59/J59</x:f>
        <x:v>0.0977636292677012</x:v>
      </x:c>
      <x:c r="L59" s="2" t="n">
        <x:v>1</x:v>
      </x:c>
      <x:c r="M59" s="2" t="n">
        <x:v>91</x:v>
      </x:c>
    </x:row>
    <x:row r="60" ht="23" customHeight="1">
      <x:c r="A60" s="2" t="n">
        <x:v>55</x:v>
      </x:c>
      <x:c r="B60" s="11" t="d">
        <x:v>2020-04-20T00:00:00.000Z</x:v>
      </x:c>
      <x:c r="C60" s="11" t="d">
        <x:v>2020-04-21T00:00:00.000Z</x:v>
      </x:c>
      <x:c r="D60" s="13" t="n">
        <x:v>346</x:v>
      </x:c>
      <x:c r="E60" s="12" t="n">
        <x:v>282.89261</x:v>
      </x:c>
      <x:c r="F60" s="12" t="n">
        <x:v>276.45327</x:v>
      </x:c>
      <x:c r="G60" s="12" t="n">
        <x:v>0</x:v>
      </x:c>
      <x:c r="H60" s="12" t="n">
        <x:f>D60*(F60-E60)</x:f>
        <x:v>-2228.011640000005</x:v>
      </x:c>
      <x:c r="I60" s="12" t="n">
        <x:f>SUM(G60:H60)</x:f>
        <x:v>-2228.011640000005</x:v>
      </x:c>
      <x:c r="J60" s="12" t="n">
        <x:f>D60*E60</x:f>
        <x:v>97880.84306</x:v>
      </x:c>
      <x:c r="K60" s="14" t="n">
        <x:f>I60/J60</x:f>
        <x:v>-0.022762489271105437</x:v>
      </x:c>
      <x:c r="L60" s="2" t="n">
        <x:v>1</x:v>
      </x:c>
      <x:c r="M60" s="2" t="n">
        <x:v>1</x:v>
      </x:c>
    </x:row>
    <x:row r="61" ht="23" customHeight="1">
      <x:c r="A61" s="2" t="n">
        <x:v>56</x:v>
      </x:c>
      <x:c r="B61" s="11" t="d">
        <x:v>2020-04-27T00:00:00.000Z</x:v>
      </x:c>
      <x:c r="C61" s="11" t="d">
        <x:v>2020-09-21T00:00:00.000Z</x:v>
      </x:c>
      <x:c r="D61" s="13" t="n">
        <x:v>335</x:v>
      </x:c>
      <x:c r="E61" s="12" t="n">
        <x:v>285.40512</x:v>
      </x:c>
      <x:c r="F61" s="12" t="n">
        <x:v>325.3743</x:v>
      </x:c>
      <x:c r="G61" s="12" t="n">
        <x:v>906.33111</x:v>
      </x:c>
      <x:c r="H61" s="12" t="n">
        <x:f>D61*(F61-E61)</x:f>
        <x:v>13389.675299999999</x:v>
      </x:c>
      <x:c r="I61" s="12" t="n">
        <x:f>SUM(G61:H61)</x:f>
        <x:v>14296.006409999998</x:v>
      </x:c>
      <x:c r="J61" s="12" t="n">
        <x:f>D61*E61</x:f>
        <x:v>95610.7152</x:v>
      </x:c>
      <x:c r="K61" s="14" t="n">
        <x:f>I61/J61</x:f>
        <x:v>0.14952305690942053</x:v>
      </x:c>
      <x:c r="L61" s="2" t="n">
        <x:v>1</x:v>
      </x:c>
      <x:c r="M61" s="2" t="n">
        <x:v>102</x:v>
      </x:c>
    </x:row>
    <x:row r="62" ht="23" customHeight="1">
      <x:c r="A62" s="2" t="n">
        <x:v>57</x:v>
      </x:c>
      <x:c r="B62" s="11" t="d">
        <x:v>2020-10-02T00:00:00.000Z</x:v>
      </x:c>
      <x:c r="C62" s="11" t="d">
        <x:v>2020-10-05T00:00:00.000Z</x:v>
      </x:c>
      <x:c r="D62" s="13" t="n">
        <x:v>330</x:v>
      </x:c>
      <x:c r="E62" s="12" t="n">
        <x:v>332.0317</x:v>
      </x:c>
      <x:c r="F62" s="12" t="n">
        <x:v>335.72394</x:v>
      </x:c>
      <x:c r="G62" s="12" t="n">
        <x:v>0</x:v>
      </x:c>
      <x:c r="H62" s="12" t="n">
        <x:f>D62*(F62-E62)</x:f>
        <x:v>1218.439200000009</x:v>
      </x:c>
      <x:c r="I62" s="12" t="n">
        <x:f>SUM(G62:H62)</x:f>
        <x:v>1218.439200000009</x:v>
      </x:c>
      <x:c r="J62" s="12" t="n">
        <x:f>D62*E62</x:f>
        <x:v>109570.461</x:v>
      </x:c>
      <x:c r="K62" s="14" t="n">
        <x:f>I62/J62</x:f>
        <x:v>0.011120143046582681</x:v>
      </x:c>
      <x:c r="L62" s="2" t="n">
        <x:v>1</x:v>
      </x:c>
      <x:c r="M62" s="2" t="n">
        <x:v>1</x:v>
      </x:c>
    </x:row>
    <x:row r="63" ht="23" customHeight="1">
      <x:c r="A63" s="2" t="n">
        <x:v>58</x:v>
      </x:c>
      <x:c r="B63" s="11" t="d">
        <x:v>2020-10-06T00:00:00.000Z</x:v>
      </x:c>
      <x:c r="C63" s="11" t="d">
        <x:v>2020-10-07T00:00:00.000Z</x:v>
      </x:c>
      <x:c r="D63" s="13" t="n">
        <x:v>326</x:v>
      </x:c>
      <x:c r="E63" s="12" t="n">
        <x:v>340.24991</x:v>
      </x:c>
      <x:c r="F63" s="12" t="n">
        <x:v>337.78188</x:v>
      </x:c>
      <x:c r="G63" s="12" t="n">
        <x:v>0</x:v>
      </x:c>
      <x:c r="H63" s="12" t="n">
        <x:f>D63*(F63-E63)</x:f>
        <x:v>-804.5777799999996</x:v>
      </x:c>
      <x:c r="I63" s="12" t="n">
        <x:f>SUM(G63:H63)</x:f>
        <x:v>-804.5777799999996</x:v>
      </x:c>
      <x:c r="J63" s="12" t="n">
        <x:f>D63*E63</x:f>
        <x:v>110921.47066</x:v>
      </x:c>
      <x:c r="K63" s="14" t="n">
        <x:f>I63/J63</x:f>
        <x:v>-0.007253580169940379</x:v>
      </x:c>
      <x:c r="L63" s="2" t="n">
        <x:v>1</x:v>
      </x:c>
      <x:c r="M63" s="2" t="n">
        <x:v>1</x:v>
      </x:c>
    </x:row>
    <x:row r="64" ht="23" customHeight="1">
      <x:c r="A64" s="2" t="n">
        <x:v>59</x:v>
      </x:c>
      <x:c r="B64" s="11" t="d">
        <x:v>2020-10-08T00:00:00.000Z</x:v>
      </x:c>
      <x:c r="C64" s="11" t="d">
        <x:v>2020-10-27T00:00:00.000Z</x:v>
      </x:c>
      <x:c r="D64" s="13" t="n">
        <x:v>320</x:v>
      </x:c>
      <x:c r="E64" s="12" t="n">
        <x:v>343.19285</x:v>
      </x:c>
      <x:c r="F64" s="12" t="n">
        <x:v>339.42024</x:v>
      </x:c>
      <x:c r="G64" s="12" t="n">
        <x:v>0</x:v>
      </x:c>
      <x:c r="H64" s="12" t="n">
        <x:f>D64*(F64-E64)</x:f>
        <x:v>-1207.2352000000137</x:v>
      </x:c>
      <x:c r="I64" s="12" t="n">
        <x:f>SUM(G64:H64)</x:f>
        <x:v>-1207.2352000000137</x:v>
      </x:c>
      <x:c r="J64" s="12" t="n">
        <x:f>D64*E64</x:f>
        <x:v>109821.712</x:v>
      </x:c>
      <x:c r="K64" s="14" t="n">
        <x:f>I64/J64</x:f>
        <x:v>-0.010992682394170051</x:v>
      </x:c>
      <x:c r="L64" s="2" t="n">
        <x:v>1</x:v>
      </x:c>
      <x:c r="M64" s="2" t="n">
        <x:v>13</x:v>
      </x:c>
    </x:row>
    <x:row r="65" ht="23" customHeight="1">
      <x:c r="A65" s="2" t="n">
        <x:v>60</x:v>
      </x:c>
      <x:c r="B65" s="11" t="d">
        <x:v>2020-11-05T00:00:00.000Z</x:v>
      </x:c>
      <x:c r="C65" s="11" t="d">
        <x:v>2021-02-01T00:00:00.000Z</x:v>
      </x:c>
      <x:c r="D65" s="13" t="n">
        <x:v>312</x:v>
      </x:c>
      <x:c r="E65" s="12" t="n">
        <x:v>349.58924</x:v>
      </x:c>
      <x:c r="F65" s="12" t="n">
        <x:v>373.34628</x:v>
      </x:c>
      <x:c r="G65" s="12" t="n">
        <x:v>492.96</x:v>
      </x:c>
      <x:c r="H65" s="12" t="n">
        <x:f>D65*(F65-E65)</x:f>
        <x:v>7412.196479999988</x:v>
      </x:c>
      <x:c r="I65" s="12" t="n">
        <x:f>SUM(G65:H65)</x:f>
        <x:v>7905.156479999988</x:v>
      </x:c>
      <x:c r="J65" s="12" t="n">
        <x:f>D65*E65</x:f>
        <x:v>109071.84288000001</x:v>
      </x:c>
      <x:c r="K65" s="14" t="n">
        <x:f>I65/J65</x:f>
        <x:v>0.07247660139654172</x:v>
      </x:c>
      <x:c r="L65" s="2" t="n">
        <x:v>1</x:v>
      </x:c>
      <x:c r="M65" s="2" t="n">
        <x:v>58</x:v>
      </x:c>
    </x:row>
    <x:row r="66" ht="23" customHeight="1">
      <x:c r="A66" s="2" t="n">
        <x:v>61</x:v>
      </x:c>
      <x:c r="B66" s="11" t="d">
        <x:v>2021-02-02T00:00:00.000Z</x:v>
      </x:c>
      <x:c r="C66" s="11" t="d">
        <x:v>2021-03-05T00:00:00.000Z</x:v>
      </x:c>
      <x:c r="D66" s="13" t="n">
        <x:v>308</x:v>
      </x:c>
      <x:c r="E66" s="12" t="n">
        <x:v>380.02965</x:v>
      </x:c>
      <x:c r="F66" s="12" t="n">
        <x:v>380.07954</x:v>
      </x:c>
      <x:c r="G66" s="12" t="n">
        <x:v>0</x:v>
      </x:c>
      <x:c r="H66" s="12" t="n">
        <x:f>D66*(F66-E66)</x:f>
        <x:v>15.366120000001501</x:v>
      </x:c>
      <x:c r="I66" s="12" t="n">
        <x:f>SUM(G66:H66)</x:f>
        <x:v>15.366120000001501</x:v>
      </x:c>
      <x:c r="J66" s="12" t="n">
        <x:f>D66*E66</x:f>
        <x:v>117049.13220000001</x:v>
      </x:c>
      <x:c r="K66" s="14" t="n">
        <x:f>I66/J66</x:f>
        <x:v>0.0001312792304495317</x:v>
      </x:c>
      <x:c r="L66" s="2" t="n">
        <x:v>1</x:v>
      </x:c>
      <x:c r="M66" s="2" t="n">
        <x:v>22</x:v>
      </x:c>
    </x:row>
    <x:row r="67" ht="23" customHeight="1">
      <x:c r="A67" s="2" t="n">
        <x:v>62</x:v>
      </x:c>
      <x:c r="B67" s="11" t="d">
        <x:v>2021-03-08T00:00:00.000Z</x:v>
      </x:c>
      <x:c r="C67" s="11" t="d">
        <x:v>2021-06-21T00:00:00.000Z</x:v>
      </x:c>
      <x:c r="D67" s="13" t="n">
        <x:v>304</x:v>
      </x:c>
      <x:c r="E67" s="12" t="n">
        <x:v>385.04466</x:v>
      </x:c>
      <x:c r="F67" s="12" t="n">
        <x:v>416.3832</x:v>
      </x:c>
      <x:c r="G67" s="12" t="n">
        <x:v>806.713552</x:v>
      </x:c>
      <x:c r="H67" s="12" t="n">
        <x:f>D67*(F67-E67)</x:f>
        <x:v>9526.91615999999</x:v>
      </x:c>
      <x:c r="I67" s="12" t="n">
        <x:f>SUM(G67:H67)</x:f>
        <x:v>10333.629711999989</x:v>
      </x:c>
      <x:c r="J67" s="12" t="n">
        <x:f>D67*E67</x:f>
        <x:v>117053.57664000001</x:v>
      </x:c>
      <x:c r="K67" s="14" t="n">
        <x:f>I67/J67</x:f>
        <x:v>0.08828119574492985</x:v>
      </x:c>
      <x:c r="L67" s="2" t="n">
        <x:v>1</x:v>
      </x:c>
      <x:c r="M67" s="2" t="n">
        <x:v>73</x:v>
      </x:c>
    </x:row>
    <x:row r="68" ht="23" customHeight="1">
      <x:c r="A68" s="2" t="n">
        <x:v>63</x:v>
      </x:c>
      <x:c r="B68" s="11" t="d">
        <x:v>2021-06-22T00:00:00.000Z</x:v>
      </x:c>
      <x:c r="C68" s="11" t="d">
        <x:v>2021-09-20T00:00:00.000Z</x:v>
      </x:c>
      <x:c r="D68" s="13" t="n">
        <x:v>301</x:v>
      </x:c>
      <x:c r="E68" s="12" t="n">
        <x:v>421.27085</x:v>
      </x:c>
      <x:c r="F68" s="12" t="n">
        <x:v>434.44512</x:v>
      </x:c>
      <x:c r="G68" s="12" t="n">
        <x:v>429.863217</x:v>
      </x:c>
      <x:c r="H68" s="12" t="n">
        <x:f>D68*(F68-E68)</x:f>
        <x:v>3965.4552699999936</x:v>
      </x:c>
      <x:c r="I68" s="12" t="n">
        <x:f>SUM(G68:H68)</x:f>
        <x:v>4395.318486999993</x:v>
      </x:c>
      <x:c r="J68" s="12" t="n">
        <x:f>D68*E68</x:f>
        <x:v>126802.52585</x:v>
      </x:c>
      <x:c r="K68" s="14" t="n">
        <x:f>I68/J68</x:f>
        <x:v>0.03466270452845237</x:v>
      </x:c>
      <x:c r="L68" s="2" t="n">
        <x:v>1</x:v>
      </x:c>
      <x:c r="M68" s="2" t="n">
        <x:v>62</x:v>
      </x:c>
    </x:row>
    <x:row r="69" ht="23" customHeight="1">
      <x:c r="A69" s="2" t="n">
        <x:v>64</x:v>
      </x:c>
      <x:c r="B69" s="11" t="d">
        <x:v>2021-09-24T00:00:00.000Z</x:v>
      </x:c>
      <x:c r="C69" s="11" t="d">
        <x:v>2021-09-28T00:00:00.000Z</x:v>
      </x:c>
      <x:c r="D69" s="13" t="n">
        <x:v>297</x:v>
      </x:c>
      <x:c r="E69" s="12" t="n">
        <x:v>441.88144</x:v>
      </x:c>
      <x:c r="F69" s="12" t="n">
        <x:v>439.25031</x:v>
      </x:c>
      <x:c r="G69" s="12" t="n">
        <x:v>0</x:v>
      </x:c>
      <x:c r="H69" s="12" t="n">
        <x:f>D69*(F69-E69)</x:f>
        <x:v>-781.4456099999954</x:v>
      </x:c>
      <x:c r="I69" s="12" t="n">
        <x:f>SUM(G69:H69)</x:f>
        <x:v>-781.4456099999954</x:v>
      </x:c>
      <x:c r="J69" s="12" t="n">
        <x:f>D69*E69</x:f>
        <x:v>131238.78768</x:v>
      </x:c>
      <x:c r="K69" s="14" t="n">
        <x:f>I69/J69</x:f>
        <x:v>-0.005954379980295132</x:v>
      </x:c>
      <x:c r="L69" s="2" t="n">
        <x:v>1</x:v>
      </x:c>
      <x:c r="M69" s="2" t="n">
        <x:v>2</x:v>
      </x:c>
    </x:row>
    <x:row r="70" ht="23" customHeight="1">
      <x:c r="A70" s="2" t="n">
        <x:v>65</x:v>
      </x:c>
      <x:c r="B70" s="11" t="d">
        <x:v>2021-10-18T00:00:00.000Z</x:v>
      </x:c>
      <x:c r="C70" s="11" t="d">
        <x:v>2021-12-02T00:00:00.000Z</x:v>
      </x:c>
      <x:c r="D70" s="13" t="n">
        <x:v>294</x:v>
      </x:c>
      <x:c r="E70" s="12" t="n">
        <x:v>444.41397</x:v>
      </x:c>
      <x:c r="F70" s="12" t="n">
        <x:v>450.27927</x:v>
      </x:c>
      <x:c r="G70" s="12" t="n">
        <x:v>0</x:v>
      </x:c>
      <x:c r="H70" s="12" t="n">
        <x:f>D70*(F70-E70)</x:f>
        <x:v>1724.3981999999974</x:v>
      </x:c>
      <x:c r="I70" s="12" t="n">
        <x:f>SUM(G70:H70)</x:f>
        <x:v>1724.3981999999974</x:v>
      </x:c>
      <x:c r="J70" s="12" t="n">
        <x:f>D70*E70</x:f>
        <x:v>130657.70718</x:v>
      </x:c>
      <x:c r="K70" s="14" t="n">
        <x:f>I70/J70</x:f>
        <x:v>0.013197829942204541</x:v>
      </x:c>
      <x:c r="L70" s="2" t="n">
        <x:v>1</x:v>
      </x:c>
      <x:c r="M70" s="2" t="n">
        <x:v>32</x:v>
      </x:c>
    </x:row>
    <x:row r="71" ht="23" customHeight="1">
      <x:c r="A71" s="2" t="n">
        <x:v>66</x:v>
      </x:c>
      <x:c r="B71" s="11" t="d">
        <x:v>2021-12-03T00:00:00.000Z</x:v>
      </x:c>
      <x:c r="C71" s="11" t="d">
        <x:v>2021-12-21T00:00:00.000Z</x:v>
      </x:c>
      <x:c r="D71" s="13" t="n">
        <x:v>289</x:v>
      </x:c>
      <x:c r="E71" s="12" t="n">
        <x:v>459.62917</x:v>
      </x:c>
      <x:c r="F71" s="12" t="n">
        <x:v>458.15139</x:v>
      </x:c>
      <x:c r="G71" s="12" t="n">
        <x:v>472.928559</x:v>
      </x:c>
      <x:c r="H71" s="12" t="n">
        <x:f>D71*(F71-E71)</x:f>
        <x:v>-427.07841999999874</x:v>
      </x:c>
      <x:c r="I71" s="12" t="n">
        <x:f>SUM(G71:H71)</x:f>
        <x:v>45.85013900000126</x:v>
      </x:c>
      <x:c r="J71" s="12" t="n">
        <x:f>D71*E71</x:f>
        <x:v>132832.83013</x:v>
      </x:c>
      <x:c r="K71" s="14" t="n">
        <x:f>I71/J71</x:f>
        <x:v>0.00034517173920881565</x:v>
      </x:c>
      <x:c r="L71" s="2" t="n">
        <x:v>1</x:v>
      </x:c>
      <x:c r="M71" s="2" t="n">
        <x:v>12</x:v>
      </x:c>
    </x:row>
    <x:row r="72" ht="23" customHeight="1">
      <x:c r="A72" s="2" t="n">
        <x:v>67</x:v>
      </x:c>
      <x:c r="B72" s="11" t="d">
        <x:v>2021-12-22T00:00:00.000Z</x:v>
      </x:c>
      <x:c r="C72" s="11" t="d">
        <x:v>2022-01-10T00:00:00.000Z</x:v>
      </x:c>
      <x:c r="D72" s="13" t="n">
        <x:v>286</x:v>
      </x:c>
      <x:c r="E72" s="12" t="n">
        <x:v>463.25279</x:v>
      </x:c>
      <x:c r="F72" s="12" t="n">
        <x:v>462.2373</x:v>
      </x:c>
      <x:c r="G72" s="12" t="n">
        <x:v>0</x:v>
      </x:c>
      <x:c r="H72" s="12" t="n">
        <x:f>D72*(F72-E72)</x:f>
        <x:v>-290.43013999999994</x:v>
      </x:c>
      <x:c r="I72" s="12" t="n">
        <x:f>SUM(G72:H72)</x:f>
        <x:v>-290.43013999999994</x:v>
      </x:c>
      <x:c r="J72" s="12" t="n">
        <x:f>D72*E72</x:f>
        <x:v>132490.29794</x:v>
      </x:c>
      <x:c r="K72" s="14" t="n">
        <x:f>I72/J72</x:f>
        <x:v>-0.0021920860962326852</x:v>
      </x:c>
      <x:c r="L72" s="2" t="n">
        <x:v>1</x:v>
      </x:c>
      <x:c r="M72" s="2" t="n">
        <x:v>12</x:v>
      </x:c>
    </x:row>
    <x:row r="73" ht="23" customHeight="1">
      <x:c r="A73" s="2" t="n">
        <x:v>68</x:v>
      </x:c>
      <x:c r="B73" s="11" t="d">
        <x:v>2022-01-12T00:00:00.000Z</x:v>
      </x:c>
      <x:c r="C73" s="11" t="d">
        <x:v>2022-01-14T00:00:00.000Z</x:v>
      </x:c>
      <x:c r="D73" s="13" t="n">
        <x:v>280</x:v>
      </x:c>
      <x:c r="E73" s="12" t="n">
        <x:v>472.06159</x:v>
      </x:c>
      <x:c r="F73" s="12" t="n">
        <x:v>460.72881</x:v>
      </x:c>
      <x:c r="G73" s="12" t="n">
        <x:v>0</x:v>
      </x:c>
      <x:c r="H73" s="12" t="n">
        <x:f>D73*(F73-E73)</x:f>
        <x:v>-3173.178400000004</x:v>
      </x:c>
      <x:c r="I73" s="12" t="n">
        <x:f>SUM(G73:H73)</x:f>
        <x:v>-3173.178400000004</x:v>
      </x:c>
      <x:c r="J73" s="12" t="n">
        <x:f>D73*E73</x:f>
        <x:v>132177.2452</x:v>
      </x:c>
      <x:c r="K73" s="14" t="n">
        <x:f>I73/J73</x:f>
        <x:v>-0.024006994511034066</x:v>
      </x:c>
      <x:c r="L73" s="2" t="n">
        <x:v>1</x:v>
      </x:c>
      <x:c r="M73" s="2" t="n">
        <x:v>2</x:v>
      </x:c>
    </x:row>
    <x:row r="74" ht="23" customHeight="1">
      <x:c r="A74" s="2" t="n">
        <x:v>69</x:v>
      </x:c>
      <x:c r="B74" s="11" t="d">
        <x:v>2022-03-21T00:00:00.000Z</x:v>
      </x:c>
      <x:c r="C74" s="11" t="d">
        <x:v>2022-04-12T00:00:00.000Z</x:v>
      </x:c>
      <x:c r="D74" s="13" t="n">
        <x:v>291</x:v>
      </x:c>
      <x:c r="E74" s="12" t="n">
        <x:v>444.78434</x:v>
      </x:c>
      <x:c r="F74" s="12" t="n">
        <x:v>442.63692</x:v>
      </x:c>
      <x:c r="G74" s="12" t="n">
        <x:v>0</x:v>
      </x:c>
      <x:c r="H74" s="12" t="n">
        <x:f>D74*(F74-E74)</x:f>
        <x:v>-624.8992200000032</x:v>
      </x:c>
      <x:c r="I74" s="12" t="n">
        <x:f>SUM(G74:H74)</x:f>
        <x:v>-624.8992200000032</x:v>
      </x:c>
      <x:c r="J74" s="12" t="n">
        <x:f>D74*E74</x:f>
        <x:v>129432.24294</x:v>
      </x:c>
      <x:c r="K74" s="14" t="n">
        <x:f>I74/J74</x:f>
        <x:v>-0.004828002712505596</x:v>
      </x:c>
      <x:c r="L74" s="2" t="n">
        <x:v>1</x:v>
      </x:c>
      <x:c r="M74" s="2" t="n">
        <x:v>16</x:v>
      </x:c>
    </x:row>
    <x:row r="75" ht="23" customHeight="1">
      <x:c r="A75" s="2" t="n">
        <x:v>70</x:v>
      </x:c>
      <x:c r="B75" s="11" t="d">
        <x:v>2022-04-14T00:00:00.000Z</x:v>
      </x:c>
      <x:c r="C75" s="11" t="d">
        <x:v>2022-04-18T00:00:00.000Z</x:v>
      </x:c>
      <x:c r="D75" s="13" t="n">
        <x:v>290</x:v>
      </x:c>
      <x:c r="E75" s="12" t="n">
        <x:v>443.99355</x:v>
      </x:c>
      <x:c r="F75" s="12" t="n">
        <x:v>436.37319</x:v>
      </x:c>
      <x:c r="G75" s="12" t="n">
        <x:v>0</x:v>
      </x:c>
      <x:c r="H75" s="12" t="n">
        <x:f>D75*(F75-E75)</x:f>
        <x:v>-2209.9044000000013</x:v>
      </x:c>
      <x:c r="I75" s="12" t="n">
        <x:f>SUM(G75:H75)</x:f>
        <x:v>-2209.9044000000013</x:v>
      </x:c>
      <x:c r="J75" s="12" t="n">
        <x:f>D75*E75</x:f>
        <x:v>128758.12950000001</x:v>
      </x:c>
      <x:c r="K75" s="14" t="n">
        <x:f>I75/J75</x:f>
        <x:v>-0.017163222303567257</x:v>
      </x:c>
      <x:c r="L75" s="2" t="n">
        <x:v>1</x:v>
      </x:c>
      <x:c r="M75" s="2" t="n">
        <x:v>1</x:v>
      </x:c>
    </x:row>
    <x:row r="76" ht="23" customHeight="1">
      <x:c r="A76" s="2" t="n">
        <x:v>71</x:v>
      </x:c>
      <x:c r="B76" s="11" t="d">
        <x:v>2022-04-20T00:00:00.000Z</x:v>
      </x:c>
      <x:c r="C76" s="11" t="d">
        <x:v>2022-04-22T00:00:00.000Z</x:v>
      </x:c>
      <x:c r="D76" s="13" t="n">
        <x:v>283</x:v>
      </x:c>
      <x:c r="E76" s="12" t="n">
        <x:v>447.36692</x:v>
      </x:c>
      <x:c r="F76" s="12" t="n">
        <x:v>436.47309</x:v>
      </x:c>
      <x:c r="G76" s="12" t="n">
        <x:v>0</x:v>
      </x:c>
      <x:c r="H76" s="12" t="n">
        <x:f>D76*(F76-E76)</x:f>
        <x:v>-3082.9538899999943</x:v>
      </x:c>
      <x:c r="I76" s="12" t="n">
        <x:f>SUM(G76:H76)</x:f>
        <x:v>-3082.9538899999943</x:v>
      </x:c>
      <x:c r="J76" s="12" t="n">
        <x:f>D76*E76</x:f>
        <x:v>126604.83836</x:v>
      </x:c>
      <x:c r="K76" s="14" t="n">
        <x:f>I76/J76</x:f>
        <x:v>-0.024350995822400058</x:v>
      </x:c>
      <x:c r="L76" s="2" t="n">
        <x:v>1</x:v>
      </x:c>
      <x:c r="M76" s="2" t="n">
        <x:v>2</x:v>
      </x:c>
    </x:row>
    <x:row r="77" ht="23" customHeight="1">
      <x:c r="A77" s="2" t="n">
        <x:v>72</x:v>
      </x:c>
      <x:c r="B77" s="11" t="d">
        <x:v>2022-07-20T00:00:00.000Z</x:v>
      </x:c>
      <x:c r="C77" s="11" t="d">
        <x:v>2022-07-27T00:00:00.000Z</x:v>
      </x:c>
      <x:c r="D77" s="13" t="n">
        <x:v>314</x:v>
      </x:c>
      <x:c r="E77" s="12" t="n">
        <x:v>392.86247</x:v>
      </x:c>
      <x:c r="F77" s="12" t="n">
        <x:v>393.96564</x:v>
      </x:c>
      <x:c r="G77" s="12" t="n">
        <x:v>0</x:v>
      </x:c>
      <x:c r="H77" s="12" t="n">
        <x:f>D77*(F77-E77)</x:f>
        <x:v>346.39538000001073</x:v>
      </x:c>
      <x:c r="I77" s="12" t="n">
        <x:f>SUM(G77:H77)</x:f>
        <x:v>346.39538000001073</x:v>
      </x:c>
      <x:c r="J77" s="12" t="n">
        <x:f>D77*E77</x:f>
        <x:v>123358.81558</x:v>
      </x:c>
      <x:c r="K77" s="14" t="n">
        <x:f>I77/J77</x:f>
        <x:v>0.002808031014008628</x:v>
      </x:c>
      <x:c r="L77" s="2" t="n">
        <x:v>1</x:v>
      </x:c>
      <x:c r="M77" s="2" t="n">
        <x:v>5</x:v>
      </x:c>
    </x:row>
    <x:row r="78" ht="23" customHeight="1">
      <x:c r="A78" s="2" t="n">
        <x:v>73</x:v>
      </x:c>
      <x:c r="B78" s="11" t="d">
        <x:v>2022-07-28T00:00:00.000Z</x:v>
      </x:c>
      <x:c r="C78" s="11" t="d">
        <x:v>2022-08-31T00:00:00.000Z</x:v>
      </x:c>
      <x:c r="D78" s="13" t="n">
        <x:v>308</x:v>
      </x:c>
      <x:c r="E78" s="12" t="n">
        <x:v>402.29189</x:v>
      </x:c>
      <x:c r="F78" s="12" t="n">
        <x:v>399.53007</x:v>
      </x:c>
      <x:c r="G78" s="12" t="n">
        <x:v>0</x:v>
      </x:c>
      <x:c r="H78" s="12" t="n">
        <x:f>D78*(F78-E78)</x:f>
        <x:v>-850.64056</x:v>
      </x:c>
      <x:c r="I78" s="12" t="n">
        <x:f>SUM(G78:H78)</x:f>
        <x:v>-850.64056</x:v>
      </x:c>
      <x:c r="J78" s="12" t="n">
        <x:f>D78*E78</x:f>
        <x:v>123905.90212000001</x:v>
      </x:c>
      <x:c r="K78" s="14" t="n">
        <x:f>I78/J78</x:f>
        <x:v>-0.006865214210507699</x:v>
      </x:c>
      <x:c r="L78" s="2" t="n">
        <x:v>1</x:v>
      </x:c>
      <x:c r="M78" s="2" t="n">
        <x:v>24</x:v>
      </x:c>
    </x:row>
    <x:row r="79" ht="23" customHeight="1">
      <x:c r="A79" s="2" t="n">
        <x:v>74</x:v>
      </x:c>
      <x:c r="B79" s="11" t="d">
        <x:v>2022-09-12T00:00:00.000Z</x:v>
      </x:c>
      <x:c r="C79" s="11" t="d">
        <x:v>2022-09-14T00:00:00.000Z</x:v>
      </x:c>
      <x:c r="D79" s="13" t="n">
        <x:v>300</x:v>
      </x:c>
      <x:c r="E79" s="12" t="n">
        <x:v>409.18878</x:v>
      </x:c>
      <x:c r="F79" s="12" t="n">
        <x:v>394.07553</x:v>
      </x:c>
      <x:c r="G79" s="12" t="n">
        <x:v>0</x:v>
      </x:c>
      <x:c r="H79" s="12" t="n">
        <x:f>D79*(F79-E79)</x:f>
        <x:v>-4533.9749999999985</x:v>
      </x:c>
      <x:c r="I79" s="12" t="n">
        <x:f>SUM(G79:H79)</x:f>
        <x:v>-4533.9749999999985</x:v>
      </x:c>
      <x:c r="J79" s="12" t="n">
        <x:f>D79*E79</x:f>
        <x:v>122756.634</x:v>
      </x:c>
      <x:c r="K79" s="14" t="n">
        <x:f>I79/J79</x:f>
        <x:v>-0.036934663751044185</x:v>
      </x:c>
      <x:c r="L79" s="2" t="n">
        <x:v>1</x:v>
      </x:c>
      <x:c r="M79" s="2" t="n">
        <x:v>2</x:v>
      </x:c>
    </x:row>
    <x:row r="80" ht="23" customHeight="1">
      <x:c r="A80" s="2" t="n">
        <x:v>75</x:v>
      </x:c>
      <x:c r="B80" s="11" t="d">
        <x:v>2022-10-31T00:00:00.000Z</x:v>
      </x:c>
      <x:c r="C80" s="11" t="d">
        <x:v>2022-11-03T00:00:00.000Z</x:v>
      </x:c>
      <x:c r="D80" s="13" t="n">
        <x:v>306</x:v>
      </x:c>
      <x:c r="E80" s="12" t="n">
        <x:v>386.82644</x:v>
      </x:c>
      <x:c r="F80" s="12" t="n">
        <x:v>371.09853</x:v>
      </x:c>
      <x:c r="G80" s="12" t="n">
        <x:v>0</x:v>
      </x:c>
      <x:c r="H80" s="12" t="n">
        <x:f>D80*(F80-E80)</x:f>
        <x:v>-4812.740460000003</x:v>
      </x:c>
      <x:c r="I80" s="12" t="n">
        <x:f>SUM(G80:H80)</x:f>
        <x:v>-4812.740460000003</x:v>
      </x:c>
      <x:c r="J80" s="12" t="n">
        <x:f>D80*E80</x:f>
        <x:v>118368.89064</x:v>
      </x:c>
      <x:c r="K80" s="14" t="n">
        <x:f>I80/J80</x:f>
        <x:v>-0.0406588288018782</x:v>
      </x:c>
      <x:c r="L80" s="2" t="n">
        <x:v>1</x:v>
      </x:c>
      <x:c r="M80" s="2" t="n">
        <x:v>3</x:v>
      </x:c>
    </x:row>
    <x:row r="81" ht="23" customHeight="1">
      <x:c r="A81" s="2" t="n">
        <x:v>76</x:v>
      </x:c>
      <x:c r="B81" s="11" t="d">
        <x:v>2022-11-08T00:00:00.000Z</x:v>
      </x:c>
      <x:c r="C81" s="11" t="d">
        <x:v>2022-11-10T00:00:00.000Z</x:v>
      </x:c>
      <x:c r="D81" s="13" t="n">
        <x:v>298</x:v>
      </x:c>
      <x:c r="E81" s="12" t="n">
        <x:v>381.49111</x:v>
      </x:c>
      <x:c r="F81" s="12" t="n">
        <x:v>387.66195</x:v>
      </x:c>
      <x:c r="G81" s="12" t="n">
        <x:v>0</x:v>
      </x:c>
      <x:c r="H81" s="12" t="n">
        <x:f>D81*(F81-E81)</x:f>
        <x:v>1838.9103199999995</x:v>
      </x:c>
      <x:c r="I81" s="12" t="n">
        <x:f>SUM(G81:H81)</x:f>
        <x:v>1838.9103199999995</x:v>
      </x:c>
      <x:c r="J81" s="12" t="n">
        <x:f>D81*E81</x:f>
        <x:v>113684.35078</x:v>
      </x:c>
      <x:c r="K81" s="14" t="n">
        <x:f>I81/J81</x:f>
        <x:v>0.016175580081014204</x:v>
      </x:c>
      <x:c r="L81" s="2" t="n">
        <x:v>1</x:v>
      </x:c>
      <x:c r="M81" s="2" t="n">
        <x:v>2</x:v>
      </x:c>
    </x:row>
    <x:row r="82" ht="23" customHeight="1">
      <x:c r="A82" s="2" t="n">
        <x:v>77</x:v>
      </x:c>
      <x:c r="B82" s="11" t="d">
        <x:v>2022-11-11T00:00:00.000Z</x:v>
      </x:c>
      <x:c r="C82" s="11" t="d">
        <x:v>2022-12-19T00:00:00.000Z</x:v>
      </x:c>
      <x:c r="D82" s="13" t="n">
        <x:v>291</x:v>
      </x:c>
      <x:c r="E82" s="12" t="n">
        <x:v>395.98559</x:v>
      </x:c>
      <x:c r="F82" s="12" t="n">
        <x:v>383.08653</x:v>
      </x:c>
      <x:c r="G82" s="12" t="n">
        <x:v>518.3874</x:v>
      </x:c>
      <x:c r="H82" s="12" t="n">
        <x:f>D82*(F82-E82)</x:f>
        <x:v>-3753.626460000006</x:v>
      </x:c>
      <x:c r="I82" s="12" t="n">
        <x:f>SUM(G82:H82)</x:f>
        <x:v>-3235.239060000006</x:v>
      </x:c>
      <x:c r="J82" s="12" t="n">
        <x:f>D82*E82</x:f>
        <x:v>115231.80669</x:v>
      </x:c>
      <x:c r="K82" s="14" t="n">
        <x:f>I82/J82</x:f>
        <x:v>-0.028075920641455716</x:v>
      </x:c>
      <x:c r="L82" s="2" t="n">
        <x:v>1</x:v>
      </x:c>
      <x:c r="M82" s="2" t="n">
        <x:v>25</x:v>
      </x:c>
    </x:row>
    <x:row r="83" ht="23" customHeight="1">
      <x:c r="A83" s="2" t="n">
        <x:v>78</x:v>
      </x:c>
      <x:c r="B83" s="11" t="d">
        <x:v>2023-01-11T00:00:00.000Z</x:v>
      </x:c>
      <x:c r="C83" s="11" t="d">
        <x:v>2023-01-20T00:00:00.000Z</x:v>
      </x:c>
      <x:c r="D83" s="13" t="n">
        <x:v>284</x:v>
      </x:c>
      <x:c r="E83" s="12" t="n">
        <x:v>392.62223</x:v>
      </x:c>
      <x:c r="F83" s="12" t="n">
        <x:v>389.7099</x:v>
      </x:c>
      <x:c r="G83" s="12" t="n">
        <x:v>0</x:v>
      </x:c>
      <x:c r="H83" s="12" t="n">
        <x:f>D83*(F83-E83)</x:f>
        <x:v>-827.1017199999992</x:v>
      </x:c>
      <x:c r="I83" s="12" t="n">
        <x:f>SUM(G83:H83)</x:f>
        <x:v>-827.1017199999992</x:v>
      </x:c>
      <x:c r="J83" s="12" t="n">
        <x:f>D83*E83</x:f>
        <x:v>111504.71332</x:v>
      </x:c>
      <x:c r="K83" s="14" t="n">
        <x:f>I83/J83</x:f>
        <x:v>-0.00741763908783259</x:v>
      </x:c>
      <x:c r="L83" s="2" t="n">
        <x:v>1</x:v>
      </x:c>
      <x:c r="M83" s="2" t="n">
        <x:v>6</x:v>
      </x:c>
    </x:row>
    <x:row r="84" ht="23" customHeight="1">
      <x:c r="A84" s="2" t="n">
        <x:v>79</x:v>
      </x:c>
      <x:c r="B84" s="11" t="d">
        <x:v>2023-01-23T00:00:00.000Z</x:v>
      </x:c>
      <x:c r="C84" s="11" t="d">
        <x:v>2023-02-27T00:00:00.000Z</x:v>
      </x:c>
      <x:c r="D84" s="13" t="n">
        <x:v>279</x:v>
      </x:c>
      <x:c r="E84" s="12" t="n">
        <x:v>397.11672</x:v>
      </x:c>
      <x:c r="F84" s="12" t="n">
        <x:v>399.47013</x:v>
      </x:c>
      <x:c r="G84" s="12" t="n">
        <x:v>0</x:v>
      </x:c>
      <x:c r="H84" s="12" t="n">
        <x:f>D84*(F84-E84)</x:f>
        <x:v>656.6013899999991</x:v>
      </x:c>
      <x:c r="I84" s="12" t="n">
        <x:f>SUM(G84:H84)</x:f>
        <x:v>656.6013899999991</x:v>
      </x:c>
      <x:c r="J84" s="12" t="n">
        <x:f>D84*E84</x:f>
        <x:v>110795.56487999999</x:v>
      </x:c>
      <x:c r="K84" s="14" t="n">
        <x:f>I84/J84</x:f>
        <x:v>0.005926242541487543</x:v>
      </x:c>
      <x:c r="L84" s="2" t="n">
        <x:v>1</x:v>
      </x:c>
      <x:c r="M84" s="2" t="n">
        <x:v>24</x:v>
      </x:c>
    </x:row>
    <x:row r="85" ht="23" customHeight="1">
      <x:c r="A85" s="2" t="n">
        <x:v>80</x:v>
      </x:c>
      <x:c r="B85" s="11" t="d">
        <x:v>2023-02-28T00:00:00.000Z</x:v>
      </x:c>
      <x:c r="C85" s="11" t="d">
        <x:v>2023-03-01T00:00:00.000Z</x:v>
      </x:c>
      <x:c r="D85" s="13" t="n">
        <x:v>282</x:v>
      </x:c>
      <x:c r="E85" s="12" t="n">
        <x:v>397.62723</x:v>
      </x:c>
      <x:c r="F85" s="12" t="n">
        <x:v>395.01459</x:v>
      </x:c>
      <x:c r="G85" s="12" t="n">
        <x:v>0</x:v>
      </x:c>
      <x:c r="H85" s="12" t="n">
        <x:f>D85*(F85-E85)</x:f>
        <x:v>-736.7644799999997</x:v>
      </x:c>
      <x:c r="I85" s="12" t="n">
        <x:f>SUM(G85:H85)</x:f>
        <x:v>-736.7644799999997</x:v>
      </x:c>
      <x:c r="J85" s="12" t="n">
        <x:f>D85*E85</x:f>
        <x:v>112130.87886</x:v>
      </x:c>
      <x:c r="K85" s="14" t="n">
        <x:f>I85/J85</x:f>
        <x:v>-0.00657057616501767</x:v>
      </x:c>
      <x:c r="L85" s="2" t="n">
        <x:v>1</x:v>
      </x:c>
      <x:c r="M85" s="2" t="n">
        <x:v>1</x:v>
      </x:c>
    </x:row>
    <x:row r="86" ht="23" customHeight="1">
      <x:c r="A86" s="2" t="n">
        <x:v>81</x:v>
      </x:c>
      <x:c r="B86" s="11" t="d">
        <x:v>2023-03-03T00:00:00.000Z</x:v>
      </x:c>
      <x:c r="C86" s="11" t="d">
        <x:v>2023-03-08T00:00:00.000Z</x:v>
      </x:c>
      <x:c r="D86" s="13" t="n">
        <x:v>278</x:v>
      </x:c>
      <x:c r="E86" s="12" t="n">
        <x:v>400.10971</x:v>
      </x:c>
      <x:c r="F86" s="12" t="n">
        <x:v>397.99161</x:v>
      </x:c>
      <x:c r="G86" s="12" t="n">
        <x:v>0</x:v>
      </x:c>
      <x:c r="H86" s="12" t="n">
        <x:f>D86*(F86-E86)</x:f>
        <x:v>-588.8318000000074</x:v>
      </x:c>
      <x:c r="I86" s="12" t="n">
        <x:f>SUM(G86:H86)</x:f>
        <x:v>-588.8318000000074</x:v>
      </x:c>
      <x:c r="J86" s="12" t="n">
        <x:f>D86*E86</x:f>
        <x:v>111230.49938000001</x:v>
      </x:c>
      <x:c r="K86" s="14" t="n">
        <x:f>I86/J86</x:f>
        <x:v>-0.005293798043541674</x:v>
      </x:c>
      <x:c r="L86" s="2" t="n">
        <x:v>1</x:v>
      </x:c>
      <x:c r="M86" s="2" t="n">
        <x:v>3</x:v>
      </x:c>
    </x:row>
    <x:row r="87" ht="23" customHeight="1">
      <x:c r="A87" s="2" t="n">
        <x:v>82</x:v>
      </x:c>
      <x:c r="B87" s="11" t="d">
        <x:v>2023-03-09T00:00:00.000Z</x:v>
      </x:c>
      <x:c r="C87" s="11" t="d">
        <x:v>2023-03-10T00:00:00.000Z</x:v>
      </x:c>
      <x:c r="D87" s="13" t="n">
        <x:v>277</x:v>
      </x:c>
      <x:c r="E87" s="12" t="n">
        <x:v>400.13974</x:v>
      </x:c>
      <x:c r="F87" s="12" t="n">
        <x:v>390.59901</x:v>
      </x:c>
      <x:c r="G87" s="12" t="n">
        <x:v>0</x:v>
      </x:c>
      <x:c r="H87" s="12" t="n">
        <x:f>D87*(F87-E87)</x:f>
        <x:v>-2642.782209999999</x:v>
      </x:c>
      <x:c r="I87" s="12" t="n">
        <x:f>SUM(G87:H87)</x:f>
        <x:v>-2642.782209999999</x:v>
      </x:c>
      <x:c r="J87" s="12" t="n">
        <x:f>D87*E87</x:f>
        <x:v>110838.70798</x:v>
      </x:c>
      <x:c r="K87" s="14" t="n">
        <x:f>I87/J87</x:f>
        <x:v>-0.023843495274925693</x:v>
      </x:c>
      <x:c r="L87" s="2" t="n">
        <x:v>1</x:v>
      </x:c>
      <x:c r="M87" s="2" t="n">
        <x:v>1</x:v>
      </x:c>
    </x:row>
    <x:row r="88" ht="23" customHeight="1">
      <x:c r="A88" s="2" t="n">
        <x:v>83</x:v>
      </x:c>
      <x:c r="B88" s="11" t="d">
        <x:v>2023-03-30T00:00:00.000Z</x:v>
      </x:c>
      <x:c r="C88" s="11" t="d">
        <x:v>2023-08-16T00:00:00.000Z</x:v>
      </x:c>
      <x:c r="D88" s="13" t="n">
        <x:v>267</x:v>
      </x:c>
      <x:c r="E88" s="12" t="n">
        <x:v>404.49409</x:v>
      </x:c>
      <x:c r="F88" s="12" t="n">
        <x:v>442.01754</x:v>
      </x:c>
      <x:c r="G88" s="12" t="n">
        <x:v>437.443989</x:v>
      </x:c>
      <x:c r="H88" s="12" t="n">
        <x:f>D88*(F88-E88)</x:f>
        <x:v>10018.761149999991</x:v>
      </x:c>
      <x:c r="I88" s="12" t="n">
        <x:f>SUM(G88:H88)</x:f>
        <x:v>10456.20513899999</x:v>
      </x:c>
      <x:c r="J88" s="12" t="n">
        <x:f>D88*E88</x:f>
        <x:v>107999.92203</x:v>
      </x:c>
      <x:c r="K88" s="14" t="n">
        <x:f>I88/J88</x:f>
        <x:v>0.09681678414633936</x:v>
      </x:c>
      <x:c r="L88" s="2" t="n">
        <x:v>1</x:v>
      </x:c>
      <x:c r="M88" s="2" t="n">
        <x:v>95</x:v>
      </x:c>
    </x:row>
    <x:row r="89" ht="23" customHeight="1">
      <x:c r="A89" s="2" t="n">
        <x:v>84</x:v>
      </x:c>
      <x:c r="B89" s="11" t="d">
        <x:v>2023-08-30T00:00:00.000Z</x:v>
      </x:c>
      <x:c r="C89" s="11" t="d">
        <x:v>2023-09-07T00:00:00.000Z</x:v>
      </x:c>
      <x:c r="D89" s="13" t="n">
        <x:v>263</x:v>
      </x:c>
      <x:c r="E89" s="12" t="n">
        <x:v>449.95951</x:v>
      </x:c>
      <x:c r="F89" s="12" t="n">
        <x:v>442.66689</x:v>
      </x:c>
      <x:c r="G89" s="12" t="n">
        <x:v>0</x:v>
      </x:c>
      <x:c r="H89" s="12" t="n">
        <x:f>D89*(F89-E89)</x:f>
        <x:v>-1917.95906</x:v>
      </x:c>
      <x:c r="I89" s="12" t="n">
        <x:f>SUM(G89:H89)</x:f>
        <x:v>-1917.95906</x:v>
      </x:c>
      <x:c r="J89" s="12" t="n">
        <x:f>D89*E89</x:f>
        <x:v>118339.35113000001</x:v>
      </x:c>
      <x:c r="K89" s="14" t="n">
        <x:f>I89/J89</x:f>
        <x:v>-0.01620728051730699</x:v>
      </x:c>
      <x:c r="L89" s="2" t="n">
        <x:v>1</x:v>
      </x:c>
      <x:c r="M89" s="2" t="n">
        <x:v>5</x:v>
      </x:c>
    </x:row>
    <x:row r="90" ht="23" customHeight="1">
      <x:c r="A90" s="2" t="n">
        <x:v>85</x:v>
      </x:c>
      <x:c r="B90" s="11" t="d">
        <x:v>2023-09-12T00:00:00.000Z</x:v>
      </x:c>
      <x:c r="C90" s="11" t="d">
        <x:v>2023-09-13T00:00:00.000Z</x:v>
      </x:c>
      <x:c r="D90" s="13" t="n">
        <x:v>261</x:v>
      </x:c>
      <x:c r="E90" s="12" t="n">
        <x:v>447.39695</x:v>
      </x:c>
      <x:c r="F90" s="12" t="n">
        <x:v>445.77378</x:v>
      </x:c>
      <x:c r="G90" s="12" t="n">
        <x:v>0</x:v>
      </x:c>
      <x:c r="H90" s="12" t="n">
        <x:f>D90*(F90-E90)</x:f>
        <x:v>-423.6473700000042</x:v>
      </x:c>
      <x:c r="I90" s="12" t="n">
        <x:f>SUM(G90:H90)</x:f>
        <x:v>-423.6473700000042</x:v>
      </x:c>
      <x:c r="J90" s="12" t="n">
        <x:f>D90*E90</x:f>
        <x:v>116770.60395</x:v>
      </x:c>
      <x:c r="K90" s="14" t="n">
        <x:f>I90/J90</x:f>
        <x:v>-0.003628030991270763</x:v>
      </x:c>
      <x:c r="L90" s="2" t="n">
        <x:v>1</x:v>
      </x:c>
      <x:c r="M90" s="2" t="n">
        <x:v>1</x:v>
      </x:c>
    </x:row>
    <x:row r="91" ht="23" customHeight="1">
      <x:c r="A91" s="2" t="n">
        <x:v>86</x:v>
      </x:c>
      <x:c r="B91" s="11" t="d">
        <x:v>2023-09-15T00:00:00.000Z</x:v>
      </x:c>
      <x:c r="C91" s="11" t="d">
        <x:v>2023-09-18T00:00:00.000Z</x:v>
      </x:c>
      <x:c r="D91" s="13" t="n">
        <x:v>259</x:v>
      </x:c>
      <x:c r="E91" s="12" t="n">
        <x:v>447.58714</x:v>
      </x:c>
      <x:c r="F91" s="12" t="n">
        <x:v>442.60695</x:v>
      </x:c>
      <x:c r="G91" s="12" t="n">
        <x:v>0</x:v>
      </x:c>
      <x:c r="H91" s="12" t="n">
        <x:f>D91*(F91-E91)</x:f>
        <x:v>-1289.8692099999982</x:v>
      </x:c>
      <x:c r="I91" s="12" t="n">
        <x:f>SUM(G91:H91)</x:f>
        <x:v>-1289.8692099999982</x:v>
      </x:c>
      <x:c r="J91" s="12" t="n">
        <x:f>D91*E91</x:f>
        <x:v>115925.06925999999</x:v>
      </x:c>
      <x:c r="K91" s="14" t="n">
        <x:f>I91/J91</x:f>
        <x:v>-0.011126749530828777</x:v>
      </x:c>
      <x:c r="L91" s="2" t="n">
        <x:v>1</x:v>
      </x:c>
      <x:c r="M91" s="2" t="n">
        <x:v>1</x:v>
      </x:c>
    </x:row>
    <x:row r="92" ht="23" customHeight="1">
      <x:c r="A92" s="2" t="n">
        <x:v>87</x:v>
      </x:c>
      <x:c r="B92" s="11" t="d">
        <x:v>2023-11-06T00:00:00.000Z</x:v>
      </x:c>
      <x:c r="C92" s="11" t="d">
        <x:v>2024-04-16T00:00:00.000Z</x:v>
      </x:c>
      <x:c r="D92" s="13" t="n">
        <x:v>263</x:v>
      </x:c>
      <x:c r="E92" s="12" t="n">
        <x:v>435.90547</x:v>
      </x:c>
      <x:c r="F92" s="12" t="n">
        <x:v>504.43506</x:v>
      </x:c>
      <x:c r="G92" s="12" t="n">
        <x:v>920.76563</x:v>
      </x:c>
      <x:c r="H92" s="12" t="n">
        <x:f>D92*(F92-E92)</x:f>
        <x:v>18023.28217000001</x:v>
      </x:c>
      <x:c r="I92" s="12" t="n">
        <x:f>SUM(G92:H92)</x:f>
        <x:v>18944.04780000001</x:v>
      </x:c>
      <x:c r="J92" s="12" t="n">
        <x:f>D92*E92</x:f>
        <x:v>114643.13861</x:v>
      </x:c>
      <x:c r="K92" s="14" t="n">
        <x:f>I92/J92</x:f>
        <x:v>0.16524362495382325</x:v>
      </x:c>
      <x:c r="L92" s="2" t="n">
        <x:v>1</x:v>
      </x:c>
      <x:c r="M92" s="2" t="n">
        <x:v>110</x:v>
      </x:c>
    </x:row>
    <x:row r="93" ht="23" customHeight="1">
      <x:c r="A93" s="2" t="n">
        <x:v>88</x:v>
      </x:c>
      <x:c r="B93" s="11" t="d">
        <x:v>2024-05-07T00:00:00.000Z</x:v>
      </x:c>
      <x:c r="C93" s="11" t="d">
        <x:v>2024-07-25T00:00:00.000Z</x:v>
      </x:c>
      <x:c r="D93" s="13" t="n">
        <x:v>258</x:v>
      </x:c>
      <x:c r="E93" s="12" t="n">
        <x:v>518.07756</x:v>
      </x:c>
      <x:c r="F93" s="12" t="n">
        <x:v>540.80865</x:v>
      </x:c>
      <x:c r="G93" s="12" t="n">
        <x:v>453.828192</x:v>
      </x:c>
      <x:c r="H93" s="12" t="n">
        <x:f>D93*(F93-E93)</x:f>
        <x:v>5864.621219999999</x:v>
      </x:c>
      <x:c r="I93" s="12" t="n">
        <x:f>SUM(G93:H93)</x:f>
        <x:v>6318.449411999999</x:v>
      </x:c>
      <x:c r="J93" s="12" t="n">
        <x:f>D93*E93</x:f>
        <x:v>133664.01048</x:v>
      </x:c>
      <x:c r="K93" s="14" t="n">
        <x:f>I93/J93</x:f>
        <x:v>0.04727113446102548</x:v>
      </x:c>
      <x:c r="L93" s="2" t="n">
        <x:v>1</x:v>
      </x:c>
      <x:c r="M93" s="2" t="n">
        <x:v>54</x:v>
      </x:c>
    </x:row>
    <x:row r="94" ht="23" customHeight="1">
      <x:c r="A94" s="2" t="n">
        <x:v>89</x:v>
      </x:c>
      <x:c r="B94" s="11" t="d">
        <x:v>2024-07-29T00:00:00.000Z</x:v>
      </x:c>
      <x:c r="C94" s="11" t="d">
        <x:v>2024-07-31T00:00:00.000Z</x:v>
      </x:c>
      <x:c r="D94" s="13" t="n">
        <x:v>255</x:v>
      </x:c>
      <x:c r="E94" s="12" t="n">
        <x:v>546.56602</x:v>
      </x:c>
      <x:c r="F94" s="12" t="n">
        <x:v>548.43102</x:v>
      </x:c>
      <x:c r="G94" s="12" t="n">
        <x:v>0</x:v>
      </x:c>
      <x:c r="H94" s="12" t="n">
        <x:f>D94*(F94-E94)</x:f>
        <x:v>475.5750000000023</x:v>
      </x:c>
      <x:c r="I94" s="12" t="n">
        <x:f>SUM(G94:H94)</x:f>
        <x:v>475.5750000000023</x:v>
      </x:c>
      <x:c r="J94" s="12" t="n">
        <x:f>D94*E94</x:f>
        <x:v>139374.3351</x:v>
      </x:c>
      <x:c r="K94" s="14" t="n">
        <x:f>I94/J94</x:f>
        <x:v>0.003412213587665053</x:v>
      </x:c>
      <x:c r="L94" s="2" t="n">
        <x:v>1</x:v>
      </x:c>
      <x:c r="M94" s="2" t="n">
        <x:v>2</x:v>
      </x:c>
    </x:row>
    <x:row r="95" ht="23" customHeight="1">
      <x:c r="A95" s="2" t="n">
        <x:v>90</x:v>
      </x:c>
      <x:c r="B95" s="11" t="d">
        <x:v>2024-08-01T00:00:00.000Z</x:v>
      </x:c>
      <x:c r="C95" s="11" t="d">
        <x:v>2024-08-02T00:00:00.000Z</x:v>
      </x:c>
      <x:c r="D95" s="13" t="n">
        <x:v>254</x:v>
      </x:c>
      <x:c r="E95" s="12" t="n">
        <x:v>553.12257</x:v>
      </x:c>
      <x:c r="F95" s="12" t="n">
        <x:v>535.21425</x:v>
      </x:c>
      <x:c r="G95" s="12" t="n">
        <x:v>0</x:v>
      </x:c>
      <x:c r="H95" s="12" t="n">
        <x:f>D95*(F95-E95)</x:f>
        <x:v>-4548.713280000001</x:v>
      </x:c>
      <x:c r="I95" s="12" t="n">
        <x:f>SUM(G95:H95)</x:f>
        <x:v>-4548.713280000001</x:v>
      </x:c>
      <x:c r="J95" s="12" t="n">
        <x:f>D95*E95</x:f>
        <x:v>140493.13277999999</x:v>
      </x:c>
      <x:c r="K95" s="14" t="n">
        <x:f>I95/J95</x:f>
        <x:v>-0.03237676596708033</x:v>
      </x:c>
      <x:c r="L95" s="2" t="n">
        <x:v>1</x:v>
      </x:c>
      <x:c r="M95" s="2" t="n">
        <x:v>1</x:v>
      </x:c>
    </x:row>
    <x:row r="96" ht="23" customHeight="1">
      <x:c r="A96" s="2" t="n">
        <x:v>91</x:v>
      </x:c>
      <x:c r="B96" s="11" t="d">
        <x:v>2024-08-16T00:00:00.000Z</x:v>
      </x:c>
      <x:c r="C96" s="11" t="d">
        <x:v>2024-09-09T00:00:00.000Z</x:v>
      </x:c>
      <x:c r="D96" s="13" t="n">
        <x:v>246</x:v>
      </x:c>
      <x:c r="E96" s="12" t="n">
        <x:v>551.97142</x:v>
      </x:c>
      <x:c r="F96" s="12" t="n">
        <x:v>544.10535</x:v>
      </x:c>
      <x:c r="G96" s="12" t="n">
        <x:v>0</x:v>
      </x:c>
      <x:c r="H96" s="12" t="n">
        <x:f>D96*(F96-E96)</x:f>
        <x:v>-1935.053219999981</x:v>
      </x:c>
      <x:c r="I96" s="12" t="n">
        <x:f>SUM(G96:H96)</x:f>
        <x:v>-1935.053219999981</x:v>
      </x:c>
      <x:c r="J96" s="12" t="n">
        <x:f>D96*E96</x:f>
        <x:v>135784.96932</x:v>
      </x:c>
      <x:c r="K96" s="14" t="n">
        <x:f>I96/J96</x:f>
        <x:v>-0.014250864655274946</x:v>
      </x:c>
      <x:c r="L96" s="2" t="n">
        <x:v>1</x:v>
      </x:c>
      <x:c r="M96" s="2" t="n">
        <x:v>15</x:v>
      </x:c>
    </x:row>
    <x:row r="97" ht="23" customHeight="1">
      <x:c r="A97" s="2" t="n">
        <x:v>92</x:v>
      </x:c>
      <x:c r="B97" s="11" t="d">
        <x:v>2024-09-12T00:00:00.000Z</x:v>
      </x:c>
      <x:c r="C97" s="11" t="d">
        <x:v>2024-12-19T00:00:00.000Z</x:v>
      </x:c>
      <x:c r="D97" s="13" t="n">
        <x:v>241</x:v>
      </x:c>
      <x:c r="E97" s="12" t="n">
        <x:v>555.56501</x:v>
      </x:c>
      <x:c r="F97" s="12" t="n">
        <x:v>590.76864</x:v>
      </x:c>
      <x:c r="G97" s="12" t="n">
        <x:v>420.672971</x:v>
      </x:c>
      <x:c r="H97" s="12" t="n">
        <x:f>D97*(F97-E97)</x:f>
        <x:v>8484.074829999994</x:v>
      </x:c>
      <x:c r="I97" s="12" t="n">
        <x:f>SUM(G97:H97)</x:f>
        <x:v>8904.747800999994</x:v>
      </x:c>
      <x:c r="J97" s="12" t="n">
        <x:f>D97*E97</x:f>
        <x:v>133891.16741</x:v>
      </x:c>
      <x:c r="K97" s="14" t="n">
        <x:f>I97/J97</x:f>
        <x:v>0.06650735797778189</x:v>
      </x:c>
      <x:c r="L97" s="2" t="n">
        <x:v>1</x:v>
      </x:c>
      <x:c r="M97" s="2" t="n">
        <x:v>69</x:v>
      </x:c>
    </x:row>
    <x:row r="98" ht="23" customHeight="1">
      <x:c r="A98" s="2" t="n">
        <x:v>93</x:v>
      </x:c>
      <x:c r="B98" s="11" t="d">
        <x:v>2024-12-24T00:00:00.000Z</x:v>
      </x:c>
      <x:c r="C98" s="11" t="d">
        <x:v>2024-12-31T00:00:00.000Z</x:v>
      </x:c>
      <x:c r="D98" s="13" t="n">
        <x:v>240</x:v>
      </x:c>
      <x:c r="E98" s="12" t="n">
        <x:v>596.65606</x:v>
      </x:c>
      <x:c r="F98" s="12" t="n">
        <x:v>589.32009</x:v>
      </x:c>
      <x:c r="G98" s="12" t="n">
        <x:v>0</x:v>
      </x:c>
      <x:c r="H98" s="12" t="n">
        <x:f>D98*(F98-E98)</x:f>
        <x:v>-1760.632799999994</x:v>
      </x:c>
      <x:c r="I98" s="12" t="n">
        <x:f>SUM(G98:H98)</x:f>
        <x:v>-1760.632799999994</x:v>
      </x:c>
      <x:c r="J98" s="12" t="n">
        <x:f>D98*E98</x:f>
        <x:v>143197.45440000002</x:v>
      </x:c>
      <x:c r="K98" s="14" t="n">
        <x:f>I98/J98</x:f>
        <x:v>-0.012295140352718404</x:v>
      </x:c>
      <x:c r="L98" s="2" t="n">
        <x:v>1</x:v>
      </x:c>
      <x:c r="M98" s="2" t="n">
        <x:v>4</x:v>
      </x:c>
    </x:row>
    <x:row r="99" ht="23" customHeight="1">
      <x:c r="A99" s="2" t="n">
        <x:v>94</x:v>
      </x:c>
      <x:c r="B99" s="11" t="d">
        <x:v>2025-01-07T00:00:00.000Z</x:v>
      </x:c>
      <x:c r="C99" s="11" t="d">
        <x:v>2025-01-08T00:00:00.000Z</x:v>
      </x:c>
      <x:c r="D99" s="13" t="n">
        <x:v>236</x:v>
      </x:c>
      <x:c r="E99" s="12" t="n">
        <x:v>598.01742</x:v>
      </x:c>
      <x:c r="F99" s="12" t="n">
        <x:v>588.1113</x:v>
      </x:c>
      <x:c r="G99" s="12" t="n">
        <x:v>0</x:v>
      </x:c>
      <x:c r="H99" s="12" t="n">
        <x:f>D99*(F99-E99)</x:f>
        <x:v>-2337.844319999997</x:v>
      </x:c>
      <x:c r="I99" s="12" t="n">
        <x:f>SUM(G99:H99)</x:f>
        <x:v>-2337.844319999997</x:v>
      </x:c>
      <x:c r="J99" s="12" t="n">
        <x:f>D99*E99</x:f>
        <x:v>141132.11112000002</x:v>
      </x:c>
      <x:c r="K99" s="14" t="n">
        <x:f>I99/J99</x:f>
        <x:v>-0.016564935516426908</x:v>
      </x:c>
      <x:c r="L99" s="2" t="n">
        <x:v>1</x:v>
      </x:c>
      <x:c r="M99" s="2" t="n">
        <x:v>1</x:v>
      </x:c>
    </x:row>
    <x:row r="100" ht="23" customHeight="1">
      <x:c r="A100" s="2" t="n">
        <x:v>95</x:v>
      </x:c>
      <x:c r="B100" s="11" t="d">
        <x:v>2025-01-21T00:00:00.000Z</x:v>
      </x:c>
      <x:c r="C100" s="11" t="d">
        <x:v>2025-02-25T00:00:00.000Z</x:v>
      </x:c>
      <x:c r="D100" s="13" t="n">
        <x:v>231</x:v>
      </x:c>
      <x:c r="E100" s="12" t="n">
        <x:v>601.27067</x:v>
      </x:c>
      <x:c r="F100" s="12" t="n">
        <x:v>596.55285</x:v>
      </x:c>
      <x:c r="G100" s="12" t="n">
        <x:v>0</x:v>
      </x:c>
      <x:c r="H100" s="12" t="n">
        <x:f>D100*(F100-E100)</x:f>
        <x:v>-1089.816419999991</x:v>
      </x:c>
      <x:c r="I100" s="12" t="n">
        <x:f>SUM(G100:H100)</x:f>
        <x:v>-1089.816419999991</x:v>
      </x:c>
      <x:c r="J100" s="12" t="n">
        <x:f>D100*E100</x:f>
        <x:v>138893.52477</x:v>
      </x:c>
      <x:c r="K100" s="14" t="n">
        <x:f>I100/J100</x:f>
        <x:v>-0.007846416323616719</x:v>
      </x:c>
      <x:c r="L100" s="2" t="n">
        <x:v>1</x:v>
      </x:c>
      <x:c r="M100" s="2" t="n">
        <x:v>24</x:v>
      </x:c>
    </x:row>
    <x:row r="101" ht="23" customHeight="1">
      <x:c r="A101" s="2" t="n">
        <x:v>96</x:v>
      </x:c>
      <x:c r="B101" s="11" t="d">
        <x:v>2025-05-02T00:00:00.000Z</x:v>
      </x:c>
      <x:c r="C101" s="11" t="d">
        <x:v>2025-11-18T00:00:00.000Z</x:v>
      </x:c>
      <x:c r="D101" s="13" t="n">
        <x:v>244</x:v>
      </x:c>
      <x:c r="E101" s="12" t="n">
        <x:v>565.29473</x:v>
      </x:c>
      <x:c r="F101" s="12" t="n">
        <x:v>661.4379</x:v>
      </x:c>
      <x:c r="G101" s="12" t="n">
        <x:v>876.504364</x:v>
      </x:c>
      <x:c r="H101" s="12" t="n">
        <x:f>D101*(F101-E101)</x:f>
        <x:v>23458.933480000014</x:v>
      </x:c>
      <x:c r="I101" s="12" t="n">
        <x:f>SUM(G101:H101)</x:f>
        <x:v>24335.437844000015</x:v>
      </x:c>
      <x:c r="J101" s="12" t="n">
        <x:f>D101*E101</x:f>
        <x:v>137931.91412</x:v>
      </x:c>
      <x:c r="K101" s="14" t="n">
        <x:f>I101/J101</x:f>
        <x:v>0.17643079920451418</x:v>
      </x:c>
      <x:c r="L101" s="2" t="n">
        <x:v>1</x:v>
      </x:c>
      <x:c r="M101" s="2" t="n">
        <x:v>138</x:v>
      </x:c>
    </x:row>
    <x:row r="102" ht="23" customHeight="1">
      <x:c r="A102" s="2" t="n">
        <x:v>97</x:v>
      </x:c>
      <x:c r="B102" s="11" t="d">
        <x:v>2025-11-26T00:00:00.000Z</x:v>
      </x:c>
      <x:c r="C102" s="11" t="d">
        <x:v>2025-12-18T00:00:00.000Z</x:v>
      </x:c>
      <x:c r="D102" s="13" t="n">
        <x:v>239</x:v>
      </x:c>
      <x:c r="E102" s="12" t="n">
        <x:v>678.30763</x:v>
      </x:c>
      <x:c r="F102" s="12" t="n">
        <x:v>676.9224</x:v>
      </x:c>
      <x:c r="G102" s="12" t="n">
        <x:v>0</x:v>
      </x:c>
      <x:c r="H102" s="12" t="n">
        <x:f>D102*(F102-E102)</x:f>
        <x:v>-331.0699699999949</x:v>
      </x:c>
      <x:c r="I102" s="12" t="n">
        <x:f>SUM(G102:H102)</x:f>
        <x:v>-331.0699699999949</x:v>
      </x:c>
      <x:c r="J102" s="12" t="n">
        <x:f>D102*E102</x:f>
        <x:v>162115.52357</x:v>
      </x:c>
      <x:c r="K102" s="14" t="n">
        <x:f>I102/J102</x:f>
        <x:v>-0.0020421854903799014</x:v>
      </x:c>
      <x:c r="L102" s="2" t="n">
        <x:v>1</x:v>
      </x:c>
      <x:c r="M102" s="2" t="n">
        <x:v>15</x:v>
      </x:c>
    </x:row>
    <x:row r="103" ht="23" customHeight="1">
      <x:c r="A103" s="2" t="n">
        <x:v>98</x:v>
      </x:c>
      <x:c r="B103" s="11" t="d">
        <x:v>2025-12-19T00:00:00.000Z</x:v>
      </x:c>
      <x:c r="C103" s="11" t="str">
        <x:v>未平仓</x:v>
      </x:c>
      <x:c r="D103" s="13" t="n">
        <x:v>239</x:v>
      </x:c>
      <x:c r="E103" s="12" t="n">
        <x:v>677.26659</x:v>
      </x:c>
      <x:c r="F103" s="12" t="n">
        <x:v>681.92</x:v>
      </x:c>
      <x:c r="G103" s="12" t="n">
        <x:v>0</x:v>
      </x:c>
      <x:c r="H103" s="12" t="n">
        <x:f>D103*(F103-E103)</x:f>
        <x:v>1112.164990000002</x:v>
      </x:c>
      <x:c r="I103" s="12" t="n">
        <x:f>SUM(G103:H103)</x:f>
        <x:v>1112.164990000002</x:v>
      </x:c>
      <x:c r="J103" s="12" t="n">
        <x:f>D103*E103</x:f>
        <x:v>161866.71500999999</x:v>
      </x:c>
      <x:c r="K103" s="14" t="n">
        <x:f>I103/J103</x:f>
        <x:v>0.006870868973471745</x:v>
      </x:c>
      <x:c r="L103" s="2" t="n">
        <x:v>0</x:v>
      </x:c>
      <x:c r="M103" s="2" t="n">
        <x:v>8</x:v>
      </x:c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4" t="str">
        <x:v>SPY教学案例 参数成本与分段</x:v>
      </x:c>
      <x:c r="B2" s="2"/>
      <x:c r="C2" s="2"/>
      <x:c r="D2" s="2"/>
      <x:c r="E2" s="2"/>
      <x:c r="F2" s="2"/>
      <x:c r="G2" s="2"/>
    </x:row>
    <x:row r="3" ht="23" customHeight="1">
      <x:c r="A3" s="5" t="str">
        <x:v>结果快照来自实际独立运行。参数变化必须重跑脚本，不能仅修改情景标签。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36" customHeight="1">
      <x:c r="A5" s="10" t="str">
        <x:v>均线日数</x:v>
      </x:c>
      <x:c r="B5" s="10" t="str">
        <x:v>单边成本（bp）</x:v>
      </x:c>
      <x:c r="C5" s="10" t="str">
        <x:v>期末权益美元</x:v>
      </x:c>
      <x:c r="D5" s="10" t="str">
        <x:v>年化收益</x:v>
      </x:c>
      <x:c r="E5" s="10" t="str">
        <x:v>最大回撤</x:v>
      </x:c>
      <x:c r="F5" s="10" t="str">
        <x:v>买卖指令数</x:v>
      </x:c>
      <x:c r="G5" s="2"/>
    </x:row>
    <x:row r="6" ht="23" customHeight="1">
      <x:c r="A6" s="2" t="n">
        <x:v>40</x:v>
      </x:c>
      <x:c r="B6" s="2" t="n">
        <x:v>5</x:v>
      </x:c>
      <x:c r="C6" s="12" t="n">
        <x:v>221189.721833</x:v>
      </x:c>
      <x:c r="D6" s="14" t="n">
        <x:v>0.07486995882763137</x:v>
      </x:c>
      <x:c r="E6" s="14" t="n">
        <x:v>-0.16617898470000003</x:v>
      </x:c>
      <x:c r="F6" s="2" t="n">
        <x:v>205</x:v>
      </x:c>
      <x:c r="G6" s="2"/>
    </x:row>
    <x:row r="7" ht="23" customHeight="1">
      <x:c r="A7" s="2" t="n">
        <x:v>40</x:v>
      </x:c>
      <x:c r="B7" s="2" t="n">
        <x:v>10</x:v>
      </x:c>
      <x:c r="C7" s="12" t="n">
        <x:v>199713.002136</x:v>
      </x:c>
      <x:c r="D7" s="14" t="n">
        <x:v>0.0649312407699314</x:v>
      </x:c>
      <x:c r="E7" s="14" t="n">
        <x:v>-0.1900036237</x:v>
      </x:c>
      <x:c r="F7" s="2" t="n">
        <x:v>205</x:v>
      </x:c>
      <x:c r="G7" s="2"/>
    </x:row>
    <x:row r="8" ht="23" customHeight="1">
      <x:c r="A8" s="2" t="n">
        <x:v>40</x:v>
      </x:c>
      <x:c r="B8" s="2" t="n">
        <x:v>20</x:v>
      </x:c>
      <x:c r="C8" s="12" t="n">
        <x:v>162849.491692</x:v>
      </x:c>
      <x:c r="D8" s="14" t="n">
        <x:v>0.04534994209969745</x:v>
      </x:c>
      <x:c r="E8" s="14" t="n">
        <x:v>-0.23625481735999998</x:v>
      </x:c>
      <x:c r="F8" s="2" t="n">
        <x:v>205</x:v>
      </x:c>
      <x:c r="G8" s="2"/>
    </x:row>
    <x:row r="9" ht="23" customHeight="1">
      <x:c r="A9" s="2" t="n">
        <x:v>50</x:v>
      </x:c>
      <x:c r="B9" s="2" t="n">
        <x:v>5</x:v>
      </x:c>
      <x:c r="C9" s="12" t="n">
        <x:v>179751.504341</x:v>
      </x:c>
      <x:c r="D9" s="14" t="n">
        <x:v>0.05478060905438786</x:v>
      </x:c>
      <x:c r="E9" s="14" t="n">
        <x:v>-0.2069476468061937</x:v>
      </x:c>
      <x:c r="F9" s="2" t="n">
        <x:v>195</x:v>
      </x:c>
      <x:c r="G9" s="2"/>
    </x:row>
    <x:row r="10" ht="23" customHeight="1">
      <x:c r="A10" s="2" t="n">
        <x:v>50</x:v>
      </x:c>
      <x:c r="B10" s="2" t="n">
        <x:v>10</x:v>
      </x:c>
      <x:c r="C10" s="12" t="n">
        <x:v>163159.422949</x:v>
      </x:c>
      <x:c r="D10" s="14" t="n">
        <x:v>0.04553072685234549</x:v>
      </x:c>
      <x:c r="E10" s="14" t="n">
        <x:v>-0.22101630503366332</x:v>
      </x:c>
      <x:c r="F10" s="2" t="n">
        <x:v>195</x:v>
      </x:c>
      <x:c r="G10" s="2"/>
    </x:row>
    <x:row r="11" ht="23" customHeight="1">
      <x:c r="A11" s="2" t="n">
        <x:v>50</x:v>
      </x:c>
      <x:c r="B11" s="2" t="n">
        <x:v>20</x:v>
      </x:c>
      <x:c r="C11" s="12" t="n">
        <x:v>134467.681051</x:v>
      </x:c>
      <x:c r="D11" s="14" t="n">
        <x:v>0.02730081548902641</x:v>
      </x:c>
      <x:c r="E11" s="14" t="n">
        <x:v>-0.24969672024</x:v>
      </x:c>
      <x:c r="F11" s="2" t="n">
        <x:v>195</x:v>
      </x:c>
      <x:c r="G11" s="2"/>
    </x:row>
    <x:row r="12" ht="23" customHeight="1">
      <x:c r="A12" s="2" t="n">
        <x:v>60</x:v>
      </x:c>
      <x:c r="B12" s="2" t="n">
        <x:v>5</x:v>
      </x:c>
      <x:c r="C12" s="12" t="n">
        <x:v>181184.916813</x:v>
      </x:c>
      <x:c r="D12" s="14" t="n">
        <x:v>0.055542842991747055</x:v>
      </x:c>
      <x:c r="E12" s="14" t="n">
        <x:v>-0.2095531259752157</x:v>
      </x:c>
      <x:c r="F12" s="2" t="n">
        <x:v>191</x:v>
      </x:c>
      <x:c r="G12" s="2"/>
    </x:row>
    <x:row r="13" ht="23" customHeight="1">
      <x:c r="A13" s="2" t="n">
        <x:v>60</x:v>
      </x:c>
      <x:c r="B13" s="2" t="n">
        <x:v>10</x:v>
      </x:c>
      <x:c r="C13" s="12" t="n">
        <x:v>164733.926191</x:v>
      </x:c>
      <x:c r="D13" s="14" t="n">
        <x:v>0.04644435040870798</x:v>
      </x:c>
      <x:c r="E13" s="14" t="n">
        <x:v>-0.22210563277297857</x:v>
      </x:c>
      <x:c r="F13" s="2" t="n">
        <x:v>191</x:v>
      </x:c>
      <x:c r="G13" s="2"/>
    </x:row>
    <x:row r="14" ht="23" customHeight="1">
      <x:c r="A14" s="2" t="n">
        <x:v>60</x:v>
      </x:c>
      <x:c r="B14" s="2" t="n">
        <x:v>20</x:v>
      </x:c>
      <x:c r="C14" s="12" t="n">
        <x:v>136231.565127</x:v>
      </x:c>
      <x:c r="D14" s="14" t="n">
        <x:v>0.028519161628005163</x:v>
      </x:c>
      <x:c r="E14" s="14" t="n">
        <x:v>-0.24763689075127826</x:v>
      </x:c>
      <x:c r="F14" s="2" t="n">
        <x:v>191</x:v>
      </x:c>
      <x:c r="G14" s="2"/>
    </x:row>
    <x:row r="15" ht="23" customHeight="1">
      <x:c r="A15" s="2"/>
      <x:c r="B15" s="2"/>
      <x:c r="C15" s="2"/>
      <x:c r="D15" s="2"/>
      <x:c r="E15" s="2"/>
      <x:c r="F15" s="2"/>
      <x:c r="G15" s="2"/>
    </x:row>
    <x:row r="16" ht="23" customHeight="1">
      <x:c r="A16" s="2"/>
      <x:c r="B16" s="2"/>
      <x:c r="C16" s="2"/>
      <x:c r="D16" s="2"/>
      <x:c r="E16" s="2"/>
      <x:c r="F16" s="2"/>
      <x:c r="G16" s="2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36" customHeight="1">
      <x:c r="A18" s="10" t="str">
        <x:v>起始日</x:v>
      </x:c>
      <x:c r="B18" s="10" t="str">
        <x:v>结束日</x:v>
      </x:c>
      <x:c r="C18" s="10" t="str">
        <x:v>类别</x:v>
      </x:c>
      <x:c r="D18" s="10" t="str">
        <x:v>期末权益美元</x:v>
      </x:c>
      <x:c r="E18" s="10" t="str">
        <x:v>年化收益</x:v>
      </x:c>
      <x:c r="F18" s="10" t="str">
        <x:v>最大回撤</x:v>
      </x:c>
      <x:c r="G18" s="2"/>
    </x:row>
    <x:row r="19" ht="23" customHeight="1">
      <x:c r="A19" s="23" t="d">
        <x:v>2015-01-02T00:00:00.000Z</x:v>
      </x:c>
      <x:c r="B19" s="23" t="d">
        <x:v>2019-12-31T00:00:00.000Z</x:v>
      </x:c>
      <x:c r="C19" s="24" t="str">
        <x:v>50日规则</x:v>
      </x:c>
      <x:c r="D19" s="12" t="n">
        <x:v>97575.222345</x:v>
      </x:c>
      <x:c r="E19" s="14" t="n">
        <x:v>-0.004903314060816011</x:v>
      </x:c>
      <x:c r="F19" s="14" t="n">
        <x:v>-0.20350617997999998</x:v>
      </x:c>
      <x:c r="G19" s="2"/>
    </x:row>
    <x:row r="20" ht="23" customHeight="1">
      <x:c r="A20" s="23" t="d">
        <x:v>2015-01-02T00:00:00.000Z</x:v>
      </x:c>
      <x:c r="B20" s="23" t="d">
        <x:v>2019-12-31T00:00:00.000Z</x:v>
      </x:c>
      <x:c r="C20" s="24" t="str">
        <x:v>买入持有</x:v>
      </x:c>
      <x:c r="D20" s="12" t="n">
        <x:v>167537.07444</x:v>
      </x:c>
      <x:c r="E20" s="14" t="n">
        <x:v>0.1088619368915924</x:v>
      </x:c>
      <x:c r="F20" s="14" t="n">
        <x:v>-0.1824974181445339</x:v>
      </x:c>
      <x:c r="G20" s="2"/>
    </x:row>
    <x:row r="21" ht="23" customHeight="1">
      <x:c r="A21" s="23" t="d">
        <x:v>2020-01-02T00:00:00.000Z</x:v>
      </x:c>
      <x:c r="B21" s="23" t="d">
        <x:v>2022-12-30T00:00:00.000Z</x:v>
      </x:c>
      <x:c r="C21" s="24" t="str">
        <x:v>50日规则</x:v>
      </x:c>
      <x:c r="D21" s="12" t="n">
        <x:v>114508.694065</x:v>
      </x:c>
      <x:c r="E21" s="14" t="n">
        <x:v>0.046314313899117554</x:v>
      </x:c>
      <x:c r="F21" s="14" t="n">
        <x:v>-0.19526859527250384</x:v>
      </x:c>
      <x:c r="G21" s="2"/>
    </x:row>
    <x:row r="22" ht="23" customHeight="1">
      <x:c r="A22" s="23" t="d">
        <x:v>2020-01-02T00:00:00.000Z</x:v>
      </x:c>
      <x:c r="B22" s="23" t="d">
        <x:v>2022-12-30T00:00:00.000Z</x:v>
      </x:c>
      <x:c r="C22" s="24" t="str">
        <x:v>买入持有</x:v>
      </x:c>
      <x:c r="D22" s="12" t="n">
        <x:v>123499.283192</x:v>
      </x:c>
      <x:c r="E22" s="14" t="n">
        <x:v>0.07307898188679651</x:v>
      </x:c>
      <x:c r="F22" s="14" t="n">
        <x:v>-0.33608680876946906</x:v>
      </x:c>
      <x:c r="G22" s="2"/>
    </x:row>
    <x:row r="23" ht="23" customHeight="1">
      <x:c r="A23" s="23" t="d">
        <x:v>2023-01-03T00:00:00.000Z</x:v>
      </x:c>
      <x:c r="B23" s="23" t="d">
        <x:v>2025-12-31T00:00:00.000Z</x:v>
      </x:c>
      <x:c r="C23" s="24" t="str">
        <x:v>50日规则</x:v>
      </x:c>
      <x:c r="D23" s="12" t="n">
        <x:v>145216.757008</x:v>
      </x:c>
      <x:c r="E23" s="14" t="n">
        <x:v>0.13276926399078315</x:v>
      </x:c>
      <x:c r="F23" s="14" t="n">
        <x:v>-0.089694872051988</x:v>
      </x:c>
      <x:c r="G23" s="2"/>
    </x:row>
    <x:row r="24" ht="23" customHeight="1">
      <x:c r="A24" s="23" t="d">
        <x:v>2023-01-03T00:00:00.000Z</x:v>
      </x:c>
      <x:c r="B24" s="23" t="d">
        <x:v>2025-12-31T00:00:00.000Z</x:v>
      </x:c>
      <x:c r="C24" s="24" t="str">
        <x:v>买入持有</x:v>
      </x:c>
      <x:c r="D24" s="12" t="n">
        <x:v>182399.71299</x:v>
      </x:c>
      <x:c r="E24" s="14" t="n">
        <x:v>0.22243834269307006</x:v>
      </x:c>
      <x:c r="F24" s="14" t="n">
        <x:v>-0.1827373636215619</x:v>
      </x:c>
      <x:c r="G24" s="2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23" customHeight="1">
      <x:c r="A26" s="2"/>
      <x:c r="B26" s="2"/>
      <x:c r="C26" s="2"/>
      <x:c r="D26" s="2"/>
      <x:c r="E26" s="2"/>
      <x:c r="F26" s="2"/>
      <x:c r="G26" s="2"/>
    </x:row>
    <x:row r="27" ht="23" customHeight="1">
      <x:c r="A27" s="5" t="str">
        <x:v>每段重置100,000美元；前期价格只预热。历史分段不是前瞻验证。</x:v>
      </x:c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2"/>
      <x:c r="B29" s="2"/>
      <x:c r="C29" s="2"/>
      <x:c r="D29" s="2"/>
      <x:c r="E29" s="2"/>
      <x:c r="F29" s="2"/>
      <x:c r="G29" s="2"/>
    </x:row>
    <x:row r="30" ht="36" customHeight="1">
      <x:c r="A30" s="10" t="str">
        <x:v>基准单边成本（bp）</x:v>
      </x:c>
      <x:c r="B30" s="10" t="str">
        <x:v>期末权益美元</x:v>
      </x:c>
      <x:c r="C30" s="10" t="str">
        <x:v>年化收益</x:v>
      </x:c>
      <x:c r="D30" s="10" t="str">
        <x:v>最大回撤</x:v>
      </x:c>
      <x:c r="E30" s="2"/>
      <x:c r="F30" s="2"/>
      <x:c r="G30" s="2"/>
    </x:row>
    <x:row r="31" ht="23" customHeight="1">
      <x:c r="A31" s="2" t="n">
        <x:v>5</x:v>
      </x:c>
      <x:c r="B31" s="12" t="n">
        <x:v>360591.647096</x:v>
      </x:c>
      <x:c r="C31" s="14" t="n">
        <x:v>0.12372450926514444</x:v>
      </x:c>
      <x:c r="D31" s="14" t="n">
        <x:v>-0.31423684435930044</x:v>
      </x:c>
      <x:c r="E31" s="2"/>
      <x:c r="F31" s="2"/>
      <x:c r="G31" s="2"/>
    </x:row>
    <x:row r="32" ht="23" customHeight="1">
      <x:c r="A32" s="2" t="n">
        <x:v>10</x:v>
      </x:c>
      <x:c r="B32" s="12" t="n">
        <x:v>360541.703136</x:v>
      </x:c>
      <x:c r="C32" s="14" t="n">
        <x:v>0.12371035292374222</x:v>
      </x:c>
      <x:c r="D32" s="14" t="n">
        <x:v>-0.3143262633602564</x:v>
      </x:c>
      <x:c r="E32" s="2"/>
      <x:c r="F32" s="2"/>
      <x:c r="G32" s="2"/>
    </x:row>
    <x:row r="33">
      <x:c r="A33" t="n">
        <x:v>20</x:v>
      </x:c>
      <x:c r="B33" s="25" t="n">
        <x:v>359903.712292</x:v>
      </x:c>
      <x:c r="C33" s="26" t="n">
        <x:v>0.12352936091574329</x:v>
      </x:c>
      <x:c r="D33" s="26" t="n">
        <x:v>-0.31413448338084715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5" hidden="0" customWidth="1"/>
    <x:col min="7" max="7" width="23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笔者资料A 匿名R字段核验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5" t="str">
        <x:v>随书资料7-A。核心策略未披露，累计差分不等于独立净现金账。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6" customHeight="1">
      <x:c r="A5" s="10" t="str">
        <x:v>集中度指标</x:v>
      </x:c>
      <x:c r="B5" s="10" t="str">
        <x:v>公式结果</x:v>
      </x:c>
      <x:c r="C5" s="2"/>
      <x:c r="D5" s="2"/>
      <x:c r="E5" s="2"/>
      <x:c r="F5" s="2" t="str">
        <x:v>编号52的字段</x:v>
      </x:c>
      <x:c r="G5" s="2" t="str">
        <x:v>美元或份额</x:v>
      </x:c>
      <x:c r="H5" s="2"/>
      <x:c r="I5" s="2"/>
    </x:row>
    <x:row r="6" ht="23" customHeight="1">
      <x:c r="A6" s="2" t="str">
        <x:v>期末累计损益</x:v>
      </x:c>
      <x:c r="B6" s="12" t="n">
        <x:f>C66</x:f>
        <x:v>12173724</x:v>
      </x:c>
      <x:c r="C6" s="2"/>
      <x:c r="D6" s="2"/>
      <x:c r="E6" s="2"/>
      <x:c r="F6" s="2" t="str">
        <x:v>前笔累计</x:v>
      </x:c>
      <x:c r="G6" s="12" t="n">
        <x:v>13247297</x:v>
      </x:c>
      <x:c r="H6" s="2"/>
      <x:c r="I6" s="2"/>
    </x:row>
    <x:row r="7" ht="23" customHeight="1">
      <x:c r="A7" s="2" t="str">
        <x:v>前五笔正贡献之和</x:v>
      </x:c>
      <x:c r="B7" s="12" t="n">
        <x:f>SUM(LARGE(D15:D66,1),LARGE(D15:D66,2),LARGE(D15:D66,3),LARGE(D15:D66,4),LARGE(D15:D66,5))</x:f>
        <x:v>11521639.3</x:v>
      </x:c>
      <x:c r="C7" s="2"/>
      <x:c r="D7" s="2"/>
      <x:c r="E7" s="2"/>
      <x:c r="F7" s="2" t="str">
        <x:v>本笔累计</x:v>
      </x:c>
      <x:c r="G7" s="12" t="n">
        <x:v>12173724</x:v>
      </x:c>
      <x:c r="H7" s="2"/>
      <x:c r="I7" s="2"/>
    </x:row>
    <x:row r="8" ht="23" customHeight="1">
      <x:c r="A8" s="2" t="str">
        <x:v>全部正贡献之和</x:v>
      </x:c>
      <x:c r="B8" s="12" t="n">
        <x:f>SUMIFS(D15:D66,D15:D66,"&gt;0")</x:f>
        <x:v>18303242.29</x:v>
      </x:c>
      <x:c r="C8" s="2"/>
      <x:c r="D8" s="2"/>
      <x:c r="E8" s="2"/>
      <x:c r="F8" s="2" t="str">
        <x:v>表列净损益</x:v>
      </x:c>
      <x:c r="G8" s="12" t="n">
        <x:v>-930399.4</x:v>
      </x:c>
      <x:c r="H8" s="2"/>
      <x:c r="I8" s="2"/>
    </x:row>
    <x:row r="9" ht="23" customHeight="1">
      <x:c r="A9" s="2" t="str">
        <x:v>前五笔占全部正贡献</x:v>
      </x:c>
      <x:c r="B9" s="14" t="n">
        <x:f>B7/B8</x:f>
        <x:v>0.6294862471604206</x:v>
      </x:c>
      <x:c r="C9" s="2"/>
      <x:c r="D9" s="2"/>
      <x:c r="E9" s="2"/>
      <x:c r="F9" s="2" t="str">
        <x:v>表列费用</x:v>
      </x:c>
      <x:c r="G9" s="12" t="n">
        <x:v>143173.73</x:v>
      </x:c>
      <x:c r="H9" s="2"/>
      <x:c r="I9" s="2"/>
    </x:row>
    <x:row r="10" ht="23" customHeight="1">
      <x:c r="A10" s="2" t="str">
        <x:v>前五笔占期末累计利润</x:v>
      </x:c>
      <x:c r="B10" s="14" t="n">
        <x:f>B7/B6</x:f>
        <x:v>0.9464350678559823</x:v>
      </x:c>
      <x:c r="C10" s="2"/>
      <x:c r="D10" s="2"/>
      <x:c r="E10" s="2"/>
      <x:c r="F10" s="2" t="str">
        <x:v>份额</x:v>
      </x:c>
      <x:c r="G10" s="12" t="n">
        <x:v>170303</x:v>
      </x:c>
      <x:c r="H10" s="2"/>
      <x:c r="I10" s="2"/>
    </x:row>
    <x:row r="11" ht="23" customHeight="1">
      <x:c r="A11" s="2"/>
      <x:c r="B11" s="2"/>
      <x:c r="C11" s="2"/>
      <x:c r="D11" s="2"/>
      <x:c r="E11" s="2"/>
      <x:c r="F11" s="2" t="str">
        <x:v>买入显示价</x:v>
      </x:c>
      <x:c r="G11" s="12" t="n">
        <x:v>84.07</x:v>
      </x:c>
      <x:c r="H11" s="2"/>
      <x:c r="I11" s="2"/>
    </x:row>
    <x:row r="12" ht="23" customHeight="1">
      <x:c r="A12" s="2"/>
      <x:c r="B12" s="2"/>
      <x:c r="C12" s="2"/>
      <x:c r="D12" s="2"/>
      <x:c r="E12" s="2"/>
      <x:c r="F12" s="2" t="str">
        <x:v>卖出显示价</x:v>
      </x:c>
      <x:c r="G12" s="12" t="n">
        <x:v>80.25</x:v>
      </x:c>
      <x:c r="H12" s="2"/>
      <x:c r="I12" s="2"/>
    </x:row>
    <x:row r="13" ht="23" customHeight="1">
      <x:c r="A13" s="2"/>
      <x:c r="B13" s="2"/>
      <x:c r="C13" s="2"/>
      <x:c r="D13" s="2"/>
      <x:c r="E13" s="2"/>
      <x:c r="F13" s="2"/>
      <x:c r="G13" s="12"/>
      <x:c r="H13" s="2"/>
      <x:c r="I13" s="2"/>
    </x:row>
    <x:row r="14" ht="36" customHeight="1">
      <x:c r="A14" s="10" t="str">
        <x:v>编号</x:v>
      </x:c>
      <x:c r="B14" s="10" t="str">
        <x:v>回报字段</x:v>
      </x:c>
      <x:c r="C14" s="10" t="str">
        <x:v>累计损益美元</x:v>
      </x:c>
      <x:c r="D14" s="10" t="str">
        <x:v>差分贡献美元</x:v>
      </x:c>
      <x:c r="E14" s="2"/>
      <x:c r="F14" s="2" t="str">
        <x:v>累计变化</x:v>
      </x:c>
      <x:c r="G14" s="12" t="n">
        <x:f>G7-G6</x:f>
        <x:v>-1073573</x:v>
      </x:c>
      <x:c r="H14" s="2"/>
      <x:c r="I14" s="2"/>
    </x:row>
    <x:row r="15" ht="23" customHeight="1">
      <x:c r="A15" s="2" t="n">
        <x:v>1</x:v>
      </x:c>
      <x:c r="B15" s="14" t="n">
        <x:v>0.2738</x:v>
      </x:c>
      <x:c r="C15" s="12" t="n">
        <x:v>272204.8</x:v>
      </x:c>
      <x:c r="D15" s="12" t="n">
        <x:f>C15</x:f>
        <x:v>272204.8</x:v>
      </x:c>
      <x:c r="E15" s="2"/>
      <x:c r="F15" s="2" t="str">
        <x:v>累计变化减表列净损益</x:v>
      </x:c>
      <x:c r="G15" s="12" t="n">
        <x:f>G14-G8</x:f>
        <x:v>-143173.59999999998</x:v>
      </x:c>
      <x:c r="H15" s="2"/>
      <x:c r="I15" s="2"/>
    </x:row>
    <x:row r="16" ht="23" customHeight="1">
      <x:c r="A16" s="2" t="n">
        <x:v>2</x:v>
      </x:c>
      <x:c r="B16" s="14" t="n">
        <x:v>-0.1182</x:v>
      </x:c>
      <x:c r="C16" s="12" t="n">
        <x:v>121848.14</x:v>
      </x:c>
      <x:c r="D16" s="12" t="n">
        <x:f>C16-C15</x:f>
        <x:v>-150356.65999999997</x:v>
      </x:c>
      <x:c r="E16" s="2"/>
      <x:c r="F16" s="2" t="str">
        <x:v>差额绝对值减费用</x:v>
      </x:c>
      <x:c r="G16" s="12" t="n">
        <x:f>ABS(G15)-G9</x:f>
        <x:v>-0.13000000003376044</x:v>
      </x:c>
      <x:c r="H16" s="2"/>
      <x:c r="I16" s="2"/>
    </x:row>
    <x:row r="17" ht="23" customHeight="1">
      <x:c r="A17" s="2" t="n">
        <x:v>3</x:v>
      </x:c>
      <x:c r="B17" s="14" t="n">
        <x:v>0.0599</x:v>
      </x:c>
      <x:c r="C17" s="12" t="n">
        <x:v>189959</x:v>
      </x:c>
      <x:c r="D17" s="12" t="n">
        <x:f>C17-C16</x:f>
        <x:v>68110.86</x:v>
      </x:c>
      <x:c r="E17" s="2"/>
      <x:c r="F17" s="2" t="str">
        <x:v>数量乘价差</x:v>
      </x:c>
      <x:c r="G17" s="12" t="n">
        <x:f>G10*(G12-G11)</x:f>
        <x:v>-650557.4599999988</x:v>
      </x:c>
      <x:c r="H17" s="2"/>
      <x:c r="I17" s="2"/>
    </x:row>
    <x:row r="18" ht="23" customHeight="1">
      <x:c r="A18" s="2" t="n">
        <x:v>4</x:v>
      </x:c>
      <x:c r="B18" s="14" t="n">
        <x:v>-0.0393</x:v>
      </x:c>
      <x:c r="C18" s="12" t="n">
        <x:v>143152.5</x:v>
      </x:c>
      <x:c r="D18" s="12" t="n">
        <x:f>C18-C17</x:f>
        <x:v>-46806.5</x:v>
      </x:c>
      <x:c r="E18" s="2"/>
      <x:c r="F18" s="2" t="str">
        <x:v>扣一次费用后</x:v>
      </x:c>
      <x:c r="G18" s="12" t="n">
        <x:f>G17-G9</x:f>
        <x:v>-793731.1899999988</x:v>
      </x:c>
      <x:c r="H18" s="2"/>
      <x:c r="I18" s="2"/>
    </x:row>
    <x:row r="19" ht="23" customHeight="1">
      <x:c r="A19" s="2" t="n">
        <x:v>5</x:v>
      </x:c>
      <x:c r="B19" s="14" t="n">
        <x:v>-0.019799999999999998</x:v>
      </x:c>
      <x:c r="C19" s="12" t="n">
        <x:v>120366.76</x:v>
      </x:c>
      <x:c r="D19" s="12" t="n">
        <x:f>C19-C18</x:f>
        <x:v>-22785.740000000005</x:v>
      </x:c>
      <x:c r="E19" s="2"/>
      <x:c r="F19" s="2" t="str">
        <x:v>重建减表列净损益</x:v>
      </x:c>
      <x:c r="G19" s="12" t="n">
        <x:f>G18-G8</x:f>
        <x:v>136668.21000000124</x:v>
      </x:c>
      <x:c r="H19" s="2"/>
      <x:c r="I19" s="2"/>
    </x:row>
    <x:row r="20" ht="23" customHeight="1">
      <x:c r="A20" s="2" t="n">
        <x:v>6</x:v>
      </x:c>
      <x:c r="B20" s="14" t="n">
        <x:v>-0.1308</x:v>
      </x:c>
      <x:c r="C20" s="12" t="n">
        <x:v>-29259.35</x:v>
      </x:c>
      <x:c r="D20" s="12" t="n">
        <x:f>C20-C19</x:f>
        <x:v>-149626.11</x:v>
      </x:c>
      <x:c r="E20" s="2"/>
      <x:c r="F20" s="2" t="str">
        <x:v>普通美分舍入上界</x:v>
      </x:c>
      <x:c r="G20" s="12" t="n">
        <x:f>G10*0.01</x:f>
        <x:v>1703.03</x:v>
      </x:c>
      <x:c r="H20" s="2"/>
      <x:c r="I20" s="2"/>
    </x:row>
    <x:row r="21" ht="23" customHeight="1">
      <x:c r="A21" s="2" t="n">
        <x:v>7</x:v>
      </x:c>
      <x:c r="B21" s="14" t="n">
        <x:v>0.3256</x:v>
      </x:c>
      <x:c r="C21" s="12" t="n">
        <x:v>290036.28</x:v>
      </x:c>
      <x:c r="D21" s="12" t="n">
        <x:f>C21-C20</x:f>
        <x:v>319295.63</x:v>
      </x:c>
      <x:c r="E21" s="2"/>
      <x:c r="F21" s="2"/>
      <x:c r="G21" s="2"/>
      <x:c r="H21" s="2"/>
      <x:c r="I21" s="2"/>
    </x:row>
    <x:row r="22" ht="23" customHeight="1">
      <x:c r="A22" s="2" t="n">
        <x:v>8</x:v>
      </x:c>
      <x:c r="B22" s="14" t="n">
        <x:v>-0.0599</x:v>
      </x:c>
      <x:c r="C22" s="12" t="n">
        <x:v>213899.9</x:v>
      </x:c>
      <x:c r="D22" s="12" t="n">
        <x:f>C22-C21</x:f>
        <x:v>-76136.38000000003</x:v>
      </x:c>
      <x:c r="E22" s="2"/>
      <x:c r="F22" s="2"/>
      <x:c r="G22" s="2"/>
      <x:c r="H22" s="2"/>
      <x:c r="I22" s="2"/>
    </x:row>
    <x:row r="23" ht="23" customHeight="1">
      <x:c r="A23" s="2" t="n">
        <x:v>9</x:v>
      </x:c>
      <x:c r="B23" s="14" t="n">
        <x:v>-0.1636</x:v>
      </x:c>
      <x:c r="C23" s="12" t="n">
        <x:v>11434.28</x:v>
      </x:c>
      <x:c r="D23" s="12" t="n">
        <x:f>C23-C22</x:f>
        <x:v>-202465.62</x:v>
      </x:c>
      <x:c r="E23" s="2"/>
      <x:c r="F23" s="2"/>
      <x:c r="G23" s="2"/>
      <x:c r="H23" s="2"/>
      <x:c r="I23" s="2"/>
    </x:row>
    <x:row r="24" ht="23" customHeight="1">
      <x:c r="A24" s="2" t="n">
        <x:v>10</x:v>
      </x:c>
      <x:c r="B24" s="14" t="n">
        <x:v>-0.1501</x:v>
      </x:c>
      <x:c r="C24" s="12" t="n">
        <x:v>-142996.14</x:v>
      </x:c>
      <x:c r="D24" s="12" t="n">
        <x:f>C24-C23</x:f>
        <x:v>-154430.42</x:v>
      </x:c>
      <x:c r="E24" s="2"/>
      <x:c r="F24" s="2"/>
      <x:c r="G24" s="2"/>
      <x:c r="H24" s="2"/>
      <x:c r="I24" s="2"/>
    </x:row>
    <x:row r="25" ht="23" customHeight="1">
      <x:c r="A25" s="2" t="n">
        <x:v>11</x:v>
      </x:c>
      <x:c r="B25" s="14" t="n">
        <x:v>-0.019799999999999998</x:v>
      </x:c>
      <x:c r="C25" s="12" t="n">
        <x:v>-160162.14</x:v>
      </x:c>
      <x:c r="D25" s="12" t="n">
        <x:f>C25-C24</x:f>
        <x:v>-17166</x:v>
      </x:c>
      <x:c r="E25" s="2"/>
      <x:c r="F25" s="2"/>
      <x:c r="G25" s="2"/>
      <x:c r="H25" s="2"/>
      <x:c r="I25" s="2"/>
    </x:row>
    <x:row r="26" ht="23" customHeight="1">
      <x:c r="A26" s="2" t="n">
        <x:v>12</x:v>
      </x:c>
      <x:c r="B26" s="14" t="n">
        <x:v>0.3705</x:v>
      </x:c>
      <x:c r="C26" s="12" t="n">
        <x:v>150982.1</x:v>
      </x:c>
      <x:c r="D26" s="12" t="n">
        <x:f>C26-C25</x:f>
        <x:v>311144.24</x:v>
      </x:c>
      <x:c r="E26" s="2"/>
      <x:c r="F26" s="2"/>
      <x:c r="G26" s="2"/>
      <x:c r="H26" s="2"/>
      <x:c r="I26" s="2"/>
    </x:row>
    <x:row r="27" ht="23" customHeight="1">
      <x:c r="A27" s="2" t="n">
        <x:v>13</x:v>
      </x:c>
      <x:c r="B27" s="14" t="n">
        <x:v>0.1131</x:v>
      </x:c>
      <x:c r="C27" s="12" t="n">
        <x:v>281997.97</x:v>
      </x:c>
      <x:c r="D27" s="12" t="n">
        <x:f>C27-C26</x:f>
        <x:v>131015.86999999997</x:v>
      </x:c>
      <x:c r="E27" s="2"/>
      <x:c r="F27" s="2"/>
      <x:c r="G27" s="2"/>
      <x:c r="H27" s="2"/>
      <x:c r="I27" s="2"/>
    </x:row>
    <x:row r="28" ht="23" customHeight="1">
      <x:c r="A28" s="2" t="n">
        <x:v>14</x:v>
      </x:c>
      <x:c r="B28" s="14" t="n">
        <x:v>0.13470000000000001</x:v>
      </x:c>
      <x:c r="C28" s="12" t="n">
        <x:v>455529.62</x:v>
      </x:c>
      <x:c r="D28" s="12" t="n">
        <x:f>C28-C27</x:f>
        <x:v>173531.65000000002</x:v>
      </x:c>
      <x:c r="E28" s="2"/>
      <x:c r="F28" s="2"/>
      <x:c r="G28" s="2"/>
      <x:c r="H28" s="2"/>
      <x:c r="I28" s="2"/>
    </x:row>
    <x:row r="29" ht="23" customHeight="1">
      <x:c r="A29" s="2" t="n">
        <x:v>15</x:v>
      </x:c>
      <x:c r="B29" s="14" t="n">
        <x:v>-0.1002</x:v>
      </x:c>
      <x:c r="C29" s="12" t="n">
        <x:v>313013.22</x:v>
      </x:c>
      <x:c r="D29" s="12" t="n">
        <x:f>C29-C28</x:f>
        <x:v>-142516.40000000002</x:v>
      </x:c>
      <x:c r="E29" s="2"/>
      <x:c r="F29" s="2"/>
      <x:c r="G29" s="2"/>
      <x:c r="H29" s="2"/>
      <x:c r="I29" s="2"/>
    </x:row>
    <x:row r="30" ht="23" customHeight="1">
      <x:c r="A30" s="2" t="n">
        <x:v>16</x:v>
      </x:c>
      <x:c r="B30" s="14" t="n">
        <x:v>-0.1018</x:v>
      </x:c>
      <x:c r="C30" s="12" t="n">
        <x:v>182961.8</x:v>
      </x:c>
      <x:c r="D30" s="12" t="n">
        <x:f>C30-C29</x:f>
        <x:v>-130051.41999999998</x:v>
      </x:c>
      <x:c r="E30" s="2"/>
      <x:c r="F30" s="2"/>
      <x:c r="G30" s="2"/>
      <x:c r="H30" s="2"/>
      <x:c r="I30" s="2"/>
    </x:row>
    <x:row r="31" ht="23" customHeight="1">
      <x:c r="A31" s="2" t="n">
        <x:v>17</x:v>
      </x:c>
      <x:c r="B31" s="14" t="n">
        <x:v>-0.08449999999999999</x:v>
      </x:c>
      <x:c r="C31" s="12" t="n">
        <x:v>83477.02</x:v>
      </x:c>
      <x:c r="D31" s="12" t="n">
        <x:f>C31-C30</x:f>
        <x:v>-99484.77999999998</x:v>
      </x:c>
      <x:c r="E31" s="2"/>
      <x:c r="F31" s="2"/>
      <x:c r="G31" s="2"/>
      <x:c r="H31" s="2"/>
      <x:c r="I31" s="2"/>
    </x:row>
    <x:row r="32" ht="23" customHeight="1">
      <x:c r="A32" s="2" t="n">
        <x:v>18</x:v>
      </x:c>
      <x:c r="B32" s="14" t="n">
        <x:v>0.07730000000000001</x:v>
      </x:c>
      <x:c r="C32" s="12" t="n">
        <x:v>168014.84</x:v>
      </x:c>
      <x:c r="D32" s="12" t="n">
        <x:f>C32-C31</x:f>
        <x:v>84537.81999999999</x:v>
      </x:c>
      <x:c r="E32" s="2"/>
      <x:c r="F32" s="2"/>
      <x:c r="G32" s="2"/>
      <x:c r="H32" s="2"/>
      <x:c r="I32" s="2"/>
    </x:row>
    <x:row r="33" ht="23" customHeight="1">
      <x:c r="A33" s="2" t="n">
        <x:v>19</x:v>
      </x:c>
      <x:c r="B33" s="14" t="n">
        <x:v>0.07</x:v>
      </x:c>
      <x:c r="C33" s="12" t="n">
        <x:v>250869.1</x:v>
      </x:c>
      <x:c r="D33" s="12" t="n">
        <x:f>C33-C32</x:f>
        <x:v>82854.26000000001</x:v>
      </x:c>
      <x:c r="E33" s="2"/>
      <x:c r="F33" s="2"/>
      <x:c r="G33" s="2"/>
      <x:c r="H33" s="2"/>
      <x:c r="I33" s="2"/>
    </x:row>
    <x:row r="34" ht="23" customHeight="1">
      <x:c r="A34" s="2" t="n">
        <x:v>20</x:v>
      </x:c>
      <x:c r="B34" s="14" t="n">
        <x:v>0.085</x:v>
      </x:c>
      <x:c r="C34" s="12" t="n">
        <x:v>357132.5</x:v>
      </x:c>
      <x:c r="D34" s="12" t="n">
        <x:f>C34-C33</x:f>
        <x:v>106263.4</x:v>
      </x:c>
      <x:c r="E34" s="2"/>
      <x:c r="F34" s="2"/>
      <x:c r="G34" s="2"/>
      <x:c r="H34" s="2"/>
      <x:c r="I34" s="2"/>
    </x:row>
    <x:row r="35" ht="23" customHeight="1">
      <x:c r="A35" s="2" t="n">
        <x:v>21</x:v>
      </x:c>
      <x:c r="B35" s="14" t="n">
        <x:v>0.0433</x:v>
      </x:c>
      <x:c r="C35" s="12" t="n">
        <x:v>415251.16</x:v>
      </x:c>
      <x:c r="D35" s="12" t="n">
        <x:f>C35-C34</x:f>
        <x:v>58118.659999999974</x:v>
      </x:c>
      <x:c r="E35" s="2"/>
      <x:c r="F35" s="2"/>
      <x:c r="G35" s="2"/>
      <x:c r="H35" s="2"/>
      <x:c r="I35" s="2"/>
    </x:row>
    <x:row r="36" ht="23" customHeight="1">
      <x:c r="A36" s="2" t="n">
        <x:v>22</x:v>
      </x:c>
      <x:c r="B36" s="14" t="n">
        <x:v>0.19640000000000002</x:v>
      </x:c>
      <x:c r="C36" s="12" t="n">
        <x:v>693231.5</x:v>
      </x:c>
      <x:c r="D36" s="12" t="n">
        <x:f>C36-C35</x:f>
        <x:v>277980.34</x:v>
      </x:c>
      <x:c r="E36" s="2"/>
      <x:c r="F36" s="2"/>
      <x:c r="G36" s="2"/>
      <x:c r="H36" s="2"/>
      <x:c r="I36" s="2"/>
    </x:row>
    <x:row r="37" ht="23" customHeight="1">
      <x:c r="A37" s="2" t="n">
        <x:v>23</x:v>
      </x:c>
      <x:c r="B37" s="14" t="n">
        <x:v>-0.1476</x:v>
      </x:c>
      <x:c r="C37" s="12" t="n">
        <x:v>448012.53</x:v>
      </x:c>
      <x:c r="D37" s="12" t="n">
        <x:f>C37-C36</x:f>
        <x:v>-245218.96999999997</x:v>
      </x:c>
      <x:c r="E37" s="2"/>
      <x:c r="F37" s="2"/>
      <x:c r="G37" s="2"/>
      <x:c r="H37" s="2"/>
      <x:c r="I37" s="2"/>
    </x:row>
    <x:row r="38" ht="23" customHeight="1">
      <x:c r="A38" s="2" t="n">
        <x:v>24</x:v>
      </x:c>
      <x:c r="B38" s="14" t="n">
        <x:v>-0.09179999999999999</x:v>
      </x:c>
      <x:c r="C38" s="12" t="n">
        <x:v>314534.75</x:v>
      </x:c>
      <x:c r="D38" s="12" t="n">
        <x:f>C38-C37</x:f>
        <x:v>-133477.78000000003</x:v>
      </x:c>
      <x:c r="E38" s="2"/>
      <x:c r="F38" s="2"/>
      <x:c r="G38" s="2"/>
      <x:c r="H38" s="2"/>
      <x:c r="I38" s="2"/>
    </x:row>
    <x:row r="39" ht="23" customHeight="1">
      <x:c r="A39" s="2" t="n">
        <x:v>25</x:v>
      </x:c>
      <x:c r="B39" s="14" t="n">
        <x:v>-0.0358</x:v>
      </x:c>
      <x:c r="C39" s="12" t="n">
        <x:v>267479.9</x:v>
      </x:c>
      <x:c r="D39" s="12" t="n">
        <x:f>C39-C38</x:f>
        <x:v>-47054.84999999998</x:v>
      </x:c>
      <x:c r="E39" s="2"/>
      <x:c r="F39" s="2"/>
      <x:c r="G39" s="2"/>
      <x:c r="H39" s="2"/>
      <x:c r="I39" s="2"/>
    </x:row>
    <x:row r="40" ht="23" customHeight="1">
      <x:c r="A40" s="2" t="n">
        <x:v>26</x:v>
      </x:c>
      <x:c r="B40" s="14" t="n">
        <x:v>0.04019999999999999</x:v>
      </x:c>
      <x:c r="C40" s="12" t="n">
        <x:v>318677.6</x:v>
      </x:c>
      <x:c r="D40" s="12" t="n">
        <x:f>C40-C39</x:f>
        <x:v>51197.69999999995</x:v>
      </x:c>
      <x:c r="E40" s="2"/>
      <x:c r="F40" s="2"/>
      <x:c r="G40" s="2"/>
      <x:c r="H40" s="2"/>
      <x:c r="I40" s="2"/>
    </x:row>
    <x:row r="41" ht="23" customHeight="1">
      <x:c r="A41" s="2" t="n">
        <x:v>27</x:v>
      </x:c>
      <x:c r="B41" s="14" t="n">
        <x:v>-0.1484</x:v>
      </x:c>
      <x:c r="C41" s="12" t="n">
        <x:v>115779.07</x:v>
      </x:c>
      <x:c r="D41" s="12" t="n">
        <x:f>C41-C40</x:f>
        <x:v>-202898.52999999997</x:v>
      </x:c>
      <x:c r="E41" s="2"/>
      <x:c r="F41" s="2"/>
      <x:c r="G41" s="2"/>
      <x:c r="H41" s="2"/>
      <x:c r="I41" s="2"/>
    </x:row>
    <x:row r="42" ht="23" customHeight="1">
      <x:c r="A42" s="2" t="n">
        <x:v>28</x:v>
      </x:c>
      <x:c r="B42" s="14" t="n">
        <x:v>-0.019799999999999998</x:v>
      </x:c>
      <x:c r="C42" s="12" t="n">
        <x:v>93351.18</x:v>
      </x:c>
      <x:c r="D42" s="12" t="n">
        <x:f>C42-C41</x:f>
        <x:v>-22427.890000000014</x:v>
      </x:c>
      <x:c r="E42" s="2"/>
      <x:c r="F42" s="2"/>
      <x:c r="G42" s="2"/>
      <x:c r="H42" s="2"/>
      <x:c r="I42" s="2"/>
    </x:row>
    <x:row r="43" ht="23" customHeight="1">
      <x:c r="A43" s="2" t="n">
        <x:v>29</x:v>
      </x:c>
      <x:c r="B43" s="14" t="n">
        <x:v>-0.1013</x:v>
      </x:c>
      <x:c r="C43" s="12" t="n">
        <x:v>-19830.36</x:v>
      </x:c>
      <x:c r="D43" s="12" t="n">
        <x:f>C43-C42</x:f>
        <x:v>-113181.54</x:v>
      </x:c>
      <x:c r="E43" s="2"/>
      <x:c r="F43" s="2"/>
      <x:c r="G43" s="2"/>
      <x:c r="H43" s="2"/>
      <x:c r="I43" s="2"/>
    </x:row>
    <x:row r="44" ht="23" customHeight="1">
      <x:c r="A44" s="2" t="n">
        <x:v>30</x:v>
      </x:c>
      <x:c r="B44" s="14" t="n">
        <x:v>0.039</x:v>
      </x:c>
      <x:c r="C44" s="12" t="n">
        <x:v>18889.91</x:v>
      </x:c>
      <x:c r="D44" s="12" t="n">
        <x:f>C44-C43</x:f>
        <x:v>38720.270000000004</x:v>
      </x:c>
      <x:c r="E44" s="2"/>
      <x:c r="F44" s="2"/>
      <x:c r="G44" s="2"/>
      <x:c r="H44" s="2"/>
      <x:c r="I44" s="2"/>
    </x:row>
    <x:row r="45" ht="23" customHeight="1">
      <x:c r="A45" s="2" t="n">
        <x:v>31</x:v>
      </x:c>
      <x:c r="B45" s="14" t="n">
        <x:v>0.0473</x:v>
      </x:c>
      <x:c r="C45" s="12" t="n">
        <x:v>66899.68</x:v>
      </x:c>
      <x:c r="D45" s="12" t="n">
        <x:f>C45-C44</x:f>
        <x:v>48009.76999999999</x:v>
      </x:c>
      <x:c r="E45" s="2"/>
      <x:c r="F45" s="2"/>
      <x:c r="G45" s="2"/>
      <x:c r="H45" s="2"/>
      <x:c r="I45" s="2"/>
    </x:row>
    <x:row r="46" ht="23" customHeight="1">
      <x:c r="A46" s="2" t="n">
        <x:v>32</x:v>
      </x:c>
      <x:c r="B46" s="14" t="n">
        <x:v>0.1002</x:v>
      </x:c>
      <x:c r="C46" s="12" t="n">
        <x:v>174706.77</x:v>
      </x:c>
      <x:c r="D46" s="12" t="n">
        <x:f>C46-C45</x:f>
        <x:v>107807.09</x:v>
      </x:c>
      <x:c r="E46" s="2"/>
      <x:c r="F46" s="2"/>
      <x:c r="G46" s="2"/>
      <x:c r="H46" s="2"/>
      <x:c r="I46" s="2"/>
    </x:row>
    <x:row r="47" ht="23" customHeight="1">
      <x:c r="A47" s="2" t="n">
        <x:v>33</x:v>
      </x:c>
      <x:c r="B47" s="14" t="n">
        <x:v>0.0302</x:v>
      </x:c>
      <x:c r="C47" s="12" t="n">
        <x:v>212890.69</x:v>
      </x:c>
      <x:c r="D47" s="12" t="n">
        <x:f>C47-C46</x:f>
        <x:v>38183.92000000001</x:v>
      </x:c>
      <x:c r="E47" s="2"/>
      <x:c r="F47" s="2"/>
      <x:c r="G47" s="2"/>
      <x:c r="H47" s="2"/>
      <x:c r="I47" s="2"/>
    </x:row>
    <x:row r="48" ht="23" customHeight="1">
      <x:c r="A48" s="2" t="n">
        <x:v>34</x:v>
      </x:c>
      <x:c r="B48" s="14" t="n">
        <x:v>0.3969</x:v>
      </x:c>
      <x:c r="C48" s="12" t="n">
        <x:v>694320.1</x:v>
      </x:c>
      <x:c r="D48" s="12" t="n">
        <x:f>C48-C47</x:f>
        <x:v>481429.41</x:v>
      </x:c>
      <x:c r="E48" s="2"/>
      <x:c r="F48" s="2"/>
      <x:c r="G48" s="2"/>
      <x:c r="H48" s="2"/>
      <x:c r="I48" s="2"/>
    </x:row>
    <x:row r="49" ht="23" customHeight="1">
      <x:c r="A49" s="2" t="n">
        <x:v>35</x:v>
      </x:c>
      <x:c r="B49" s="14" t="n">
        <x:v>0.10890000000000001</x:v>
      </x:c>
      <x:c r="C49" s="12" t="n">
        <x:v>878831.7</x:v>
      </x:c>
      <x:c r="D49" s="12" t="n">
        <x:f>C49-C48</x:f>
        <x:v>184511.59999999998</x:v>
      </x:c>
      <x:c r="E49" s="2"/>
      <x:c r="F49" s="2"/>
      <x:c r="G49" s="2"/>
      <x:c r="H49" s="2"/>
      <x:c r="I49" s="2"/>
    </x:row>
    <x:row r="50" ht="23" customHeight="1">
      <x:c r="A50" s="2" t="n">
        <x:v>36</x:v>
      </x:c>
      <x:c r="B50" s="14" t="n">
        <x:v>1.0811</x:v>
      </x:c>
      <x:c r="C50" s="12" t="n">
        <x:v>2900936.5</x:v>
      </x:c>
      <x:c r="D50" s="12" t="n">
        <x:f>C50-C49</x:f>
        <x:v>2022104.8</x:v>
      </x:c>
      <x:c r="E50" s="2"/>
      <x:c r="F50" s="2"/>
      <x:c r="G50" s="2"/>
      <x:c r="H50" s="2"/>
      <x:c r="I50" s="2"/>
    </x:row>
    <x:row r="51" ht="23" customHeight="1">
      <x:c r="A51" s="2" t="n">
        <x:v>37</x:v>
      </x:c>
      <x:c r="B51" s="14" t="n">
        <x:v>0.016200000000000003</x:v>
      </x:c>
      <x:c r="C51" s="12" t="n">
        <x:v>2963941.5</x:v>
      </x:c>
      <x:c r="D51" s="12" t="n">
        <x:f>C51-C50</x:f>
        <x:v>63005</x:v>
      </x:c>
      <x:c r="E51" s="2"/>
      <x:c r="F51" s="2"/>
      <x:c r="G51" s="2"/>
      <x:c r="H51" s="2"/>
      <x:c r="I51" s="2"/>
    </x:row>
    <x:row r="52" ht="23" customHeight="1">
      <x:c r="A52" s="2" t="n">
        <x:v>38</x:v>
      </x:c>
      <x:c r="B52" s="14" t="n">
        <x:v>-0.07429999999999999</x:v>
      </x:c>
      <x:c r="C52" s="12" t="n">
        <x:v>2684495.8</x:v>
      </x:c>
      <x:c r="D52" s="12" t="n">
        <x:f>C52-C51</x:f>
        <x:v>-279445.7000000002</x:v>
      </x:c>
      <x:c r="E52" s="2"/>
      <x:c r="F52" s="2"/>
      <x:c r="G52" s="2"/>
      <x:c r="H52" s="2"/>
      <x:c r="I52" s="2"/>
    </x:row>
    <x:row r="53" ht="23" customHeight="1">
      <x:c r="A53" s="2" t="n">
        <x:v>39</x:v>
      </x:c>
      <x:c r="B53" s="14" t="n">
        <x:v>0.121</x:v>
      </x:c>
      <x:c r="C53" s="12" t="n">
        <x:v>3128778.5</x:v>
      </x:c>
      <x:c r="D53" s="12" t="n">
        <x:f>C53-C52</x:f>
        <x:v>444282.7000000002</x:v>
      </x:c>
      <x:c r="E53" s="2"/>
      <x:c r="F53" s="2"/>
      <x:c r="G53" s="2"/>
      <x:c r="H53" s="2"/>
      <x:c r="I53" s="2"/>
    </x:row>
    <x:row r="54" ht="23" customHeight="1">
      <x:c r="A54" s="2" t="n">
        <x:v>40</x:v>
      </x:c>
      <x:c r="B54" s="14" t="n">
        <x:v>0.0754</x:v>
      </x:c>
      <x:c r="C54" s="12" t="n">
        <x:v>3434064</x:v>
      </x:c>
      <x:c r="D54" s="12" t="n">
        <x:f>C54-C53</x:f>
        <x:v>305285.5</x:v>
      </x:c>
      <x:c r="E54" s="2"/>
      <x:c r="F54" s="2"/>
      <x:c r="G54" s="2"/>
      <x:c r="H54" s="2"/>
      <x:c r="I54" s="2"/>
    </x:row>
    <x:row r="55" ht="23" customHeight="1">
      <x:c r="A55" s="2" t="n">
        <x:v>41</x:v>
      </x:c>
      <x:c r="B55" s="14" t="n">
        <x:v>0.127</x:v>
      </x:c>
      <x:c r="C55" s="12" t="n">
        <x:v>4019774.5</x:v>
      </x:c>
      <x:c r="D55" s="12" t="n">
        <x:f>C55-C54</x:f>
        <x:v>585710.5</x:v>
      </x:c>
      <x:c r="E55" s="2"/>
      <x:c r="F55" s="2"/>
      <x:c r="G55" s="2"/>
      <x:c r="H55" s="2"/>
      <x:c r="I55" s="2"/>
    </x:row>
    <x:row r="56" ht="23" customHeight="1">
      <x:c r="A56" s="2" t="n">
        <x:v>42</x:v>
      </x:c>
      <x:c r="B56" s="14" t="n">
        <x:v>0.1107</x:v>
      </x:c>
      <x:c r="C56" s="12" t="n">
        <x:v>4575656</x:v>
      </x:c>
      <x:c r="D56" s="12" t="n">
        <x:f>C56-C55</x:f>
        <x:v>555881.5</x:v>
      </x:c>
      <x:c r="E56" s="2"/>
      <x:c r="F56" s="2"/>
      <x:c r="G56" s="2"/>
      <x:c r="H56" s="2"/>
      <x:c r="I56" s="2"/>
    </x:row>
    <x:row r="57" ht="23" customHeight="1">
      <x:c r="A57" s="2" t="n">
        <x:v>43</x:v>
      </x:c>
      <x:c r="B57" s="14" t="n">
        <x:v>0.041299999999999996</x:v>
      </x:c>
      <x:c r="C57" s="12" t="n">
        <x:v>4806540.5</x:v>
      </x:c>
      <x:c r="D57" s="12" t="n">
        <x:f>C57-C56</x:f>
        <x:v>230884.5</x:v>
      </x:c>
      <x:c r="E57" s="2"/>
      <x:c r="F57" s="2"/>
      <x:c r="G57" s="2"/>
      <x:c r="H57" s="2"/>
      <x:c r="I57" s="2"/>
    </x:row>
    <x:row r="58" ht="23" customHeight="1">
      <x:c r="A58" s="2" t="n">
        <x:v>44</x:v>
      </x:c>
      <x:c r="B58" s="14" t="n">
        <x:v>0.3267</x:v>
      </x:c>
      <x:c r="C58" s="12" t="n">
        <x:v>6725389</x:v>
      </x:c>
      <x:c r="D58" s="12" t="n">
        <x:f>C58-C57</x:f>
        <x:v>1918848.5</x:v>
      </x:c>
      <x:c r="E58" s="2"/>
      <x:c r="F58" s="2"/>
      <x:c r="G58" s="2"/>
      <x:c r="H58" s="2"/>
      <x:c r="I58" s="2"/>
    </x:row>
    <x:row r="59" ht="23" customHeight="1">
      <x:c r="A59" s="2" t="n">
        <x:v>45</x:v>
      </x:c>
      <x:c r="B59" s="14" t="n">
        <x:v>0.2748</x:v>
      </x:c>
      <x:c r="C59" s="12" t="n">
        <x:v>8848493</x:v>
      </x:c>
      <x:c r="D59" s="12" t="n">
        <x:f>C59-C58</x:f>
        <x:v>2123104</x:v>
      </x:c>
      <x:c r="E59" s="2"/>
      <x:c r="F59" s="2"/>
      <x:c r="G59" s="2"/>
      <x:c r="H59" s="2"/>
      <x:c r="I59" s="2"/>
    </x:row>
    <x:row r="60" ht="23" customHeight="1">
      <x:c r="A60" s="2" t="n">
        <x:v>46</x:v>
      </x:c>
      <x:c r="B60" s="14" t="n">
        <x:v>0.0785</x:v>
      </x:c>
      <x:c r="C60" s="12" t="n">
        <x:v>9603777</x:v>
      </x:c>
      <x:c r="D60" s="12" t="n">
        <x:f>C60-C59</x:f>
        <x:v>755284</x:v>
      </x:c>
      <x:c r="E60" s="2"/>
      <x:c r="F60" s="2"/>
      <x:c r="G60" s="2"/>
      <x:c r="H60" s="2"/>
      <x:c r="I60" s="2"/>
    </x:row>
    <x:row r="61" ht="23" customHeight="1">
      <x:c r="A61" s="2" t="n">
        <x:v>47</x:v>
      </x:c>
      <x:c r="B61" s="14" t="n">
        <x:v>-0.1674</x:v>
      </x:c>
      <x:c r="C61" s="12" t="n">
        <x:v>7829068</x:v>
      </x:c>
      <x:c r="D61" s="12" t="n">
        <x:f>C61-C60</x:f>
        <x:v>-1774709</x:v>
      </x:c>
      <x:c r="E61" s="2"/>
      <x:c r="F61" s="2"/>
      <x:c r="G61" s="2"/>
      <x:c r="H61" s="2"/>
      <x:c r="I61" s="2"/>
    </x:row>
    <x:row r="62" ht="23" customHeight="1">
      <x:c r="A62" s="2" t="n">
        <x:v>48</x:v>
      </x:c>
      <x:c r="B62" s="14" t="n">
        <x:v>-0.12240000000000001</x:v>
      </x:c>
      <x:c r="C62" s="12" t="n">
        <x:v>6783363</x:v>
      </x:c>
      <x:c r="D62" s="12" t="n">
        <x:f>C62-C61</x:f>
        <x:v>-1045705</x:v>
      </x:c>
      <x:c r="E62" s="2"/>
      <x:c r="F62" s="2"/>
      <x:c r="G62" s="2"/>
      <x:c r="H62" s="2"/>
      <x:c r="I62" s="2"/>
    </x:row>
    <x:row r="63" ht="23" customHeight="1">
      <x:c r="A63" s="2" t="n">
        <x:v>49</x:v>
      </x:c>
      <x:c r="B63" s="14" t="n">
        <x:v>0.1502</x:v>
      </x:c>
      <x:c r="C63" s="12" t="n">
        <x:v>7974276.5</x:v>
      </x:c>
      <x:c r="D63" s="12" t="n">
        <x:f>C63-C62</x:f>
        <x:v>1190913.5</x:v>
      </x:c>
      <x:c r="E63" s="2"/>
      <x:c r="F63" s="2"/>
      <x:c r="G63" s="2"/>
      <x:c r="H63" s="2"/>
      <x:c r="I63" s="2"/>
    </x:row>
    <x:row r="64" ht="23" customHeight="1">
      <x:c r="A64" s="2" t="n">
        <x:v>50</x:v>
      </x:c>
      <x:c r="B64" s="14" t="n">
        <x:v>0.47509999999999997</x:v>
      </x:c>
      <x:c r="C64" s="12" t="n">
        <x:v>12240945</x:v>
      </x:c>
      <x:c r="D64" s="12" t="n">
        <x:f>C64-C63</x:f>
        <x:v>4266668.5</x:v>
      </x:c>
      <x:c r="E64" s="2"/>
      <x:c r="F64" s="2"/>
      <x:c r="G64" s="2"/>
      <x:c r="H64" s="2"/>
      <x:c r="I64" s="2"/>
    </x:row>
    <x:row r="65" ht="23" customHeight="1">
      <x:c r="A65" s="2" t="n">
        <x:v>51</x:v>
      </x:c>
      <x:c r="B65" s="14" t="n">
        <x:v>0.076</x:v>
      </x:c>
      <x:c r="C65" s="12" t="n">
        <x:v>13247297</x:v>
      </x:c>
      <x:c r="D65" s="12" t="n">
        <x:f>C65-C64</x:f>
        <x:v>1006352</x:v>
      </x:c>
      <x:c r="E65" s="2"/>
      <x:c r="F65" s="2"/>
      <x:c r="G65" s="2"/>
      <x:c r="H65" s="2"/>
      <x:c r="I65" s="2"/>
    </x:row>
    <x:row r="66" ht="23" customHeight="1">
      <x:c r="A66" s="2" t="n">
        <x:v>52</x:v>
      </x:c>
      <x:c r="B66" s="14" t="n">
        <x:v>-0.0643</x:v>
      </x:c>
      <x:c r="C66" s="12" t="n">
        <x:v>12173724</x:v>
      </x:c>
      <x:c r="D66" s="12" t="n">
        <x:f>C66-C65</x:f>
        <x:v>-1073573</x:v>
      </x:c>
      <x:c r="E66" s="2"/>
      <x:c r="F66" s="2"/>
      <x:c r="G66" s="2"/>
      <x:c r="H66" s="2"/>
      <x:c r="I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3" customHeight="1">
      <x:c r="A70" s="2" t="str">
        <x:v>字段核验详见右侧F列</x:v>
      </x:c>
      <x:c r="B70" s="2"/>
      <x:c r="C70" s="2"/>
      <x:c r="D70" s="2"/>
      <x:c r="E70" s="2"/>
      <x:c r="F70" s="2"/>
      <x:c r="G70" s="2"/>
      <x:c r="H70" s="2"/>
      <x:c r="I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4" t="str">
        <x:v>笔者资料B 历史与成本摘录</x:v>
      </x:c>
      <x:c r="B2" s="2"/>
      <x:c r="C2" s="2"/>
      <x:c r="D2" s="2"/>
      <x:c r="E2" s="2"/>
      <x:c r="F2" s="2"/>
      <x:c r="G2" s="2"/>
    </x:row>
    <x:row r="3" ht="23" customHeight="1">
      <x:c r="A3" s="5" t="str">
        <x:v>随书资料7-B。与资料A独立，仅核对原摘录，未重跑私人策略。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36" customHeight="1">
      <x:c r="A5" s="10" t="str">
        <x:v>期间</x:v>
      </x:c>
      <x:c r="B5" s="10" t="str">
        <x:v>研究角色</x:v>
      </x:c>
      <x:c r="C5" s="10" t="str">
        <x:v>年化收益</x:v>
      </x:c>
      <x:c r="D5" s="10" t="str">
        <x:v>利润因子</x:v>
      </x:c>
      <x:c r="E5" s="10" t="str">
        <x:v>最大回撤</x:v>
      </x:c>
      <x:c r="F5" s="2"/>
      <x:c r="G5" s="2"/>
    </x:row>
    <x:row r="6" ht="23" customHeight="1">
      <x:c r="A6" s="2" t="str">
        <x:v>2021-01-04–2022-12-30</x:v>
      </x:c>
      <x:c r="B6" s="2" t="str">
        <x:v>开发后历史回查</x:v>
      </x:c>
      <x:c r="C6" s="14" t="n">
        <x:v>-0.0807</x:v>
      </x:c>
      <x:c r="D6" s="17" t="n">
        <x:v>0.759</x:v>
      </x:c>
      <x:c r="E6" s="14" t="n">
        <x:v>-0.2253</x:v>
      </x:c>
      <x:c r="F6" s="2"/>
      <x:c r="G6" s="2"/>
    </x:row>
    <x:row r="7" ht="23" customHeight="1">
      <x:c r="A7" s="2" t="str">
        <x:v>2023-01-03–2024-10-31</x:v>
      </x:c>
      <x:c r="B7" s="2" t="str">
        <x:v>开发窗口一</x:v>
      </x:c>
      <x:c r="C7" s="14" t="n">
        <x:v>0.2135</x:v>
      </x:c>
      <x:c r="D7" s="17" t="n">
        <x:v>2.442</x:v>
      </x:c>
      <x:c r="E7" s="14" t="n">
        <x:v>-0.089</x:v>
      </x:c>
      <x:c r="F7" s="2"/>
      <x:c r="G7" s="2"/>
    </x:row>
    <x:row r="8" ht="23" customHeight="1">
      <x:c r="A8" s="2" t="str">
        <x:v>2024-11-01–2026-05-29</x:v>
      </x:c>
      <x:c r="B8" s="2" t="str">
        <x:v>开发窗口二</x:v>
      </x:c>
      <x:c r="C8" s="14" t="n">
        <x:v>0.1929</x:v>
      </x:c>
      <x:c r="D8" s="17" t="n">
        <x:v>1.758</x:v>
      </x:c>
      <x:c r="E8" s="14" t="n">
        <x:v>-0.0906</x:v>
      </x:c>
      <x:c r="F8" s="2"/>
      <x:c r="G8" s="2"/>
    </x:row>
    <x:row r="9" ht="23" customHeight="1">
      <x:c r="A9" s="2"/>
      <x:c r="B9" s="2"/>
      <x:c r="C9" s="2"/>
      <x:c r="D9" s="2"/>
      <x:c r="E9" s="2"/>
      <x:c r="F9" s="2"/>
      <x:c r="G9" s="2"/>
    </x:row>
    <x:row r="10" ht="23" customHeight="1">
      <x:c r="A10" s="2"/>
      <x:c r="B10" s="2"/>
      <x:c r="C10" s="2"/>
      <x:c r="D10" s="2"/>
      <x:c r="E10" s="2"/>
      <x:c r="F10" s="2"/>
      <x:c r="G10" s="2"/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36" customHeight="1">
      <x:c r="A12" s="10" t="str">
        <x:v>单边成本（bp）</x:v>
      </x:c>
      <x:c r="B12" s="10" t="str">
        <x:v>开发窗1年化</x:v>
      </x:c>
      <x:c r="C12" s="10" t="str">
        <x:v>开发窗2年化</x:v>
      </x:c>
      <x:c r="D12" s="10" t="str">
        <x:v>年化算术平均</x:v>
      </x:c>
      <x:c r="E12" s="10" t="str">
        <x:v>开发窗2回撤</x:v>
      </x:c>
      <x:c r="F12" s="2"/>
      <x:c r="G12" s="2"/>
    </x:row>
    <x:row r="13" ht="23" customHeight="1">
      <x:c r="A13" s="2" t="n">
        <x:v>20</x:v>
      </x:c>
      <x:c r="B13" s="14" t="n">
        <x:v>0.1915</x:v>
      </x:c>
      <x:c r="C13" s="14" t="n">
        <x:v>0.1349</x:v>
      </x:c>
      <x:c r="D13" s="27" t="n">
        <x:f>AVERAGE(B13:C13)</x:f>
        <x:v>0.1632</x:v>
      </x:c>
      <x:c r="E13" s="14" t="n">
        <x:v>-0.1101</x:v>
      </x:c>
      <x:c r="F13" s="2"/>
      <x:c r="G13" s="2"/>
    </x:row>
    <x:row r="14" ht="23" customHeight="1">
      <x:c r="A14" s="2" t="n">
        <x:v>25</x:v>
      </x:c>
      <x:c r="B14" s="14" t="n">
        <x:v>0.1773</x:v>
      </x:c>
      <x:c r="C14" s="14" t="n">
        <x:v>0.1176</x:v>
      </x:c>
      <x:c r="D14" s="27" t="n">
        <x:f>AVERAGE(B14:C14)</x:f>
        <x:v>0.14745</x:v>
      </x:c>
      <x:c r="E14" s="14" t="n">
        <x:v>-0.1526</x:v>
      </x:c>
      <x:c r="F14" s="2"/>
      <x:c r="G14" s="2"/>
    </x:row>
    <x:row r="15" ht="23" customHeight="1">
      <x:c r="A15" s="2"/>
      <x:c r="B15" s="2"/>
      <x:c r="C15" s="2"/>
      <x:c r="D15" s="2"/>
      <x:c r="E15" s="2"/>
      <x:c r="F15" s="2"/>
      <x:c r="G15" s="2"/>
    </x:row>
    <x:row r="16" ht="23" customHeight="1">
      <x:c r="A16" s="2"/>
      <x:c r="B16" s="2"/>
      <x:c r="C16" s="2"/>
      <x:c r="D16" s="2"/>
      <x:c r="E16" s="2"/>
      <x:c r="F16" s="2"/>
      <x:c r="G16" s="2"/>
    </x:row>
    <x:row r="17" ht="23" customHeight="1">
      <x:c r="A17" s="5" t="str">
        <x:v>原质量条件：平均年化≥15%，各窗≥10%，PF≥1.30，回撤≥−15%。</x:v>
      </x:c>
      <x:c r="B17" s="2"/>
      <x:c r="C17" s="2"/>
      <x:c r="D17" s="2"/>
      <x:c r="E17" s="2"/>
      <x:c r="F17" s="2"/>
      <x:c r="G17" s="2"/>
    </x:row>
    <x:row r="18" ht="23" customHeight="1">
      <x:c r="A18" s="2"/>
      <x:c r="B18" s="2"/>
      <x:c r="C18" s="2"/>
      <x:c r="D18" s="2"/>
      <x:c r="E18" s="2"/>
      <x:c r="F18" s="2"/>
      <x:c r="G18" s="2"/>
    </x:row>
    <x:row r="19" ht="23" customHeight="1">
      <x:c r="A19" s="5" t="str">
        <x:v>25 bp未满足平均年化和回撤条件。该门槛不属于SPY教学案例。</x:v>
      </x:c>
      <x:c r="B19" s="2"/>
      <x:c r="C19" s="2"/>
      <x:c r="D19" s="2"/>
      <x:c r="E19" s="2"/>
      <x:c r="F19" s="2"/>
      <x:c r="G19" s="2"/>
    </x:row>
    <x:row r="20" ht="23" customHeight="1">
      <x:c r="A20" s="2"/>
      <x:c r="B20" s="2"/>
      <x:c r="C20" s="2"/>
      <x:c r="D20" s="2"/>
      <x:c r="E20" s="2"/>
      <x:c r="F20" s="2"/>
      <x:c r="G20" s="2"/>
    </x:row>
    <x:row r="21" ht="23" customHeight="1">
      <x:c r="A21" s="5" t="str">
        <x:v>两窗年化作算术平均，仅用于原门槛；不代表合并期间年化。25 bp显示值均值14.745%。</x:v>
      </x:c>
      <x:c r="B21" s="2"/>
      <x:c r="C21" s="2"/>
      <x:c r="D21" s="2"/>
      <x:c r="E21" s="2"/>
      <x:c r="F21" s="2"/>
      <x:c r="G21" s="2"/>
    </x:row>
    <x:row r="22" ht="23" customHeight="1">
      <x:c r="A22" s="2"/>
      <x:c r="B22" s="2"/>
      <x:c r="C22" s="2"/>
      <x:c r="D22" s="2"/>
      <x:c r="E22" s="2"/>
      <x:c r="F22" s="2"/>
      <x:c r="G22" s="2"/>
    </x:row>
    <x:row r="23" ht="23" customHeight="1">
      <x:c r="A23" s="5" t="str">
        <x:v>来源：补充案例/历史研究必要摘录.txt及supplement_history.csv。</x:v>
      </x:c>
      <x:c r="B23" s="2"/>
      <x:c r="C23" s="2"/>
      <x:c r="D23" s="2"/>
      <x:c r="E23" s="2"/>
      <x:c r="F23" s="2"/>
      <x:c r="G23" s="2"/>
    </x:row>
    <x:row r="24" ht="23" customHeight="1">
      <x:c r="A24" s="2"/>
      <x:c r="B24" s="2"/>
      <x:c r="C24" s="2"/>
      <x:c r="D24" s="2"/>
      <x:c r="E24" s="2"/>
      <x:c r="F24" s="2"/>
      <x:c r="G24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5" hidden="0" customWidth="1"/>
    <x:col min="3" max="3" width="18" hidden="0" customWidth="1"/>
  </x:cols>
  <x:sheetData>
    <x:row r="1" ht="23" customHeight="1">
      <x:c r="A1" s="2"/>
      <x:c r="B1" s="2"/>
      <x:c r="C1" s="2"/>
    </x:row>
    <x:row r="2" ht="23" customHeight="1">
      <x:c r="A2" s="4" t="str">
        <x:v>复算范围与资料来源</x:v>
      </x:c>
      <x:c r="B2" s="2"/>
      <x:c r="C2" s="2"/>
    </x:row>
    <x:row r="3" ht="23" customHeight="1">
      <x:c r="A3" s="2"/>
      <x:c r="B3" s="2"/>
      <x:c r="C3" s="2"/>
    </x:row>
    <x:row r="4" ht="23" customHeight="1">
      <x:c r="A4" s="2"/>
      <x:c r="B4" s="2"/>
      <x:c r="C4" s="2"/>
    </x:row>
    <x:row r="5" ht="36" customHeight="1">
      <x:c r="A5" s="10" t="str">
        <x:v>项目</x:v>
      </x:c>
      <x:c r="B5" s="10" t="str">
        <x:v>说明</x:v>
      </x:c>
      <x:c r="C5" s="2"/>
    </x:row>
    <x:row r="6" ht="23" customHeight="1">
      <x:c r="A6" s="2" t="str">
        <x:v>SPY教学案例规则</x:v>
      </x:c>
      <x:c r="B6" s="2" t="str">
        <x:v>50日均线；次日开盘；仅多头整数份额；初始100,000美元。</x:v>
      </x:c>
      <x:c r="C6" s="2"/>
    </x:row>
    <x:row r="7" ht="23" customHeight="1">
      <x:c r="A7" s="2" t="str">
        <x:v>收益口径</x:v>
      </x:c>
      <x:c r="B7" s="2" t="str">
        <x:v>未复权成交；分红独立记账；现金不计息；期末含持仓市值与应收。</x:v>
      </x:c>
      <x:c r="C7" s="2"/>
    </x:row>
    <x:row r="8" ht="23" customHeight="1">
      <x:c r="A8" s="2" t="str">
        <x:v>日权益输入</x:v>
      </x:c>
      <x:c r="B8" s="2" t="str">
        <x:v>源自计算程序，保留派生账目；不在读者表整批复制外部OHLC原始行情。</x:v>
      </x:c>
      <x:c r="C8" s="2"/>
    </x:row>
    <x:row r="9" ht="23" customHeight="1">
      <x:c r="A9" s="2" t="str">
        <x:v>公式范围</x:v>
      </x:c>
      <x:c r="B9" s="2" t="str">
        <x:v>日权益、回撤、收益指标、交易损益、集中度与单笔核验可编辑计算。</x:v>
      </x:c>
      <x:c r="C9" s="2"/>
    </x:row>
    <x:row r="10" ht="23" customHeight="1">
      <x:c r="A10" s="2" t="str">
        <x:v>情景刷新</x:v>
      </x:c>
      <x:c r="B10" s="2" t="str">
        <x:v>九组情景是运行快照；config仅支持窗口和成本字段，详见参数支持范围.txt。</x:v>
      </x:c>
      <x:c r="C10" s="2"/>
    </x:row>
    <x:row r="11" ht="23" customHeight="1">
      <x:c r="A11" s="2" t="str">
        <x:v>行情来源</x:v>
      </x:c>
      <x:c r="B11" s="2" t="str">
        <x:v>Yahoo Finance历史接口。原始快照和完整价格账目留在作者核查材料。</x:v>
      </x:c>
      <x:c r="C11" s="2"/>
    </x:row>
    <x:row r="12" ht="23" customHeight="1">
      <x:c r="A12" s="2" t="str">
        <x:v>分红来源</x:v>
      </x:c>
      <x:c r="B12" s="2" t="str">
        <x:v>State Street SPDR historical distributions；除息确认应收，支付日转现金。</x:v>
      </x:c>
      <x:c r="C12" s="2"/>
    </x:row>
    <x:row r="13" ht="23" customHeight="1">
      <x:c r="A13" s="2" t="str">
        <x:v>源码文档</x:v>
      </x:c>
      <x:c r="B13" s="2" t="str">
        <x:v>https://ranaroussi.github.io/yfinance/reference/api/yfinance.download.html</x:v>
      </x:c>
      <x:c r="C13" s="2"/>
    </x:row>
    <x:row r="14" ht="23" customHeight="1">
      <x:c r="A14" s="2" t="str">
        <x:v>分红文档</x:v>
      </x:c>
      <x:c r="B14" s="2" t="str">
        <x:v>https://www.ssga.com/us/en/individual/resources/documents/etf-dividend-distributions</x:v>
      </x:c>
      <x:c r="C14" s="2"/>
    </x:row>
    <x:row r="15" ht="23" customHeight="1">
      <x:c r="A15" s="2" t="str">
        <x:v>私人补充案例</x:v>
      </x:c>
      <x:c r="B15" s="2" t="str">
        <x:v>仅提供脱敏数值与必要摘录，不能端到端复跑私人策略。</x:v>
      </x:c>
      <x:c r="C15" s="2"/>
    </x:row>
    <x:row r="16" ht="23" customHeight="1">
      <x:c r="A16" s="2" t="str">
        <x:v>使用提示</x:v>
      </x:c>
      <x:c r="B16" s="2" t="str">
        <x:v>先另存副本再修改；若出现公式兼容性问题，先与reference_results核对，不直接覆盖参考值。</x:v>
      </x:c>
      <x:c r="C16" s="2"/>
    </x:row>
    <x:row r="17" ht="23" customHeight="1">
      <x:c r="A17" s="2" t="str">
        <x:v>日期与版本</x:v>
      </x:c>
      <x:c r="B17" s="2" t="str">
        <x:v>20261009读者交付修订版，数据读取时间与SHA-256见复现材料；未来下载可能被供应方修订。</x:v>
      </x:c>
      <x:c r="C17" s="2"/>
    </x:row>
    <x:row r="18" ht="23" customHeight="1">
      <x:c r="A18" s="2" t="str">
        <x:v>案例分工</x:v>
      </x:c>
      <x:c r="B18" s="2" t="str">
        <x:v>SPY为公开教学案例；匿名R为笔者资料A，历史摘录为资料B。</x:v>
      </x:c>
      <x:c r="C18" s="2"/>
    </x:row>
    <x:row r="19" ht="23" customHeight="1">
      <x:c r="A19" s="2" t="str">
        <x:v>披露范围</x:v>
      </x:c>
      <x:c r="B19" s="2" t="str">
        <x:v>资料A、B是两组独立脱敏记录；核心策略保留，未作为公开发表文献。</x:v>
      </x:c>
      <x:c r="C19" s="2"/>
    </x:row>
    <x:row r="20" ht="23" customHeight="1">
      <x:c r="A20" s="2" t="str">
        <x:v>AI工具使用顺序</x:v>
      </x:c>
      <x:c r="B20" s="2" t="str">
        <x:v>先下载并解压练习包，按开始使用.txt提供练习材料；运行后打开新结果。</x:v>
      </x:c>
      <x:c r="C20" s="2"/>
    </x:row>
    <x:row r="21" ht="23" customHeight="1">
      <x:c r="A21" s="2" t="str">
        <x:v>原有与本次结果</x:v>
      </x:c>
      <x:c r="B21" s="2" t="str">
        <x:v>reference_results已保存书中参考值；实际运行另建results，不需手工改名。</x:v>
      </x:c>
      <x:c r="C21" s="2"/>
    </x:row>
    <x:row r="22" ht="23" customHeight="1">
      <x:c r="A22" s="2" t="str">
        <x:v>局部复算</x:v>
      </x:c>
      <x:c r="B22" s="2" t="str">
        <x:v>前三笔交易见阅读示例复算；原18组参考结果保留，自己的运行需另核验。</x:v>
      </x:c>
      <x:c r="C22" s="2"/>
    </x:row>
    <x:row r="23" ht="23" customHeight="1">
      <x:c r="A23" s="2"/>
      <x:c r="B23" s="2"/>
      <x:c r="C23" s="2"/>
    </x:row>
    <x:row r="24" ht="23" customHeight="1">
      <x:c r="A24" s="2"/>
      <x:c r="B24" s="2"/>
      <x:c r="C24" s="2"/>
    </x:row>
    <x:row r="25" ht="23" customHeight="1">
      <x:c r="A25" s="2"/>
      <x:c r="B25" s="2"/>
      <x:c r="C25" s="2"/>
    </x:row>
  </x:sheetData>
  <x:pageMargins left="0.7" right="0.7" top="0.75" bottom="0.75" header="0.3" footer="0.3"/>
</x:worksheet>
</file>